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codeName="ThisWorkbook"/>
  <mc:AlternateContent xmlns:mc="http://schemas.openxmlformats.org/markup-compatibility/2006">
    <mc:Choice Requires="x15">
      <x15ac:absPath xmlns:x15ac="http://schemas.microsoft.com/office/spreadsheetml/2010/11/ac" url="https://d.docs.live.net/48ddedc0b727acb5/Desktop/ISBM/CV/Projects/"/>
    </mc:Choice>
  </mc:AlternateContent>
  <xr:revisionPtr revIDLastSave="1" documentId="13_ncr:1_{D74909E0-4809-4A7F-90BA-2E6C2F7363F4}" xr6:coauthVersionLast="47" xr6:coauthVersionMax="47" xr10:uidLastSave="{08216C58-A06C-46E3-A0C9-C7636FD80FFD}"/>
  <bookViews>
    <workbookView xWindow="-120" yWindow="-120" windowWidth="29040" windowHeight="15720" tabRatio="730" firstSheet="2" activeTab="15" xr2:uid="{00000000-000D-0000-FFFF-FFFF00000000}"/>
  </bookViews>
  <sheets>
    <sheet name="Historical FS" sheetId="7" r:id="rId1"/>
    <sheet name="Financial Ratios" sheetId="11" r:id="rId2"/>
    <sheet name="Reg Forcast" sheetId="13" r:id="rId3"/>
    <sheet name="Wacc" sheetId="14" r:id="rId4"/>
    <sheet name="Intrinsic Growth" sheetId="16" r:id="rId5"/>
    <sheet name="DCF" sheetId="20" r:id="rId6"/>
    <sheet name="VaR" sheetId="23" r:id="rId7"/>
    <sheet name="Peer Comparison" sheetId="22" r:id="rId8"/>
    <sheet name="DuPont Analysis" sheetId="25" r:id="rId9"/>
    <sheet name="Beta" sheetId="17" r:id="rId10"/>
    <sheet name="Rm" sheetId="18" r:id="rId11"/>
    <sheet name="Data Sheet" sheetId="6" r:id="rId12"/>
    <sheet name="Data for Beta &gt;2" sheetId="15" r:id="rId13"/>
    <sheet name="Raw FS" sheetId="19" r:id="rId14"/>
    <sheet name="Peer data" sheetId="21" r:id="rId15"/>
    <sheet name="List of Stocks" sheetId="24" r:id="rId16"/>
    <sheet name="Cash Flow Data" sheetId="9" state="hidden" r:id="rId17"/>
  </sheets>
  <externalReferences>
    <externalReference r:id="rId18"/>
  </externalReferences>
  <definedNames>
    <definedName name="_xlnm._FilterDatabase" localSheetId="9" hidden="1">Beta!$B$6:$D$6</definedName>
    <definedName name="_xlnm._FilterDatabase" localSheetId="15" hidden="1">'List of Stocks'!$A$2:$D$5049</definedName>
    <definedName name="_xlnm._FilterDatabase" localSheetId="6" hidden="1">VaR!$A$4:$G$10004</definedName>
    <definedName name="_xlchart.v1.0" hidden="1">VaR!$G$5:$G$10004</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"04/29/2023 08:53:12"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8">'DuPont Analysis'!$A$1:$J$89</definedName>
    <definedName name="UPDATE" localSheetId="15">'[1]Data Sheet'!$E$1</definedName>
    <definedName name="UPDATE">'Data Sheet'!$E$1</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M30" i="7" l="1"/>
  <c r="M22" i="7"/>
  <c r="L22" i="7"/>
  <c r="K22" i="7"/>
  <c r="J22" i="7"/>
  <c r="I22" i="7"/>
  <c r="H22" i="7"/>
  <c r="G22" i="7"/>
  <c r="F22" i="7"/>
  <c r="E22" i="7"/>
  <c r="D22" i="7"/>
  <c r="C22" i="7"/>
  <c r="M21" i="7"/>
  <c r="L21" i="7"/>
  <c r="K21" i="7"/>
  <c r="J21" i="7"/>
  <c r="I21" i="7"/>
  <c r="H21" i="7"/>
  <c r="G21" i="7"/>
  <c r="F21" i="7"/>
  <c r="E21" i="7"/>
  <c r="D21" i="7"/>
  <c r="C21" i="7"/>
  <c r="B6" i="6" l="1"/>
  <c r="F6" i="7" l="1"/>
  <c r="F97" i="7" l="1"/>
  <c r="F96" i="7"/>
  <c r="F95" i="7"/>
  <c r="F94" i="7"/>
  <c r="F93" i="7"/>
  <c r="F92" i="7"/>
  <c r="F91" i="7"/>
  <c r="F90" i="7"/>
  <c r="F89" i="7"/>
  <c r="F88" i="7"/>
  <c r="F87" i="7"/>
  <c r="F86" i="7"/>
  <c r="F85" i="7"/>
  <c r="F84" i="7"/>
  <c r="F83" i="7"/>
  <c r="C42" i="25"/>
  <c r="C56" i="25" s="1"/>
  <c r="D42" i="25"/>
  <c r="D56" i="25" s="1"/>
  <c r="E42" i="25"/>
  <c r="E56" i="25" s="1"/>
  <c r="F42" i="25"/>
  <c r="F56" i="25" s="1"/>
  <c r="G42" i="25"/>
  <c r="G56" i="25" s="1"/>
  <c r="H42" i="25"/>
  <c r="H56" i="25" s="1"/>
  <c r="I42" i="25"/>
  <c r="I56" i="25" s="1"/>
  <c r="C52" i="25"/>
  <c r="C55" i="25" s="1"/>
  <c r="D52" i="25"/>
  <c r="D55" i="25" s="1"/>
  <c r="E52" i="25"/>
  <c r="E55" i="25" s="1"/>
  <c r="F52" i="25"/>
  <c r="F55" i="25" s="1"/>
  <c r="G52" i="25"/>
  <c r="G55" i="25" s="1"/>
  <c r="H52" i="25"/>
  <c r="H55" i="25" s="1"/>
  <c r="I52" i="25"/>
  <c r="I55" i="25" s="1"/>
  <c r="C48" i="25"/>
  <c r="C51" i="25" s="1"/>
  <c r="D48" i="25"/>
  <c r="D51" i="25" s="1"/>
  <c r="E48" i="25"/>
  <c r="E51" i="25" s="1"/>
  <c r="F48" i="25"/>
  <c r="F51" i="25" s="1"/>
  <c r="G48" i="25"/>
  <c r="G51" i="25" s="1"/>
  <c r="H48" i="25"/>
  <c r="H51" i="25" s="1"/>
  <c r="I48" i="25"/>
  <c r="I51" i="25" s="1"/>
  <c r="I63" i="25"/>
  <c r="H63" i="25"/>
  <c r="G63" i="25"/>
  <c r="F63" i="25"/>
  <c r="E63" i="25"/>
  <c r="I41" i="25"/>
  <c r="H41" i="25"/>
  <c r="G41" i="25"/>
  <c r="F41" i="25"/>
  <c r="E41" i="25"/>
  <c r="D41" i="25"/>
  <c r="D63" i="25"/>
  <c r="C63" i="25"/>
  <c r="B64" i="25"/>
  <c r="B56" i="25"/>
  <c r="C41" i="25"/>
  <c r="D40" i="25"/>
  <c r="D62" i="25" s="1"/>
  <c r="C40" i="25"/>
  <c r="C62" i="25" s="1"/>
  <c r="H40" i="25"/>
  <c r="H62" i="25" s="1"/>
  <c r="G40" i="25"/>
  <c r="G62" i="25" s="1"/>
  <c r="F40" i="25"/>
  <c r="F62" i="25" s="1"/>
  <c r="E40" i="25"/>
  <c r="E62" i="25" s="1"/>
  <c r="I40" i="25"/>
  <c r="I62" i="25" s="1"/>
  <c r="B4" i="25"/>
  <c r="B2" i="25"/>
  <c r="B3" i="25" s="1"/>
  <c r="C39" i="20"/>
  <c r="E49" i="25" l="1"/>
  <c r="C49" i="25"/>
  <c r="D49" i="25"/>
  <c r="F53" i="25"/>
  <c r="H53" i="25"/>
  <c r="G53" i="25"/>
  <c r="G49" i="25"/>
  <c r="H49" i="25"/>
  <c r="I57" i="25"/>
  <c r="F43" i="25"/>
  <c r="G43" i="25"/>
  <c r="E70" i="25"/>
  <c r="E73" i="25" s="1"/>
  <c r="F70" i="25"/>
  <c r="F73" i="25" s="1"/>
  <c r="F49" i="25"/>
  <c r="G70" i="25"/>
  <c r="G73" i="25" s="1"/>
  <c r="I49" i="25"/>
  <c r="H70" i="25"/>
  <c r="H71" i="25" s="1"/>
  <c r="D64" i="25"/>
  <c r="D74" i="25" s="1"/>
  <c r="I70" i="25"/>
  <c r="I71" i="25" s="1"/>
  <c r="E64" i="25"/>
  <c r="E74" i="25" s="1"/>
  <c r="F64" i="25"/>
  <c r="F74" i="25" s="1"/>
  <c r="G64" i="25"/>
  <c r="G74" i="25" s="1"/>
  <c r="H64" i="25"/>
  <c r="H74" i="25" s="1"/>
  <c r="F57" i="25"/>
  <c r="C64" i="25"/>
  <c r="C74" i="25" s="1"/>
  <c r="I64" i="25"/>
  <c r="I74" i="25" s="1"/>
  <c r="C70" i="25"/>
  <c r="C71" i="25" s="1"/>
  <c r="I53" i="25"/>
  <c r="D70" i="25"/>
  <c r="D73" i="25" s="1"/>
  <c r="D57" i="25"/>
  <c r="E57" i="25"/>
  <c r="G57" i="25"/>
  <c r="H57" i="25"/>
  <c r="E43" i="25"/>
  <c r="D53" i="25"/>
  <c r="E53" i="25"/>
  <c r="C53" i="25"/>
  <c r="I43" i="25"/>
  <c r="C43" i="25"/>
  <c r="H43" i="25"/>
  <c r="D43" i="25"/>
  <c r="C57" i="25"/>
  <c r="J29" i="23"/>
  <c r="J28" i="23"/>
  <c r="J27" i="23"/>
  <c r="J26" i="23"/>
  <c r="J15" i="23"/>
  <c r="J14" i="23"/>
  <c r="J13" i="23"/>
  <c r="J12" i="23"/>
  <c r="K15" i="23"/>
  <c r="K14" i="23"/>
  <c r="K13" i="23"/>
  <c r="K12" i="23"/>
  <c r="M9" i="23"/>
  <c r="M23" i="23" s="1"/>
  <c r="M8" i="23"/>
  <c r="M7" i="23"/>
  <c r="M6" i="23"/>
  <c r="M5" i="23"/>
  <c r="C4" i="23"/>
  <c r="D4" i="23"/>
  <c r="B4" i="23"/>
  <c r="H59" i="25" l="1"/>
  <c r="G59" i="25"/>
  <c r="H73" i="25"/>
  <c r="H75" i="25" s="1"/>
  <c r="H77" i="25" s="1"/>
  <c r="F59" i="25"/>
  <c r="D75" i="25"/>
  <c r="E71" i="25"/>
  <c r="F75" i="25"/>
  <c r="G71" i="25"/>
  <c r="E75" i="25"/>
  <c r="G75" i="25"/>
  <c r="D65" i="25"/>
  <c r="C59" i="25"/>
  <c r="F71" i="25"/>
  <c r="I73" i="25"/>
  <c r="I75" i="25" s="1"/>
  <c r="I77" i="25" s="1"/>
  <c r="D71" i="25"/>
  <c r="I59" i="25"/>
  <c r="D59" i="25"/>
  <c r="E59" i="25"/>
  <c r="C65" i="25"/>
  <c r="G65" i="25"/>
  <c r="E65" i="25"/>
  <c r="I65" i="25"/>
  <c r="C73" i="25"/>
  <c r="C75" i="25" s="1"/>
  <c r="C77" i="25" s="1"/>
  <c r="H65" i="25"/>
  <c r="F65" i="25"/>
  <c r="G2852" i="23"/>
  <c r="G9194" i="23"/>
  <c r="G632" i="23"/>
  <c r="G1756" i="23"/>
  <c r="G394" i="23"/>
  <c r="G1757" i="23"/>
  <c r="G469" i="23"/>
  <c r="G1758" i="23"/>
  <c r="G1084" i="23"/>
  <c r="G34" i="23"/>
  <c r="G104" i="23"/>
  <c r="G175" i="23"/>
  <c r="G249" i="23"/>
  <c r="G322" i="23"/>
  <c r="G403" i="23"/>
  <c r="G479" i="23"/>
  <c r="G554" i="23"/>
  <c r="G644" i="23"/>
  <c r="G729" i="23"/>
  <c r="G826" i="23"/>
  <c r="G949" i="23"/>
  <c r="G1092" i="23"/>
  <c r="G1265" i="23"/>
  <c r="G1428" i="23"/>
  <c r="G1609" i="23"/>
  <c r="G1784" i="23"/>
  <c r="G2022" i="23"/>
  <c r="G2353" i="23"/>
  <c r="G2807" i="23"/>
  <c r="G3551" i="23"/>
  <c r="G4558" i="23"/>
  <c r="G6061" i="23"/>
  <c r="G95" i="23"/>
  <c r="G467" i="23"/>
  <c r="G1239" i="23"/>
  <c r="G5811" i="23"/>
  <c r="G237" i="23"/>
  <c r="G933" i="23"/>
  <c r="G5828" i="23"/>
  <c r="G25" i="23"/>
  <c r="G550" i="23"/>
  <c r="G818" i="23"/>
  <c r="G1416" i="23"/>
  <c r="G2774" i="23"/>
  <c r="G248" i="23"/>
  <c r="G727" i="23"/>
  <c r="G2795" i="23"/>
  <c r="G109" i="23"/>
  <c r="G408" i="23"/>
  <c r="G959" i="23"/>
  <c r="G6426" i="23"/>
  <c r="G57" i="23"/>
  <c r="G127" i="23"/>
  <c r="G194" i="23"/>
  <c r="G273" i="23"/>
  <c r="G350" i="23"/>
  <c r="G428" i="23"/>
  <c r="G504" i="23"/>
  <c r="G587" i="23"/>
  <c r="G672" i="23"/>
  <c r="G764" i="23"/>
  <c r="G864" i="23"/>
  <c r="G993" i="23"/>
  <c r="G1152" i="23"/>
  <c r="G1312" i="23"/>
  <c r="G1494" i="23"/>
  <c r="G1656" i="23"/>
  <c r="G1863" i="23"/>
  <c r="G2128" i="23"/>
  <c r="G2489" i="23"/>
  <c r="G2951" i="23"/>
  <c r="G3883" i="23"/>
  <c r="G5017" i="23"/>
  <c r="G7131" i="23"/>
  <c r="G23" i="23"/>
  <c r="G313" i="23"/>
  <c r="G932" i="23"/>
  <c r="G2310" i="23"/>
  <c r="G468" i="23"/>
  <c r="G817" i="23"/>
  <c r="G1584" i="23"/>
  <c r="G2747" i="23"/>
  <c r="G319" i="23"/>
  <c r="G1078" i="23"/>
  <c r="G4530" i="23"/>
  <c r="G253" i="23"/>
  <c r="G566" i="23"/>
  <c r="G1110" i="23"/>
  <c r="G4687" i="23"/>
  <c r="G62" i="23"/>
  <c r="G133" i="23"/>
  <c r="G204" i="23"/>
  <c r="G278" i="23"/>
  <c r="G358" i="23"/>
  <c r="G439" i="23"/>
  <c r="G513" i="23"/>
  <c r="G595" i="23"/>
  <c r="G681" i="23"/>
  <c r="G768" i="23"/>
  <c r="G876" i="23"/>
  <c r="G1009" i="23"/>
  <c r="G1165" i="23"/>
  <c r="G1336" i="23"/>
  <c r="G1501" i="23"/>
  <c r="G1674" i="23"/>
  <c r="G1884" i="23"/>
  <c r="G2152" i="23"/>
  <c r="G2532" i="23"/>
  <c r="G3045" i="23"/>
  <c r="G3990" i="23"/>
  <c r="G5060" i="23"/>
  <c r="G7826" i="23"/>
  <c r="G236" i="23"/>
  <c r="G718" i="23"/>
  <c r="G1410" i="23"/>
  <c r="G3443" i="23"/>
  <c r="G96" i="23"/>
  <c r="G549" i="23"/>
  <c r="G1076" i="23"/>
  <c r="G4451" i="23"/>
  <c r="G168" i="23"/>
  <c r="G938" i="23"/>
  <c r="G6014" i="23"/>
  <c r="G170" i="23"/>
  <c r="G552" i="23"/>
  <c r="G825" i="23"/>
  <c r="G1423" i="23"/>
  <c r="G2020" i="23"/>
  <c r="G4546" i="23"/>
  <c r="G43" i="23"/>
  <c r="G334" i="23"/>
  <c r="G655" i="23"/>
  <c r="G840" i="23"/>
  <c r="G1452" i="23"/>
  <c r="G3658" i="23"/>
  <c r="G67" i="23"/>
  <c r="G139" i="23"/>
  <c r="G206" i="23"/>
  <c r="G283" i="23"/>
  <c r="G359" i="23"/>
  <c r="G440" i="23"/>
  <c r="G514" i="23"/>
  <c r="G596" i="23"/>
  <c r="G682" i="23"/>
  <c r="G770" i="23"/>
  <c r="G887" i="23"/>
  <c r="G1010" i="23"/>
  <c r="G1181" i="23"/>
  <c r="G1337" i="23"/>
  <c r="G1523" i="23"/>
  <c r="G1681" i="23"/>
  <c r="G1899" i="23"/>
  <c r="G2184" i="23"/>
  <c r="G2574" i="23"/>
  <c r="G3067" i="23"/>
  <c r="G4039" i="23"/>
  <c r="G5203" i="23"/>
  <c r="G8898" i="23"/>
  <c r="G548" i="23"/>
  <c r="G1985" i="23"/>
  <c r="G314" i="23"/>
  <c r="G2004" i="23"/>
  <c r="G395" i="23"/>
  <c r="G2008" i="23"/>
  <c r="G33" i="23"/>
  <c r="G397" i="23"/>
  <c r="G2056" i="23"/>
  <c r="G68" i="23"/>
  <c r="G140" i="23"/>
  <c r="G211" i="23"/>
  <c r="G287" i="23"/>
  <c r="G360" i="23"/>
  <c r="G441" i="23"/>
  <c r="G515" i="23"/>
  <c r="G600" i="23"/>
  <c r="G684" i="23"/>
  <c r="G777" i="23"/>
  <c r="G888" i="23"/>
  <c r="G1016" i="23"/>
  <c r="G1182" i="23"/>
  <c r="G1344" i="23"/>
  <c r="G1524" i="23"/>
  <c r="G1683" i="23"/>
  <c r="G1900" i="23"/>
  <c r="G2185" i="23"/>
  <c r="G2591" i="23"/>
  <c r="G3070" i="23"/>
  <c r="G4040" i="23"/>
  <c r="G5207" i="23"/>
  <c r="G9193" i="23"/>
  <c r="G391" i="23"/>
  <c r="G1071" i="23"/>
  <c r="G2723" i="23"/>
  <c r="G24" i="23"/>
  <c r="G633" i="23"/>
  <c r="G1240" i="23"/>
  <c r="G3450" i="23"/>
  <c r="G97" i="23"/>
  <c r="G635" i="23"/>
  <c r="G1252" i="23"/>
  <c r="G2333" i="23"/>
  <c r="G321" i="23"/>
  <c r="G638" i="23"/>
  <c r="G1256" i="23"/>
  <c r="G1597" i="23"/>
  <c r="G2348" i="23"/>
  <c r="G3477" i="23"/>
  <c r="G2409" i="23"/>
  <c r="G70" i="23"/>
  <c r="G141" i="23"/>
  <c r="G212" i="23"/>
  <c r="G288" i="23"/>
  <c r="G367" i="23"/>
  <c r="G443" i="23"/>
  <c r="G516" i="23"/>
  <c r="G601" i="23"/>
  <c r="G685" i="23"/>
  <c r="G779" i="23"/>
  <c r="G889" i="23"/>
  <c r="G1022" i="23"/>
  <c r="G1183" i="23"/>
  <c r="G1352" i="23"/>
  <c r="G1525" i="23"/>
  <c r="G1688" i="23"/>
  <c r="G1901" i="23"/>
  <c r="G2187" i="23"/>
  <c r="G2593" i="23"/>
  <c r="G3090" i="23"/>
  <c r="G4042" i="23"/>
  <c r="G5209" i="23"/>
  <c r="G164" i="23"/>
  <c r="G815" i="23"/>
  <c r="G1583" i="23"/>
  <c r="G4363" i="23"/>
  <c r="G165" i="23"/>
  <c r="G719" i="23"/>
  <c r="G1415" i="23"/>
  <c r="G2315" i="23"/>
  <c r="G239" i="23"/>
  <c r="G720" i="23"/>
  <c r="G1588" i="23"/>
  <c r="G3466" i="23"/>
  <c r="G103" i="23"/>
  <c r="G476" i="23"/>
  <c r="G947" i="23"/>
  <c r="G1767" i="23"/>
  <c r="G6053" i="23"/>
  <c r="G180" i="23"/>
  <c r="G488" i="23"/>
  <c r="G741" i="23"/>
  <c r="G1279" i="23"/>
  <c r="G1614" i="23"/>
  <c r="G1804" i="23"/>
  <c r="G8488" i="23"/>
  <c r="G72" i="23"/>
  <c r="G142" i="23"/>
  <c r="G213" i="23"/>
  <c r="G289" i="23"/>
  <c r="G368" i="23"/>
  <c r="G444" i="23"/>
  <c r="G524" i="23"/>
  <c r="G602" i="23"/>
  <c r="G691" i="23"/>
  <c r="G780" i="23"/>
  <c r="G890" i="23"/>
  <c r="G1028" i="23"/>
  <c r="G1184" i="23"/>
  <c r="G1355" i="23"/>
  <c r="G1526" i="23"/>
  <c r="G1695" i="23"/>
  <c r="G1902" i="23"/>
  <c r="G2189" i="23"/>
  <c r="G2600" i="23"/>
  <c r="G3154" i="23"/>
  <c r="G4091" i="23"/>
  <c r="G5292" i="23"/>
  <c r="G9195" i="23"/>
  <c r="G143" i="23"/>
  <c r="G295" i="23"/>
  <c r="G445" i="23"/>
  <c r="G571" i="23"/>
  <c r="G694" i="23"/>
  <c r="G973" i="23"/>
  <c r="G1192" i="23"/>
  <c r="G1527" i="23"/>
  <c r="G1816" i="23"/>
  <c r="G2225" i="23"/>
  <c r="G2877" i="23"/>
  <c r="G3178" i="23"/>
  <c r="G4126" i="23"/>
  <c r="G5456" i="23"/>
  <c r="G9" i="23"/>
  <c r="G117" i="23"/>
  <c r="G260" i="23"/>
  <c r="G416" i="23"/>
  <c r="G528" i="23"/>
  <c r="G657" i="23"/>
  <c r="G789" i="23"/>
  <c r="G1039" i="23"/>
  <c r="G1298" i="23"/>
  <c r="G1637" i="23"/>
  <c r="G2082" i="23"/>
  <c r="G2878" i="23"/>
  <c r="G11" i="23"/>
  <c r="G46" i="23"/>
  <c r="G81" i="23"/>
  <c r="G118" i="23"/>
  <c r="G152" i="23"/>
  <c r="G189" i="23"/>
  <c r="G224" i="23"/>
  <c r="G261" i="23"/>
  <c r="G298" i="23"/>
  <c r="G337" i="23"/>
  <c r="G374" i="23"/>
  <c r="G417" i="23"/>
  <c r="G452" i="23"/>
  <c r="G492" i="23"/>
  <c r="G529" i="23"/>
  <c r="G573" i="23"/>
  <c r="G612" i="23"/>
  <c r="G659" i="23"/>
  <c r="G698" i="23"/>
  <c r="G745" i="23"/>
  <c r="G791" i="23"/>
  <c r="G848" i="23"/>
  <c r="G908" i="23"/>
  <c r="G979" i="23"/>
  <c r="G1045" i="23"/>
  <c r="G1124" i="23"/>
  <c r="G1205" i="23"/>
  <c r="G1299" i="23"/>
  <c r="G1380" i="23"/>
  <c r="G1467" i="23"/>
  <c r="G1541" i="23"/>
  <c r="G1638" i="23"/>
  <c r="G1716" i="23"/>
  <c r="G1824" i="23"/>
  <c r="G1934" i="23"/>
  <c r="G2091" i="23"/>
  <c r="G2243" i="23"/>
  <c r="G2424" i="23"/>
  <c r="G2647" i="23"/>
  <c r="G2879" i="23"/>
  <c r="G3233" i="23"/>
  <c r="G3719" i="23"/>
  <c r="G4199" i="23"/>
  <c r="G4798" i="23"/>
  <c r="G5479" i="23"/>
  <c r="G6611" i="23"/>
  <c r="G44" i="23"/>
  <c r="G214" i="23"/>
  <c r="G335" i="23"/>
  <c r="G489" i="23"/>
  <c r="G656" i="23"/>
  <c r="G787" i="23"/>
  <c r="G1032" i="23"/>
  <c r="G1364" i="23"/>
  <c r="G1632" i="23"/>
  <c r="G1922" i="23"/>
  <c r="G2410" i="23"/>
  <c r="G3683" i="23"/>
  <c r="G9405" i="23"/>
  <c r="G45" i="23"/>
  <c r="G187" i="23"/>
  <c r="G297" i="23"/>
  <c r="G373" i="23"/>
  <c r="G491" i="23"/>
  <c r="G611" i="23"/>
  <c r="G744" i="23"/>
  <c r="G901" i="23"/>
  <c r="G1195" i="23"/>
  <c r="G1539" i="23"/>
  <c r="G1818" i="23"/>
  <c r="G2238" i="23"/>
  <c r="G2616" i="23"/>
  <c r="G3694" i="23"/>
  <c r="G4170" i="23"/>
  <c r="G4775" i="23"/>
  <c r="G5478" i="23"/>
  <c r="G19" i="23"/>
  <c r="G47" i="23"/>
  <c r="G85" i="23"/>
  <c r="G119" i="23"/>
  <c r="G157" i="23"/>
  <c r="G190" i="23"/>
  <c r="G229" i="23"/>
  <c r="G265" i="23"/>
  <c r="G309" i="23"/>
  <c r="G338" i="23"/>
  <c r="G384" i="23"/>
  <c r="G419" i="23"/>
  <c r="G464" i="23"/>
  <c r="G493" i="23"/>
  <c r="G537" i="23"/>
  <c r="G574" i="23"/>
  <c r="G623" i="23"/>
  <c r="G660" i="23"/>
  <c r="G708" i="23"/>
  <c r="G746" i="23"/>
  <c r="G802" i="23"/>
  <c r="G851" i="23"/>
  <c r="G921" i="23"/>
  <c r="G980" i="23"/>
  <c r="G1054" i="23"/>
  <c r="G1127" i="23"/>
  <c r="G1223" i="23"/>
  <c r="G1300" i="23"/>
  <c r="G1394" i="23"/>
  <c r="G1468" i="23"/>
  <c r="G1565" i="23"/>
  <c r="G1639" i="23"/>
  <c r="G1731" i="23"/>
  <c r="G1825" i="23"/>
  <c r="G1970" i="23"/>
  <c r="G2092" i="23"/>
  <c r="G2281" i="23"/>
  <c r="G2450" i="23"/>
  <c r="G2688" i="23"/>
  <c r="G2903" i="23"/>
  <c r="G3319" i="23"/>
  <c r="G3765" i="23"/>
  <c r="G4330" i="23"/>
  <c r="G4802" i="23"/>
  <c r="G5660" i="23"/>
  <c r="G6851" i="23"/>
  <c r="G115" i="23"/>
  <c r="G181" i="23"/>
  <c r="G259" i="23"/>
  <c r="G409" i="23"/>
  <c r="G525" i="23"/>
  <c r="G609" i="23"/>
  <c r="G743" i="23"/>
  <c r="G895" i="23"/>
  <c r="G1111" i="23"/>
  <c r="G1292" i="23"/>
  <c r="G1453" i="23"/>
  <c r="G1703" i="23"/>
  <c r="G2078" i="23"/>
  <c r="G2602" i="23"/>
  <c r="G4774" i="23"/>
  <c r="G80" i="23"/>
  <c r="G151" i="23"/>
  <c r="G216" i="23"/>
  <c r="G336" i="23"/>
  <c r="G451" i="23"/>
  <c r="G572" i="23"/>
  <c r="G697" i="23"/>
  <c r="G842" i="23"/>
  <c r="G974" i="23"/>
  <c r="G1119" i="23"/>
  <c r="G1371" i="23"/>
  <c r="G1455" i="23"/>
  <c r="G1711" i="23"/>
  <c r="G1933" i="23"/>
  <c r="G2412" i="23"/>
  <c r="G3180" i="23"/>
  <c r="G6609" i="23"/>
  <c r="G20" i="23"/>
  <c r="G50" i="23"/>
  <c r="G91" i="23"/>
  <c r="G120" i="23"/>
  <c r="G158" i="23"/>
  <c r="G191" i="23"/>
  <c r="G230" i="23"/>
  <c r="G266" i="23"/>
  <c r="G311" i="23"/>
  <c r="G343" i="23"/>
  <c r="G385" i="23"/>
  <c r="G420" i="23"/>
  <c r="G465" i="23"/>
  <c r="G494" i="23"/>
  <c r="G538" i="23"/>
  <c r="G576" i="23"/>
  <c r="G624" i="23"/>
  <c r="G662" i="23"/>
  <c r="G709" i="23"/>
  <c r="G753" i="23"/>
  <c r="G806" i="23"/>
  <c r="G861" i="23"/>
  <c r="G922" i="23"/>
  <c r="G981" i="23"/>
  <c r="G1069" i="23"/>
  <c r="G1139" i="23"/>
  <c r="G1226" i="23"/>
  <c r="G1307" i="23"/>
  <c r="G1408" i="23"/>
  <c r="G1479" i="23"/>
  <c r="G1566" i="23"/>
  <c r="G1640" i="23"/>
  <c r="G1754" i="23"/>
  <c r="G1851" i="23"/>
  <c r="G1972" i="23"/>
  <c r="G2093" i="23"/>
  <c r="G2308" i="23"/>
  <c r="G2464" i="23"/>
  <c r="G2720" i="23"/>
  <c r="G2921" i="23"/>
  <c r="G3393" i="23"/>
  <c r="G3827" i="23"/>
  <c r="G4331" i="23"/>
  <c r="G4869" i="23"/>
  <c r="G5785" i="23"/>
  <c r="G7012" i="23"/>
  <c r="G73" i="23"/>
  <c r="G369" i="23"/>
  <c r="G841" i="23"/>
  <c r="G6558" i="23"/>
  <c r="G21" i="23"/>
  <c r="G56" i="23"/>
  <c r="G92" i="23"/>
  <c r="G122" i="23"/>
  <c r="G163" i="23"/>
  <c r="G193" i="23"/>
  <c r="G235" i="23"/>
  <c r="G272" i="23"/>
  <c r="G312" i="23"/>
  <c r="G347" i="23"/>
  <c r="G386" i="23"/>
  <c r="G427" i="23"/>
  <c r="G466" i="23"/>
  <c r="G503" i="23"/>
  <c r="G547" i="23"/>
  <c r="G584" i="23"/>
  <c r="G631" i="23"/>
  <c r="G668" i="23"/>
  <c r="G716" i="23"/>
  <c r="G756" i="23"/>
  <c r="G812" i="23"/>
  <c r="G863" i="23"/>
  <c r="G926" i="23"/>
  <c r="G986" i="23"/>
  <c r="G1070" i="23"/>
  <c r="G1142" i="23"/>
  <c r="G1228" i="23"/>
  <c r="G1310" i="23"/>
  <c r="G1409" i="23"/>
  <c r="G1484" i="23"/>
  <c r="G1568" i="23"/>
  <c r="G1652" i="23"/>
  <c r="G1755" i="23"/>
  <c r="G1853" i="23"/>
  <c r="G1973" i="23"/>
  <c r="G2102" i="23"/>
  <c r="G2309" i="23"/>
  <c r="G2473" i="23"/>
  <c r="G2721" i="23"/>
  <c r="G2925" i="23"/>
  <c r="G3442" i="23"/>
  <c r="G3882" i="23"/>
  <c r="G4341" i="23"/>
  <c r="G4887" i="23"/>
  <c r="G5786" i="23"/>
  <c r="G7093" i="23"/>
  <c r="G1528" i="23"/>
  <c r="G1411" i="23"/>
  <c r="G1367" i="23"/>
  <c r="G1340" i="23"/>
  <c r="G1295" i="23"/>
  <c r="G1268" i="23"/>
  <c r="G1249" i="23"/>
  <c r="G1199" i="23"/>
  <c r="G1178" i="23"/>
  <c r="G1153" i="23"/>
  <c r="G1107" i="23"/>
  <c r="G1082" i="23"/>
  <c r="G1058" i="23"/>
  <c r="G1041" i="23"/>
  <c r="G1003" i="23"/>
  <c r="G982" i="23"/>
  <c r="G961" i="23"/>
  <c r="G944" i="23"/>
  <c r="G902" i="23"/>
  <c r="G885" i="23"/>
  <c r="G865" i="23"/>
  <c r="G849" i="23"/>
  <c r="G813" i="23"/>
  <c r="G1553" i="23"/>
  <c r="G1507" i="23"/>
  <c r="G1482" i="23"/>
  <c r="G1457" i="23"/>
  <c r="G1436" i="23"/>
  <c r="G1386" i="23"/>
  <c r="G1314" i="23"/>
  <c r="G1224" i="23"/>
  <c r="G1128" i="23"/>
  <c r="G1020" i="23"/>
  <c r="G923" i="23"/>
  <c r="G3394" i="23"/>
  <c r="G3307" i="23"/>
  <c r="G3210" i="23"/>
  <c r="G3104" i="23"/>
  <c r="G3019" i="23"/>
  <c r="G2940" i="23"/>
  <c r="G2880" i="23"/>
  <c r="G2837" i="23"/>
  <c r="G2789" i="23"/>
  <c r="G2730" i="23"/>
  <c r="G2681" i="23"/>
  <c r="G2623" i="23"/>
  <c r="G2575" i="23"/>
  <c r="G2529" i="23"/>
  <c r="G8328" i="23"/>
  <c r="G7709" i="23"/>
  <c r="G7132" i="23"/>
  <c r="G6782" i="23"/>
  <c r="G6427" i="23"/>
  <c r="G6184" i="23"/>
  <c r="G5920" i="23"/>
  <c r="G5745" i="23"/>
  <c r="G5563" i="23"/>
  <c r="G5419" i="23"/>
  <c r="G5239" i="23"/>
  <c r="G5101" i="23"/>
  <c r="G4957" i="23"/>
  <c r="G4827" i="23"/>
  <c r="G4691" i="23"/>
  <c r="G4613" i="23"/>
  <c r="G4493" i="23"/>
  <c r="G4386" i="23"/>
  <c r="G4258" i="23"/>
  <c r="G8323" i="23"/>
  <c r="G7419" i="23"/>
  <c r="G6684" i="23"/>
  <c r="G6301" i="23"/>
  <c r="G5919" i="23"/>
  <c r="G5659" i="23"/>
  <c r="G5370" i="23"/>
  <c r="G5156" i="23"/>
  <c r="G4956" i="23"/>
  <c r="G4764" i="23"/>
  <c r="G4578" i="23"/>
  <c r="G4438" i="23"/>
  <c r="G4257" i="23"/>
  <c r="G4125" i="23"/>
  <c r="G3981" i="23"/>
  <c r="G3826" i="23"/>
  <c r="G3682" i="23"/>
  <c r="G3550" i="23"/>
  <c r="G3391" i="23"/>
  <c r="G3262" i="23"/>
  <c r="G3153" i="23"/>
  <c r="G2998" i="23"/>
  <c r="G2918" i="23"/>
  <c r="G2851" i="23"/>
  <c r="G2773" i="23"/>
  <c r="G2709" i="23"/>
  <c r="G2646" i="23"/>
  <c r="G2570" i="23"/>
  <c r="G2493" i="23"/>
  <c r="G2448" i="23"/>
  <c r="G2387" i="23"/>
  <c r="G2327" i="23"/>
  <c r="G2280" i="23"/>
  <c r="G2224" i="23"/>
  <c r="G2183" i="23"/>
  <c r="G2127" i="23"/>
  <c r="G2075" i="23"/>
  <c r="G2039" i="23"/>
  <c r="G1994" i="23"/>
  <c r="G1957" i="23"/>
  <c r="G1921" i="23"/>
  <c r="G1883" i="23"/>
  <c r="G1850" i="23"/>
  <c r="G1815" i="23"/>
  <c r="G1782" i="23"/>
  <c r="G1746" i="23"/>
  <c r="G1715" i="23"/>
  <c r="G1686" i="23"/>
  <c r="G1658" i="23"/>
  <c r="G1631" i="23"/>
  <c r="G1602" i="23"/>
  <c r="G1572" i="23"/>
  <c r="G1543" i="23"/>
  <c r="G1516" i="23"/>
  <c r="G1488" i="23"/>
  <c r="G1465" i="23"/>
  <c r="G1430" i="23"/>
  <c r="G1400" i="23"/>
  <c r="G1379" i="23"/>
  <c r="G1350" i="23"/>
  <c r="G1323" i="23"/>
  <c r="G1291" i="23"/>
  <c r="G1264" i="23"/>
  <c r="G1237" i="23"/>
  <c r="G1207" i="23"/>
  <c r="G1180" i="23"/>
  <c r="G1151" i="23"/>
  <c r="G1121" i="23"/>
  <c r="G1094" i="23"/>
  <c r="G1068" i="23"/>
  <c r="G1044" i="23"/>
  <c r="G1018" i="23"/>
  <c r="G995" i="23"/>
  <c r="G972" i="23"/>
  <c r="G948" i="23"/>
  <c r="G925" i="23"/>
  <c r="G900" i="23"/>
  <c r="G877" i="23"/>
  <c r="G859" i="23"/>
  <c r="G837" i="23"/>
  <c r="G816" i="23"/>
  <c r="G793" i="23"/>
  <c r="G776" i="23"/>
  <c r="G755" i="23"/>
  <c r="G734" i="23"/>
  <c r="G717" i="23"/>
  <c r="G696" i="23"/>
  <c r="G679" i="23"/>
  <c r="G658" i="23"/>
  <c r="G637" i="23"/>
  <c r="G620" i="23"/>
  <c r="G599" i="23"/>
  <c r="G577" i="23"/>
  <c r="G560" i="23"/>
  <c r="G539" i="23"/>
  <c r="G518" i="23"/>
  <c r="G501" i="23"/>
  <c r="G480" i="23"/>
  <c r="G463" i="23"/>
  <c r="G442" i="23"/>
  <c r="G421" i="23"/>
  <c r="G404" i="23"/>
  <c r="G383" i="23"/>
  <c r="G361" i="23"/>
  <c r="G344" i="23"/>
  <c r="G323" i="23"/>
  <c r="G302" i="23"/>
  <c r="G285" i="23"/>
  <c r="G264" i="23"/>
  <c r="G247" i="23"/>
  <c r="G226" i="23"/>
  <c r="G205" i="23"/>
  <c r="G188" i="23"/>
  <c r="G167" i="23"/>
  <c r="G145" i="23"/>
  <c r="G128" i="23"/>
  <c r="G107" i="23"/>
  <c r="G86" i="23"/>
  <c r="G69" i="23"/>
  <c r="G48" i="23"/>
  <c r="G31" i="23"/>
  <c r="G10" i="23"/>
  <c r="G8293" i="23"/>
  <c r="G7412" i="23"/>
  <c r="G6644" i="23"/>
  <c r="G6293" i="23"/>
  <c r="G5904" i="23"/>
  <c r="G5658" i="23"/>
  <c r="G5364" i="23"/>
  <c r="G5155" i="23"/>
  <c r="G4932" i="23"/>
  <c r="G4763" i="23"/>
  <c r="G4577" i="23"/>
  <c r="G4422" i="23"/>
  <c r="G4255" i="23"/>
  <c r="G4115" i="23"/>
  <c r="G3967" i="23"/>
  <c r="G3822" i="23"/>
  <c r="G3668" i="23"/>
  <c r="G3534" i="23"/>
  <c r="G3390" i="23"/>
  <c r="G3249" i="23"/>
  <c r="G3142" i="23"/>
  <c r="G2996" i="23"/>
  <c r="G2917" i="23"/>
  <c r="G2850" i="23"/>
  <c r="G2767" i="23"/>
  <c r="G2707" i="23"/>
  <c r="G2645" i="23"/>
  <c r="G2561" i="23"/>
  <c r="G2492" i="23"/>
  <c r="G2447" i="23"/>
  <c r="G2374" i="23"/>
  <c r="G2318" i="23"/>
  <c r="G2274" i="23"/>
  <c r="G2222" i="23"/>
  <c r="G2174" i="23"/>
  <c r="G2116" i="23"/>
  <c r="G2066" i="23"/>
  <c r="G2030" i="23"/>
  <c r="G1992" i="23"/>
  <c r="G1956" i="23"/>
  <c r="G1912" i="23"/>
  <c r="G1880" i="23"/>
  <c r="G1849" i="23"/>
  <c r="G1808" i="23"/>
  <c r="G1777" i="23"/>
  <c r="G1742" i="23"/>
  <c r="G1712" i="23"/>
  <c r="G1684" i="23"/>
  <c r="G1657" i="23"/>
  <c r="G1628" i="23"/>
  <c r="G1598" i="23"/>
  <c r="G1571" i="23"/>
  <c r="G1542" i="23"/>
  <c r="G1515" i="23"/>
  <c r="G1487" i="23"/>
  <c r="G1456" i="23"/>
  <c r="G1429" i="23"/>
  <c r="G1399" i="23"/>
  <c r="G1372" i="23"/>
  <c r="G1349" i="23"/>
  <c r="G1313" i="23"/>
  <c r="G1286" i="23"/>
  <c r="G1263" i="23"/>
  <c r="G1236" i="23"/>
  <c r="G1206" i="23"/>
  <c r="G1177" i="23"/>
  <c r="G1148" i="23"/>
  <c r="G1120" i="23"/>
  <c r="G1093" i="23"/>
  <c r="G1067" i="23"/>
  <c r="G1040" i="23"/>
  <c r="G1017" i="23"/>
  <c r="G994" i="23"/>
  <c r="G970" i="23"/>
  <c r="G8166" i="23"/>
  <c r="G7411" i="23"/>
  <c r="G6643" i="23"/>
  <c r="G6246" i="23"/>
  <c r="G5867" i="23"/>
  <c r="G5641" i="23"/>
  <c r="G5363" i="23"/>
  <c r="G5131" i="23"/>
  <c r="G4929" i="23"/>
  <c r="G4762" i="23"/>
  <c r="G4560" i="23"/>
  <c r="G4415" i="23"/>
  <c r="G4254" i="23"/>
  <c r="G4114" i="23"/>
  <c r="G3955" i="23"/>
  <c r="G3803" i="23"/>
  <c r="G3667" i="23"/>
  <c r="G3521" i="23"/>
  <c r="G3369" i="23"/>
  <c r="G3235" i="23"/>
  <c r="G3103" i="23"/>
  <c r="G2986" i="23"/>
  <c r="G2916" i="23"/>
  <c r="G2833" i="23"/>
  <c r="G2766" i="23"/>
  <c r="G2700" i="23"/>
  <c r="G2618" i="23"/>
  <c r="G2558" i="23"/>
  <c r="G2491" i="23"/>
  <c r="G2435" i="23"/>
  <c r="G2373" i="23"/>
  <c r="G2317" i="23"/>
  <c r="G2273" i="23"/>
  <c r="G2221" i="23"/>
  <c r="G2172" i="23"/>
  <c r="G2114" i="23"/>
  <c r="G2065" i="23"/>
  <c r="G2029" i="23"/>
  <c r="G1991" i="23"/>
  <c r="G1955" i="23"/>
  <c r="G1911" i="23"/>
  <c r="G1878" i="23"/>
  <c r="G1840" i="23"/>
  <c r="G1806" i="23"/>
  <c r="G1776" i="23"/>
  <c r="G8090" i="23"/>
  <c r="G7340" i="23"/>
  <c r="G6642" i="23"/>
  <c r="G6223" i="23"/>
  <c r="G5864" i="23"/>
  <c r="G5640" i="23"/>
  <c r="G5362" i="23"/>
  <c r="G5122" i="23"/>
  <c r="G4928" i="23"/>
  <c r="G4746" i="23"/>
  <c r="G4559" i="23"/>
  <c r="G4414" i="23"/>
  <c r="G4253" i="23"/>
  <c r="G4097" i="23"/>
  <c r="G3912" i="23"/>
  <c r="G3802" i="23"/>
  <c r="G3666" i="23"/>
  <c r="G3478" i="23"/>
  <c r="G3359" i="23"/>
  <c r="G3234" i="23"/>
  <c r="G3102" i="23"/>
  <c r="G2971" i="23"/>
  <c r="G2905" i="23"/>
  <c r="G2832" i="23"/>
  <c r="G2762" i="23"/>
  <c r="G2689" i="23"/>
  <c r="G2617" i="23"/>
  <c r="G2557" i="23"/>
  <c r="G2490" i="23"/>
  <c r="G2425" i="23"/>
  <c r="G2372" i="23"/>
  <c r="G2316" i="23"/>
  <c r="G2262" i="23"/>
  <c r="G2219" i="23"/>
  <c r="G2153" i="23"/>
  <c r="G2113" i="23"/>
  <c r="G2064" i="23"/>
  <c r="G2028" i="23"/>
  <c r="G1986" i="23"/>
  <c r="G1948" i="23"/>
  <c r="G1904" i="23"/>
  <c r="G1873" i="23"/>
  <c r="G1838" i="23"/>
  <c r="G1805" i="23"/>
  <c r="G1768" i="23"/>
  <c r="G1740" i="23"/>
  <c r="G1710" i="23"/>
  <c r="G1682" i="23"/>
  <c r="G1655" i="23"/>
  <c r="G1624" i="23"/>
  <c r="G1596" i="23"/>
  <c r="G1567" i="23"/>
  <c r="G1540" i="23"/>
  <c r="G1512" i="23"/>
  <c r="G1481" i="23"/>
  <c r="G1454" i="23"/>
  <c r="G1424" i="23"/>
  <c r="G1397" i="23"/>
  <c r="G1370" i="23"/>
  <c r="G1338" i="23"/>
  <c r="G1311" i="23"/>
  <c r="G1284" i="23"/>
  <c r="G1255" i="23"/>
  <c r="G1227" i="23"/>
  <c r="G1196" i="23"/>
  <c r="G1169" i="23"/>
  <c r="G1141" i="23"/>
  <c r="G1112" i="23"/>
  <c r="G1091" i="23"/>
  <c r="G1057" i="23"/>
  <c r="G1034" i="23"/>
  <c r="G1015" i="23"/>
  <c r="G992" i="23"/>
  <c r="G968" i="23"/>
  <c r="G943" i="23"/>
  <c r="G920" i="23"/>
  <c r="G896" i="23"/>
  <c r="G874" i="23"/>
  <c r="G852" i="23"/>
  <c r="G829" i="23"/>
  <c r="G811" i="23"/>
  <c r="G790" i="23"/>
  <c r="G769" i="23"/>
  <c r="G752" i="23"/>
  <c r="G731" i="23"/>
  <c r="G7998" i="23"/>
  <c r="G6959" i="23"/>
  <c r="G6100" i="23"/>
  <c r="G5696" i="23"/>
  <c r="G5336" i="23"/>
  <c r="G5031" i="23"/>
  <c r="G4690" i="23"/>
  <c r="G4475" i="23"/>
  <c r="G4206" i="23"/>
  <c r="G4038" i="23"/>
  <c r="G3773" i="23"/>
  <c r="G3588" i="23"/>
  <c r="G3357" i="23"/>
  <c r="G3174" i="23"/>
  <c r="G2969" i="23"/>
  <c r="G2876" i="23"/>
  <c r="G2753" i="23"/>
  <c r="G2660" i="23"/>
  <c r="G2551" i="23"/>
  <c r="G2462" i="23"/>
  <c r="G2370" i="23"/>
  <c r="G2297" i="23"/>
  <c r="G2210" i="23"/>
  <c r="G2148" i="23"/>
  <c r="G2063" i="23"/>
  <c r="G2007" i="23"/>
  <c r="G1938" i="23"/>
  <c r="G1898" i="23"/>
  <c r="G1837" i="23"/>
  <c r="G1789" i="23"/>
  <c r="G1741" i="23"/>
  <c r="G1700" i="23"/>
  <c r="G1668" i="23"/>
  <c r="G1627" i="23"/>
  <c r="G1587" i="23"/>
  <c r="G1552" i="23"/>
  <c r="G1514" i="23"/>
  <c r="G1472" i="23"/>
  <c r="G1441" i="23"/>
  <c r="G1398" i="23"/>
  <c r="G1358" i="23"/>
  <c r="G1326" i="23"/>
  <c r="G1285" i="23"/>
  <c r="G1251" i="23"/>
  <c r="G1213" i="23"/>
  <c r="G1170" i="23"/>
  <c r="G1136" i="23"/>
  <c r="G1097" i="23"/>
  <c r="G1066" i="23"/>
  <c r="G1031" i="23"/>
  <c r="G998" i="23"/>
  <c r="G969" i="23"/>
  <c r="G937" i="23"/>
  <c r="G911" i="23"/>
  <c r="G884" i="23"/>
  <c r="G860" i="23"/>
  <c r="G835" i="23"/>
  <c r="G805" i="23"/>
  <c r="G782" i="23"/>
  <c r="G763" i="23"/>
  <c r="G739" i="23"/>
  <c r="G715" i="23"/>
  <c r="G693" i="23"/>
  <c r="G671" i="23"/>
  <c r="G648" i="23"/>
  <c r="G626" i="23"/>
  <c r="G608" i="23"/>
  <c r="G586" i="23"/>
  <c r="G564" i="23"/>
  <c r="G541" i="23"/>
  <c r="G523" i="23"/>
  <c r="G500" i="23"/>
  <c r="G478" i="23"/>
  <c r="G456" i="23"/>
  <c r="G433" i="23"/>
  <c r="G415" i="23"/>
  <c r="G393" i="23"/>
  <c r="G371" i="23"/>
  <c r="G349" i="23"/>
  <c r="G331" i="23"/>
  <c r="G308" i="23"/>
  <c r="G286" i="23"/>
  <c r="G263" i="23"/>
  <c r="G241" i="23"/>
  <c r="G223" i="23"/>
  <c r="G200" i="23"/>
  <c r="G178" i="23"/>
  <c r="G156" i="23"/>
  <c r="G134" i="23"/>
  <c r="G116" i="23"/>
  <c r="G93" i="23"/>
  <c r="G71" i="23"/>
  <c r="G49" i="23"/>
  <c r="G26" i="23"/>
  <c r="G8" i="23"/>
  <c r="G7961" i="23"/>
  <c r="G6923" i="23"/>
  <c r="G6063" i="23"/>
  <c r="G5695" i="23"/>
  <c r="G5335" i="23"/>
  <c r="G5019" i="23"/>
  <c r="G4689" i="23"/>
  <c r="G4474" i="23"/>
  <c r="G4205" i="23"/>
  <c r="G4018" i="23"/>
  <c r="G3767" i="23"/>
  <c r="G3587" i="23"/>
  <c r="G3342" i="23"/>
  <c r="G3173" i="23"/>
  <c r="G2966" i="23"/>
  <c r="G2875" i="23"/>
  <c r="G2750" i="23"/>
  <c r="G2659" i="23"/>
  <c r="G2537" i="23"/>
  <c r="G2453" i="23"/>
  <c r="G2357" i="23"/>
  <c r="G2291" i="23"/>
  <c r="G2202" i="23"/>
  <c r="G2137" i="23"/>
  <c r="G2058" i="23"/>
  <c r="G2006" i="23"/>
  <c r="G1936" i="23"/>
  <c r="G1897" i="23"/>
  <c r="G1836" i="23"/>
  <c r="G1788" i="23"/>
  <c r="G1739" i="23"/>
  <c r="G1699" i="23"/>
  <c r="G1660" i="23"/>
  <c r="G1616" i="23"/>
  <c r="G1586" i="23"/>
  <c r="G1551" i="23"/>
  <c r="G1511" i="23"/>
  <c r="G1471" i="23"/>
  <c r="G1440" i="23"/>
  <c r="G1396" i="23"/>
  <c r="G1357" i="23"/>
  <c r="G1325" i="23"/>
  <c r="G1283" i="23"/>
  <c r="G1242" i="23"/>
  <c r="G1212" i="23"/>
  <c r="G1168" i="23"/>
  <c r="G1135" i="23"/>
  <c r="G1096" i="23"/>
  <c r="G1056" i="23"/>
  <c r="G1030" i="23"/>
  <c r="G997" i="23"/>
  <c r="G967" i="23"/>
  <c r="G936" i="23"/>
  <c r="G910" i="23"/>
  <c r="G883" i="23"/>
  <c r="G854" i="23"/>
  <c r="G828" i="23"/>
  <c r="G804" i="23"/>
  <c r="G781" i="23"/>
  <c r="G757" i="23"/>
  <c r="G733" i="23"/>
  <c r="G710" i="23"/>
  <c r="G692" i="23"/>
  <c r="G669" i="23"/>
  <c r="G647" i="23"/>
  <c r="G625" i="23"/>
  <c r="G607" i="23"/>
  <c r="G585" i="23"/>
  <c r="G563" i="23"/>
  <c r="G540" i="23"/>
  <c r="G517" i="23"/>
  <c r="G499" i="23"/>
  <c r="G477" i="23"/>
  <c r="G455" i="23"/>
  <c r="G432" i="23"/>
  <c r="G410" i="23"/>
  <c r="G392" i="23"/>
  <c r="G370" i="23"/>
  <c r="G348" i="23"/>
  <c r="G325" i="23"/>
  <c r="G307" i="23"/>
  <c r="G284" i="23"/>
  <c r="G262" i="23"/>
  <c r="G240" i="23"/>
  <c r="G217" i="23"/>
  <c r="G7881" i="23"/>
  <c r="G6855" i="23"/>
  <c r="G6062" i="23"/>
  <c r="G5686" i="23"/>
  <c r="G5314" i="23"/>
  <c r="G5018" i="23"/>
  <c r="G4688" i="23"/>
  <c r="G4469" i="23"/>
  <c r="G4200" i="23"/>
  <c r="G3991" i="23"/>
  <c r="G3766" i="23"/>
  <c r="G3552" i="23"/>
  <c r="G3334" i="23"/>
  <c r="G3155" i="23"/>
  <c r="G2963" i="23"/>
  <c r="G2862" i="23"/>
  <c r="G2749" i="23"/>
  <c r="G2658" i="23"/>
  <c r="G2534" i="23"/>
  <c r="G2452" i="23"/>
  <c r="G2356" i="23"/>
  <c r="G2282" i="23"/>
  <c r="G2190" i="23"/>
  <c r="G2129" i="23"/>
  <c r="G2057" i="23"/>
  <c r="G2005" i="23"/>
  <c r="G1935" i="23"/>
  <c r="G1888" i="23"/>
  <c r="G1835" i="23"/>
  <c r="G1787" i="23"/>
  <c r="G1732" i="23"/>
  <c r="G1698" i="23"/>
  <c r="G1659" i="23"/>
  <c r="G1615" i="23"/>
  <c r="G1585" i="23"/>
  <c r="G1544" i="23"/>
  <c r="G1502" i="23"/>
  <c r="G1470" i="23"/>
  <c r="G1435" i="23"/>
  <c r="G1395" i="23"/>
  <c r="G1356" i="23"/>
  <c r="G1324" i="23"/>
  <c r="G1280" i="23"/>
  <c r="G1241" i="23"/>
  <c r="G1208" i="23"/>
  <c r="G1166" i="23"/>
  <c r="G1134" i="23"/>
  <c r="G1095" i="23"/>
  <c r="G1055" i="23"/>
  <c r="G1029" i="23"/>
  <c r="G996" i="23"/>
  <c r="G960" i="23"/>
  <c r="G934" i="23"/>
  <c r="G909" i="23"/>
  <c r="G878" i="23"/>
  <c r="G853" i="23"/>
  <c r="G827" i="23"/>
  <c r="G803" i="23"/>
  <c r="G9425" i="23"/>
  <c r="G7447" i="23"/>
  <c r="G6610" i="23"/>
  <c r="G6052" i="23"/>
  <c r="G5532" i="23"/>
  <c r="G5208" i="23"/>
  <c r="G4871" i="23"/>
  <c r="G4639" i="23"/>
  <c r="G4362" i="23"/>
  <c r="G4145" i="23"/>
  <c r="G3910" i="23"/>
  <c r="G3714" i="23"/>
  <c r="G3468" i="23"/>
  <c r="G3286" i="23"/>
  <c r="G3071" i="23"/>
  <c r="G2924" i="23"/>
  <c r="G2816" i="23"/>
  <c r="G2722" i="23"/>
  <c r="G2615" i="23"/>
  <c r="G2517" i="23"/>
  <c r="G2413" i="23"/>
  <c r="G2347" i="23"/>
  <c r="G2258" i="23"/>
  <c r="G2186" i="23"/>
  <c r="G2099" i="23"/>
  <c r="G2042" i="23"/>
  <c r="G1974" i="23"/>
  <c r="G1932" i="23"/>
  <c r="G1871" i="23"/>
  <c r="G1823" i="23"/>
  <c r="G1760" i="23"/>
  <c r="G1728" i="23"/>
  <c r="G1687" i="23"/>
  <c r="G1645" i="23"/>
  <c r="G1612" i="23"/>
  <c r="G1573" i="23"/>
  <c r="G1538" i="23"/>
  <c r="G1499" i="23"/>
  <c r="G1466" i="23"/>
  <c r="G1422" i="23"/>
  <c r="G1384" i="23"/>
  <c r="G1351" i="23"/>
  <c r="G1309" i="23"/>
  <c r="G1272" i="23"/>
  <c r="G1238" i="23"/>
  <c r="G1194" i="23"/>
  <c r="G1163" i="23"/>
  <c r="G1122" i="23"/>
  <c r="G1080" i="23"/>
  <c r="G1052" i="23"/>
  <c r="G1019" i="23"/>
  <c r="G985" i="23"/>
  <c r="G957" i="23"/>
  <c r="G931" i="23"/>
  <c r="G898" i="23"/>
  <c r="G873" i="23"/>
  <c r="G847" i="23"/>
  <c r="G824" i="23"/>
  <c r="G800" i="23"/>
  <c r="G775" i="23"/>
  <c r="G751" i="23"/>
  <c r="G728" i="23"/>
  <c r="G705" i="23"/>
  <c r="G683" i="23"/>
  <c r="G661" i="23"/>
  <c r="G643" i="23"/>
  <c r="G621" i="23"/>
  <c r="G597" i="23"/>
  <c r="G575" i="23"/>
  <c r="G553" i="23"/>
  <c r="G7" i="23"/>
  <c r="G32" i="23"/>
  <c r="G55" i="23"/>
  <c r="G79" i="23"/>
  <c r="G98" i="23"/>
  <c r="G121" i="23"/>
  <c r="G144" i="23"/>
  <c r="G169" i="23"/>
  <c r="G192" i="23"/>
  <c r="G215" i="23"/>
  <c r="G242" i="23"/>
  <c r="G271" i="23"/>
  <c r="G296" i="23"/>
  <c r="G320" i="23"/>
  <c r="G345" i="23"/>
  <c r="G372" i="23"/>
  <c r="G396" i="23"/>
  <c r="G422" i="23"/>
  <c r="G446" i="23"/>
  <c r="G475" i="23"/>
  <c r="G502" i="23"/>
  <c r="G527" i="23"/>
  <c r="G551" i="23"/>
  <c r="G583" i="23"/>
  <c r="G610" i="23"/>
  <c r="G636" i="23"/>
  <c r="G667" i="23"/>
  <c r="G695" i="23"/>
  <c r="G721" i="23"/>
  <c r="G754" i="23"/>
  <c r="G788" i="23"/>
  <c r="G823" i="23"/>
  <c r="G862" i="23"/>
  <c r="G897" i="23"/>
  <c r="G946" i="23"/>
  <c r="G984" i="23"/>
  <c r="G1033" i="23"/>
  <c r="G1079" i="23"/>
  <c r="G1140" i="23"/>
  <c r="G1193" i="23"/>
  <c r="G1254" i="23"/>
  <c r="G1308" i="23"/>
  <c r="G1369" i="23"/>
  <c r="G1421" i="23"/>
  <c r="G1480" i="23"/>
  <c r="G1530" i="23"/>
  <c r="G1595" i="23"/>
  <c r="G1644" i="23"/>
  <c r="G1704" i="23"/>
  <c r="G1759" i="23"/>
  <c r="G1852" i="23"/>
  <c r="G1931" i="23"/>
  <c r="G2019" i="23"/>
  <c r="G2094" i="23"/>
  <c r="G2236" i="23"/>
  <c r="G2346" i="23"/>
  <c r="G2465" i="23"/>
  <c r="G2603" i="23"/>
  <c r="G2794" i="23"/>
  <c r="G2922" i="23"/>
  <c r="G3179" i="23"/>
  <c r="G3467" i="23"/>
  <c r="G3881" i="23"/>
  <c r="G4127" i="23"/>
  <c r="G4531" i="23"/>
  <c r="G4870" i="23"/>
  <c r="G5457" i="23"/>
  <c r="G6051" i="23"/>
  <c r="G7038" i="23"/>
  <c r="G9424" i="23"/>
  <c r="G12" i="23"/>
  <c r="G35" i="23"/>
  <c r="G59" i="23"/>
  <c r="G82" i="23"/>
  <c r="G105" i="23"/>
  <c r="G129" i="23"/>
  <c r="G153" i="23"/>
  <c r="G176" i="23"/>
  <c r="G199" i="23"/>
  <c r="G225" i="23"/>
  <c r="G250" i="23"/>
  <c r="G275" i="23"/>
  <c r="G299" i="23"/>
  <c r="G324" i="23"/>
  <c r="G355" i="23"/>
  <c r="G379" i="23"/>
  <c r="G405" i="23"/>
  <c r="G429" i="23"/>
  <c r="G453" i="23"/>
  <c r="G481" i="23"/>
  <c r="G505" i="23"/>
  <c r="G530" i="23"/>
  <c r="G559" i="23"/>
  <c r="G588" i="23"/>
  <c r="G613" i="23"/>
  <c r="G645" i="23"/>
  <c r="G673" i="23"/>
  <c r="G703" i="23"/>
  <c r="G730" i="23"/>
  <c r="G765" i="23"/>
  <c r="G792" i="23"/>
  <c r="G836" i="23"/>
  <c r="G871" i="23"/>
  <c r="G912" i="23"/>
  <c r="G950" i="23"/>
  <c r="G1005" i="23"/>
  <c r="G1046" i="23"/>
  <c r="G1098" i="23"/>
  <c r="G1155" i="23"/>
  <c r="G1214" i="23"/>
  <c r="G1266" i="23"/>
  <c r="G1327" i="23"/>
  <c r="G1381" i="23"/>
  <c r="G1442" i="23"/>
  <c r="G1495" i="23"/>
  <c r="G1556" i="23"/>
  <c r="G1610" i="23"/>
  <c r="G1669" i="23"/>
  <c r="G1723" i="23"/>
  <c r="G1790" i="23"/>
  <c r="G1864" i="23"/>
  <c r="G1958" i="23"/>
  <c r="G2040" i="23"/>
  <c r="G2149" i="23"/>
  <c r="G2245" i="23"/>
  <c r="G2394" i="23"/>
  <c r="G2504" i="23"/>
  <c r="G2664" i="23"/>
  <c r="G2808" i="23"/>
  <c r="G3011" i="23"/>
  <c r="G3263" i="23"/>
  <c r="G3605" i="23"/>
  <c r="G3897" i="23"/>
  <c r="G4315" i="23"/>
  <c r="G4630" i="23"/>
  <c r="G5034" i="23"/>
  <c r="G5530" i="23"/>
  <c r="G6350" i="23"/>
  <c r="G7445" i="23"/>
  <c r="G13" i="23"/>
  <c r="G36" i="23"/>
  <c r="G60" i="23"/>
  <c r="G83" i="23"/>
  <c r="G106" i="23"/>
  <c r="G131" i="23"/>
  <c r="G154" i="23"/>
  <c r="G177" i="23"/>
  <c r="G201" i="23"/>
  <c r="G227" i="23"/>
  <c r="G251" i="23"/>
  <c r="G276" i="23"/>
  <c r="G300" i="23"/>
  <c r="G332" i="23"/>
  <c r="G356" i="23"/>
  <c r="G380" i="23"/>
  <c r="G406" i="23"/>
  <c r="G430" i="23"/>
  <c r="G457" i="23"/>
  <c r="G482" i="23"/>
  <c r="G511" i="23"/>
  <c r="G535" i="23"/>
  <c r="G561" i="23"/>
  <c r="G589" i="23"/>
  <c r="G619" i="23"/>
  <c r="G646" i="23"/>
  <c r="G674" i="23"/>
  <c r="G704" i="23"/>
  <c r="G732" i="23"/>
  <c r="G766" i="23"/>
  <c r="G799" i="23"/>
  <c r="G838" i="23"/>
  <c r="G872" i="23"/>
  <c r="G913" i="23"/>
  <c r="G956" i="23"/>
  <c r="G1006" i="23"/>
  <c r="G1051" i="23"/>
  <c r="G1106" i="23"/>
  <c r="G1156" i="23"/>
  <c r="G1219" i="23"/>
  <c r="G1267" i="23"/>
  <c r="G1328" i="23"/>
  <c r="G1382" i="23"/>
  <c r="G1443" i="23"/>
  <c r="G1496" i="23"/>
  <c r="G1559" i="23"/>
  <c r="G1611" i="23"/>
  <c r="G1670" i="23"/>
  <c r="G1724" i="23"/>
  <c r="G1792" i="23"/>
  <c r="G1866" i="23"/>
  <c r="G1967" i="23"/>
  <c r="G2041" i="23"/>
  <c r="G2150" i="23"/>
  <c r="G2257" i="23"/>
  <c r="G2395" i="23"/>
  <c r="G2515" i="23"/>
  <c r="G2677" i="23"/>
  <c r="G2809" i="23"/>
  <c r="G3034" i="23"/>
  <c r="G3283" i="23"/>
  <c r="G3606" i="23"/>
  <c r="G3898" i="23"/>
  <c r="G4316" i="23"/>
  <c r="G4638" i="23"/>
  <c r="G5058" i="23"/>
  <c r="G5531" i="23"/>
  <c r="G6372" i="23"/>
  <c r="G7446" i="23"/>
  <c r="G14" i="23"/>
  <c r="G37" i="23"/>
  <c r="G61" i="23"/>
  <c r="G84" i="23"/>
  <c r="G108" i="23"/>
  <c r="G132" i="23"/>
  <c r="G155" i="23"/>
  <c r="G179" i="23"/>
  <c r="G203" i="23"/>
  <c r="G228" i="23"/>
  <c r="G252" i="23"/>
  <c r="G277" i="23"/>
  <c r="G301" i="23"/>
  <c r="G333" i="23"/>
  <c r="G357" i="23"/>
  <c r="G381" i="23"/>
  <c r="G407" i="23"/>
  <c r="G431" i="23"/>
  <c r="G458" i="23"/>
  <c r="G487" i="23"/>
  <c r="G512" i="23"/>
  <c r="G536" i="23"/>
  <c r="G565" i="23"/>
  <c r="G590" i="23"/>
  <c r="G622" i="23"/>
  <c r="G649" i="23"/>
  <c r="G680" i="23"/>
  <c r="G707" i="23"/>
  <c r="G740" i="23"/>
  <c r="G767" i="23"/>
  <c r="G801" i="23"/>
  <c r="G839" i="23"/>
  <c r="G875" i="23"/>
  <c r="G914" i="23"/>
  <c r="G958" i="23"/>
  <c r="G1008" i="23"/>
  <c r="G1053" i="23"/>
  <c r="G1109" i="23"/>
  <c r="G1164" i="23"/>
  <c r="G1220" i="23"/>
  <c r="G1278" i="23"/>
  <c r="G1335" i="23"/>
  <c r="G1385" i="23"/>
  <c r="G1444" i="23"/>
  <c r="G1500" i="23"/>
  <c r="G1560" i="23"/>
  <c r="G1613" i="23"/>
  <c r="G1673" i="23"/>
  <c r="G1730" i="23"/>
  <c r="G1801" i="23"/>
  <c r="G1872" i="23"/>
  <c r="G1968" i="23"/>
  <c r="G2046" i="23"/>
  <c r="G2151" i="23"/>
  <c r="G2259" i="23"/>
  <c r="G2407" i="23"/>
  <c r="G2528" i="23"/>
  <c r="G2678" i="23"/>
  <c r="G2819" i="23"/>
  <c r="G3035" i="23"/>
  <c r="G3306" i="23"/>
  <c r="G3607" i="23"/>
  <c r="G3911" i="23"/>
  <c r="G4329" i="23"/>
  <c r="G4640" i="23"/>
  <c r="G5059" i="23"/>
  <c r="G5562" i="23"/>
  <c r="G6411" i="23"/>
  <c r="G7524" i="23"/>
  <c r="G3522" i="23"/>
  <c r="G3609" i="23"/>
  <c r="G3737" i="23"/>
  <c r="G3828" i="23"/>
  <c r="G3956" i="23"/>
  <c r="G4043" i="23"/>
  <c r="G4171" i="23"/>
  <c r="G4278" i="23"/>
  <c r="G4398" i="23"/>
  <c r="G4494" i="23"/>
  <c r="G4614" i="23"/>
  <c r="G4709" i="23"/>
  <c r="G4839" i="23"/>
  <c r="G4958" i="23"/>
  <c r="G5102" i="23"/>
  <c r="G5240" i="23"/>
  <c r="G5420" i="23"/>
  <c r="G5579" i="23"/>
  <c r="G5772" i="23"/>
  <c r="G5921" i="23"/>
  <c r="G6185" i="23"/>
  <c r="G6428" i="23"/>
  <c r="G6785" i="23"/>
  <c r="G7133" i="23"/>
  <c r="G7710" i="23"/>
  <c r="G8329" i="23"/>
  <c r="G1574" i="23"/>
  <c r="G1600" i="23"/>
  <c r="G1625" i="23"/>
  <c r="G1646" i="23"/>
  <c r="G1671" i="23"/>
  <c r="G1696" i="23"/>
  <c r="G1717" i="23"/>
  <c r="G1743" i="23"/>
  <c r="G1770" i="23"/>
  <c r="G1802" i="23"/>
  <c r="G1830" i="23"/>
  <c r="G1854" i="23"/>
  <c r="G1885" i="23"/>
  <c r="G1914" i="23"/>
  <c r="G1949" i="23"/>
  <c r="G1983" i="23"/>
  <c r="G2009" i="23"/>
  <c r="G2043" i="23"/>
  <c r="G2080" i="23"/>
  <c r="G2117" i="23"/>
  <c r="G2154" i="23"/>
  <c r="G2208" i="23"/>
  <c r="G2246" i="23"/>
  <c r="G2292" i="23"/>
  <c r="G2335" i="23"/>
  <c r="G2384" i="23"/>
  <c r="G2426" i="23"/>
  <c r="G2485" i="23"/>
  <c r="G2530" i="23"/>
  <c r="G2577" i="23"/>
  <c r="G2636" i="23"/>
  <c r="G2686" i="23"/>
  <c r="G2732" i="23"/>
  <c r="G2791" i="23"/>
  <c r="G2838" i="23"/>
  <c r="G2881" i="23"/>
  <c r="G2949" i="23"/>
  <c r="G3020" i="23"/>
  <c r="G3117" i="23"/>
  <c r="G3227" i="23"/>
  <c r="G3308" i="23"/>
  <c r="G3395" i="23"/>
  <c r="G3523" i="23"/>
  <c r="G3630" i="23"/>
  <c r="G3750" i="23"/>
  <c r="G3845" i="23"/>
  <c r="G3965" i="23"/>
  <c r="G4062" i="23"/>
  <c r="G4182" i="23"/>
  <c r="G4279" i="23"/>
  <c r="G4399" i="23"/>
  <c r="G4495" i="23"/>
  <c r="G4615" i="23"/>
  <c r="G4722" i="23"/>
  <c r="G4860" i="23"/>
  <c r="G4969" i="23"/>
  <c r="G5120" i="23"/>
  <c r="G5255" i="23"/>
  <c r="G5443" i="23"/>
  <c r="G5580" i="23"/>
  <c r="G5773" i="23"/>
  <c r="G5945" i="23"/>
  <c r="G6221" i="23"/>
  <c r="G6465" i="23"/>
  <c r="G6846" i="23"/>
  <c r="G7196" i="23"/>
  <c r="G7822" i="23"/>
  <c r="G9577" i="23"/>
  <c r="G9173" i="23"/>
  <c r="G8595" i="23"/>
  <c r="G8288" i="23"/>
  <c r="G7997" i="23"/>
  <c r="G7821" i="23"/>
  <c r="G7576" i="23"/>
  <c r="G7410" i="23"/>
  <c r="G7212" i="23"/>
  <c r="G7091" i="23"/>
  <c r="G6958" i="23"/>
  <c r="G6845" i="23"/>
  <c r="G6708" i="23"/>
  <c r="G6608" i="23"/>
  <c r="G6500" i="23"/>
  <c r="G6408" i="23"/>
  <c r="G6300" i="23"/>
  <c r="G6220" i="23"/>
  <c r="G6132" i="23"/>
  <c r="G6050" i="23"/>
  <c r="G5958" i="23"/>
  <c r="G5901" i="23"/>
  <c r="G5827" i="23"/>
  <c r="G5771" i="23"/>
  <c r="G5694" i="23"/>
  <c r="G5638" i="23"/>
  <c r="G5578" i="23"/>
  <c r="G5526" i="23"/>
  <c r="G5454" i="23"/>
  <c r="G5398" i="23"/>
  <c r="G5334" i="23"/>
  <c r="G5278" i="23"/>
  <c r="G5206" i="23"/>
  <c r="G5154" i="23"/>
  <c r="G5099" i="23"/>
  <c r="G5055" i="23"/>
  <c r="G4999" i="23"/>
  <c r="G4955" i="23"/>
  <c r="G4903" i="23"/>
  <c r="G4859" i="23"/>
  <c r="G4801" i="23"/>
  <c r="G4761" i="23"/>
  <c r="G4721" i="23"/>
  <c r="G4685" i="23"/>
  <c r="G4637" i="23"/>
  <c r="G4601" i="23"/>
  <c r="G4557" i="23"/>
  <c r="G4521" i="23"/>
  <c r="G4473" i="23"/>
  <c r="G4437" i="23"/>
  <c r="G4397" i="23"/>
  <c r="G4361" i="23"/>
  <c r="G4313" i="23"/>
  <c r="G4277" i="23"/>
  <c r="G4233" i="23"/>
  <c r="G4197" i="23"/>
  <c r="G4149" i="23"/>
  <c r="G4113" i="23"/>
  <c r="G4073" i="23"/>
  <c r="G4037" i="23"/>
  <c r="G3989" i="23"/>
  <c r="G3953" i="23"/>
  <c r="G3909" i="23"/>
  <c r="G3873" i="23"/>
  <c r="G3825" i="23"/>
  <c r="G3789" i="23"/>
  <c r="G3749" i="23"/>
  <c r="G3713" i="23"/>
  <c r="G3665" i="23"/>
  <c r="G3629" i="23"/>
  <c r="G3585" i="23"/>
  <c r="G3549" i="23"/>
  <c r="G3501" i="23"/>
  <c r="G3465" i="23"/>
  <c r="G3425" i="23"/>
  <c r="G3389" i="23"/>
  <c r="G3341" i="23"/>
  <c r="G3305" i="23"/>
  <c r="G3261" i="23"/>
  <c r="G3225" i="23"/>
  <c r="G3177" i="23"/>
  <c r="G3141" i="23"/>
  <c r="G3101" i="23"/>
  <c r="G3065" i="23"/>
  <c r="G3018" i="23"/>
  <c r="G2985" i="23"/>
  <c r="G8915" i="23"/>
  <c r="G8493" i="23"/>
  <c r="G8175" i="23"/>
  <c r="G7968" i="23"/>
  <c r="G7712" i="23"/>
  <c r="G7528" i="23"/>
  <c r="G7344" i="23"/>
  <c r="G7199" i="23"/>
  <c r="G7042" i="23"/>
  <c r="G6925" i="23"/>
  <c r="G6788" i="23"/>
  <c r="G6689" i="23"/>
  <c r="G6560" i="23"/>
  <c r="G6468" i="23"/>
  <c r="G6375" i="23"/>
  <c r="G6295" i="23"/>
  <c r="G6187" i="23"/>
  <c r="G6103" i="23"/>
  <c r="G6016" i="23"/>
  <c r="G5948" i="23"/>
  <c r="G5870" i="23"/>
  <c r="G5813" i="23"/>
  <c r="G5748" i="23"/>
  <c r="G5689" i="23"/>
  <c r="G5617" i="23"/>
  <c r="G5565" i="23"/>
  <c r="G5497" i="23"/>
  <c r="G5445" i="23"/>
  <c r="G5373" i="23"/>
  <c r="G5317" i="23"/>
  <c r="G5257" i="23"/>
  <c r="G5205" i="23"/>
  <c r="G5134" i="23"/>
  <c r="G5088" i="23"/>
  <c r="G5036" i="23"/>
  <c r="G4992" i="23"/>
  <c r="G4934" i="23"/>
  <c r="G4892" i="23"/>
  <c r="G4844" i="23"/>
  <c r="G4800" i="23"/>
  <c r="G4748" i="23"/>
  <c r="G4712" i="23"/>
  <c r="G4668" i="23"/>
  <c r="G4632" i="23"/>
  <c r="G4584" i="23"/>
  <c r="G4548" i="23"/>
  <c r="G4508" i="23"/>
  <c r="G4472" i="23"/>
  <c r="G4424" i="23"/>
  <c r="G4388" i="23"/>
  <c r="G4344" i="23"/>
  <c r="G4308" i="23"/>
  <c r="G4260" i="23"/>
  <c r="G4224" i="23"/>
  <c r="G4184" i="23"/>
  <c r="G4148" i="23"/>
  <c r="G4100" i="23"/>
  <c r="G4064" i="23"/>
  <c r="G4020" i="23"/>
  <c r="G3984" i="23"/>
  <c r="G3936" i="23"/>
  <c r="G3900" i="23"/>
  <c r="G3860" i="23"/>
  <c r="G3824" i="23"/>
  <c r="G3776" i="23"/>
  <c r="G3740" i="23"/>
  <c r="G3696" i="23"/>
  <c r="G3660" i="23"/>
  <c r="G3612" i="23"/>
  <c r="G3576" i="23"/>
  <c r="G3536" i="23"/>
  <c r="G3500" i="23"/>
  <c r="G3452" i="23"/>
  <c r="G3416" i="23"/>
  <c r="G3372" i="23"/>
  <c r="G3336" i="23"/>
  <c r="G3288" i="23"/>
  <c r="G3252" i="23"/>
  <c r="G3212" i="23"/>
  <c r="G3176" i="23"/>
  <c r="G3128" i="23"/>
  <c r="G3092" i="23"/>
  <c r="G3048" i="23"/>
  <c r="G3017" i="23"/>
  <c r="G2973" i="23"/>
  <c r="G8899" i="23"/>
  <c r="G8492" i="23"/>
  <c r="G8174" i="23"/>
  <c r="G7963" i="23"/>
  <c r="G7711" i="23"/>
  <c r="G7527" i="23"/>
  <c r="G7341" i="23"/>
  <c r="G7198" i="23"/>
  <c r="G7041" i="23"/>
  <c r="G6924" i="23"/>
  <c r="G6786" i="23"/>
  <c r="G6688" i="23"/>
  <c r="G6559" i="23"/>
  <c r="G6467" i="23"/>
  <c r="G6374" i="23"/>
  <c r="G6294" i="23"/>
  <c r="G6186" i="23"/>
  <c r="G6102" i="23"/>
  <c r="G6015" i="23"/>
  <c r="G5947" i="23"/>
  <c r="G5869" i="23"/>
  <c r="G5812" i="23"/>
  <c r="G5747" i="23"/>
  <c r="G5688" i="23"/>
  <c r="G5616" i="23"/>
  <c r="G5564" i="23"/>
  <c r="G5496" i="23"/>
  <c r="G5444" i="23"/>
  <c r="G5372" i="23"/>
  <c r="G5316" i="23"/>
  <c r="G5256" i="23"/>
  <c r="G5204" i="23"/>
  <c r="G5133" i="23"/>
  <c r="G5087" i="23"/>
  <c r="G5035" i="23"/>
  <c r="G4991" i="23"/>
  <c r="G4933" i="23"/>
  <c r="G4891" i="23"/>
  <c r="G4843" i="23"/>
  <c r="G4799" i="23"/>
  <c r="G4747" i="23"/>
  <c r="G4711" i="23"/>
  <c r="G4667" i="23"/>
  <c r="G4631" i="23"/>
  <c r="G4583" i="23"/>
  <c r="G4547" i="23"/>
  <c r="G4507" i="23"/>
  <c r="G4471" i="23"/>
  <c r="G4423" i="23"/>
  <c r="G4387" i="23"/>
  <c r="G4343" i="23"/>
  <c r="G4307" i="23"/>
  <c r="G4259" i="23"/>
  <c r="G4223" i="23"/>
  <c r="G4183" i="23"/>
  <c r="G4147" i="23"/>
  <c r="G4099" i="23"/>
  <c r="G4063" i="23"/>
  <c r="G4019" i="23"/>
  <c r="G3983" i="23"/>
  <c r="G3935" i="23"/>
  <c r="G3899" i="23"/>
  <c r="G3859" i="23"/>
  <c r="G3823" i="23"/>
  <c r="G3775" i="23"/>
  <c r="G3739" i="23"/>
  <c r="G3695" i="23"/>
  <c r="G3659" i="23"/>
  <c r="G3611" i="23"/>
  <c r="G3575" i="23"/>
  <c r="G3535" i="23"/>
  <c r="G3499" i="23"/>
  <c r="G3451" i="23"/>
  <c r="G3415" i="23"/>
  <c r="G3371" i="23"/>
  <c r="G3335" i="23"/>
  <c r="G3287" i="23"/>
  <c r="G3251" i="23"/>
  <c r="G3211" i="23"/>
  <c r="G3175" i="23"/>
  <c r="G3127" i="23"/>
  <c r="G3091" i="23"/>
  <c r="G3047" i="23"/>
  <c r="G3014" i="23"/>
  <c r="G2972" i="23"/>
  <c r="G9429" i="23"/>
  <c r="G8786" i="23"/>
  <c r="G8342" i="23"/>
  <c r="G8092" i="23"/>
  <c r="G7882" i="23"/>
  <c r="G7695" i="23"/>
  <c r="G7452" i="23"/>
  <c r="G7280" i="23"/>
  <c r="G7134" i="23"/>
  <c r="G7013" i="23"/>
  <c r="G6856" i="23"/>
  <c r="G6755" i="23"/>
  <c r="G6645" i="23"/>
  <c r="G6547" i="23"/>
  <c r="G6429" i="23"/>
  <c r="G6351" i="23"/>
  <c r="G6247" i="23"/>
  <c r="G6171" i="23"/>
  <c r="G6064" i="23"/>
  <c r="G5990" i="23"/>
  <c r="G5922" i="23"/>
  <c r="G5865" i="23"/>
  <c r="G5787" i="23"/>
  <c r="G5726" i="23"/>
  <c r="G5661" i="23"/>
  <c r="G5605" i="23"/>
  <c r="G5533" i="23"/>
  <c r="G5481" i="23"/>
  <c r="G5421" i="23"/>
  <c r="G5365" i="23"/>
  <c r="G5293" i="23"/>
  <c r="G5241" i="23"/>
  <c r="G5173" i="23"/>
  <c r="G5123" i="23"/>
  <c r="G5064" i="23"/>
  <c r="G5022" i="23"/>
  <c r="G4974" i="23"/>
  <c r="G4930" i="23"/>
  <c r="G4872" i="23"/>
  <c r="G4830" i="23"/>
  <c r="G4776" i="23"/>
  <c r="G4740" i="23"/>
  <c r="G4692" i="23"/>
  <c r="G4656" i="23"/>
  <c r="G4616" i="23"/>
  <c r="G4580" i="23"/>
  <c r="G4532" i="23"/>
  <c r="G4496" i="23"/>
  <c r="G4452" i="23"/>
  <c r="G4416" i="23"/>
  <c r="G4368" i="23"/>
  <c r="G4332" i="23"/>
  <c r="G4292" i="23"/>
  <c r="G4256" i="23"/>
  <c r="G4208" i="23"/>
  <c r="G4172" i="23"/>
  <c r="G4128" i="23"/>
  <c r="G4092" i="23"/>
  <c r="G4044" i="23"/>
  <c r="G4008" i="23"/>
  <c r="G3968" i="23"/>
  <c r="G3932" i="23"/>
  <c r="G3884" i="23"/>
  <c r="G3848" i="23"/>
  <c r="G3804" i="23"/>
  <c r="G3768" i="23"/>
  <c r="G3720" i="23"/>
  <c r="G3684" i="23"/>
  <c r="G3644" i="23"/>
  <c r="G3608" i="23"/>
  <c r="G3560" i="23"/>
  <c r="G3524" i="23"/>
  <c r="G3480" i="23"/>
  <c r="G3444" i="23"/>
  <c r="G3396" i="23"/>
  <c r="G3360" i="23"/>
  <c r="G3320" i="23"/>
  <c r="G3284" i="23"/>
  <c r="G3236" i="23"/>
  <c r="G3200" i="23"/>
  <c r="G3156" i="23"/>
  <c r="G3120" i="23"/>
  <c r="G3072" i="23"/>
  <c r="G3036" i="23"/>
  <c r="G2999" i="23"/>
  <c r="G8895" i="23"/>
  <c r="G8295" i="23"/>
  <c r="G7960" i="23"/>
  <c r="G7581" i="23"/>
  <c r="G7339" i="23"/>
  <c r="G7094" i="23"/>
  <c r="G6922" i="23"/>
  <c r="G6713" i="23"/>
  <c r="G6557" i="23"/>
  <c r="G6412" i="23"/>
  <c r="G6292" i="23"/>
  <c r="G6135" i="23"/>
  <c r="G6013" i="23"/>
  <c r="G5905" i="23"/>
  <c r="G5810" i="23"/>
  <c r="G5697" i="23"/>
  <c r="G5614" i="23"/>
  <c r="G5529" i="23"/>
  <c r="G5442" i="23"/>
  <c r="G5337" i="23"/>
  <c r="G5254" i="23"/>
  <c r="G5157" i="23"/>
  <c r="G5085" i="23"/>
  <c r="G5002" i="23"/>
  <c r="G4931" i="23"/>
  <c r="G4862" i="23"/>
  <c r="G4797" i="23"/>
  <c r="G4724" i="23"/>
  <c r="G4665" i="23"/>
  <c r="G4604" i="23"/>
  <c r="G4545" i="23"/>
  <c r="G4476" i="23"/>
  <c r="G4421" i="23"/>
  <c r="G4364" i="23"/>
  <c r="G4305" i="23"/>
  <c r="G4236" i="23"/>
  <c r="G4181" i="23"/>
  <c r="G4116" i="23"/>
  <c r="G4061" i="23"/>
  <c r="G3992" i="23"/>
  <c r="G3933" i="23"/>
  <c r="G3876" i="23"/>
  <c r="G3821" i="23"/>
  <c r="G3752" i="23"/>
  <c r="G3693" i="23"/>
  <c r="G3632" i="23"/>
  <c r="G3573" i="23"/>
  <c r="G3504" i="23"/>
  <c r="G3449" i="23"/>
  <c r="G3392" i="23"/>
  <c r="G3333" i="23"/>
  <c r="G3264" i="23"/>
  <c r="G3209" i="23"/>
  <c r="G3144" i="23"/>
  <c r="G3089" i="23"/>
  <c r="G3021" i="23"/>
  <c r="G2970" i="23"/>
  <c r="G2937" i="23"/>
  <c r="G2902" i="23"/>
  <c r="G2874" i="23"/>
  <c r="G2834" i="23"/>
  <c r="G2806" i="23"/>
  <c r="G2772" i="23"/>
  <c r="G2744" i="23"/>
  <c r="G2706" i="23"/>
  <c r="G2676" i="23"/>
  <c r="G2642" i="23"/>
  <c r="G2614" i="23"/>
  <c r="G2576" i="23"/>
  <c r="G2546" i="23"/>
  <c r="G2514" i="23"/>
  <c r="G2484" i="23"/>
  <c r="G2449" i="23"/>
  <c r="G2423" i="23"/>
  <c r="G2393" i="23"/>
  <c r="G2366" i="23"/>
  <c r="G2332" i="23"/>
  <c r="G2307" i="23"/>
  <c r="G2279" i="23"/>
  <c r="G2255" i="23"/>
  <c r="G2223" i="23"/>
  <c r="G2199" i="23"/>
  <c r="G2171" i="23"/>
  <c r="G2147" i="23"/>
  <c r="G2115" i="23"/>
  <c r="G8784" i="23"/>
  <c r="G8292" i="23"/>
  <c r="G7880" i="23"/>
  <c r="G7577" i="23"/>
  <c r="G7278" i="23"/>
  <c r="G7092" i="23"/>
  <c r="G6854" i="23"/>
  <c r="G6711" i="23"/>
  <c r="G6545" i="23"/>
  <c r="G6410" i="23"/>
  <c r="G6245" i="23"/>
  <c r="G6133" i="23"/>
  <c r="G5988" i="23"/>
  <c r="G5903" i="23"/>
  <c r="G8783" i="23"/>
  <c r="G8172" i="23"/>
  <c r="G7877" i="23"/>
  <c r="G7526" i="23"/>
  <c r="G7277" i="23"/>
  <c r="G7040" i="23"/>
  <c r="G6853" i="23"/>
  <c r="G6687" i="23"/>
  <c r="G6544" i="23"/>
  <c r="G6373" i="23"/>
  <c r="G6244" i="23"/>
  <c r="G6101" i="23"/>
  <c r="G5985" i="23"/>
  <c r="G5868" i="23"/>
  <c r="G5784" i="23"/>
  <c r="G5687" i="23"/>
  <c r="G5602" i="23"/>
  <c r="G5495" i="23"/>
  <c r="G5418" i="23"/>
  <c r="G5315" i="23"/>
  <c r="G5238" i="23"/>
  <c r="G5132" i="23"/>
  <c r="G5061" i="23"/>
  <c r="G4990" i="23"/>
  <c r="G4927" i="23"/>
  <c r="G4842" i="23"/>
  <c r="G4773" i="23"/>
  <c r="G4710" i="23"/>
  <c r="G4653" i="23"/>
  <c r="G4582" i="23"/>
  <c r="G4529" i="23"/>
  <c r="G4470" i="23"/>
  <c r="G4413" i="23"/>
  <c r="G4342" i="23"/>
  <c r="G4289" i="23"/>
  <c r="G4222" i="23"/>
  <c r="G4169" i="23"/>
  <c r="G4098" i="23"/>
  <c r="G4041" i="23"/>
  <c r="G3982" i="23"/>
  <c r="G3929" i="23"/>
  <c r="G3858" i="23"/>
  <c r="G3801" i="23"/>
  <c r="G3738" i="23"/>
  <c r="G3681" i="23"/>
  <c r="G3610" i="23"/>
  <c r="G3557" i="23"/>
  <c r="G3498" i="23"/>
  <c r="G3441" i="23"/>
  <c r="G3370" i="23"/>
  <c r="G3317" i="23"/>
  <c r="G3250" i="23"/>
  <c r="G3197" i="23"/>
  <c r="G3126" i="23"/>
  <c r="G3069" i="23"/>
  <c r="G3012" i="23"/>
  <c r="G2964" i="23"/>
  <c r="G2923" i="23"/>
  <c r="G2893" i="23"/>
  <c r="G2861" i="23"/>
  <c r="G2831" i="23"/>
  <c r="G2793" i="23"/>
  <c r="G2765" i="23"/>
  <c r="G2731" i="23"/>
  <c r="G2701" i="23"/>
  <c r="G2663" i="23"/>
  <c r="G2635" i="23"/>
  <c r="G2601" i="23"/>
  <c r="G2573" i="23"/>
  <c r="G2533" i="23"/>
  <c r="G2505" i="23"/>
  <c r="G2472" i="23"/>
  <c r="G2446" i="23"/>
  <c r="G2411" i="23"/>
  <c r="G2385" i="23"/>
  <c r="G2354" i="23"/>
  <c r="G2328" i="23"/>
  <c r="G2296" i="23"/>
  <c r="G2272" i="23"/>
  <c r="G2244" i="23"/>
  <c r="G2220" i="23"/>
  <c r="G2188" i="23"/>
  <c r="G2164" i="23"/>
  <c r="G2136" i="23"/>
  <c r="G2112" i="23"/>
  <c r="G8785" i="23"/>
  <c r="G8088" i="23"/>
  <c r="G7694" i="23"/>
  <c r="G7279" i="23"/>
  <c r="G7011" i="23"/>
  <c r="G6754" i="23"/>
  <c r="G6546" i="23"/>
  <c r="G6349" i="23"/>
  <c r="G6170" i="23"/>
  <c r="G5989" i="23"/>
  <c r="G5863" i="23"/>
  <c r="G5744" i="23"/>
  <c r="G5639" i="23"/>
  <c r="G5528" i="23"/>
  <c r="G5401" i="23"/>
  <c r="G5291" i="23"/>
  <c r="G5202" i="23"/>
  <c r="G5100" i="23"/>
  <c r="G5001" i="23"/>
  <c r="G4906" i="23"/>
  <c r="G4826" i="23"/>
  <c r="G4745" i="23"/>
  <c r="G4686" i="23"/>
  <c r="G4603" i="23"/>
  <c r="G4524" i="23"/>
  <c r="G4450" i="23"/>
  <c r="G4385" i="23"/>
  <c r="G4314" i="23"/>
  <c r="G4235" i="23"/>
  <c r="G4152" i="23"/>
  <c r="G4090" i="23"/>
  <c r="G4017" i="23"/>
  <c r="G3954" i="23"/>
  <c r="G3875" i="23"/>
  <c r="G3792" i="23"/>
  <c r="G3718" i="23"/>
  <c r="G3657" i="23"/>
  <c r="G3586" i="23"/>
  <c r="G3503" i="23"/>
  <c r="G3428" i="23"/>
  <c r="G3358" i="23"/>
  <c r="G3285" i="23"/>
  <c r="G3226" i="23"/>
  <c r="G3143" i="23"/>
  <c r="G3068" i="23"/>
  <c r="G2997" i="23"/>
  <c r="G2948" i="23"/>
  <c r="G2904" i="23"/>
  <c r="G2863" i="23"/>
  <c r="G2830" i="23"/>
  <c r="G2790" i="23"/>
  <c r="G2748" i="23"/>
  <c r="G2708" i="23"/>
  <c r="G2665" i="23"/>
  <c r="G2634" i="23"/>
  <c r="G2592" i="23"/>
  <c r="G2556" i="23"/>
  <c r="G2516" i="23"/>
  <c r="G2474" i="23"/>
  <c r="G2445" i="23"/>
  <c r="G2408" i="23"/>
  <c r="G2371" i="23"/>
  <c r="G2334" i="23"/>
  <c r="G2298" i="23"/>
  <c r="G2271" i="23"/>
  <c r="G2237" i="23"/>
  <c r="G2207" i="23"/>
  <c r="G2173" i="23"/>
  <c r="G2138" i="23"/>
  <c r="G2111" i="23"/>
  <c r="G2079" i="23"/>
  <c r="G2055" i="23"/>
  <c r="G2027" i="23"/>
  <c r="G2003" i="23"/>
  <c r="G1971" i="23"/>
  <c r="G1947" i="23"/>
  <c r="G1919" i="23"/>
  <c r="G1896" i="23"/>
  <c r="G1868" i="23"/>
  <c r="G1848" i="23"/>
  <c r="G1820" i="23"/>
  <c r="G1800" i="23"/>
  <c r="G1772" i="23"/>
  <c r="G1753" i="23"/>
  <c r="G1729" i="23"/>
  <c r="G1709" i="23"/>
  <c r="G1685" i="23"/>
  <c r="G1667" i="23"/>
  <c r="G1643" i="23"/>
  <c r="G1623" i="23"/>
  <c r="G1599" i="23"/>
  <c r="G1579" i="23"/>
  <c r="G1555" i="23"/>
  <c r="G1537" i="23"/>
  <c r="G1513" i="23"/>
  <c r="G1493" i="23"/>
  <c r="G1469" i="23"/>
  <c r="G1451" i="23"/>
  <c r="G1427" i="23"/>
  <c r="G1407" i="23"/>
  <c r="G1383" i="23"/>
  <c r="G1363" i="23"/>
  <c r="G1339" i="23"/>
  <c r="G1321" i="23"/>
  <c r="G1297" i="23"/>
  <c r="G1277" i="23"/>
  <c r="G1253" i="23"/>
  <c r="G1235" i="23"/>
  <c r="G1211" i="23"/>
  <c r="G1191" i="23"/>
  <c r="G1167" i="23"/>
  <c r="G1147" i="23"/>
  <c r="G1123" i="23"/>
  <c r="G1105" i="23"/>
  <c r="G1081" i="23"/>
  <c r="G1063" i="23"/>
  <c r="G1043" i="23"/>
  <c r="G1027" i="23"/>
  <c r="G1007" i="23"/>
  <c r="G991" i="23"/>
  <c r="G971" i="23"/>
  <c r="G955" i="23"/>
  <c r="G935" i="23"/>
  <c r="G919" i="23"/>
  <c r="G899" i="23"/>
  <c r="G8613" i="23"/>
  <c r="G8087" i="23"/>
  <c r="G7692" i="23"/>
  <c r="G7217" i="23"/>
  <c r="G7010" i="23"/>
  <c r="G6753" i="23"/>
  <c r="G6503" i="23"/>
  <c r="G6348" i="23"/>
  <c r="G6169" i="23"/>
  <c r="G5961" i="23"/>
  <c r="G5862" i="23"/>
  <c r="G5725" i="23"/>
  <c r="G5615" i="23"/>
  <c r="G5527" i="23"/>
  <c r="G5400" i="23"/>
  <c r="G5290" i="23"/>
  <c r="G5172" i="23"/>
  <c r="G5086" i="23"/>
  <c r="G5000" i="23"/>
  <c r="G4905" i="23"/>
  <c r="G4825" i="23"/>
  <c r="G4739" i="23"/>
  <c r="G4666" i="23"/>
  <c r="G4602" i="23"/>
  <c r="G4523" i="23"/>
  <c r="G4449" i="23"/>
  <c r="G4367" i="23"/>
  <c r="G4306" i="23"/>
  <c r="G4234" i="23"/>
  <c r="G4151" i="23"/>
  <c r="G4089" i="23"/>
  <c r="G4007" i="23"/>
  <c r="G3934" i="23"/>
  <c r="G3874" i="23"/>
  <c r="G3791" i="23"/>
  <c r="G3717" i="23"/>
  <c r="G3643" i="23"/>
  <c r="G3574" i="23"/>
  <c r="G3502" i="23"/>
  <c r="G3427" i="23"/>
  <c r="G8606" i="23"/>
  <c r="G8008" i="23"/>
  <c r="G7687" i="23"/>
  <c r="G7214" i="23"/>
  <c r="G6961" i="23"/>
  <c r="G6752" i="23"/>
  <c r="G6502" i="23"/>
  <c r="G6303" i="23"/>
  <c r="G6168" i="23"/>
  <c r="G5960" i="23"/>
  <c r="G5831" i="23"/>
  <c r="G5724" i="23"/>
  <c r="G5604" i="23"/>
  <c r="G5494" i="23"/>
  <c r="G5399" i="23"/>
  <c r="G5281" i="23"/>
  <c r="G5171" i="23"/>
  <c r="G5063" i="23"/>
  <c r="G4989" i="23"/>
  <c r="G4904" i="23"/>
  <c r="G4806" i="23"/>
  <c r="G4738" i="23"/>
  <c r="G4655" i="23"/>
  <c r="G4581" i="23"/>
  <c r="G4522" i="23"/>
  <c r="G4440" i="23"/>
  <c r="G4366" i="23"/>
  <c r="G4291" i="23"/>
  <c r="G4221" i="23"/>
  <c r="G4150" i="23"/>
  <c r="G4076" i="23"/>
  <c r="G4006" i="23"/>
  <c r="G3931" i="23"/>
  <c r="G3857" i="23"/>
  <c r="G3790" i="23"/>
  <c r="G3716" i="23"/>
  <c r="G3642" i="23"/>
  <c r="G3559" i="23"/>
  <c r="G3497" i="23"/>
  <c r="G3426" i="23"/>
  <c r="G3344" i="23"/>
  <c r="G3282" i="23"/>
  <c r="G3199" i="23"/>
  <c r="G3125" i="23"/>
  <c r="G3066" i="23"/>
  <c r="G2988" i="23"/>
  <c r="G2939" i="23"/>
  <c r="G2897" i="23"/>
  <c r="G2858" i="23"/>
  <c r="G2818" i="23"/>
  <c r="G2786" i="23"/>
  <c r="G2746" i="23"/>
  <c r="G2705" i="23"/>
  <c r="G2662" i="23"/>
  <c r="G2622" i="23"/>
  <c r="G2590" i="23"/>
  <c r="G2550" i="23"/>
  <c r="G2507" i="23"/>
  <c r="G2471" i="23"/>
  <c r="G2434" i="23"/>
  <c r="G2406" i="23"/>
  <c r="G2369" i="23"/>
  <c r="G2330" i="23"/>
  <c r="G2295" i="23"/>
  <c r="G2261" i="23"/>
  <c r="G2235" i="23"/>
  <c r="G2201" i="23"/>
  <c r="G2166" i="23"/>
  <c r="G2135" i="23"/>
  <c r="G2101" i="23"/>
  <c r="G2077" i="23"/>
  <c r="G2045" i="23"/>
  <c r="G2021" i="23"/>
  <c r="G1993" i="23"/>
  <c r="G1969" i="23"/>
  <c r="G1937" i="23"/>
  <c r="G1913" i="23"/>
  <c r="G1887" i="23"/>
  <c r="G1865" i="23"/>
  <c r="G1839" i="23"/>
  <c r="G1817" i="23"/>
  <c r="G1791" i="23"/>
  <c r="G1769" i="23"/>
  <c r="G1745" i="23"/>
  <c r="G1727" i="23"/>
  <c r="G8601" i="23"/>
  <c r="G7999" i="23"/>
  <c r="G7578" i="23"/>
  <c r="G7213" i="23"/>
  <c r="G6960" i="23"/>
  <c r="G6712" i="23"/>
  <c r="G6501" i="23"/>
  <c r="G6302" i="23"/>
  <c r="G6134" i="23"/>
  <c r="G5959" i="23"/>
  <c r="G5829" i="23"/>
  <c r="G5723" i="23"/>
  <c r="G5603" i="23"/>
  <c r="G5480" i="23"/>
  <c r="G5371" i="23"/>
  <c r="G5280" i="23"/>
  <c r="G5170" i="23"/>
  <c r="G5062" i="23"/>
  <c r="G4971" i="23"/>
  <c r="G4890" i="23"/>
  <c r="G4803" i="23"/>
  <c r="G4737" i="23"/>
  <c r="G4654" i="23"/>
  <c r="G4579" i="23"/>
  <c r="G4506" i="23"/>
  <c r="G4439" i="23"/>
  <c r="G4365" i="23"/>
  <c r="G4290" i="23"/>
  <c r="G4207" i="23"/>
  <c r="G4146" i="23"/>
  <c r="G4075" i="23"/>
  <c r="G4005" i="23"/>
  <c r="G3930" i="23"/>
  <c r="G3847" i="23"/>
  <c r="G3774" i="23"/>
  <c r="G3715" i="23"/>
  <c r="G3641" i="23"/>
  <c r="G3558" i="23"/>
  <c r="G3479" i="23"/>
  <c r="G3414" i="23"/>
  <c r="G3343" i="23"/>
  <c r="G3281" i="23"/>
  <c r="G3198" i="23"/>
  <c r="G3119" i="23"/>
  <c r="G3046" i="23"/>
  <c r="G2987" i="23"/>
  <c r="G2938" i="23"/>
  <c r="G2894" i="23"/>
  <c r="G2853" i="23"/>
  <c r="G2817" i="23"/>
  <c r="G2777" i="23"/>
  <c r="G2745" i="23"/>
  <c r="G2702" i="23"/>
  <c r="G2661" i="23"/>
  <c r="G2621" i="23"/>
  <c r="G2579" i="23"/>
  <c r="G2549" i="23"/>
  <c r="G2506" i="23"/>
  <c r="G2466" i="23"/>
  <c r="G2433" i="23"/>
  <c r="G2396" i="23"/>
  <c r="G2368" i="23"/>
  <c r="G2329" i="23"/>
  <c r="G2294" i="23"/>
  <c r="G2260" i="23"/>
  <c r="G2226" i="23"/>
  <c r="G2200" i="23"/>
  <c r="G2165" i="23"/>
  <c r="G2130" i="23"/>
  <c r="G2100" i="23"/>
  <c r="G2076" i="23"/>
  <c r="G22" i="23"/>
  <c r="G38" i="23"/>
  <c r="G58" i="23"/>
  <c r="G74" i="23"/>
  <c r="G94" i="23"/>
  <c r="G110" i="23"/>
  <c r="G130" i="23"/>
  <c r="G146" i="23"/>
  <c r="G166" i="23"/>
  <c r="G182" i="23"/>
  <c r="G202" i="23"/>
  <c r="G218" i="23"/>
  <c r="G238" i="23"/>
  <c r="G254" i="23"/>
  <c r="G274" i="23"/>
  <c r="G290" i="23"/>
  <c r="G310" i="23"/>
  <c r="G326" i="23"/>
  <c r="G346" i="23"/>
  <c r="G362" i="23"/>
  <c r="G382" i="23"/>
  <c r="G398" i="23"/>
  <c r="G418" i="23"/>
  <c r="G434" i="23"/>
  <c r="G454" i="23"/>
  <c r="G470" i="23"/>
  <c r="G490" i="23"/>
  <c r="G506" i="23"/>
  <c r="G526" i="23"/>
  <c r="G542" i="23"/>
  <c r="G562" i="23"/>
  <c r="G578" i="23"/>
  <c r="G598" i="23"/>
  <c r="G614" i="23"/>
  <c r="G634" i="23"/>
  <c r="G650" i="23"/>
  <c r="G670" i="23"/>
  <c r="G686" i="23"/>
  <c r="G706" i="23"/>
  <c r="G722" i="23"/>
  <c r="G742" i="23"/>
  <c r="G758" i="23"/>
  <c r="G778" i="23"/>
  <c r="G794" i="23"/>
  <c r="G814" i="23"/>
  <c r="G830" i="23"/>
  <c r="G850" i="23"/>
  <c r="G866" i="23"/>
  <c r="G886" i="23"/>
  <c r="G907" i="23"/>
  <c r="G924" i="23"/>
  <c r="G945" i="23"/>
  <c r="G962" i="23"/>
  <c r="G983" i="23"/>
  <c r="G1004" i="23"/>
  <c r="G1021" i="23"/>
  <c r="G1042" i="23"/>
  <c r="G1064" i="23"/>
  <c r="G1083" i="23"/>
  <c r="G1108" i="23"/>
  <c r="G1133" i="23"/>
  <c r="G1154" i="23"/>
  <c r="G1179" i="23"/>
  <c r="G1200" i="23"/>
  <c r="G1225" i="23"/>
  <c r="G1250" i="23"/>
  <c r="G1271" i="23"/>
  <c r="G1296" i="23"/>
  <c r="G1322" i="23"/>
  <c r="G1343" i="23"/>
  <c r="G1368" i="23"/>
  <c r="G1393" i="23"/>
  <c r="G1412" i="23"/>
  <c r="G1439" i="23"/>
  <c r="G1458" i="23"/>
  <c r="G1483" i="23"/>
  <c r="G1508" i="23"/>
  <c r="G1529" i="23"/>
  <c r="G1554" i="23"/>
  <c r="G1580" i="23"/>
  <c r="G1601" i="23"/>
  <c r="G1626" i="23"/>
  <c r="G1651" i="23"/>
  <c r="G1672" i="23"/>
  <c r="G1697" i="23"/>
  <c r="G1718" i="23"/>
  <c r="G1744" i="23"/>
  <c r="G1775" i="23"/>
  <c r="G1803" i="23"/>
  <c r="G1832" i="23"/>
  <c r="G1856" i="23"/>
  <c r="G1886" i="23"/>
  <c r="G1920" i="23"/>
  <c r="G1950" i="23"/>
  <c r="G1984" i="23"/>
  <c r="G2010" i="23"/>
  <c r="G2044" i="23"/>
  <c r="G2081" i="23"/>
  <c r="G2118" i="23"/>
  <c r="G2163" i="23"/>
  <c r="G2209" i="23"/>
  <c r="G2256" i="23"/>
  <c r="G2293" i="23"/>
  <c r="G2345" i="23"/>
  <c r="G2386" i="23"/>
  <c r="G2432" i="23"/>
  <c r="G2486" i="23"/>
  <c r="G2531" i="23"/>
  <c r="G2578" i="23"/>
  <c r="G2637" i="23"/>
  <c r="G2687" i="23"/>
  <c r="G2733" i="23"/>
  <c r="G2792" i="23"/>
  <c r="G2839" i="23"/>
  <c r="G2892" i="23"/>
  <c r="G2950" i="23"/>
  <c r="G3033" i="23"/>
  <c r="G3118" i="23"/>
  <c r="G3228" i="23"/>
  <c r="G3318" i="23"/>
  <c r="G3413" i="23"/>
  <c r="G3533" i="23"/>
  <c r="G3631" i="23"/>
  <c r="G3751" i="23"/>
  <c r="G3846" i="23"/>
  <c r="G3966" i="23"/>
  <c r="G4074" i="23"/>
  <c r="G4198" i="23"/>
  <c r="G4280" i="23"/>
  <c r="G4400" i="23"/>
  <c r="G4505" i="23"/>
  <c r="G4629" i="23"/>
  <c r="G4723" i="23"/>
  <c r="G4861" i="23"/>
  <c r="G4970" i="23"/>
  <c r="G5121" i="23"/>
  <c r="G5279" i="23"/>
  <c r="G5455" i="23"/>
  <c r="G5581" i="23"/>
  <c r="G5774" i="23"/>
  <c r="G5946" i="23"/>
  <c r="G6222" i="23"/>
  <c r="G6466" i="23"/>
  <c r="G6848" i="23"/>
  <c r="G7197" i="23"/>
  <c r="G7824" i="23"/>
  <c r="G8491" i="23"/>
  <c r="G15" i="23"/>
  <c r="G27" i="23"/>
  <c r="G39" i="23"/>
  <c r="G51" i="23"/>
  <c r="G63" i="23"/>
  <c r="G75" i="23"/>
  <c r="G87" i="23"/>
  <c r="G99" i="23"/>
  <c r="G111" i="23"/>
  <c r="G123" i="23"/>
  <c r="G135" i="23"/>
  <c r="G147" i="23"/>
  <c r="G159" i="23"/>
  <c r="G171" i="23"/>
  <c r="G183" i="23"/>
  <c r="G195" i="23"/>
  <c r="G207" i="23"/>
  <c r="G219" i="23"/>
  <c r="G231" i="23"/>
  <c r="G243" i="23"/>
  <c r="G255" i="23"/>
  <c r="G267" i="23"/>
  <c r="G279" i="23"/>
  <c r="G291" i="23"/>
  <c r="G303" i="23"/>
  <c r="G315" i="23"/>
  <c r="G327" i="23"/>
  <c r="G339" i="23"/>
  <c r="G351" i="23"/>
  <c r="G363" i="23"/>
  <c r="G375" i="23"/>
  <c r="G387" i="23"/>
  <c r="G399" i="23"/>
  <c r="G411" i="23"/>
  <c r="G423" i="23"/>
  <c r="G435" i="23"/>
  <c r="G447" i="23"/>
  <c r="G459" i="23"/>
  <c r="G471" i="23"/>
  <c r="G483" i="23"/>
  <c r="G495" i="23"/>
  <c r="G507" i="23"/>
  <c r="G519" i="23"/>
  <c r="G531" i="23"/>
  <c r="G543" i="23"/>
  <c r="G555" i="23"/>
  <c r="G567" i="23"/>
  <c r="G579" i="23"/>
  <c r="G591" i="23"/>
  <c r="G603" i="23"/>
  <c r="G615" i="23"/>
  <c r="G627" i="23"/>
  <c r="G639" i="23"/>
  <c r="G651" i="23"/>
  <c r="G663" i="23"/>
  <c r="G675" i="23"/>
  <c r="G687" i="23"/>
  <c r="G699" i="23"/>
  <c r="G711" i="23"/>
  <c r="G723" i="23"/>
  <c r="G735" i="23"/>
  <c r="G747" i="23"/>
  <c r="G759" i="23"/>
  <c r="G771" i="23"/>
  <c r="G783" i="23"/>
  <c r="G795" i="23"/>
  <c r="G807" i="23"/>
  <c r="G819" i="23"/>
  <c r="G831" i="23"/>
  <c r="G843" i="23"/>
  <c r="G855" i="23"/>
  <c r="G867" i="23"/>
  <c r="G879" i="23"/>
  <c r="G891" i="23"/>
  <c r="G903" i="23"/>
  <c r="G915" i="23"/>
  <c r="G927" i="23"/>
  <c r="G939" i="23"/>
  <c r="G951" i="23"/>
  <c r="G963" i="23"/>
  <c r="G975" i="23"/>
  <c r="G987" i="23"/>
  <c r="G999" i="23"/>
  <c r="G1011" i="23"/>
  <c r="G1023" i="23"/>
  <c r="G1035" i="23"/>
  <c r="G1047" i="23"/>
  <c r="G1059" i="23"/>
  <c r="G1072" i="23"/>
  <c r="G1085" i="23"/>
  <c r="G1099" i="23"/>
  <c r="G1115" i="23"/>
  <c r="G1129" i="23"/>
  <c r="G1143" i="23"/>
  <c r="G1157" i="23"/>
  <c r="G1171" i="23"/>
  <c r="G1187" i="23"/>
  <c r="G1201" i="23"/>
  <c r="G1215" i="23"/>
  <c r="G1229" i="23"/>
  <c r="G1243" i="23"/>
  <c r="G1259" i="23"/>
  <c r="G1273" i="23"/>
  <c r="G1287" i="23"/>
  <c r="G1301" i="23"/>
  <c r="G1315" i="23"/>
  <c r="G1331" i="23"/>
  <c r="G1345" i="23"/>
  <c r="G1359" i="23"/>
  <c r="G1373" i="23"/>
  <c r="G1387" i="23"/>
  <c r="G1403" i="23"/>
  <c r="G1417" i="23"/>
  <c r="G1431" i="23"/>
  <c r="G1445" i="23"/>
  <c r="G1459" i="23"/>
  <c r="G1475" i="23"/>
  <c r="G1489" i="23"/>
  <c r="G1503" i="23"/>
  <c r="G1517" i="23"/>
  <c r="G1531" i="23"/>
  <c r="G1547" i="23"/>
  <c r="G1561" i="23"/>
  <c r="G1575" i="23"/>
  <c r="G1589" i="23"/>
  <c r="G1603" i="23"/>
  <c r="G1619" i="23"/>
  <c r="G1633" i="23"/>
  <c r="G1647" i="23"/>
  <c r="G1661" i="23"/>
  <c r="G1675" i="23"/>
  <c r="G1691" i="23"/>
  <c r="G1705" i="23"/>
  <c r="G1719" i="23"/>
  <c r="G1733" i="23"/>
  <c r="G1747" i="23"/>
  <c r="G1763" i="23"/>
  <c r="G1778" i="23"/>
  <c r="G1793" i="23"/>
  <c r="G1811" i="23"/>
  <c r="G1826" i="23"/>
  <c r="G1841" i="23"/>
  <c r="G1859" i="23"/>
  <c r="G1874" i="23"/>
  <c r="G1889" i="23"/>
  <c r="G1907" i="23"/>
  <c r="G1923" i="23"/>
  <c r="G1943" i="23"/>
  <c r="G1959" i="23"/>
  <c r="G1979" i="23"/>
  <c r="G1995" i="23"/>
  <c r="G2015" i="23"/>
  <c r="G2031" i="23"/>
  <c r="G2051" i="23"/>
  <c r="G2067" i="23"/>
  <c r="G2087" i="23"/>
  <c r="G2103" i="23"/>
  <c r="G2123" i="23"/>
  <c r="G2139" i="23"/>
  <c r="G2159" i="23"/>
  <c r="G2175" i="23"/>
  <c r="G2195" i="23"/>
  <c r="G2211" i="23"/>
  <c r="G2231" i="23"/>
  <c r="G2247" i="23"/>
  <c r="G2267" i="23"/>
  <c r="G2283" i="23"/>
  <c r="G2303" i="23"/>
  <c r="G2319" i="23"/>
  <c r="G2340" i="23"/>
  <c r="G2358" i="23"/>
  <c r="G2380" i="23"/>
  <c r="G2397" i="23"/>
  <c r="G2419" i="23"/>
  <c r="G2436" i="23"/>
  <c r="G2458" i="23"/>
  <c r="G2476" i="23"/>
  <c r="G2498" i="23"/>
  <c r="G2518" i="23"/>
  <c r="G2542" i="23"/>
  <c r="G2562" i="23"/>
  <c r="G2586" i="23"/>
  <c r="G2604" i="23"/>
  <c r="G2628" i="23"/>
  <c r="G2648" i="23"/>
  <c r="G2672" i="23"/>
  <c r="G2690" i="23"/>
  <c r="G2714" i="23"/>
  <c r="G2734" i="23"/>
  <c r="G2758" i="23"/>
  <c r="G2778" i="23"/>
  <c r="G2802" i="23"/>
  <c r="G2820" i="23"/>
  <c r="G2844" i="23"/>
  <c r="G2864" i="23"/>
  <c r="G2888" i="23"/>
  <c r="G2906" i="23"/>
  <c r="G2933" i="23"/>
  <c r="G2952" i="23"/>
  <c r="G2981" i="23"/>
  <c r="G3000" i="23"/>
  <c r="G3029" i="23"/>
  <c r="G3053" i="23"/>
  <c r="G3081" i="23"/>
  <c r="G3105" i="23"/>
  <c r="G3137" i="23"/>
  <c r="G3161" i="23"/>
  <c r="G3189" i="23"/>
  <c r="G3213" i="23"/>
  <c r="G3245" i="23"/>
  <c r="G3269" i="23"/>
  <c r="G3297" i="23"/>
  <c r="G3321" i="23"/>
  <c r="G3353" i="23"/>
  <c r="G3377" i="23"/>
  <c r="G3405" i="23"/>
  <c r="G3429" i="23"/>
  <c r="G3461" i="23"/>
  <c r="G3485" i="23"/>
  <c r="G3513" i="23"/>
  <c r="G3537" i="23"/>
  <c r="G3569" i="23"/>
  <c r="G3593" i="23"/>
  <c r="G3621" i="23"/>
  <c r="G3645" i="23"/>
  <c r="G3677" i="23"/>
  <c r="G3701" i="23"/>
  <c r="G3729" i="23"/>
  <c r="G3753" i="23"/>
  <c r="G3785" i="23"/>
  <c r="G3809" i="23"/>
  <c r="G3837" i="23"/>
  <c r="G3861" i="23"/>
  <c r="G3893" i="23"/>
  <c r="G3917" i="23"/>
  <c r="G3945" i="23"/>
  <c r="G3969" i="23"/>
  <c r="G4001" i="23"/>
  <c r="G4025" i="23"/>
  <c r="G4053" i="23"/>
  <c r="G4077" i="23"/>
  <c r="G4109" i="23"/>
  <c r="G4133" i="23"/>
  <c r="G4161" i="23"/>
  <c r="G4185" i="23"/>
  <c r="G4217" i="23"/>
  <c r="G4241" i="23"/>
  <c r="G4269" i="23"/>
  <c r="G4293" i="23"/>
  <c r="G4325" i="23"/>
  <c r="G4349" i="23"/>
  <c r="G4377" i="23"/>
  <c r="G4401" i="23"/>
  <c r="G4433" i="23"/>
  <c r="G4457" i="23"/>
  <c r="G4485" i="23"/>
  <c r="G4509" i="23"/>
  <c r="G4541" i="23"/>
  <c r="G4565" i="23"/>
  <c r="G4593" i="23"/>
  <c r="G4617" i="23"/>
  <c r="G4649" i="23"/>
  <c r="G4673" i="23"/>
  <c r="G4701" i="23"/>
  <c r="G4725" i="23"/>
  <c r="G4757" i="23"/>
  <c r="G4783" i="23"/>
  <c r="G4815" i="23"/>
  <c r="G4845" i="23"/>
  <c r="G4883" i="23"/>
  <c r="G4911" i="23"/>
  <c r="G4945" i="23"/>
  <c r="G4975" i="23"/>
  <c r="G5013" i="23"/>
  <c r="G5041" i="23"/>
  <c r="G5075" i="23"/>
  <c r="G5103" i="23"/>
  <c r="G5146" i="23"/>
  <c r="G5182" i="23"/>
  <c r="G5226" i="23"/>
  <c r="G5262" i="23"/>
  <c r="G5310" i="23"/>
  <c r="G5346" i="23"/>
  <c r="G5386" i="23"/>
  <c r="G5422" i="23"/>
  <c r="G5470" i="23"/>
  <c r="G5506" i="23"/>
  <c r="G5550" i="23"/>
  <c r="G5586" i="23"/>
  <c r="G5634" i="23"/>
  <c r="G5670" i="23"/>
  <c r="G5710" i="23"/>
  <c r="G5749" i="23"/>
  <c r="G5801" i="23"/>
  <c r="G5840" i="23"/>
  <c r="G5888" i="23"/>
  <c r="G5928" i="23"/>
  <c r="G5981" i="23"/>
  <c r="G6028" i="23"/>
  <c r="G6084" i="23"/>
  <c r="G6136" i="23"/>
  <c r="G6208" i="23"/>
  <c r="G6264" i="23"/>
  <c r="G6328" i="23"/>
  <c r="G6384" i="23"/>
  <c r="G6461" i="23"/>
  <c r="G6518" i="23"/>
  <c r="G6584" i="23"/>
  <c r="G6652" i="23"/>
  <c r="G6738" i="23"/>
  <c r="G6804" i="23"/>
  <c r="G6898" i="23"/>
  <c r="G6974" i="23"/>
  <c r="G7079" i="23"/>
  <c r="G7160" i="23"/>
  <c r="G7251" i="23"/>
  <c r="G7346" i="23"/>
  <c r="G7495" i="23"/>
  <c r="G7620" i="23"/>
  <c r="G7771" i="23"/>
  <c r="G7902" i="23"/>
  <c r="G8072" i="23"/>
  <c r="G8213" i="23"/>
  <c r="G8411" i="23"/>
  <c r="G8634" i="23"/>
  <c r="G9061" i="23"/>
  <c r="G10004" i="23"/>
  <c r="G9992" i="23"/>
  <c r="G9980" i="23"/>
  <c r="G9968" i="23"/>
  <c r="G9956" i="23"/>
  <c r="G9944" i="23"/>
  <c r="G9932" i="23"/>
  <c r="G9920" i="23"/>
  <c r="G9908" i="23"/>
  <c r="G9896" i="23"/>
  <c r="G9884" i="23"/>
  <c r="G9872" i="23"/>
  <c r="G9860" i="23"/>
  <c r="G9848" i="23"/>
  <c r="G9836" i="23"/>
  <c r="G9824" i="23"/>
  <c r="G9812" i="23"/>
  <c r="G9800" i="23"/>
  <c r="G9788" i="23"/>
  <c r="G9776" i="23"/>
  <c r="G9764" i="23"/>
  <c r="G9752" i="23"/>
  <c r="G9740" i="23"/>
  <c r="G9728" i="23"/>
  <c r="G9716" i="23"/>
  <c r="G9704" i="23"/>
  <c r="G9692" i="23"/>
  <c r="G9680" i="23"/>
  <c r="G9668" i="23"/>
  <c r="G9656" i="23"/>
  <c r="G9644" i="23"/>
  <c r="G9632" i="23"/>
  <c r="G9620" i="23"/>
  <c r="G9608" i="23"/>
  <c r="G9596" i="23"/>
  <c r="G9584" i="23"/>
  <c r="G9572" i="23"/>
  <c r="G9560" i="23"/>
  <c r="G9548" i="23"/>
  <c r="G9536" i="23"/>
  <c r="G9524" i="23"/>
  <c r="G9512" i="23"/>
  <c r="G9500" i="23"/>
  <c r="G9488" i="23"/>
  <c r="G9476" i="23"/>
  <c r="G9464" i="23"/>
  <c r="G9452" i="23"/>
  <c r="G9440" i="23"/>
  <c r="G9428" i="23"/>
  <c r="G9416" i="23"/>
  <c r="G9404" i="23"/>
  <c r="G9392" i="23"/>
  <c r="G9380" i="23"/>
  <c r="G9368" i="23"/>
  <c r="G9356" i="23"/>
  <c r="G9344" i="23"/>
  <c r="G9332" i="23"/>
  <c r="G9320" i="23"/>
  <c r="G9308" i="23"/>
  <c r="G9296" i="23"/>
  <c r="G9284" i="23"/>
  <c r="G9272" i="23"/>
  <c r="G9260" i="23"/>
  <c r="G9248" i="23"/>
  <c r="G9236" i="23"/>
  <c r="G9224" i="23"/>
  <c r="G9212" i="23"/>
  <c r="G9200" i="23"/>
  <c r="G9188" i="23"/>
  <c r="G9176" i="23"/>
  <c r="G9164" i="23"/>
  <c r="G9152" i="23"/>
  <c r="G9140" i="23"/>
  <c r="G9128" i="23"/>
  <c r="G9116" i="23"/>
  <c r="G9104" i="23"/>
  <c r="G9092" i="23"/>
  <c r="G9080" i="23"/>
  <c r="G9068" i="23"/>
  <c r="G9056" i="23"/>
  <c r="G9044" i="23"/>
  <c r="G9032" i="23"/>
  <c r="G10003" i="23"/>
  <c r="G9991" i="23"/>
  <c r="G9979" i="23"/>
  <c r="G9967" i="23"/>
  <c r="G9955" i="23"/>
  <c r="G9943" i="23"/>
  <c r="G9931" i="23"/>
  <c r="G9919" i="23"/>
  <c r="G9907" i="23"/>
  <c r="G9895" i="23"/>
  <c r="G9883" i="23"/>
  <c r="G9871" i="23"/>
  <c r="G9859" i="23"/>
  <c r="G9847" i="23"/>
  <c r="G9835" i="23"/>
  <c r="G9823" i="23"/>
  <c r="G9811" i="23"/>
  <c r="G9799" i="23"/>
  <c r="G9787" i="23"/>
  <c r="G9775" i="23"/>
  <c r="G9763" i="23"/>
  <c r="G9751" i="23"/>
  <c r="G9739" i="23"/>
  <c r="G9727" i="23"/>
  <c r="G9715" i="23"/>
  <c r="G9703" i="23"/>
  <c r="G9691" i="23"/>
  <c r="G9679" i="23"/>
  <c r="G9667" i="23"/>
  <c r="G9655" i="23"/>
  <c r="G9643" i="23"/>
  <c r="G9631" i="23"/>
  <c r="G9619" i="23"/>
  <c r="G9607" i="23"/>
  <c r="G9595" i="23"/>
  <c r="G9583" i="23"/>
  <c r="G9571" i="23"/>
  <c r="G9559" i="23"/>
  <c r="G9547" i="23"/>
  <c r="G9535" i="23"/>
  <c r="G9523" i="23"/>
  <c r="G9511" i="23"/>
  <c r="G9499" i="23"/>
  <c r="G9487" i="23"/>
  <c r="G9475" i="23"/>
  <c r="G9463" i="23"/>
  <c r="G9451" i="23"/>
  <c r="G9439" i="23"/>
  <c r="G9427" i="23"/>
  <c r="G9415" i="23"/>
  <c r="G9403" i="23"/>
  <c r="G9391" i="23"/>
  <c r="G9379" i="23"/>
  <c r="G9367" i="23"/>
  <c r="G9355" i="23"/>
  <c r="G9343" i="23"/>
  <c r="G9331" i="23"/>
  <c r="G9319" i="23"/>
  <c r="G9307" i="23"/>
  <c r="G9295" i="23"/>
  <c r="G9283" i="23"/>
  <c r="G9271" i="23"/>
  <c r="G9259" i="23"/>
  <c r="G9247" i="23"/>
  <c r="G9235" i="23"/>
  <c r="G9223" i="23"/>
  <c r="G9211" i="23"/>
  <c r="G9199" i="23"/>
  <c r="G9187" i="23"/>
  <c r="G9175" i="23"/>
  <c r="G9163" i="23"/>
  <c r="G9151" i="23"/>
  <c r="G9139" i="23"/>
  <c r="G9127" i="23"/>
  <c r="G9115" i="23"/>
  <c r="G9103" i="23"/>
  <c r="G9091" i="23"/>
  <c r="G9079" i="23"/>
  <c r="G9067" i="23"/>
  <c r="G9055" i="23"/>
  <c r="G9043" i="23"/>
  <c r="G9031" i="23"/>
  <c r="G9019" i="23"/>
  <c r="G9007" i="23"/>
  <c r="G8995" i="23"/>
  <c r="G10002" i="23"/>
  <c r="G9990" i="23"/>
  <c r="G9978" i="23"/>
  <c r="G9966" i="23"/>
  <c r="G9954" i="23"/>
  <c r="G9942" i="23"/>
  <c r="G9930" i="23"/>
  <c r="G9918" i="23"/>
  <c r="G9906" i="23"/>
  <c r="G9894" i="23"/>
  <c r="G9882" i="23"/>
  <c r="G9870" i="23"/>
  <c r="G9858" i="23"/>
  <c r="G9846" i="23"/>
  <c r="G9834" i="23"/>
  <c r="G9822" i="23"/>
  <c r="G9810" i="23"/>
  <c r="G9798" i="23"/>
  <c r="G9786" i="23"/>
  <c r="G9774" i="23"/>
  <c r="G9762" i="23"/>
  <c r="G9750" i="23"/>
  <c r="G9738" i="23"/>
  <c r="G9726" i="23"/>
  <c r="G9714" i="23"/>
  <c r="G9702" i="23"/>
  <c r="G9690" i="23"/>
  <c r="G9678" i="23"/>
  <c r="G9666" i="23"/>
  <c r="G9654" i="23"/>
  <c r="G9642" i="23"/>
  <c r="G9630" i="23"/>
  <c r="G9618" i="23"/>
  <c r="G9606" i="23"/>
  <c r="G9594" i="23"/>
  <c r="G9582" i="23"/>
  <c r="G9570" i="23"/>
  <c r="G9558" i="23"/>
  <c r="G9546" i="23"/>
  <c r="G9534" i="23"/>
  <c r="G9522" i="23"/>
  <c r="G9510" i="23"/>
  <c r="G9498" i="23"/>
  <c r="G9486" i="23"/>
  <c r="G9474" i="23"/>
  <c r="G9462" i="23"/>
  <c r="G9450" i="23"/>
  <c r="G9438" i="23"/>
  <c r="G9426" i="23"/>
  <c r="G9414" i="23"/>
  <c r="G9402" i="23"/>
  <c r="G9390" i="23"/>
  <c r="G9378" i="23"/>
  <c r="G9366" i="23"/>
  <c r="G9354" i="23"/>
  <c r="G9342" i="23"/>
  <c r="G9330" i="23"/>
  <c r="G9318" i="23"/>
  <c r="G9306" i="23"/>
  <c r="G9294" i="23"/>
  <c r="G9282" i="23"/>
  <c r="G9270" i="23"/>
  <c r="G9258" i="23"/>
  <c r="G9246" i="23"/>
  <c r="G9234" i="23"/>
  <c r="G9222" i="23"/>
  <c r="G9210" i="23"/>
  <c r="G9198" i="23"/>
  <c r="G9186" i="23"/>
  <c r="G9174" i="23"/>
  <c r="G9162" i="23"/>
  <c r="G9150" i="23"/>
  <c r="G9138" i="23"/>
  <c r="G9126" i="23"/>
  <c r="G9114" i="23"/>
  <c r="G9102" i="23"/>
  <c r="G9090" i="23"/>
  <c r="G9078" i="23"/>
  <c r="G9066" i="23"/>
  <c r="G9054" i="23"/>
  <c r="G9042" i="23"/>
  <c r="G9030" i="23"/>
  <c r="G9018" i="23"/>
  <c r="G9006" i="23"/>
  <c r="G8994" i="23"/>
  <c r="G10001" i="23"/>
  <c r="G9989" i="23"/>
  <c r="G9977" i="23"/>
  <c r="G10000" i="23"/>
  <c r="G9984" i="23"/>
  <c r="G9965" i="23"/>
  <c r="G9950" i="23"/>
  <c r="G9935" i="23"/>
  <c r="G9917" i="23"/>
  <c r="G9902" i="23"/>
  <c r="G9887" i="23"/>
  <c r="G9869" i="23"/>
  <c r="G9854" i="23"/>
  <c r="G9839" i="23"/>
  <c r="G9821" i="23"/>
  <c r="G9806" i="23"/>
  <c r="G9791" i="23"/>
  <c r="G9773" i="23"/>
  <c r="G9758" i="23"/>
  <c r="G9743" i="23"/>
  <c r="G9725" i="23"/>
  <c r="G9710" i="23"/>
  <c r="G9695" i="23"/>
  <c r="G9677" i="23"/>
  <c r="G9662" i="23"/>
  <c r="G9647" i="23"/>
  <c r="G9629" i="23"/>
  <c r="G9614" i="23"/>
  <c r="G9599" i="23"/>
  <c r="G9581" i="23"/>
  <c r="G9566" i="23"/>
  <c r="G9551" i="23"/>
  <c r="G9533" i="23"/>
  <c r="G9518" i="23"/>
  <c r="G9503" i="23"/>
  <c r="G9485" i="23"/>
  <c r="G9470" i="23"/>
  <c r="G9455" i="23"/>
  <c r="G9437" i="23"/>
  <c r="G9422" i="23"/>
  <c r="G9407" i="23"/>
  <c r="G9389" i="23"/>
  <c r="G9374" i="23"/>
  <c r="G9359" i="23"/>
  <c r="G9341" i="23"/>
  <c r="G9326" i="23"/>
  <c r="G9311" i="23"/>
  <c r="G9293" i="23"/>
  <c r="G9278" i="23"/>
  <c r="G9263" i="23"/>
  <c r="G9245" i="23"/>
  <c r="G9230" i="23"/>
  <c r="G9215" i="23"/>
  <c r="G9197" i="23"/>
  <c r="G9182" i="23"/>
  <c r="G9167" i="23"/>
  <c r="G9149" i="23"/>
  <c r="G9134" i="23"/>
  <c r="G9119" i="23"/>
  <c r="G9101" i="23"/>
  <c r="G9086" i="23"/>
  <c r="G9071" i="23"/>
  <c r="G9053" i="23"/>
  <c r="G9038" i="23"/>
  <c r="G9023" i="23"/>
  <c r="G9009" i="23"/>
  <c r="G8993" i="23"/>
  <c r="G8981" i="23"/>
  <c r="G8969" i="23"/>
  <c r="G8957" i="23"/>
  <c r="G8945" i="23"/>
  <c r="G8933" i="23"/>
  <c r="G8921" i="23"/>
  <c r="G8909" i="23"/>
  <c r="G8897" i="23"/>
  <c r="G8885" i="23"/>
  <c r="G8873" i="23"/>
  <c r="G8861" i="23"/>
  <c r="G8849" i="23"/>
  <c r="G8837" i="23"/>
  <c r="G8825" i="23"/>
  <c r="G8813" i="23"/>
  <c r="G8801" i="23"/>
  <c r="G8789" i="23"/>
  <c r="G8777" i="23"/>
  <c r="G8765" i="23"/>
  <c r="G8753" i="23"/>
  <c r="G8741" i="23"/>
  <c r="G9999" i="23"/>
  <c r="G9983" i="23"/>
  <c r="G9964" i="23"/>
  <c r="G9949" i="23"/>
  <c r="G9934" i="23"/>
  <c r="G9916" i="23"/>
  <c r="G9901" i="23"/>
  <c r="G9886" i="23"/>
  <c r="G9868" i="23"/>
  <c r="G9853" i="23"/>
  <c r="G9838" i="23"/>
  <c r="G9820" i="23"/>
  <c r="G9805" i="23"/>
  <c r="G9790" i="23"/>
  <c r="G9772" i="23"/>
  <c r="G9757" i="23"/>
  <c r="G9742" i="23"/>
  <c r="G9724" i="23"/>
  <c r="G9709" i="23"/>
  <c r="G9694" i="23"/>
  <c r="G9676" i="23"/>
  <c r="G9661" i="23"/>
  <c r="G9646" i="23"/>
  <c r="G9628" i="23"/>
  <c r="G9613" i="23"/>
  <c r="G9598" i="23"/>
  <c r="G9580" i="23"/>
  <c r="G9565" i="23"/>
  <c r="G9550" i="23"/>
  <c r="G9532" i="23"/>
  <c r="G9517" i="23"/>
  <c r="G9502" i="23"/>
  <c r="G9484" i="23"/>
  <c r="G9469" i="23"/>
  <c r="G9454" i="23"/>
  <c r="G9436" i="23"/>
  <c r="G9421" i="23"/>
  <c r="G9406" i="23"/>
  <c r="G9388" i="23"/>
  <c r="G9373" i="23"/>
  <c r="G9358" i="23"/>
  <c r="G9340" i="23"/>
  <c r="G9325" i="23"/>
  <c r="G9310" i="23"/>
  <c r="G9292" i="23"/>
  <c r="G9277" i="23"/>
  <c r="G9262" i="23"/>
  <c r="G9244" i="23"/>
  <c r="G9229" i="23"/>
  <c r="G9214" i="23"/>
  <c r="G9196" i="23"/>
  <c r="G9181" i="23"/>
  <c r="G9166" i="23"/>
  <c r="G9148" i="23"/>
  <c r="G9133" i="23"/>
  <c r="G9118" i="23"/>
  <c r="G9100" i="23"/>
  <c r="G9085" i="23"/>
  <c r="G9070" i="23"/>
  <c r="G9052" i="23"/>
  <c r="G9037" i="23"/>
  <c r="G9022" i="23"/>
  <c r="G9008" i="23"/>
  <c r="G8992" i="23"/>
  <c r="G8980" i="23"/>
  <c r="G8968" i="23"/>
  <c r="G8956" i="23"/>
  <c r="G8944" i="23"/>
  <c r="G8932" i="23"/>
  <c r="G8920" i="23"/>
  <c r="G8908" i="23"/>
  <c r="G8896" i="23"/>
  <c r="G8884" i="23"/>
  <c r="G8872" i="23"/>
  <c r="G8860" i="23"/>
  <c r="G8848" i="23"/>
  <c r="G8836" i="23"/>
  <c r="G8824" i="23"/>
  <c r="G8812" i="23"/>
  <c r="G8800" i="23"/>
  <c r="G8788" i="23"/>
  <c r="G8776" i="23"/>
  <c r="G8764" i="23"/>
  <c r="G9998" i="23"/>
  <c r="G9982" i="23"/>
  <c r="G9963" i="23"/>
  <c r="G9948" i="23"/>
  <c r="G9933" i="23"/>
  <c r="G9915" i="23"/>
  <c r="G9900" i="23"/>
  <c r="G9885" i="23"/>
  <c r="G9867" i="23"/>
  <c r="G9852" i="23"/>
  <c r="G9837" i="23"/>
  <c r="G9819" i="23"/>
  <c r="G9804" i="23"/>
  <c r="G9789" i="23"/>
  <c r="G9771" i="23"/>
  <c r="G9756" i="23"/>
  <c r="G9741" i="23"/>
  <c r="G9997" i="23"/>
  <c r="G9974" i="23"/>
  <c r="G9953" i="23"/>
  <c r="G9929" i="23"/>
  <c r="G9911" i="23"/>
  <c r="G9890" i="23"/>
  <c r="G9866" i="23"/>
  <c r="G9845" i="23"/>
  <c r="G9827" i="23"/>
  <c r="G9803" i="23"/>
  <c r="G9782" i="23"/>
  <c r="G9761" i="23"/>
  <c r="G9737" i="23"/>
  <c r="G9720" i="23"/>
  <c r="G9700" i="23"/>
  <c r="G9683" i="23"/>
  <c r="G9663" i="23"/>
  <c r="G9641" i="23"/>
  <c r="G9624" i="23"/>
  <c r="G9604" i="23"/>
  <c r="G9587" i="23"/>
  <c r="G9567" i="23"/>
  <c r="G9545" i="23"/>
  <c r="G9528" i="23"/>
  <c r="G9508" i="23"/>
  <c r="G9491" i="23"/>
  <c r="G9471" i="23"/>
  <c r="G9449" i="23"/>
  <c r="G9432" i="23"/>
  <c r="G9412" i="23"/>
  <c r="G9395" i="23"/>
  <c r="G9375" i="23"/>
  <c r="G9353" i="23"/>
  <c r="G9336" i="23"/>
  <c r="G9316" i="23"/>
  <c r="G9299" i="23"/>
  <c r="G9279" i="23"/>
  <c r="G9257" i="23"/>
  <c r="G9240" i="23"/>
  <c r="G9220" i="23"/>
  <c r="G9203" i="23"/>
  <c r="G9183" i="23"/>
  <c r="G9161" i="23"/>
  <c r="G9144" i="23"/>
  <c r="G9124" i="23"/>
  <c r="G9107" i="23"/>
  <c r="G9087" i="23"/>
  <c r="G9065" i="23"/>
  <c r="G9048" i="23"/>
  <c r="G9028" i="23"/>
  <c r="G9012" i="23"/>
  <c r="G8996" i="23"/>
  <c r="G8978" i="23"/>
  <c r="G8964" i="23"/>
  <c r="G8950" i="23"/>
  <c r="G8936" i="23"/>
  <c r="G8922" i="23"/>
  <c r="G8906" i="23"/>
  <c r="G8892" i="23"/>
  <c r="G8878" i="23"/>
  <c r="G8864" i="23"/>
  <c r="G8850" i="23"/>
  <c r="G8834" i="23"/>
  <c r="G8820" i="23"/>
  <c r="G8806" i="23"/>
  <c r="G8792" i="23"/>
  <c r="G8778" i="23"/>
  <c r="G8762" i="23"/>
  <c r="G8749" i="23"/>
  <c r="G8736" i="23"/>
  <c r="G8724" i="23"/>
  <c r="G8712" i="23"/>
  <c r="G8700" i="23"/>
  <c r="G8688" i="23"/>
  <c r="G8676" i="23"/>
  <c r="G8664" i="23"/>
  <c r="G8652" i="23"/>
  <c r="G8640" i="23"/>
  <c r="G8628" i="23"/>
  <c r="G8616" i="23"/>
  <c r="G8604" i="23"/>
  <c r="G8592" i="23"/>
  <c r="G9996" i="23"/>
  <c r="G9973" i="23"/>
  <c r="G9952" i="23"/>
  <c r="G9928" i="23"/>
  <c r="G9910" i="23"/>
  <c r="G9889" i="23"/>
  <c r="G9865" i="23"/>
  <c r="G9844" i="23"/>
  <c r="G9826" i="23"/>
  <c r="G9802" i="23"/>
  <c r="G9781" i="23"/>
  <c r="G9760" i="23"/>
  <c r="G9736" i="23"/>
  <c r="G9719" i="23"/>
  <c r="G9699" i="23"/>
  <c r="G9682" i="23"/>
  <c r="G9660" i="23"/>
  <c r="G9640" i="23"/>
  <c r="G9623" i="23"/>
  <c r="G9603" i="23"/>
  <c r="G9586" i="23"/>
  <c r="G9564" i="23"/>
  <c r="G9544" i="23"/>
  <c r="G9527" i="23"/>
  <c r="G9507" i="23"/>
  <c r="G9490" i="23"/>
  <c r="G9468" i="23"/>
  <c r="G9448" i="23"/>
  <c r="G9431" i="23"/>
  <c r="G9411" i="23"/>
  <c r="G9394" i="23"/>
  <c r="G9372" i="23"/>
  <c r="G9352" i="23"/>
  <c r="G9335" i="23"/>
  <c r="G9315" i="23"/>
  <c r="G9298" i="23"/>
  <c r="G9276" i="23"/>
  <c r="G9256" i="23"/>
  <c r="G9239" i="23"/>
  <c r="G9219" i="23"/>
  <c r="G9202" i="23"/>
  <c r="G9180" i="23"/>
  <c r="G9160" i="23"/>
  <c r="G9143" i="23"/>
  <c r="G9123" i="23"/>
  <c r="G9106" i="23"/>
  <c r="G9084" i="23"/>
  <c r="G9064" i="23"/>
  <c r="G9047" i="23"/>
  <c r="G9027" i="23"/>
  <c r="G9011" i="23"/>
  <c r="G8991" i="23"/>
  <c r="G8977" i="23"/>
  <c r="G8963" i="23"/>
  <c r="G8949" i="23"/>
  <c r="G8935" i="23"/>
  <c r="G8919" i="23"/>
  <c r="G8905" i="23"/>
  <c r="G8891" i="23"/>
  <c r="G8877" i="23"/>
  <c r="G8863" i="23"/>
  <c r="G8847" i="23"/>
  <c r="G8833" i="23"/>
  <c r="G8819" i="23"/>
  <c r="G8805" i="23"/>
  <c r="G8791" i="23"/>
  <c r="G8775" i="23"/>
  <c r="G8761" i="23"/>
  <c r="G8748" i="23"/>
  <c r="G8735" i="23"/>
  <c r="G8723" i="23"/>
  <c r="G8711" i="23"/>
  <c r="G8699" i="23"/>
  <c r="G8687" i="23"/>
  <c r="G8675" i="23"/>
  <c r="G8663" i="23"/>
  <c r="G8651" i="23"/>
  <c r="G8639" i="23"/>
  <c r="G8627" i="23"/>
  <c r="G8615" i="23"/>
  <c r="G8603" i="23"/>
  <c r="G8591" i="23"/>
  <c r="G8579" i="23"/>
  <c r="G8567" i="23"/>
  <c r="G8555" i="23"/>
  <c r="G9995" i="23"/>
  <c r="G9972" i="23"/>
  <c r="G9951" i="23"/>
  <c r="G9927" i="23"/>
  <c r="G9909" i="23"/>
  <c r="G9888" i="23"/>
  <c r="G9864" i="23"/>
  <c r="G9843" i="23"/>
  <c r="G9825" i="23"/>
  <c r="G9801" i="23"/>
  <c r="G9780" i="23"/>
  <c r="G9759" i="23"/>
  <c r="G9735" i="23"/>
  <c r="G9718" i="23"/>
  <c r="G9698" i="23"/>
  <c r="G9681" i="23"/>
  <c r="G9659" i="23"/>
  <c r="G9639" i="23"/>
  <c r="G9622" i="23"/>
  <c r="G9602" i="23"/>
  <c r="G9585" i="23"/>
  <c r="G9563" i="23"/>
  <c r="G9543" i="23"/>
  <c r="G9526" i="23"/>
  <c r="G9506" i="23"/>
  <c r="G9489" i="23"/>
  <c r="G9467" i="23"/>
  <c r="G9447" i="23"/>
  <c r="G9430" i="23"/>
  <c r="G9410" i="23"/>
  <c r="G9393" i="23"/>
  <c r="G9371" i="23"/>
  <c r="G9351" i="23"/>
  <c r="G9334" i="23"/>
  <c r="G9314" i="23"/>
  <c r="G9297" i="23"/>
  <c r="G9275" i="23"/>
  <c r="G9255" i="23"/>
  <c r="G9238" i="23"/>
  <c r="G9218" i="23"/>
  <c r="G9201" i="23"/>
  <c r="G9179" i="23"/>
  <c r="G9159" i="23"/>
  <c r="G9142" i="23"/>
  <c r="G9122" i="23"/>
  <c r="G9105" i="23"/>
  <c r="G9083" i="23"/>
  <c r="G9063" i="23"/>
  <c r="G9046" i="23"/>
  <c r="G9026" i="23"/>
  <c r="G9010" i="23"/>
  <c r="G8990" i="23"/>
  <c r="G8976" i="23"/>
  <c r="G8962" i="23"/>
  <c r="G8948" i="23"/>
  <c r="G8934" i="23"/>
  <c r="G8918" i="23"/>
  <c r="G8904" i="23"/>
  <c r="G8890" i="23"/>
  <c r="G8876" i="23"/>
  <c r="G8862" i="23"/>
  <c r="G8846" i="23"/>
  <c r="G8832" i="23"/>
  <c r="G8818" i="23"/>
  <c r="G8804" i="23"/>
  <c r="G8790" i="23"/>
  <c r="G8774" i="23"/>
  <c r="G8760" i="23"/>
  <c r="G8747" i="23"/>
  <c r="G8734" i="23"/>
  <c r="G8722" i="23"/>
  <c r="G8710" i="23"/>
  <c r="G8698" i="23"/>
  <c r="G8686" i="23"/>
  <c r="G8674" i="23"/>
  <c r="G8662" i="23"/>
  <c r="G8650" i="23"/>
  <c r="G8638" i="23"/>
  <c r="G8626" i="23"/>
  <c r="G8614" i="23"/>
  <c r="G8602" i="23"/>
  <c r="G8590" i="23"/>
  <c r="G8578" i="23"/>
  <c r="G8566" i="23"/>
  <c r="G8554" i="23"/>
  <c r="G8542" i="23"/>
  <c r="G8530" i="23"/>
  <c r="G8518" i="23"/>
  <c r="G8506" i="23"/>
  <c r="G8494" i="23"/>
  <c r="G8482" i="23"/>
  <c r="G8470" i="23"/>
  <c r="G8458" i="23"/>
  <c r="G8446" i="23"/>
  <c r="G8434" i="23"/>
  <c r="G8422" i="23"/>
  <c r="G8410" i="23"/>
  <c r="G8398" i="23"/>
  <c r="G8386" i="23"/>
  <c r="G8374" i="23"/>
  <c r="G8362" i="23"/>
  <c r="G8350" i="23"/>
  <c r="G8338" i="23"/>
  <c r="G8326" i="23"/>
  <c r="G8314" i="23"/>
  <c r="G8302" i="23"/>
  <c r="G8290" i="23"/>
  <c r="G8278" i="23"/>
  <c r="G8266" i="23"/>
  <c r="G8254" i="23"/>
  <c r="G8242" i="23"/>
  <c r="G8230" i="23"/>
  <c r="G8218" i="23"/>
  <c r="G8206" i="23"/>
  <c r="G8194" i="23"/>
  <c r="G8182" i="23"/>
  <c r="G8170" i="23"/>
  <c r="G8158" i="23"/>
  <c r="G8146" i="23"/>
  <c r="G8134" i="23"/>
  <c r="G8122" i="23"/>
  <c r="G8110" i="23"/>
  <c r="G8098" i="23"/>
  <c r="G8086" i="23"/>
  <c r="G8074" i="23"/>
  <c r="G9994" i="23"/>
  <c r="G9971" i="23"/>
  <c r="G9947" i="23"/>
  <c r="G9926" i="23"/>
  <c r="G9905" i="23"/>
  <c r="G9881" i="23"/>
  <c r="G9863" i="23"/>
  <c r="G9842" i="23"/>
  <c r="G9818" i="23"/>
  <c r="G9797" i="23"/>
  <c r="G9779" i="23"/>
  <c r="G9755" i="23"/>
  <c r="G9734" i="23"/>
  <c r="G9717" i="23"/>
  <c r="G9697" i="23"/>
  <c r="G9675" i="23"/>
  <c r="G9658" i="23"/>
  <c r="G9638" i="23"/>
  <c r="G9621" i="23"/>
  <c r="G9993" i="23"/>
  <c r="G9960" i="23"/>
  <c r="G9925" i="23"/>
  <c r="G9897" i="23"/>
  <c r="G9862" i="23"/>
  <c r="G9831" i="23"/>
  <c r="G9796" i="23"/>
  <c r="G9768" i="23"/>
  <c r="G9733" i="23"/>
  <c r="G9707" i="23"/>
  <c r="G9674" i="23"/>
  <c r="G9650" i="23"/>
  <c r="G9617" i="23"/>
  <c r="G9592" i="23"/>
  <c r="G9569" i="23"/>
  <c r="G9541" i="23"/>
  <c r="G9516" i="23"/>
  <c r="G9493" i="23"/>
  <c r="G9465" i="23"/>
  <c r="G9442" i="23"/>
  <c r="G9417" i="23"/>
  <c r="G9386" i="23"/>
  <c r="G9363" i="23"/>
  <c r="G9338" i="23"/>
  <c r="G9312" i="23"/>
  <c r="G9287" i="23"/>
  <c r="G9264" i="23"/>
  <c r="G9233" i="23"/>
  <c r="G9208" i="23"/>
  <c r="G9185" i="23"/>
  <c r="G9157" i="23"/>
  <c r="G9132" i="23"/>
  <c r="G9109" i="23"/>
  <c r="G9081" i="23"/>
  <c r="G9058" i="23"/>
  <c r="G9033" i="23"/>
  <c r="G9004" i="23"/>
  <c r="G8985" i="23"/>
  <c r="G8966" i="23"/>
  <c r="G8946" i="23"/>
  <c r="G8927" i="23"/>
  <c r="G8910" i="23"/>
  <c r="G8888" i="23"/>
  <c r="G8869" i="23"/>
  <c r="G8852" i="23"/>
  <c r="G8830" i="23"/>
  <c r="G8811" i="23"/>
  <c r="G8794" i="23"/>
  <c r="G8772" i="23"/>
  <c r="G8755" i="23"/>
  <c r="G8738" i="23"/>
  <c r="G8720" i="23"/>
  <c r="G8705" i="23"/>
  <c r="G8690" i="23"/>
  <c r="G8672" i="23"/>
  <c r="G8657" i="23"/>
  <c r="G8642" i="23"/>
  <c r="G8624" i="23"/>
  <c r="G8609" i="23"/>
  <c r="G8594" i="23"/>
  <c r="G8577" i="23"/>
  <c r="G8563" i="23"/>
  <c r="G8549" i="23"/>
  <c r="G8536" i="23"/>
  <c r="G8523" i="23"/>
  <c r="G8510" i="23"/>
  <c r="G8497" i="23"/>
  <c r="G8484" i="23"/>
  <c r="G8471" i="23"/>
  <c r="G8457" i="23"/>
  <c r="G8444" i="23"/>
  <c r="G8431" i="23"/>
  <c r="G8418" i="23"/>
  <c r="G8405" i="23"/>
  <c r="G8392" i="23"/>
  <c r="G8379" i="23"/>
  <c r="G8366" i="23"/>
  <c r="G8353" i="23"/>
  <c r="G8340" i="23"/>
  <c r="G8327" i="23"/>
  <c r="G8313" i="23"/>
  <c r="G8300" i="23"/>
  <c r="G8287" i="23"/>
  <c r="G8274" i="23"/>
  <c r="G8261" i="23"/>
  <c r="G8248" i="23"/>
  <c r="G8235" i="23"/>
  <c r="G8222" i="23"/>
  <c r="G8209" i="23"/>
  <c r="G8196" i="23"/>
  <c r="G8183" i="23"/>
  <c r="G8169" i="23"/>
  <c r="G8156" i="23"/>
  <c r="G8143" i="23"/>
  <c r="G8130" i="23"/>
  <c r="G8117" i="23"/>
  <c r="G8104" i="23"/>
  <c r="G8091" i="23"/>
  <c r="G8078" i="23"/>
  <c r="G8065" i="23"/>
  <c r="G8053" i="23"/>
  <c r="G8041" i="23"/>
  <c r="G8029" i="23"/>
  <c r="G8017" i="23"/>
  <c r="G8005" i="23"/>
  <c r="G7993" i="23"/>
  <c r="G7981" i="23"/>
  <c r="G7969" i="23"/>
  <c r="G7957" i="23"/>
  <c r="G7945" i="23"/>
  <c r="G7933" i="23"/>
  <c r="G7921" i="23"/>
  <c r="G7909" i="23"/>
  <c r="G7897" i="23"/>
  <c r="G7885" i="23"/>
  <c r="G7873" i="23"/>
  <c r="G7861" i="23"/>
  <c r="G7849" i="23"/>
  <c r="G7837" i="23"/>
  <c r="G7825" i="23"/>
  <c r="G7813" i="23"/>
  <c r="G7801" i="23"/>
  <c r="G7789" i="23"/>
  <c r="G7777" i="23"/>
  <c r="G7765" i="23"/>
  <c r="G7753" i="23"/>
  <c r="G7741" i="23"/>
  <c r="G7729" i="23"/>
  <c r="G7717" i="23"/>
  <c r="G7705" i="23"/>
  <c r="G7693" i="23"/>
  <c r="G7681" i="23"/>
  <c r="G7669" i="23"/>
  <c r="G7657" i="23"/>
  <c r="G7645" i="23"/>
  <c r="G7633" i="23"/>
  <c r="G7621" i="23"/>
  <c r="G7609" i="23"/>
  <c r="G7597" i="23"/>
  <c r="G7585" i="23"/>
  <c r="G7573" i="23"/>
  <c r="G7561" i="23"/>
  <c r="G7549" i="23"/>
  <c r="G7537" i="23"/>
  <c r="G7525" i="23"/>
  <c r="G7513" i="23"/>
  <c r="G7501" i="23"/>
  <c r="G7489" i="23"/>
  <c r="G7477" i="23"/>
  <c r="G7465" i="23"/>
  <c r="G7453" i="23"/>
  <c r="G7441" i="23"/>
  <c r="G7429" i="23"/>
  <c r="G7417" i="23"/>
  <c r="G7405" i="23"/>
  <c r="G7393" i="23"/>
  <c r="G7381" i="23"/>
  <c r="G7369" i="23"/>
  <c r="G7357" i="23"/>
  <c r="G7345" i="23"/>
  <c r="G7333" i="23"/>
  <c r="G7321" i="23"/>
  <c r="G7309" i="23"/>
  <c r="G7297" i="23"/>
  <c r="G7285" i="23"/>
  <c r="G9988" i="23"/>
  <c r="G9959" i="23"/>
  <c r="G9924" i="23"/>
  <c r="G9893" i="23"/>
  <c r="G9861" i="23"/>
  <c r="G9830" i="23"/>
  <c r="G9795" i="23"/>
  <c r="G9767" i="23"/>
  <c r="G9732" i="23"/>
  <c r="G9706" i="23"/>
  <c r="G9673" i="23"/>
  <c r="G9649" i="23"/>
  <c r="G9616" i="23"/>
  <c r="G9591" i="23"/>
  <c r="G9568" i="23"/>
  <c r="G9540" i="23"/>
  <c r="G9515" i="23"/>
  <c r="G9492" i="23"/>
  <c r="G9461" i="23"/>
  <c r="G9441" i="23"/>
  <c r="G9413" i="23"/>
  <c r="G9385" i="23"/>
  <c r="G9362" i="23"/>
  <c r="G9337" i="23"/>
  <c r="G9309" i="23"/>
  <c r="G9286" i="23"/>
  <c r="G9261" i="23"/>
  <c r="G9232" i="23"/>
  <c r="G9207" i="23"/>
  <c r="G9184" i="23"/>
  <c r="G9156" i="23"/>
  <c r="G9131" i="23"/>
  <c r="G9108" i="23"/>
  <c r="G9077" i="23"/>
  <c r="G9057" i="23"/>
  <c r="G9029" i="23"/>
  <c r="G9003" i="23"/>
  <c r="G8984" i="23"/>
  <c r="G8965" i="23"/>
  <c r="G8943" i="23"/>
  <c r="G8926" i="23"/>
  <c r="G8907" i="23"/>
  <c r="G8887" i="23"/>
  <c r="G8868" i="23"/>
  <c r="G8851" i="23"/>
  <c r="G8829" i="23"/>
  <c r="G8810" i="23"/>
  <c r="G8793" i="23"/>
  <c r="G8771" i="23"/>
  <c r="G8754" i="23"/>
  <c r="G8737" i="23"/>
  <c r="G8719" i="23"/>
  <c r="G8704" i="23"/>
  <c r="G8689" i="23"/>
  <c r="G8671" i="23"/>
  <c r="G8656" i="23"/>
  <c r="G8641" i="23"/>
  <c r="G8623" i="23"/>
  <c r="G8608" i="23"/>
  <c r="G8593" i="23"/>
  <c r="G8576" i="23"/>
  <c r="G8562" i="23"/>
  <c r="G8548" i="23"/>
  <c r="G8535" i="23"/>
  <c r="G8522" i="23"/>
  <c r="G8509" i="23"/>
  <c r="G8496" i="23"/>
  <c r="G8483" i="23"/>
  <c r="G8469" i="23"/>
  <c r="G8456" i="23"/>
  <c r="G8443" i="23"/>
  <c r="G8430" i="23"/>
  <c r="G8417" i="23"/>
  <c r="G8404" i="23"/>
  <c r="G8391" i="23"/>
  <c r="G8378" i="23"/>
  <c r="G8365" i="23"/>
  <c r="G8352" i="23"/>
  <c r="G8339" i="23"/>
  <c r="G8325" i="23"/>
  <c r="G8312" i="23"/>
  <c r="G8299" i="23"/>
  <c r="G9987" i="23"/>
  <c r="G9958" i="23"/>
  <c r="G9923" i="23"/>
  <c r="G9892" i="23"/>
  <c r="G9857" i="23"/>
  <c r="G9829" i="23"/>
  <c r="G9794" i="23"/>
  <c r="G9766" i="23"/>
  <c r="G9731" i="23"/>
  <c r="G9705" i="23"/>
  <c r="G9672" i="23"/>
  <c r="G9648" i="23"/>
  <c r="G9615" i="23"/>
  <c r="G9590" i="23"/>
  <c r="G9562" i="23"/>
  <c r="G9539" i="23"/>
  <c r="G9514" i="23"/>
  <c r="G9483" i="23"/>
  <c r="G9460" i="23"/>
  <c r="G9435" i="23"/>
  <c r="G9409" i="23"/>
  <c r="G9384" i="23"/>
  <c r="G9361" i="23"/>
  <c r="G9333" i="23"/>
  <c r="G9305" i="23"/>
  <c r="G9285" i="23"/>
  <c r="G9254" i="23"/>
  <c r="G9231" i="23"/>
  <c r="G9206" i="23"/>
  <c r="G9178" i="23"/>
  <c r="G9155" i="23"/>
  <c r="G9130" i="23"/>
  <c r="G9099" i="23"/>
  <c r="G9076" i="23"/>
  <c r="G9051" i="23"/>
  <c r="G9025" i="23"/>
  <c r="G9002" i="23"/>
  <c r="G8983" i="23"/>
  <c r="G8961" i="23"/>
  <c r="G8942" i="23"/>
  <c r="G8925" i="23"/>
  <c r="G8903" i="23"/>
  <c r="G8886" i="23"/>
  <c r="G8867" i="23"/>
  <c r="G8845" i="23"/>
  <c r="G8828" i="23"/>
  <c r="G8809" i="23"/>
  <c r="G8787" i="23"/>
  <c r="G8770" i="23"/>
  <c r="G8752" i="23"/>
  <c r="G8733" i="23"/>
  <c r="G8718" i="23"/>
  <c r="G8703" i="23"/>
  <c r="G8685" i="23"/>
  <c r="G8670" i="23"/>
  <c r="G8655" i="23"/>
  <c r="G8637" i="23"/>
  <c r="G8622" i="23"/>
  <c r="G8607" i="23"/>
  <c r="G8589" i="23"/>
  <c r="G8575" i="23"/>
  <c r="G8561" i="23"/>
  <c r="G8547" i="23"/>
  <c r="G8534" i="23"/>
  <c r="G8521" i="23"/>
  <c r="G8508" i="23"/>
  <c r="G8495" i="23"/>
  <c r="G8481" i="23"/>
  <c r="G8468" i="23"/>
  <c r="G8455" i="23"/>
  <c r="G8442" i="23"/>
  <c r="G8429" i="23"/>
  <c r="G8416" i="23"/>
  <c r="G8403" i="23"/>
  <c r="G8390" i="23"/>
  <c r="G8377" i="23"/>
  <c r="G8364" i="23"/>
  <c r="G8351" i="23"/>
  <c r="G8337" i="23"/>
  <c r="G8324" i="23"/>
  <c r="G8311" i="23"/>
  <c r="G8298" i="23"/>
  <c r="G8285" i="23"/>
  <c r="G8272" i="23"/>
  <c r="G8259" i="23"/>
  <c r="G8246" i="23"/>
  <c r="G8233" i="23"/>
  <c r="G8220" i="23"/>
  <c r="G8207" i="23"/>
  <c r="G8193" i="23"/>
  <c r="G8180" i="23"/>
  <c r="G8167" i="23"/>
  <c r="G8154" i="23"/>
  <c r="G8141" i="23"/>
  <c r="G8128" i="23"/>
  <c r="G8115" i="23"/>
  <c r="G8102" i="23"/>
  <c r="G8089" i="23"/>
  <c r="G8076" i="23"/>
  <c r="G8063" i="23"/>
  <c r="G8051" i="23"/>
  <c r="G8039" i="23"/>
  <c r="G8027" i="23"/>
  <c r="G8015" i="23"/>
  <c r="G8003" i="23"/>
  <c r="G7991" i="23"/>
  <c r="G7979" i="23"/>
  <c r="G7967" i="23"/>
  <c r="G7955" i="23"/>
  <c r="G7943" i="23"/>
  <c r="G7931" i="23"/>
  <c r="G7919" i="23"/>
  <c r="G7907" i="23"/>
  <c r="G7895" i="23"/>
  <c r="G7883" i="23"/>
  <c r="G7871" i="23"/>
  <c r="G7859" i="23"/>
  <c r="G7847" i="23"/>
  <c r="G7835" i="23"/>
  <c r="G7823" i="23"/>
  <c r="G7811" i="23"/>
  <c r="G7799" i="23"/>
  <c r="G7787" i="23"/>
  <c r="G7775" i="23"/>
  <c r="G7763" i="23"/>
  <c r="G7751" i="23"/>
  <c r="G7739" i="23"/>
  <c r="G7727" i="23"/>
  <c r="G7715" i="23"/>
  <c r="G7703" i="23"/>
  <c r="G7691" i="23"/>
  <c r="G7679" i="23"/>
  <c r="G7667" i="23"/>
  <c r="G7655" i="23"/>
  <c r="G7643" i="23"/>
  <c r="G7631" i="23"/>
  <c r="G7619" i="23"/>
  <c r="G7607" i="23"/>
  <c r="G7595" i="23"/>
  <c r="G7583" i="23"/>
  <c r="G7571" i="23"/>
  <c r="G7559" i="23"/>
  <c r="G7547" i="23"/>
  <c r="G7535" i="23"/>
  <c r="G7523" i="23"/>
  <c r="G7511" i="23"/>
  <c r="G7499" i="23"/>
  <c r="G7487" i="23"/>
  <c r="G7475" i="23"/>
  <c r="G7463" i="23"/>
  <c r="G7451" i="23"/>
  <c r="G7439" i="23"/>
  <c r="G7427" i="23"/>
  <c r="G7415" i="23"/>
  <c r="G7403" i="23"/>
  <c r="G7391" i="23"/>
  <c r="G7379" i="23"/>
  <c r="G7367" i="23"/>
  <c r="G7355" i="23"/>
  <c r="G7343" i="23"/>
  <c r="G7331" i="23"/>
  <c r="G7319" i="23"/>
  <c r="G7307" i="23"/>
  <c r="G7295" i="23"/>
  <c r="G7283" i="23"/>
  <c r="G7271" i="23"/>
  <c r="G7259" i="23"/>
  <c r="G7247" i="23"/>
  <c r="G7235" i="23"/>
  <c r="G7223" i="23"/>
  <c r="G9986" i="23"/>
  <c r="G9957" i="23"/>
  <c r="G9922" i="23"/>
  <c r="G9891" i="23"/>
  <c r="G9856" i="23"/>
  <c r="G9828" i="23"/>
  <c r="G9793" i="23"/>
  <c r="G9765" i="23"/>
  <c r="G9730" i="23"/>
  <c r="G9701" i="23"/>
  <c r="G9671" i="23"/>
  <c r="G9645" i="23"/>
  <c r="G9612" i="23"/>
  <c r="G9589" i="23"/>
  <c r="G9561" i="23"/>
  <c r="G9538" i="23"/>
  <c r="G9513" i="23"/>
  <c r="G9482" i="23"/>
  <c r="G9459" i="23"/>
  <c r="G9434" i="23"/>
  <c r="G9408" i="23"/>
  <c r="G9383" i="23"/>
  <c r="G9360" i="23"/>
  <c r="G9329" i="23"/>
  <c r="G9304" i="23"/>
  <c r="G9281" i="23"/>
  <c r="G9253" i="23"/>
  <c r="G9228" i="23"/>
  <c r="G9205" i="23"/>
  <c r="G9177" i="23"/>
  <c r="G9154" i="23"/>
  <c r="G9129" i="23"/>
  <c r="G9098" i="23"/>
  <c r="G9075" i="23"/>
  <c r="G9050" i="23"/>
  <c r="G9024" i="23"/>
  <c r="G9001" i="23"/>
  <c r="G8982" i="23"/>
  <c r="G8960" i="23"/>
  <c r="G8941" i="23"/>
  <c r="G8924" i="23"/>
  <c r="G8902" i="23"/>
  <c r="G8883" i="23"/>
  <c r="G8866" i="23"/>
  <c r="G8844" i="23"/>
  <c r="G9985" i="23"/>
  <c r="G9939" i="23"/>
  <c r="G9880" i="23"/>
  <c r="G9841" i="23"/>
  <c r="G9792" i="23"/>
  <c r="G9747" i="23"/>
  <c r="G9696" i="23"/>
  <c r="G9657" i="23"/>
  <c r="G9611" i="23"/>
  <c r="G9576" i="23"/>
  <c r="G9537" i="23"/>
  <c r="G9497" i="23"/>
  <c r="G9458" i="23"/>
  <c r="G9423" i="23"/>
  <c r="G9382" i="23"/>
  <c r="G9347" i="23"/>
  <c r="G9303" i="23"/>
  <c r="G9268" i="23"/>
  <c r="G9227" i="23"/>
  <c r="G9192" i="23"/>
  <c r="G9153" i="23"/>
  <c r="G9113" i="23"/>
  <c r="G9074" i="23"/>
  <c r="G9039" i="23"/>
  <c r="G9000" i="23"/>
  <c r="G8972" i="23"/>
  <c r="G8940" i="23"/>
  <c r="G8914" i="23"/>
  <c r="G8882" i="23"/>
  <c r="G8856" i="23"/>
  <c r="G8827" i="23"/>
  <c r="G8802" i="23"/>
  <c r="G8780" i="23"/>
  <c r="G8751" i="23"/>
  <c r="G8729" i="23"/>
  <c r="G8708" i="23"/>
  <c r="G8684" i="23"/>
  <c r="G8666" i="23"/>
  <c r="G8645" i="23"/>
  <c r="G8621" i="23"/>
  <c r="G8600" i="23"/>
  <c r="G8582" i="23"/>
  <c r="G8560" i="23"/>
  <c r="G8543" i="23"/>
  <c r="G8526" i="23"/>
  <c r="G8507" i="23"/>
  <c r="G8490" i="23"/>
  <c r="G8474" i="23"/>
  <c r="G8454" i="23"/>
  <c r="G8438" i="23"/>
  <c r="G8421" i="23"/>
  <c r="G8402" i="23"/>
  <c r="G8385" i="23"/>
  <c r="G8369" i="23"/>
  <c r="G8349" i="23"/>
  <c r="G8333" i="23"/>
  <c r="G8317" i="23"/>
  <c r="G8297" i="23"/>
  <c r="G8282" i="23"/>
  <c r="G8267" i="23"/>
  <c r="G8251" i="23"/>
  <c r="G8236" i="23"/>
  <c r="G8219" i="23"/>
  <c r="G8203" i="23"/>
  <c r="G8188" i="23"/>
  <c r="G8173" i="23"/>
  <c r="G8157" i="23"/>
  <c r="G8140" i="23"/>
  <c r="G8125" i="23"/>
  <c r="G8109" i="23"/>
  <c r="G8094" i="23"/>
  <c r="G8079" i="23"/>
  <c r="G8062" i="23"/>
  <c r="G8048" i="23"/>
  <c r="G8034" i="23"/>
  <c r="G8020" i="23"/>
  <c r="G8006" i="23"/>
  <c r="G7990" i="23"/>
  <c r="G7976" i="23"/>
  <c r="G7962" i="23"/>
  <c r="G7948" i="23"/>
  <c r="G7934" i="23"/>
  <c r="G7918" i="23"/>
  <c r="G7904" i="23"/>
  <c r="G7890" i="23"/>
  <c r="G7876" i="23"/>
  <c r="G7862" i="23"/>
  <c r="G7846" i="23"/>
  <c r="G7832" i="23"/>
  <c r="G7818" i="23"/>
  <c r="G7804" i="23"/>
  <c r="G7790" i="23"/>
  <c r="G7774" i="23"/>
  <c r="G7760" i="23"/>
  <c r="G7746" i="23"/>
  <c r="G7732" i="23"/>
  <c r="G7718" i="23"/>
  <c r="G7702" i="23"/>
  <c r="G7688" i="23"/>
  <c r="G7674" i="23"/>
  <c r="G7660" i="23"/>
  <c r="G7646" i="23"/>
  <c r="G7630" i="23"/>
  <c r="G7616" i="23"/>
  <c r="G7602" i="23"/>
  <c r="G7588" i="23"/>
  <c r="G7574" i="23"/>
  <c r="G7558" i="23"/>
  <c r="G7544" i="23"/>
  <c r="G7530" i="23"/>
  <c r="G7516" i="23"/>
  <c r="G7502" i="23"/>
  <c r="G7486" i="23"/>
  <c r="G7472" i="23"/>
  <c r="G7458" i="23"/>
  <c r="G7444" i="23"/>
  <c r="G7430" i="23"/>
  <c r="G7414" i="23"/>
  <c r="G7400" i="23"/>
  <c r="G7386" i="23"/>
  <c r="G7372" i="23"/>
  <c r="G7358" i="23"/>
  <c r="G7342" i="23"/>
  <c r="G7328" i="23"/>
  <c r="G7314" i="23"/>
  <c r="G7300" i="23"/>
  <c r="G7286" i="23"/>
  <c r="G7272" i="23"/>
  <c r="G7258" i="23"/>
  <c r="G7245" i="23"/>
  <c r="G7232" i="23"/>
  <c r="G7219" i="23"/>
  <c r="G7207" i="23"/>
  <c r="G7195" i="23"/>
  <c r="G7183" i="23"/>
  <c r="G7171" i="23"/>
  <c r="G7159" i="23"/>
  <c r="G7147" i="23"/>
  <c r="G7135" i="23"/>
  <c r="G7123" i="23"/>
  <c r="G7111" i="23"/>
  <c r="G7099" i="23"/>
  <c r="G7087" i="23"/>
  <c r="G7075" i="23"/>
  <c r="G7063" i="23"/>
  <c r="G7051" i="23"/>
  <c r="G7039" i="23"/>
  <c r="G7027" i="23"/>
  <c r="G7015" i="23"/>
  <c r="G7003" i="23"/>
  <c r="G6991" i="23"/>
  <c r="G6979" i="23"/>
  <c r="G6967" i="23"/>
  <c r="G6955" i="23"/>
  <c r="G6943" i="23"/>
  <c r="G6931" i="23"/>
  <c r="G6919" i="23"/>
  <c r="G6907" i="23"/>
  <c r="G6895" i="23"/>
  <c r="G6883" i="23"/>
  <c r="G6871" i="23"/>
  <c r="G6859" i="23"/>
  <c r="G6847" i="23"/>
  <c r="G6835" i="23"/>
  <c r="G6823" i="23"/>
  <c r="G6811" i="23"/>
  <c r="G6799" i="23"/>
  <c r="G6787" i="23"/>
  <c r="G6775" i="23"/>
  <c r="G6763" i="23"/>
  <c r="G9981" i="23"/>
  <c r="G9938" i="23"/>
  <c r="G9879" i="23"/>
  <c r="G9840" i="23"/>
  <c r="G9785" i="23"/>
  <c r="G9746" i="23"/>
  <c r="G9693" i="23"/>
  <c r="G9653" i="23"/>
  <c r="G9610" i="23"/>
  <c r="G9575" i="23"/>
  <c r="G9531" i="23"/>
  <c r="G9496" i="23"/>
  <c r="G9457" i="23"/>
  <c r="G9420" i="23"/>
  <c r="G9381" i="23"/>
  <c r="G9346" i="23"/>
  <c r="G9302" i="23"/>
  <c r="G9267" i="23"/>
  <c r="G9226" i="23"/>
  <c r="G9191" i="23"/>
  <c r="G9147" i="23"/>
  <c r="G9112" i="23"/>
  <c r="G9073" i="23"/>
  <c r="G9036" i="23"/>
  <c r="G8999" i="23"/>
  <c r="G8971" i="23"/>
  <c r="G8939" i="23"/>
  <c r="G8913" i="23"/>
  <c r="G8881" i="23"/>
  <c r="G8855" i="23"/>
  <c r="G8826" i="23"/>
  <c r="G8799" i="23"/>
  <c r="G8779" i="23"/>
  <c r="G8750" i="23"/>
  <c r="G8728" i="23"/>
  <c r="G8707" i="23"/>
  <c r="G8683" i="23"/>
  <c r="G8665" i="23"/>
  <c r="G8644" i="23"/>
  <c r="G8620" i="23"/>
  <c r="G8599" i="23"/>
  <c r="G8581" i="23"/>
  <c r="G8559" i="23"/>
  <c r="G8541" i="23"/>
  <c r="G8525" i="23"/>
  <c r="G8505" i="23"/>
  <c r="G8489" i="23"/>
  <c r="G8473" i="23"/>
  <c r="G8453" i="23"/>
  <c r="G8437" i="23"/>
  <c r="G8420" i="23"/>
  <c r="G8401" i="23"/>
  <c r="G8384" i="23"/>
  <c r="G8368" i="23"/>
  <c r="G8348" i="23"/>
  <c r="G8332" i="23"/>
  <c r="G8316" i="23"/>
  <c r="G8296" i="23"/>
  <c r="G8281" i="23"/>
  <c r="G8265" i="23"/>
  <c r="G8250" i="23"/>
  <c r="G8234" i="23"/>
  <c r="G8217" i="23"/>
  <c r="G9976" i="23"/>
  <c r="G9937" i="23"/>
  <c r="G9878" i="23"/>
  <c r="G9833" i="23"/>
  <c r="G9784" i="23"/>
  <c r="G9745" i="23"/>
  <c r="G9689" i="23"/>
  <c r="G9652" i="23"/>
  <c r="G9609" i="23"/>
  <c r="G9574" i="23"/>
  <c r="G9530" i="23"/>
  <c r="G9495" i="23"/>
  <c r="G9456" i="23"/>
  <c r="G9419" i="23"/>
  <c r="G9377" i="23"/>
  <c r="G9345" i="23"/>
  <c r="G9301" i="23"/>
  <c r="G9266" i="23"/>
  <c r="G9225" i="23"/>
  <c r="G9190" i="23"/>
  <c r="G9146" i="23"/>
  <c r="G9111" i="23"/>
  <c r="G9975" i="23"/>
  <c r="G9936" i="23"/>
  <c r="G9877" i="23"/>
  <c r="G9832" i="23"/>
  <c r="G9783" i="23"/>
  <c r="G9744" i="23"/>
  <c r="G9688" i="23"/>
  <c r="G9651" i="23"/>
  <c r="G9605" i="23"/>
  <c r="G9573" i="23"/>
  <c r="G9529" i="23"/>
  <c r="G9494" i="23"/>
  <c r="G9453" i="23"/>
  <c r="G9418" i="23"/>
  <c r="G9376" i="23"/>
  <c r="G9339" i="23"/>
  <c r="G9300" i="23"/>
  <c r="G9265" i="23"/>
  <c r="G9221" i="23"/>
  <c r="G9189" i="23"/>
  <c r="G9145" i="23"/>
  <c r="G9110" i="23"/>
  <c r="G9069" i="23"/>
  <c r="G9034" i="23"/>
  <c r="G8997" i="23"/>
  <c r="G8967" i="23"/>
  <c r="G8937" i="23"/>
  <c r="G8911" i="23"/>
  <c r="G8879" i="23"/>
  <c r="G8853" i="23"/>
  <c r="G8822" i="23"/>
  <c r="G8797" i="23"/>
  <c r="G8769" i="23"/>
  <c r="G8745" i="23"/>
  <c r="G8726" i="23"/>
  <c r="G8702" i="23"/>
  <c r="G8681" i="23"/>
  <c r="G8660" i="23"/>
  <c r="G8636" i="23"/>
  <c r="G8618" i="23"/>
  <c r="G8597" i="23"/>
  <c r="G8574" i="23"/>
  <c r="G8557" i="23"/>
  <c r="G8539" i="23"/>
  <c r="G8520" i="23"/>
  <c r="G8503" i="23"/>
  <c r="G8487" i="23"/>
  <c r="G8467" i="23"/>
  <c r="G8451" i="23"/>
  <c r="G8435" i="23"/>
  <c r="G8415" i="23"/>
  <c r="G8399" i="23"/>
  <c r="G8382" i="23"/>
  <c r="G8363" i="23"/>
  <c r="G8346" i="23"/>
  <c r="G8330" i="23"/>
  <c r="G8310" i="23"/>
  <c r="G8294" i="23"/>
  <c r="G8279" i="23"/>
  <c r="G8263" i="23"/>
  <c r="G8247" i="23"/>
  <c r="G8231" i="23"/>
  <c r="G8215" i="23"/>
  <c r="G8200" i="23"/>
  <c r="G8185" i="23"/>
  <c r="G9970" i="23"/>
  <c r="G9904" i="23"/>
  <c r="G9817" i="23"/>
  <c r="G9754" i="23"/>
  <c r="G9687" i="23"/>
  <c r="G9633" i="23"/>
  <c r="G9557" i="23"/>
  <c r="G9509" i="23"/>
  <c r="G9446" i="23"/>
  <c r="G9398" i="23"/>
  <c r="G9328" i="23"/>
  <c r="G9280" i="23"/>
  <c r="G9217" i="23"/>
  <c r="G9169" i="23"/>
  <c r="G9097" i="23"/>
  <c r="G9059" i="23"/>
  <c r="G9013" i="23"/>
  <c r="G8959" i="23"/>
  <c r="G8928" i="23"/>
  <c r="G8893" i="23"/>
  <c r="G8843" i="23"/>
  <c r="G8815" i="23"/>
  <c r="G8782" i="23"/>
  <c r="G8744" i="23"/>
  <c r="G8716" i="23"/>
  <c r="G8692" i="23"/>
  <c r="G8659" i="23"/>
  <c r="G8632" i="23"/>
  <c r="G8605" i="23"/>
  <c r="G8573" i="23"/>
  <c r="G8551" i="23"/>
  <c r="G8528" i="23"/>
  <c r="G8502" i="23"/>
  <c r="G8479" i="23"/>
  <c r="G8460" i="23"/>
  <c r="G9962" i="23"/>
  <c r="G9899" i="23"/>
  <c r="G9815" i="23"/>
  <c r="G9749" i="23"/>
  <c r="G9685" i="23"/>
  <c r="G9626" i="23"/>
  <c r="G9555" i="23"/>
  <c r="G9504" i="23"/>
  <c r="G9444" i="23"/>
  <c r="G9396" i="23"/>
  <c r="G9324" i="23"/>
  <c r="G9273" i="23"/>
  <c r="G9213" i="23"/>
  <c r="G9165" i="23"/>
  <c r="G9095" i="23"/>
  <c r="G9045" i="23"/>
  <c r="G8998" i="23"/>
  <c r="G8955" i="23"/>
  <c r="G8917" i="23"/>
  <c r="G8880" i="23"/>
  <c r="G8841" i="23"/>
  <c r="G8808" i="23"/>
  <c r="G8773" i="23"/>
  <c r="G8742" i="23"/>
  <c r="G8714" i="23"/>
  <c r="G8682" i="23"/>
  <c r="G8654" i="23"/>
  <c r="G8630" i="23"/>
  <c r="G8598" i="23"/>
  <c r="G8571" i="23"/>
  <c r="G8546" i="23"/>
  <c r="G8524" i="23"/>
  <c r="G8500" i="23"/>
  <c r="G8477" i="23"/>
  <c r="G8452" i="23"/>
  <c r="G8428" i="23"/>
  <c r="G8408" i="23"/>
  <c r="G8383" i="23"/>
  <c r="G8359" i="23"/>
  <c r="G8336" i="23"/>
  <c r="G8315" i="23"/>
  <c r="G8291" i="23"/>
  <c r="G8270" i="23"/>
  <c r="G8249" i="23"/>
  <c r="G8227" i="23"/>
  <c r="G8208" i="23"/>
  <c r="G8189" i="23"/>
  <c r="G8171" i="23"/>
  <c r="G8152" i="23"/>
  <c r="G8136" i="23"/>
  <c r="G8119" i="23"/>
  <c r="G8101" i="23"/>
  <c r="G8084" i="23"/>
  <c r="G8068" i="23"/>
  <c r="G8052" i="23"/>
  <c r="G8036" i="23"/>
  <c r="G8021" i="23"/>
  <c r="G8004" i="23"/>
  <c r="G7988" i="23"/>
  <c r="G7973" i="23"/>
  <c r="G7958" i="23"/>
  <c r="G7941" i="23"/>
  <c r="G7926" i="23"/>
  <c r="G7911" i="23"/>
  <c r="G7894" i="23"/>
  <c r="G7879" i="23"/>
  <c r="G7864" i="23"/>
  <c r="G7848" i="23"/>
  <c r="G7831" i="23"/>
  <c r="G7816" i="23"/>
  <c r="G7800" i="23"/>
  <c r="G7784" i="23"/>
  <c r="G7769" i="23"/>
  <c r="G7754" i="23"/>
  <c r="G7737" i="23"/>
  <c r="G7722" i="23"/>
  <c r="G7707" i="23"/>
  <c r="G7690" i="23"/>
  <c r="G7675" i="23"/>
  <c r="G7659" i="23"/>
  <c r="G7642" i="23"/>
  <c r="G7627" i="23"/>
  <c r="G7612" i="23"/>
  <c r="G7596" i="23"/>
  <c r="G7580" i="23"/>
  <c r="G7565" i="23"/>
  <c r="G7550" i="23"/>
  <c r="G7533" i="23"/>
  <c r="G7518" i="23"/>
  <c r="G7503" i="23"/>
  <c r="G7485" i="23"/>
  <c r="G7470" i="23"/>
  <c r="G7455" i="23"/>
  <c r="G7438" i="23"/>
  <c r="G7423" i="23"/>
  <c r="G7408" i="23"/>
  <c r="G7392" i="23"/>
  <c r="G9961" i="23"/>
  <c r="G9898" i="23"/>
  <c r="G9814" i="23"/>
  <c r="G9748" i="23"/>
  <c r="G9684" i="23"/>
  <c r="G9625" i="23"/>
  <c r="G9554" i="23"/>
  <c r="G9501" i="23"/>
  <c r="G9443" i="23"/>
  <c r="G9387" i="23"/>
  <c r="G9323" i="23"/>
  <c r="G9269" i="23"/>
  <c r="G9209" i="23"/>
  <c r="G9158" i="23"/>
  <c r="G9094" i="23"/>
  <c r="G9041" i="23"/>
  <c r="G8989" i="23"/>
  <c r="G8954" i="23"/>
  <c r="G8916" i="23"/>
  <c r="G8875" i="23"/>
  <c r="G8840" i="23"/>
  <c r="G8807" i="23"/>
  <c r="G8768" i="23"/>
  <c r="G8740" i="23"/>
  <c r="G8713" i="23"/>
  <c r="G8680" i="23"/>
  <c r="G8653" i="23"/>
  <c r="G8629" i="23"/>
  <c r="G8596" i="23"/>
  <c r="G8570" i="23"/>
  <c r="G8545" i="23"/>
  <c r="G8519" i="23"/>
  <c r="G8499" i="23"/>
  <c r="G8476" i="23"/>
  <c r="G8450" i="23"/>
  <c r="G8427" i="23"/>
  <c r="G8407" i="23"/>
  <c r="G8381" i="23"/>
  <c r="G8358" i="23"/>
  <c r="G8335" i="23"/>
  <c r="G8309" i="23"/>
  <c r="G8289" i="23"/>
  <c r="G8269" i="23"/>
  <c r="G8245" i="23"/>
  <c r="G8226" i="23"/>
  <c r="G8205" i="23"/>
  <c r="G8187" i="23"/>
  <c r="G8168" i="23"/>
  <c r="G8151" i="23"/>
  <c r="G8135" i="23"/>
  <c r="G8118" i="23"/>
  <c r="G8100" i="23"/>
  <c r="G8083" i="23"/>
  <c r="G8067" i="23"/>
  <c r="G8050" i="23"/>
  <c r="G8035" i="23"/>
  <c r="G8019" i="23"/>
  <c r="G8002" i="23"/>
  <c r="G7987" i="23"/>
  <c r="G7972" i="23"/>
  <c r="G7956" i="23"/>
  <c r="G7940" i="23"/>
  <c r="G7925" i="23"/>
  <c r="G7910" i="23"/>
  <c r="G7893" i="23"/>
  <c r="G7878" i="23"/>
  <c r="G7863" i="23"/>
  <c r="G7845" i="23"/>
  <c r="G7830" i="23"/>
  <c r="G7815" i="23"/>
  <c r="G7798" i="23"/>
  <c r="G7783" i="23"/>
  <c r="G7768" i="23"/>
  <c r="G7752" i="23"/>
  <c r="G7736" i="23"/>
  <c r="G7721" i="23"/>
  <c r="G7706" i="23"/>
  <c r="G7689" i="23"/>
  <c r="G7673" i="23"/>
  <c r="G7658" i="23"/>
  <c r="G7641" i="23"/>
  <c r="G7626" i="23"/>
  <c r="G7611" i="23"/>
  <c r="G7594" i="23"/>
  <c r="G7579" i="23"/>
  <c r="G9946" i="23"/>
  <c r="G9876" i="23"/>
  <c r="G9813" i="23"/>
  <c r="G9729" i="23"/>
  <c r="G9670" i="23"/>
  <c r="G9601" i="23"/>
  <c r="G9969" i="23"/>
  <c r="G9855" i="23"/>
  <c r="G9753" i="23"/>
  <c r="G9637" i="23"/>
  <c r="G9556" i="23"/>
  <c r="G9479" i="23"/>
  <c r="G9401" i="23"/>
  <c r="G9327" i="23"/>
  <c r="G9250" i="23"/>
  <c r="G9172" i="23"/>
  <c r="G9096" i="23"/>
  <c r="G9021" i="23"/>
  <c r="G8974" i="23"/>
  <c r="G8923" i="23"/>
  <c r="G8870" i="23"/>
  <c r="G8821" i="23"/>
  <c r="G8781" i="23"/>
  <c r="G8731" i="23"/>
  <c r="G8695" i="23"/>
  <c r="G8658" i="23"/>
  <c r="G8617" i="23"/>
  <c r="G8584" i="23"/>
  <c r="G8550" i="23"/>
  <c r="G8515" i="23"/>
  <c r="G8486" i="23"/>
  <c r="G8459" i="23"/>
  <c r="G8425" i="23"/>
  <c r="G8396" i="23"/>
  <c r="G8371" i="23"/>
  <c r="G8343" i="23"/>
  <c r="G8318" i="23"/>
  <c r="G8286" i="23"/>
  <c r="G8260" i="23"/>
  <c r="G8238" i="23"/>
  <c r="G8212" i="23"/>
  <c r="G8190" i="23"/>
  <c r="G8165" i="23"/>
  <c r="G8147" i="23"/>
  <c r="G8126" i="23"/>
  <c r="G8106" i="23"/>
  <c r="G8085" i="23"/>
  <c r="G8064" i="23"/>
  <c r="G8045" i="23"/>
  <c r="G8026" i="23"/>
  <c r="G8009" i="23"/>
  <c r="G7989" i="23"/>
  <c r="G7970" i="23"/>
  <c r="G7951" i="23"/>
  <c r="G7932" i="23"/>
  <c r="G7914" i="23"/>
  <c r="G7896" i="23"/>
  <c r="G7875" i="23"/>
  <c r="G7856" i="23"/>
  <c r="G7839" i="23"/>
  <c r="G7820" i="23"/>
  <c r="G7802" i="23"/>
  <c r="G7781" i="23"/>
  <c r="G7762" i="23"/>
  <c r="G7744" i="23"/>
  <c r="G7725" i="23"/>
  <c r="G7708" i="23"/>
  <c r="G7686" i="23"/>
  <c r="G7668" i="23"/>
  <c r="G7650" i="23"/>
  <c r="G7632" i="23"/>
  <c r="G7613" i="23"/>
  <c r="G7592" i="23"/>
  <c r="G7575" i="23"/>
  <c r="G7556" i="23"/>
  <c r="G7540" i="23"/>
  <c r="G7522" i="23"/>
  <c r="G7506" i="23"/>
  <c r="G7490" i="23"/>
  <c r="G7471" i="23"/>
  <c r="G7454" i="23"/>
  <c r="G7436" i="23"/>
  <c r="G7420" i="23"/>
  <c r="G7402" i="23"/>
  <c r="G7385" i="23"/>
  <c r="G7370" i="23"/>
  <c r="G7353" i="23"/>
  <c r="G7338" i="23"/>
  <c r="G7323" i="23"/>
  <c r="G7306" i="23"/>
  <c r="G7291" i="23"/>
  <c r="G7276" i="23"/>
  <c r="G7262" i="23"/>
  <c r="G7248" i="23"/>
  <c r="G7233" i="23"/>
  <c r="G7218" i="23"/>
  <c r="G7205" i="23"/>
  <c r="G7192" i="23"/>
  <c r="G7179" i="23"/>
  <c r="G7166" i="23"/>
  <c r="G7153" i="23"/>
  <c r="G7140" i="23"/>
  <c r="G7127" i="23"/>
  <c r="G7114" i="23"/>
  <c r="G7101" i="23"/>
  <c r="G7088" i="23"/>
  <c r="G7074" i="23"/>
  <c r="G7061" i="23"/>
  <c r="G7048" i="23"/>
  <c r="G7035" i="23"/>
  <c r="G7022" i="23"/>
  <c r="G7009" i="23"/>
  <c r="G6996" i="23"/>
  <c r="G6983" i="23"/>
  <c r="G6970" i="23"/>
  <c r="G6957" i="23"/>
  <c r="G6944" i="23"/>
  <c r="G6930" i="23"/>
  <c r="G6917" i="23"/>
  <c r="G6904" i="23"/>
  <c r="G6891" i="23"/>
  <c r="G6878" i="23"/>
  <c r="G6865" i="23"/>
  <c r="G6852" i="23"/>
  <c r="G9941" i="23"/>
  <c r="G9850" i="23"/>
  <c r="G9722" i="23"/>
  <c r="G9635" i="23"/>
  <c r="G9552" i="23"/>
  <c r="G9477" i="23"/>
  <c r="G9399" i="23"/>
  <c r="G9321" i="23"/>
  <c r="G9243" i="23"/>
  <c r="G9170" i="23"/>
  <c r="G9089" i="23"/>
  <c r="G9017" i="23"/>
  <c r="G8970" i="23"/>
  <c r="G8912" i="23"/>
  <c r="G8859" i="23"/>
  <c r="G8816" i="23"/>
  <c r="G8766" i="23"/>
  <c r="G8727" i="23"/>
  <c r="G8693" i="23"/>
  <c r="G8648" i="23"/>
  <c r="G8612" i="23"/>
  <c r="G8580" i="23"/>
  <c r="G8540" i="23"/>
  <c r="G8513" i="23"/>
  <c r="G8480" i="23"/>
  <c r="G8448" i="23"/>
  <c r="G8423" i="23"/>
  <c r="G8394" i="23"/>
  <c r="G8367" i="23"/>
  <c r="G8341" i="23"/>
  <c r="G8307" i="23"/>
  <c r="G8283" i="23"/>
  <c r="G8257" i="23"/>
  <c r="G8232" i="23"/>
  <c r="G8210" i="23"/>
  <c r="G8184" i="23"/>
  <c r="G8163" i="23"/>
  <c r="G8144" i="23"/>
  <c r="G8123" i="23"/>
  <c r="G8103" i="23"/>
  <c r="G8081" i="23"/>
  <c r="G8060" i="23"/>
  <c r="G8043" i="23"/>
  <c r="G8024" i="23"/>
  <c r="G8007" i="23"/>
  <c r="G7985" i="23"/>
  <c r="G7966" i="23"/>
  <c r="G7949" i="23"/>
  <c r="G7929" i="23"/>
  <c r="G7912" i="23"/>
  <c r="G7891" i="23"/>
  <c r="G7872" i="23"/>
  <c r="G7854" i="23"/>
  <c r="G7836" i="23"/>
  <c r="G7817" i="23"/>
  <c r="G7796" i="23"/>
  <c r="G7779" i="23"/>
  <c r="G7759" i="23"/>
  <c r="G7742" i="23"/>
  <c r="G7723" i="23"/>
  <c r="G7701" i="23"/>
  <c r="G7684" i="23"/>
  <c r="G7665" i="23"/>
  <c r="G7648" i="23"/>
  <c r="G7628" i="23"/>
  <c r="G7608" i="23"/>
  <c r="G7590" i="23"/>
  <c r="G7570" i="23"/>
  <c r="G7554" i="23"/>
  <c r="G7538" i="23"/>
  <c r="G7520" i="23"/>
  <c r="G7504" i="23"/>
  <c r="G7484" i="23"/>
  <c r="G7468" i="23"/>
  <c r="G7450" i="23"/>
  <c r="G7434" i="23"/>
  <c r="G7418" i="23"/>
  <c r="G7399" i="23"/>
  <c r="G7383" i="23"/>
  <c r="G7366" i="23"/>
  <c r="G7351" i="23"/>
  <c r="G7336" i="23"/>
  <c r="G7320" i="23"/>
  <c r="G7304" i="23"/>
  <c r="G7289" i="23"/>
  <c r="G7274" i="23"/>
  <c r="G7260" i="23"/>
  <c r="G7244" i="23"/>
  <c r="G7230" i="23"/>
  <c r="G7216" i="23"/>
  <c r="G7203" i="23"/>
  <c r="G7190" i="23"/>
  <c r="G7177" i="23"/>
  <c r="G7164" i="23"/>
  <c r="G7151" i="23"/>
  <c r="G7138" i="23"/>
  <c r="G7125" i="23"/>
  <c r="G7112" i="23"/>
  <c r="G7098" i="23"/>
  <c r="G7085" i="23"/>
  <c r="G7072" i="23"/>
  <c r="G7059" i="23"/>
  <c r="G7046" i="23"/>
  <c r="G7033" i="23"/>
  <c r="G7020" i="23"/>
  <c r="G7007" i="23"/>
  <c r="G6994" i="23"/>
  <c r="G6981" i="23"/>
  <c r="G6968" i="23"/>
  <c r="G6954" i="23"/>
  <c r="G6941" i="23"/>
  <c r="G6928" i="23"/>
  <c r="G6915" i="23"/>
  <c r="G6902" i="23"/>
  <c r="G6889" i="23"/>
  <c r="G6876" i="23"/>
  <c r="G6863" i="23"/>
  <c r="G6850" i="23"/>
  <c r="G6837" i="23"/>
  <c r="G6824" i="23"/>
  <c r="G6810" i="23"/>
  <c r="G6797" i="23"/>
  <c r="G6784" i="23"/>
  <c r="G6771" i="23"/>
  <c r="G6758" i="23"/>
  <c r="G6746" i="23"/>
  <c r="G6734" i="23"/>
  <c r="G6722" i="23"/>
  <c r="G6710" i="23"/>
  <c r="G6698" i="23"/>
  <c r="G6686" i="23"/>
  <c r="G6674" i="23"/>
  <c r="G6662" i="23"/>
  <c r="G6650" i="23"/>
  <c r="G6638" i="23"/>
  <c r="G6626" i="23"/>
  <c r="G6614" i="23"/>
  <c r="G6602" i="23"/>
  <c r="G6590" i="23"/>
  <c r="G6578" i="23"/>
  <c r="G9940" i="23"/>
  <c r="G9849" i="23"/>
  <c r="G9721" i="23"/>
  <c r="G9634" i="23"/>
  <c r="G9549" i="23"/>
  <c r="G9473" i="23"/>
  <c r="G9397" i="23"/>
  <c r="G9317" i="23"/>
  <c r="G9242" i="23"/>
  <c r="G9168" i="23"/>
  <c r="G9088" i="23"/>
  <c r="G9016" i="23"/>
  <c r="G8958" i="23"/>
  <c r="G8901" i="23"/>
  <c r="G8858" i="23"/>
  <c r="G8814" i="23"/>
  <c r="G8763" i="23"/>
  <c r="G8725" i="23"/>
  <c r="G8691" i="23"/>
  <c r="G8647" i="23"/>
  <c r="G8611" i="23"/>
  <c r="G8572" i="23"/>
  <c r="G8538" i="23"/>
  <c r="G8512" i="23"/>
  <c r="G8478" i="23"/>
  <c r="G8447" i="23"/>
  <c r="G8419" i="23"/>
  <c r="G8393" i="23"/>
  <c r="G8361" i="23"/>
  <c r="G8334" i="23"/>
  <c r="G8306" i="23"/>
  <c r="G8280" i="23"/>
  <c r="G8256" i="23"/>
  <c r="G8229" i="23"/>
  <c r="G8204" i="23"/>
  <c r="G8181" i="23"/>
  <c r="G8162" i="23"/>
  <c r="G8142" i="23"/>
  <c r="G8121" i="23"/>
  <c r="G8099" i="23"/>
  <c r="G8080" i="23"/>
  <c r="G8059" i="23"/>
  <c r="G8042" i="23"/>
  <c r="G8023" i="23"/>
  <c r="G8001" i="23"/>
  <c r="G7984" i="23"/>
  <c r="G7965" i="23"/>
  <c r="G7947" i="23"/>
  <c r="G7928" i="23"/>
  <c r="G7908" i="23"/>
  <c r="G7889" i="23"/>
  <c r="G7870" i="23"/>
  <c r="G7853" i="23"/>
  <c r="G7834" i="23"/>
  <c r="G7814" i="23"/>
  <c r="G7795" i="23"/>
  <c r="G7778" i="23"/>
  <c r="G7758" i="23"/>
  <c r="G7740" i="23"/>
  <c r="G7720" i="23"/>
  <c r="G7700" i="23"/>
  <c r="G7683" i="23"/>
  <c r="G7664" i="23"/>
  <c r="G7647" i="23"/>
  <c r="G7625" i="23"/>
  <c r="G7606" i="23"/>
  <c r="G7589" i="23"/>
  <c r="G7569" i="23"/>
  <c r="G7553" i="23"/>
  <c r="G7536" i="23"/>
  <c r="G7519" i="23"/>
  <c r="G7500" i="23"/>
  <c r="G7483" i="23"/>
  <c r="G7467" i="23"/>
  <c r="G7449" i="23"/>
  <c r="G7433" i="23"/>
  <c r="G7416" i="23"/>
  <c r="G7398" i="23"/>
  <c r="G7382" i="23"/>
  <c r="G7365" i="23"/>
  <c r="G7350" i="23"/>
  <c r="G7335" i="23"/>
  <c r="G7318" i="23"/>
  <c r="G7303" i="23"/>
  <c r="G7288" i="23"/>
  <c r="G7273" i="23"/>
  <c r="G7257" i="23"/>
  <c r="G7243" i="23"/>
  <c r="G7229" i="23"/>
  <c r="G7215" i="23"/>
  <c r="G7202" i="23"/>
  <c r="G7189" i="23"/>
  <c r="G7176" i="23"/>
  <c r="G7163" i="23"/>
  <c r="G7150" i="23"/>
  <c r="G7137" i="23"/>
  <c r="G7124" i="23"/>
  <c r="G7110" i="23"/>
  <c r="G7097" i="23"/>
  <c r="G7084" i="23"/>
  <c r="G7071" i="23"/>
  <c r="G7058" i="23"/>
  <c r="G7045" i="23"/>
  <c r="G7032" i="23"/>
  <c r="G7019" i="23"/>
  <c r="G7006" i="23"/>
  <c r="G6993" i="23"/>
  <c r="G6980" i="23"/>
  <c r="G6966" i="23"/>
  <c r="G6953" i="23"/>
  <c r="G6940" i="23"/>
  <c r="G6927" i="23"/>
  <c r="G6914" i="23"/>
  <c r="G6901" i="23"/>
  <c r="G6888" i="23"/>
  <c r="G6875" i="23"/>
  <c r="G6862" i="23"/>
  <c r="G6849" i="23"/>
  <c r="G6836" i="23"/>
  <c r="G6822" i="23"/>
  <c r="G6809" i="23"/>
  <c r="G6796" i="23"/>
  <c r="G6783" i="23"/>
  <c r="G6770" i="23"/>
  <c r="G6757" i="23"/>
  <c r="G6745" i="23"/>
  <c r="G6733" i="23"/>
  <c r="G6721" i="23"/>
  <c r="G6709" i="23"/>
  <c r="G6697" i="23"/>
  <c r="G6685" i="23"/>
  <c r="G6673" i="23"/>
  <c r="G6661" i="23"/>
  <c r="G6649" i="23"/>
  <c r="G6637" i="23"/>
  <c r="G6625" i="23"/>
  <c r="G6613" i="23"/>
  <c r="G6601" i="23"/>
  <c r="G6589" i="23"/>
  <c r="G6577" i="23"/>
  <c r="G6565" i="23"/>
  <c r="G6553" i="23"/>
  <c r="G6541" i="23"/>
  <c r="G6529" i="23"/>
  <c r="G6517" i="23"/>
  <c r="G6505" i="23"/>
  <c r="G6493" i="23"/>
  <c r="G6481" i="23"/>
  <c r="G6469" i="23"/>
  <c r="G6457" i="23"/>
  <c r="G6445" i="23"/>
  <c r="G6433" i="23"/>
  <c r="G6421" i="23"/>
  <c r="G6409" i="23"/>
  <c r="G9921" i="23"/>
  <c r="G9816" i="23"/>
  <c r="G9713" i="23"/>
  <c r="G9627" i="23"/>
  <c r="G9542" i="23"/>
  <c r="G9472" i="23"/>
  <c r="G9370" i="23"/>
  <c r="G9313" i="23"/>
  <c r="G9241" i="23"/>
  <c r="G9141" i="23"/>
  <c r="G9082" i="23"/>
  <c r="G9015" i="23"/>
  <c r="G8953" i="23"/>
  <c r="G8900" i="23"/>
  <c r="G8857" i="23"/>
  <c r="G8803" i="23"/>
  <c r="G8759" i="23"/>
  <c r="G8721" i="23"/>
  <c r="G8679" i="23"/>
  <c r="G8646" i="23"/>
  <c r="G8610" i="23"/>
  <c r="G8569" i="23"/>
  <c r="G8537" i="23"/>
  <c r="G8511" i="23"/>
  <c r="G8475" i="23"/>
  <c r="G8445" i="23"/>
  <c r="G8414" i="23"/>
  <c r="G8389" i="23"/>
  <c r="G8360" i="23"/>
  <c r="G8331" i="23"/>
  <c r="G8305" i="23"/>
  <c r="G8277" i="23"/>
  <c r="G8255" i="23"/>
  <c r="G8228" i="23"/>
  <c r="G8202" i="23"/>
  <c r="G8179" i="23"/>
  <c r="G8161" i="23"/>
  <c r="G8139" i="23"/>
  <c r="G8120" i="23"/>
  <c r="G8097" i="23"/>
  <c r="G8077" i="23"/>
  <c r="G8058" i="23"/>
  <c r="G8040" i="23"/>
  <c r="G8022" i="23"/>
  <c r="G8000" i="23"/>
  <c r="G7983" i="23"/>
  <c r="G7964" i="23"/>
  <c r="G7946" i="23"/>
  <c r="G7927" i="23"/>
  <c r="G7906" i="23"/>
  <c r="G7888" i="23"/>
  <c r="G7869" i="23"/>
  <c r="G7852" i="23"/>
  <c r="G7833" i="23"/>
  <c r="G7812" i="23"/>
  <c r="G7794" i="23"/>
  <c r="G7776" i="23"/>
  <c r="G7757" i="23"/>
  <c r="G7738" i="23"/>
  <c r="G7719" i="23"/>
  <c r="G7699" i="23"/>
  <c r="G7682" i="23"/>
  <c r="G7663" i="23"/>
  <c r="G7644" i="23"/>
  <c r="G7624" i="23"/>
  <c r="G7605" i="23"/>
  <c r="G7587" i="23"/>
  <c r="G7568" i="23"/>
  <c r="G7552" i="23"/>
  <c r="G7534" i="23"/>
  <c r="G7517" i="23"/>
  <c r="G7498" i="23"/>
  <c r="G7482" i="23"/>
  <c r="G7466" i="23"/>
  <c r="G7448" i="23"/>
  <c r="G7432" i="23"/>
  <c r="G7413" i="23"/>
  <c r="G7397" i="23"/>
  <c r="G7380" i="23"/>
  <c r="G7364" i="23"/>
  <c r="G7349" i="23"/>
  <c r="G7334" i="23"/>
  <c r="G7317" i="23"/>
  <c r="G7302" i="23"/>
  <c r="G7287" i="23"/>
  <c r="G9945" i="23"/>
  <c r="G9778" i="23"/>
  <c r="G9636" i="23"/>
  <c r="G9519" i="23"/>
  <c r="G9400" i="23"/>
  <c r="G9288" i="23"/>
  <c r="G9171" i="23"/>
  <c r="G9060" i="23"/>
  <c r="G8973" i="23"/>
  <c r="G8894" i="23"/>
  <c r="G8817" i="23"/>
  <c r="G8746" i="23"/>
  <c r="G8694" i="23"/>
  <c r="G8633" i="23"/>
  <c r="G8583" i="23"/>
  <c r="G8529" i="23"/>
  <c r="G8485" i="23"/>
  <c r="G8436" i="23"/>
  <c r="G8395" i="23"/>
  <c r="G8354" i="23"/>
  <c r="G8308" i="23"/>
  <c r="G8271" i="23"/>
  <c r="G8237" i="23"/>
  <c r="G8197" i="23"/>
  <c r="G8164" i="23"/>
  <c r="G8132" i="23"/>
  <c r="G8105" i="23"/>
  <c r="G8071" i="23"/>
  <c r="G8044" i="23"/>
  <c r="G8013" i="23"/>
  <c r="G7986" i="23"/>
  <c r="G7959" i="23"/>
  <c r="G7930" i="23"/>
  <c r="G7901" i="23"/>
  <c r="G7874" i="23"/>
  <c r="G7843" i="23"/>
  <c r="G7819" i="23"/>
  <c r="G7788" i="23"/>
  <c r="G7761" i="23"/>
  <c r="G7731" i="23"/>
  <c r="G7704" i="23"/>
  <c r="G7676" i="23"/>
  <c r="G7649" i="23"/>
  <c r="G7618" i="23"/>
  <c r="G7591" i="23"/>
  <c r="G7563" i="23"/>
  <c r="G7539" i="23"/>
  <c r="G7510" i="23"/>
  <c r="G7488" i="23"/>
  <c r="G7460" i="23"/>
  <c r="G7435" i="23"/>
  <c r="G7409" i="23"/>
  <c r="G7384" i="23"/>
  <c r="G7360" i="23"/>
  <c r="G7337" i="23"/>
  <c r="G7312" i="23"/>
  <c r="G7290" i="23"/>
  <c r="G7267" i="23"/>
  <c r="G7250" i="23"/>
  <c r="G7228" i="23"/>
  <c r="G7211" i="23"/>
  <c r="G7194" i="23"/>
  <c r="G7175" i="23"/>
  <c r="G7158" i="23"/>
  <c r="G7142" i="23"/>
  <c r="G7122" i="23"/>
  <c r="G7106" i="23"/>
  <c r="G7090" i="23"/>
  <c r="G7070" i="23"/>
  <c r="G7054" i="23"/>
  <c r="G7037" i="23"/>
  <c r="G7018" i="23"/>
  <c r="G7001" i="23"/>
  <c r="G6985" i="23"/>
  <c r="G6965" i="23"/>
  <c r="G6949" i="23"/>
  <c r="G6933" i="23"/>
  <c r="G6913" i="23"/>
  <c r="G6897" i="23"/>
  <c r="G6880" i="23"/>
  <c r="G6861" i="23"/>
  <c r="G6844" i="23"/>
  <c r="G6829" i="23"/>
  <c r="G6814" i="23"/>
  <c r="G6798" i="23"/>
  <c r="G6781" i="23"/>
  <c r="G6766" i="23"/>
  <c r="G6751" i="23"/>
  <c r="G6737" i="23"/>
  <c r="G6723" i="23"/>
  <c r="G6707" i="23"/>
  <c r="G6693" i="23"/>
  <c r="G6679" i="23"/>
  <c r="G6665" i="23"/>
  <c r="G6651" i="23"/>
  <c r="G6635" i="23"/>
  <c r="G6621" i="23"/>
  <c r="G6607" i="23"/>
  <c r="G6593" i="23"/>
  <c r="G6579" i="23"/>
  <c r="G6564" i="23"/>
  <c r="G6551" i="23"/>
  <c r="G6538" i="23"/>
  <c r="G6525" i="23"/>
  <c r="G6512" i="23"/>
  <c r="G6499" i="23"/>
  <c r="G6486" i="23"/>
  <c r="G6473" i="23"/>
  <c r="G6460" i="23"/>
  <c r="G6447" i="23"/>
  <c r="G6434" i="23"/>
  <c r="G6420" i="23"/>
  <c r="G6407" i="23"/>
  <c r="G6395" i="23"/>
  <c r="G6383" i="23"/>
  <c r="G6371" i="23"/>
  <c r="G6359" i="23"/>
  <c r="G6347" i="23"/>
  <c r="G6335" i="23"/>
  <c r="G6323" i="23"/>
  <c r="G6311" i="23"/>
  <c r="G6299" i="23"/>
  <c r="G6287" i="23"/>
  <c r="G6275" i="23"/>
  <c r="G6263" i="23"/>
  <c r="G6251" i="23"/>
  <c r="G6239" i="23"/>
  <c r="G6227" i="23"/>
  <c r="G6215" i="23"/>
  <c r="G6203" i="23"/>
  <c r="G6191" i="23"/>
  <c r="G6179" i="23"/>
  <c r="G6167" i="23"/>
  <c r="G6155" i="23"/>
  <c r="G6143" i="23"/>
  <c r="G6131" i="23"/>
  <c r="G6119" i="23"/>
  <c r="G6107" i="23"/>
  <c r="G6095" i="23"/>
  <c r="G6083" i="23"/>
  <c r="G6071" i="23"/>
  <c r="G6059" i="23"/>
  <c r="G6047" i="23"/>
  <c r="G6035" i="23"/>
  <c r="G6023" i="23"/>
  <c r="G6011" i="23"/>
  <c r="G5999" i="23"/>
  <c r="G5987" i="23"/>
  <c r="G5975" i="23"/>
  <c r="G9914" i="23"/>
  <c r="G9777" i="23"/>
  <c r="G9600" i="23"/>
  <c r="G9505" i="23"/>
  <c r="G9369" i="23"/>
  <c r="G9274" i="23"/>
  <c r="G9137" i="23"/>
  <c r="G9049" i="23"/>
  <c r="G8952" i="23"/>
  <c r="G8889" i="23"/>
  <c r="G8798" i="23"/>
  <c r="G8743" i="23"/>
  <c r="G8678" i="23"/>
  <c r="G8631" i="23"/>
  <c r="G8568" i="23"/>
  <c r="G8527" i="23"/>
  <c r="G8472" i="23"/>
  <c r="G8433" i="23"/>
  <c r="G8388" i="23"/>
  <c r="G8347" i="23"/>
  <c r="G8304" i="23"/>
  <c r="G8268" i="23"/>
  <c r="G8225" i="23"/>
  <c r="G8195" i="23"/>
  <c r="G8160" i="23"/>
  <c r="G8131" i="23"/>
  <c r="G8096" i="23"/>
  <c r="G8070" i="23"/>
  <c r="G8038" i="23"/>
  <c r="G8012" i="23"/>
  <c r="G7982" i="23"/>
  <c r="G7954" i="23"/>
  <c r="G7924" i="23"/>
  <c r="G7900" i="23"/>
  <c r="G7868" i="23"/>
  <c r="G7842" i="23"/>
  <c r="G7810" i="23"/>
  <c r="G7786" i="23"/>
  <c r="G7756" i="23"/>
  <c r="G7730" i="23"/>
  <c r="G7698" i="23"/>
  <c r="G7672" i="23"/>
  <c r="G7640" i="23"/>
  <c r="G7617" i="23"/>
  <c r="G7586" i="23"/>
  <c r="G7562" i="23"/>
  <c r="G7532" i="23"/>
  <c r="G7509" i="23"/>
  <c r="G7481" i="23"/>
  <c r="G7459" i="23"/>
  <c r="G7431" i="23"/>
  <c r="G7407" i="23"/>
  <c r="G7378" i="23"/>
  <c r="G7359" i="23"/>
  <c r="G7332" i="23"/>
  <c r="G7311" i="23"/>
  <c r="G7284" i="23"/>
  <c r="G7266" i="23"/>
  <c r="G7249" i="23"/>
  <c r="G7227" i="23"/>
  <c r="G7210" i="23"/>
  <c r="G7193" i="23"/>
  <c r="G7174" i="23"/>
  <c r="G7157" i="23"/>
  <c r="G7141" i="23"/>
  <c r="G7121" i="23"/>
  <c r="G7105" i="23"/>
  <c r="G7089" i="23"/>
  <c r="G7069" i="23"/>
  <c r="G7053" i="23"/>
  <c r="G7036" i="23"/>
  <c r="G7017" i="23"/>
  <c r="G7000" i="23"/>
  <c r="G6984" i="23"/>
  <c r="G6964" i="23"/>
  <c r="G6948" i="23"/>
  <c r="G6932" i="23"/>
  <c r="G6912" i="23"/>
  <c r="G6896" i="23"/>
  <c r="G6879" i="23"/>
  <c r="G6860" i="23"/>
  <c r="G6843" i="23"/>
  <c r="G6828" i="23"/>
  <c r="G6813" i="23"/>
  <c r="G6795" i="23"/>
  <c r="G6780" i="23"/>
  <c r="G6765" i="23"/>
  <c r="G6750" i="23"/>
  <c r="G6736" i="23"/>
  <c r="G6720" i="23"/>
  <c r="G6706" i="23"/>
  <c r="G6692" i="23"/>
  <c r="G6678" i="23"/>
  <c r="G6664" i="23"/>
  <c r="G6648" i="23"/>
  <c r="G6634" i="23"/>
  <c r="G6620" i="23"/>
  <c r="G6606" i="23"/>
  <c r="G6592" i="23"/>
  <c r="G6576" i="23"/>
  <c r="G6563" i="23"/>
  <c r="G6550" i="23"/>
  <c r="G6537" i="23"/>
  <c r="G6524" i="23"/>
  <c r="G6511" i="23"/>
  <c r="G6498" i="23"/>
  <c r="G6485" i="23"/>
  <c r="G6472" i="23"/>
  <c r="G6459" i="23"/>
  <c r="G6446" i="23"/>
  <c r="G6432" i="23"/>
  <c r="G6419" i="23"/>
  <c r="G6406" i="23"/>
  <c r="G6394" i="23"/>
  <c r="G6382" i="23"/>
  <c r="G6370" i="23"/>
  <c r="G6358" i="23"/>
  <c r="G6346" i="23"/>
  <c r="G6334" i="23"/>
  <c r="G6322" i="23"/>
  <c r="G6310" i="23"/>
  <c r="G6298" i="23"/>
  <c r="G6286" i="23"/>
  <c r="G6274" i="23"/>
  <c r="G6262" i="23"/>
  <c r="G6250" i="23"/>
  <c r="G6238" i="23"/>
  <c r="G6226" i="23"/>
  <c r="G6214" i="23"/>
  <c r="G6202" i="23"/>
  <c r="G6190" i="23"/>
  <c r="G6178" i="23"/>
  <c r="G6166" i="23"/>
  <c r="G6154" i="23"/>
  <c r="G6142" i="23"/>
  <c r="G6130" i="23"/>
  <c r="G6118" i="23"/>
  <c r="G6106" i="23"/>
  <c r="G6094" i="23"/>
  <c r="G6082" i="23"/>
  <c r="G6070" i="23"/>
  <c r="G6058" i="23"/>
  <c r="G6046" i="23"/>
  <c r="G6034" i="23"/>
  <c r="G6022" i="23"/>
  <c r="G6010" i="23"/>
  <c r="G5998" i="23"/>
  <c r="G5986" i="23"/>
  <c r="G5974" i="23"/>
  <c r="G5962" i="23"/>
  <c r="G5950" i="23"/>
  <c r="G5938" i="23"/>
  <c r="G5926" i="23"/>
  <c r="G5914" i="23"/>
  <c r="G5902" i="23"/>
  <c r="G5890" i="23"/>
  <c r="G5878" i="23"/>
  <c r="G5866" i="23"/>
  <c r="G5854" i="23"/>
  <c r="G5842" i="23"/>
  <c r="G5830" i="23"/>
  <c r="G5818" i="23"/>
  <c r="G5806" i="23"/>
  <c r="G5794" i="23"/>
  <c r="G5782" i="23"/>
  <c r="G5770" i="23"/>
  <c r="G5758" i="23"/>
  <c r="G5746" i="23"/>
  <c r="G5734" i="23"/>
  <c r="G5722" i="23"/>
  <c r="G9913" i="23"/>
  <c r="G9770" i="23"/>
  <c r="G9597" i="23"/>
  <c r="G9481" i="23"/>
  <c r="G9365" i="23"/>
  <c r="G9252" i="23"/>
  <c r="G9136" i="23"/>
  <c r="G9040" i="23"/>
  <c r="G8951" i="23"/>
  <c r="G8874" i="23"/>
  <c r="G8796" i="23"/>
  <c r="G8739" i="23"/>
  <c r="G8677" i="23"/>
  <c r="G8625" i="23"/>
  <c r="G8565" i="23"/>
  <c r="G8517" i="23"/>
  <c r="G8466" i="23"/>
  <c r="G8432" i="23"/>
  <c r="G8387" i="23"/>
  <c r="G8345" i="23"/>
  <c r="G8303" i="23"/>
  <c r="G8264" i="23"/>
  <c r="G8224" i="23"/>
  <c r="G8192" i="23"/>
  <c r="G8159" i="23"/>
  <c r="G8129" i="23"/>
  <c r="G8095" i="23"/>
  <c r="G8069" i="23"/>
  <c r="G8037" i="23"/>
  <c r="G8011" i="23"/>
  <c r="G7980" i="23"/>
  <c r="G7953" i="23"/>
  <c r="G7923" i="23"/>
  <c r="G7899" i="23"/>
  <c r="G7867" i="23"/>
  <c r="G7841" i="23"/>
  <c r="G7809" i="23"/>
  <c r="G7785" i="23"/>
  <c r="G7755" i="23"/>
  <c r="G7728" i="23"/>
  <c r="G7697" i="23"/>
  <c r="G7671" i="23"/>
  <c r="G7639" i="23"/>
  <c r="G7615" i="23"/>
  <c r="G7584" i="23"/>
  <c r="G7560" i="23"/>
  <c r="G7531" i="23"/>
  <c r="G7508" i="23"/>
  <c r="G7480" i="23"/>
  <c r="G7457" i="23"/>
  <c r="G7428" i="23"/>
  <c r="G7406" i="23"/>
  <c r="G7377" i="23"/>
  <c r="G7356" i="23"/>
  <c r="G7330" i="23"/>
  <c r="G7310" i="23"/>
  <c r="G7282" i="23"/>
  <c r="G7265" i="23"/>
  <c r="G7246" i="23"/>
  <c r="G7226" i="23"/>
  <c r="G7209" i="23"/>
  <c r="G7191" i="23"/>
  <c r="G7173" i="23"/>
  <c r="G7156" i="23"/>
  <c r="G7139" i="23"/>
  <c r="G7120" i="23"/>
  <c r="G7104" i="23"/>
  <c r="G7086" i="23"/>
  <c r="G7068" i="23"/>
  <c r="G7052" i="23"/>
  <c r="G7034" i="23"/>
  <c r="G7016" i="23"/>
  <c r="G6999" i="23"/>
  <c r="G6982" i="23"/>
  <c r="G6963" i="23"/>
  <c r="G6947" i="23"/>
  <c r="G6929" i="23"/>
  <c r="G6911" i="23"/>
  <c r="G6894" i="23"/>
  <c r="G6877" i="23"/>
  <c r="G6858" i="23"/>
  <c r="G6842" i="23"/>
  <c r="G6827" i="23"/>
  <c r="G6812" i="23"/>
  <c r="G6794" i="23"/>
  <c r="G6779" i="23"/>
  <c r="G6764" i="23"/>
  <c r="G6749" i="23"/>
  <c r="G6735" i="23"/>
  <c r="G6719" i="23"/>
  <c r="G6705" i="23"/>
  <c r="G6691" i="23"/>
  <c r="G6677" i="23"/>
  <c r="G6663" i="23"/>
  <c r="G6647" i="23"/>
  <c r="G6633" i="23"/>
  <c r="G6619" i="23"/>
  <c r="G6605" i="23"/>
  <c r="G6591" i="23"/>
  <c r="G6575" i="23"/>
  <c r="G6562" i="23"/>
  <c r="G6549" i="23"/>
  <c r="G6536" i="23"/>
  <c r="G6523" i="23"/>
  <c r="G6510" i="23"/>
  <c r="G6497" i="23"/>
  <c r="G6484" i="23"/>
  <c r="G6471" i="23"/>
  <c r="G6458" i="23"/>
  <c r="G6444" i="23"/>
  <c r="G6431" i="23"/>
  <c r="G6418" i="23"/>
  <c r="G6405" i="23"/>
  <c r="G6393" i="23"/>
  <c r="G6381" i="23"/>
  <c r="G6369" i="23"/>
  <c r="G6357" i="23"/>
  <c r="G6345" i="23"/>
  <c r="G6333" i="23"/>
  <c r="G6321" i="23"/>
  <c r="G6309" i="23"/>
  <c r="G6297" i="23"/>
  <c r="G6285" i="23"/>
  <c r="G6273" i="23"/>
  <c r="G6261" i="23"/>
  <c r="G6249" i="23"/>
  <c r="G6237" i="23"/>
  <c r="G6225" i="23"/>
  <c r="G6213" i="23"/>
  <c r="G6201" i="23"/>
  <c r="G6189" i="23"/>
  <c r="G6177" i="23"/>
  <c r="G6165" i="23"/>
  <c r="G6153" i="23"/>
  <c r="G6141" i="23"/>
  <c r="G6129" i="23"/>
  <c r="G6117" i="23"/>
  <c r="G6105" i="23"/>
  <c r="G6093" i="23"/>
  <c r="G6081" i="23"/>
  <c r="G6069" i="23"/>
  <c r="G6057" i="23"/>
  <c r="G6045" i="23"/>
  <c r="G6033" i="23"/>
  <c r="G6021" i="23"/>
  <c r="G6009" i="23"/>
  <c r="G5997" i="23"/>
  <c r="G9912" i="23"/>
  <c r="G9769" i="23"/>
  <c r="G9593" i="23"/>
  <c r="G9480" i="23"/>
  <c r="G9364" i="23"/>
  <c r="G9251" i="23"/>
  <c r="G9135" i="23"/>
  <c r="G9035" i="23"/>
  <c r="G8947" i="23"/>
  <c r="G8871" i="23"/>
  <c r="G8795" i="23"/>
  <c r="G8732" i="23"/>
  <c r="G8673" i="23"/>
  <c r="G8619" i="23"/>
  <c r="G8564" i="23"/>
  <c r="G8516" i="23"/>
  <c r="G8465" i="23"/>
  <c r="G8426" i="23"/>
  <c r="G8380" i="23"/>
  <c r="G8344" i="23"/>
  <c r="G8301" i="23"/>
  <c r="G8262" i="23"/>
  <c r="G8223" i="23"/>
  <c r="G8191" i="23"/>
  <c r="G8155" i="23"/>
  <c r="G8127" i="23"/>
  <c r="G8093" i="23"/>
  <c r="G8066" i="23"/>
  <c r="G8033" i="23"/>
  <c r="G8010" i="23"/>
  <c r="G7978" i="23"/>
  <c r="G7952" i="23"/>
  <c r="G7922" i="23"/>
  <c r="G7898" i="23"/>
  <c r="G7866" i="23"/>
  <c r="G7840" i="23"/>
  <c r="G7808" i="23"/>
  <c r="G7782" i="23"/>
  <c r="G7750" i="23"/>
  <c r="G7726" i="23"/>
  <c r="G7696" i="23"/>
  <c r="G7670" i="23"/>
  <c r="G7638" i="23"/>
  <c r="G7614" i="23"/>
  <c r="G7582" i="23"/>
  <c r="G7557" i="23"/>
  <c r="G7529" i="23"/>
  <c r="G7507" i="23"/>
  <c r="G7479" i="23"/>
  <c r="G7456" i="23"/>
  <c r="G7426" i="23"/>
  <c r="G7404" i="23"/>
  <c r="G7376" i="23"/>
  <c r="G7354" i="23"/>
  <c r="G7329" i="23"/>
  <c r="G7308" i="23"/>
  <c r="G7281" i="23"/>
  <c r="G7264" i="23"/>
  <c r="G7242" i="23"/>
  <c r="G7225" i="23"/>
  <c r="G7208" i="23"/>
  <c r="G7188" i="23"/>
  <c r="G7172" i="23"/>
  <c r="G7155" i="23"/>
  <c r="G7136" i="23"/>
  <c r="G7119" i="23"/>
  <c r="G7103" i="23"/>
  <c r="G7083" i="23"/>
  <c r="G7067" i="23"/>
  <c r="G7050" i="23"/>
  <c r="G7031" i="23"/>
  <c r="G7014" i="23"/>
  <c r="G6998" i="23"/>
  <c r="G6978" i="23"/>
  <c r="G6962" i="23"/>
  <c r="G6946" i="23"/>
  <c r="G6926" i="23"/>
  <c r="G6910" i="23"/>
  <c r="G6893" i="23"/>
  <c r="G6874" i="23"/>
  <c r="G6857" i="23"/>
  <c r="G6841" i="23"/>
  <c r="G6826" i="23"/>
  <c r="G6808" i="23"/>
  <c r="G6793" i="23"/>
  <c r="G6778" i="23"/>
  <c r="G6762" i="23"/>
  <c r="G6748" i="23"/>
  <c r="G6732" i="23"/>
  <c r="G6718" i="23"/>
  <c r="G6704" i="23"/>
  <c r="G6690" i="23"/>
  <c r="G6676" i="23"/>
  <c r="G6660" i="23"/>
  <c r="G6646" i="23"/>
  <c r="G6632" i="23"/>
  <c r="G6618" i="23"/>
  <c r="G6604" i="23"/>
  <c r="G6588" i="23"/>
  <c r="G6574" i="23"/>
  <c r="G6561" i="23"/>
  <c r="G6548" i="23"/>
  <c r="G6535" i="23"/>
  <c r="G6522" i="23"/>
  <c r="G6509" i="23"/>
  <c r="G6496" i="23"/>
  <c r="G6483" i="23"/>
  <c r="G6470" i="23"/>
  <c r="G6456" i="23"/>
  <c r="G6443" i="23"/>
  <c r="G6430" i="23"/>
  <c r="G6417" i="23"/>
  <c r="G6404" i="23"/>
  <c r="G6392" i="23"/>
  <c r="G6380" i="23"/>
  <c r="G6368" i="23"/>
  <c r="G6356" i="23"/>
  <c r="G6344" i="23"/>
  <c r="G6332" i="23"/>
  <c r="G6320" i="23"/>
  <c r="G6308" i="23"/>
  <c r="G6296" i="23"/>
  <c r="G6284" i="23"/>
  <c r="G6272" i="23"/>
  <c r="G6260" i="23"/>
  <c r="G6248" i="23"/>
  <c r="G6236" i="23"/>
  <c r="G6224" i="23"/>
  <c r="G6212" i="23"/>
  <c r="G6200" i="23"/>
  <c r="G6188" i="23"/>
  <c r="G6176" i="23"/>
  <c r="G6164" i="23"/>
  <c r="G6152" i="23"/>
  <c r="G6140" i="23"/>
  <c r="G6128" i="23"/>
  <c r="G6116" i="23"/>
  <c r="G6104" i="23"/>
  <c r="G6092" i="23"/>
  <c r="G6080" i="23"/>
  <c r="G9903" i="23"/>
  <c r="G9686" i="23"/>
  <c r="G9478" i="23"/>
  <c r="G9322" i="23"/>
  <c r="G9125" i="23"/>
  <c r="G8987" i="23"/>
  <c r="G8865" i="23"/>
  <c r="G8767" i="23"/>
  <c r="G8669" i="23"/>
  <c r="G8588" i="23"/>
  <c r="G8514" i="23"/>
  <c r="G8449" i="23"/>
  <c r="G8376" i="23"/>
  <c r="G8322" i="23"/>
  <c r="G8258" i="23"/>
  <c r="G8211" i="23"/>
  <c r="G8153" i="23"/>
  <c r="G8112" i="23"/>
  <c r="G8061" i="23"/>
  <c r="G8025" i="23"/>
  <c r="G7977" i="23"/>
  <c r="G7938" i="23"/>
  <c r="G7892" i="23"/>
  <c r="G7855" i="23"/>
  <c r="G7807" i="23"/>
  <c r="G7770" i="23"/>
  <c r="G7724" i="23"/>
  <c r="G7685" i="23"/>
  <c r="G7637" i="23"/>
  <c r="G7600" i="23"/>
  <c r="G7555" i="23"/>
  <c r="G7521" i="23"/>
  <c r="G7478" i="23"/>
  <c r="G7443" i="23"/>
  <c r="G7401" i="23"/>
  <c r="G7368" i="23"/>
  <c r="G7327" i="23"/>
  <c r="G7296" i="23"/>
  <c r="G7263" i="23"/>
  <c r="G7237" i="23"/>
  <c r="G7206" i="23"/>
  <c r="G7182" i="23"/>
  <c r="G7154" i="23"/>
  <c r="G7130" i="23"/>
  <c r="G7102" i="23"/>
  <c r="G7078" i="23"/>
  <c r="G7049" i="23"/>
  <c r="G7025" i="23"/>
  <c r="G6997" i="23"/>
  <c r="G6973" i="23"/>
  <c r="G6945" i="23"/>
  <c r="G6921" i="23"/>
  <c r="G6892" i="23"/>
  <c r="G6868" i="23"/>
  <c r="G6840" i="23"/>
  <c r="G6818" i="23"/>
  <c r="G6792" i="23"/>
  <c r="G6772" i="23"/>
  <c r="G6747" i="23"/>
  <c r="G6727" i="23"/>
  <c r="G6703" i="23"/>
  <c r="G6683" i="23"/>
  <c r="G6659" i="23"/>
  <c r="G6641" i="23"/>
  <c r="G6617" i="23"/>
  <c r="G6597" i="23"/>
  <c r="G6573" i="23"/>
  <c r="G6556" i="23"/>
  <c r="G6534" i="23"/>
  <c r="G6516" i="23"/>
  <c r="G6495" i="23"/>
  <c r="G6477" i="23"/>
  <c r="G6455" i="23"/>
  <c r="G6438" i="23"/>
  <c r="G6416" i="23"/>
  <c r="G6399" i="23"/>
  <c r="G6379" i="23"/>
  <c r="G6363" i="23"/>
  <c r="G6343" i="23"/>
  <c r="G6327" i="23"/>
  <c r="G6307" i="23"/>
  <c r="G6291" i="23"/>
  <c r="G6271" i="23"/>
  <c r="G6255" i="23"/>
  <c r="G6235" i="23"/>
  <c r="G6219" i="23"/>
  <c r="G6199" i="23"/>
  <c r="G6183" i="23"/>
  <c r="G6163" i="23"/>
  <c r="G6147" i="23"/>
  <c r="G6127" i="23"/>
  <c r="G6111" i="23"/>
  <c r="G6091" i="23"/>
  <c r="G6075" i="23"/>
  <c r="G6060" i="23"/>
  <c r="G6042" i="23"/>
  <c r="G6027" i="23"/>
  <c r="G6012" i="23"/>
  <c r="G5994" i="23"/>
  <c r="G5980" i="23"/>
  <c r="G5966" i="23"/>
  <c r="G5953" i="23"/>
  <c r="G5940" i="23"/>
  <c r="G5927" i="23"/>
  <c r="G5913" i="23"/>
  <c r="G5900" i="23"/>
  <c r="G5887" i="23"/>
  <c r="G5874" i="23"/>
  <c r="G5861" i="23"/>
  <c r="G5848" i="23"/>
  <c r="G5835" i="23"/>
  <c r="G5822" i="23"/>
  <c r="G5809" i="23"/>
  <c r="G5796" i="23"/>
  <c r="G5783" i="23"/>
  <c r="G5769" i="23"/>
  <c r="G5756" i="23"/>
  <c r="G5743" i="23"/>
  <c r="G5730" i="23"/>
  <c r="G5717" i="23"/>
  <c r="G5705" i="23"/>
  <c r="G5693" i="23"/>
  <c r="G5681" i="23"/>
  <c r="G5669" i="23"/>
  <c r="G5657" i="23"/>
  <c r="G5645" i="23"/>
  <c r="G5633" i="23"/>
  <c r="G5621" i="23"/>
  <c r="G5609" i="23"/>
  <c r="G5597" i="23"/>
  <c r="G5585" i="23"/>
  <c r="G5573" i="23"/>
  <c r="G5561" i="23"/>
  <c r="G5549" i="23"/>
  <c r="G5537" i="23"/>
  <c r="G5525" i="23"/>
  <c r="G5513" i="23"/>
  <c r="G5501" i="23"/>
  <c r="G5489" i="23"/>
  <c r="G5477" i="23"/>
  <c r="G5465" i="23"/>
  <c r="G5453" i="23"/>
  <c r="G5441" i="23"/>
  <c r="G5429" i="23"/>
  <c r="G5417" i="23"/>
  <c r="G5405" i="23"/>
  <c r="G5393" i="23"/>
  <c r="G5381" i="23"/>
  <c r="G5369" i="23"/>
  <c r="G5357" i="23"/>
  <c r="G5345" i="23"/>
  <c r="G5333" i="23"/>
  <c r="G5321" i="23"/>
  <c r="G5309" i="23"/>
  <c r="G5297" i="23"/>
  <c r="G5285" i="23"/>
  <c r="G5273" i="23"/>
  <c r="G5261" i="23"/>
  <c r="G5249" i="23"/>
  <c r="G5237" i="23"/>
  <c r="G5225" i="23"/>
  <c r="G5213" i="23"/>
  <c r="G5201" i="23"/>
  <c r="G5189" i="23"/>
  <c r="G5177" i="23"/>
  <c r="G5165" i="23"/>
  <c r="G5153" i="23"/>
  <c r="G5141" i="23"/>
  <c r="G5129" i="23"/>
  <c r="G5117" i="23"/>
  <c r="G5105" i="23"/>
  <c r="G5093" i="23"/>
  <c r="G5081" i="23"/>
  <c r="G5069" i="23"/>
  <c r="G5057" i="23"/>
  <c r="G5045" i="23"/>
  <c r="G5033" i="23"/>
  <c r="G5021" i="23"/>
  <c r="G5009" i="23"/>
  <c r="G4997" i="23"/>
  <c r="G4985" i="23"/>
  <c r="G4973" i="23"/>
  <c r="G4961" i="23"/>
  <c r="G4949" i="23"/>
  <c r="G4937" i="23"/>
  <c r="G4925" i="23"/>
  <c r="G4913" i="23"/>
  <c r="G4901" i="23"/>
  <c r="G4889" i="23"/>
  <c r="G4877" i="23"/>
  <c r="G4865" i="23"/>
  <c r="G4853" i="23"/>
  <c r="G4841" i="23"/>
  <c r="G4829" i="23"/>
  <c r="G4817" i="23"/>
  <c r="G4805" i="23"/>
  <c r="G4793" i="23"/>
  <c r="G4781" i="23"/>
  <c r="G9875" i="23"/>
  <c r="G9669" i="23"/>
  <c r="G9466" i="23"/>
  <c r="G9291" i="23"/>
  <c r="G9121" i="23"/>
  <c r="G8986" i="23"/>
  <c r="G8854" i="23"/>
  <c r="G8758" i="23"/>
  <c r="G8668" i="23"/>
  <c r="G8587" i="23"/>
  <c r="G8504" i="23"/>
  <c r="G8441" i="23"/>
  <c r="G8375" i="23"/>
  <c r="G8321" i="23"/>
  <c r="G8253" i="23"/>
  <c r="G8201" i="23"/>
  <c r="G8150" i="23"/>
  <c r="G8111" i="23"/>
  <c r="G8057" i="23"/>
  <c r="G8018" i="23"/>
  <c r="G7975" i="23"/>
  <c r="G7937" i="23"/>
  <c r="G7887" i="23"/>
  <c r="G7851" i="23"/>
  <c r="G7806" i="23"/>
  <c r="G7767" i="23"/>
  <c r="G7716" i="23"/>
  <c r="G7680" i="23"/>
  <c r="G7636" i="23"/>
  <c r="G7599" i="23"/>
  <c r="G7551" i="23"/>
  <c r="G7515" i="23"/>
  <c r="G7476" i="23"/>
  <c r="G7442" i="23"/>
  <c r="G7396" i="23"/>
  <c r="G7363" i="23"/>
  <c r="G7326" i="23"/>
  <c r="G7294" i="23"/>
  <c r="G7261" i="23"/>
  <c r="G7236" i="23"/>
  <c r="G7204" i="23"/>
  <c r="G7181" i="23"/>
  <c r="G7152" i="23"/>
  <c r="G7129" i="23"/>
  <c r="G7100" i="23"/>
  <c r="G7077" i="23"/>
  <c r="G7047" i="23"/>
  <c r="G7024" i="23"/>
  <c r="G6995" i="23"/>
  <c r="G6972" i="23"/>
  <c r="G6942" i="23"/>
  <c r="G6920" i="23"/>
  <c r="G6890" i="23"/>
  <c r="G6867" i="23"/>
  <c r="G6839" i="23"/>
  <c r="G6817" i="23"/>
  <c r="G6791" i="23"/>
  <c r="G6769" i="23"/>
  <c r="G6744" i="23"/>
  <c r="G6726" i="23"/>
  <c r="G6702" i="23"/>
  <c r="G6682" i="23"/>
  <c r="G6658" i="23"/>
  <c r="G6640" i="23"/>
  <c r="G6616" i="23"/>
  <c r="G6596" i="23"/>
  <c r="G6572" i="23"/>
  <c r="G6555" i="23"/>
  <c r="G6533" i="23"/>
  <c r="G6515" i="23"/>
  <c r="G6494" i="23"/>
  <c r="G6476" i="23"/>
  <c r="G6454" i="23"/>
  <c r="G6437" i="23"/>
  <c r="G6415" i="23"/>
  <c r="G6398" i="23"/>
  <c r="G6378" i="23"/>
  <c r="G6362" i="23"/>
  <c r="G6342" i="23"/>
  <c r="G6326" i="23"/>
  <c r="G6306" i="23"/>
  <c r="G6290" i="23"/>
  <c r="G6270" i="23"/>
  <c r="G6254" i="23"/>
  <c r="G6234" i="23"/>
  <c r="G6218" i="23"/>
  <c r="G6198" i="23"/>
  <c r="G6182" i="23"/>
  <c r="G6162" i="23"/>
  <c r="G6146" i="23"/>
  <c r="G6126" i="23"/>
  <c r="G6110" i="23"/>
  <c r="G6090" i="23"/>
  <c r="G6074" i="23"/>
  <c r="G6056" i="23"/>
  <c r="G6041" i="23"/>
  <c r="G6026" i="23"/>
  <c r="G6008" i="23"/>
  <c r="G5993" i="23"/>
  <c r="G5979" i="23"/>
  <c r="G5965" i="23"/>
  <c r="G5952" i="23"/>
  <c r="G5939" i="23"/>
  <c r="G5925" i="23"/>
  <c r="G5912" i="23"/>
  <c r="G5899" i="23"/>
  <c r="G5886" i="23"/>
  <c r="G5873" i="23"/>
  <c r="G5860" i="23"/>
  <c r="G5847" i="23"/>
  <c r="G5834" i="23"/>
  <c r="G5821" i="23"/>
  <c r="G5808" i="23"/>
  <c r="G5795" i="23"/>
  <c r="G5781" i="23"/>
  <c r="G5768" i="23"/>
  <c r="G5755" i="23"/>
  <c r="G5742" i="23"/>
  <c r="G5729" i="23"/>
  <c r="G5716" i="23"/>
  <c r="G5704" i="23"/>
  <c r="G5692" i="23"/>
  <c r="G5680" i="23"/>
  <c r="G5668" i="23"/>
  <c r="G5656" i="23"/>
  <c r="G5644" i="23"/>
  <c r="G5632" i="23"/>
  <c r="G5620" i="23"/>
  <c r="G5608" i="23"/>
  <c r="G5596" i="23"/>
  <c r="G5584" i="23"/>
  <c r="G5572" i="23"/>
  <c r="G5560" i="23"/>
  <c r="G5548" i="23"/>
  <c r="G5536" i="23"/>
  <c r="G5524" i="23"/>
  <c r="G5512" i="23"/>
  <c r="G5500" i="23"/>
  <c r="G5488" i="23"/>
  <c r="G5476" i="23"/>
  <c r="G5464" i="23"/>
  <c r="G5452" i="23"/>
  <c r="G5440" i="23"/>
  <c r="G5428" i="23"/>
  <c r="G5416" i="23"/>
  <c r="G5404" i="23"/>
  <c r="G5392" i="23"/>
  <c r="G5380" i="23"/>
  <c r="G5368" i="23"/>
  <c r="G5356" i="23"/>
  <c r="G5344" i="23"/>
  <c r="G5332" i="23"/>
  <c r="G5320" i="23"/>
  <c r="G5308" i="23"/>
  <c r="G5296" i="23"/>
  <c r="G5284" i="23"/>
  <c r="G5272" i="23"/>
  <c r="G5260" i="23"/>
  <c r="G5248" i="23"/>
  <c r="G5236" i="23"/>
  <c r="G5224" i="23"/>
  <c r="G5212" i="23"/>
  <c r="G5200" i="23"/>
  <c r="G5188" i="23"/>
  <c r="G5176" i="23"/>
  <c r="G5164" i="23"/>
  <c r="G5152" i="23"/>
  <c r="G5140" i="23"/>
  <c r="G5128" i="23"/>
  <c r="G5116" i="23"/>
  <c r="G5104" i="23"/>
  <c r="G5092" i="23"/>
  <c r="G5080" i="23"/>
  <c r="G5068" i="23"/>
  <c r="G5056" i="23"/>
  <c r="G5044" i="23"/>
  <c r="G5032" i="23"/>
  <c r="G5020" i="23"/>
  <c r="G5008" i="23"/>
  <c r="G4996" i="23"/>
  <c r="G4984" i="23"/>
  <c r="G4972" i="23"/>
  <c r="G4960" i="23"/>
  <c r="G4948" i="23"/>
  <c r="G4936" i="23"/>
  <c r="G4924" i="23"/>
  <c r="G4912" i="23"/>
  <c r="G4900" i="23"/>
  <c r="G4888" i="23"/>
  <c r="G4876" i="23"/>
  <c r="G4864" i="23"/>
  <c r="G4852" i="23"/>
  <c r="G4840" i="23"/>
  <c r="G4828" i="23"/>
  <c r="G4816" i="23"/>
  <c r="G4804" i="23"/>
  <c r="G4792" i="23"/>
  <c r="G4780" i="23"/>
  <c r="G9874" i="23"/>
  <c r="G9665" i="23"/>
  <c r="G9445" i="23"/>
  <c r="G9290" i="23"/>
  <c r="G9120" i="23"/>
  <c r="G8979" i="23"/>
  <c r="G8842" i="23"/>
  <c r="G8757" i="23"/>
  <c r="G8667" i="23"/>
  <c r="G8586" i="23"/>
  <c r="G8501" i="23"/>
  <c r="G8440" i="23"/>
  <c r="G8373" i="23"/>
  <c r="G8320" i="23"/>
  <c r="G8252" i="23"/>
  <c r="G8199" i="23"/>
  <c r="G8149" i="23"/>
  <c r="G8108" i="23"/>
  <c r="G8056" i="23"/>
  <c r="G8016" i="23"/>
  <c r="G7974" i="23"/>
  <c r="G7936" i="23"/>
  <c r="G7886" i="23"/>
  <c r="G7850" i="23"/>
  <c r="G7805" i="23"/>
  <c r="G7766" i="23"/>
  <c r="G7714" i="23"/>
  <c r="G7678" i="23"/>
  <c r="G7635" i="23"/>
  <c r="G7598" i="23"/>
  <c r="G7548" i="23"/>
  <c r="G7514" i="23"/>
  <c r="G7474" i="23"/>
  <c r="G7440" i="23"/>
  <c r="G7395" i="23"/>
  <c r="G7362" i="23"/>
  <c r="G7325" i="23"/>
  <c r="G7293" i="23"/>
  <c r="G7256" i="23"/>
  <c r="G7234" i="23"/>
  <c r="G7201" i="23"/>
  <c r="G7180" i="23"/>
  <c r="G7149" i="23"/>
  <c r="G7128" i="23"/>
  <c r="G7096" i="23"/>
  <c r="G7076" i="23"/>
  <c r="G7044" i="23"/>
  <c r="G7023" i="23"/>
  <c r="G6992" i="23"/>
  <c r="G6971" i="23"/>
  <c r="G6939" i="23"/>
  <c r="G6918" i="23"/>
  <c r="G6887" i="23"/>
  <c r="G6866" i="23"/>
  <c r="G6838" i="23"/>
  <c r="G6816" i="23"/>
  <c r="G6790" i="23"/>
  <c r="G6768" i="23"/>
  <c r="G6743" i="23"/>
  <c r="G6725" i="23"/>
  <c r="G6701" i="23"/>
  <c r="G6681" i="23"/>
  <c r="G6657" i="23"/>
  <c r="G6639" i="23"/>
  <c r="G6615" i="23"/>
  <c r="G6595" i="23"/>
  <c r="G6571" i="23"/>
  <c r="G6554" i="23"/>
  <c r="G6532" i="23"/>
  <c r="G6514" i="23"/>
  <c r="G6492" i="23"/>
  <c r="G6475" i="23"/>
  <c r="G6453" i="23"/>
  <c r="G6436" i="23"/>
  <c r="G6414" i="23"/>
  <c r="G6397" i="23"/>
  <c r="G6377" i="23"/>
  <c r="G6361" i="23"/>
  <c r="G6341" i="23"/>
  <c r="G6325" i="23"/>
  <c r="G6305" i="23"/>
  <c r="G6289" i="23"/>
  <c r="G6269" i="23"/>
  <c r="G6253" i="23"/>
  <c r="G6233" i="23"/>
  <c r="G6217" i="23"/>
  <c r="G6197" i="23"/>
  <c r="G6181" i="23"/>
  <c r="G6161" i="23"/>
  <c r="G6145" i="23"/>
  <c r="G6125" i="23"/>
  <c r="G6109" i="23"/>
  <c r="G6089" i="23"/>
  <c r="G6073" i="23"/>
  <c r="G6055" i="23"/>
  <c r="G6040" i="23"/>
  <c r="G6025" i="23"/>
  <c r="G6007" i="23"/>
  <c r="G5992" i="23"/>
  <c r="G5978" i="23"/>
  <c r="G5964" i="23"/>
  <c r="G5951" i="23"/>
  <c r="G5937" i="23"/>
  <c r="G5924" i="23"/>
  <c r="G5911" i="23"/>
  <c r="G5898" i="23"/>
  <c r="G5885" i="23"/>
  <c r="G5872" i="23"/>
  <c r="G5859" i="23"/>
  <c r="G5846" i="23"/>
  <c r="G5833" i="23"/>
  <c r="G5820" i="23"/>
  <c r="G5807" i="23"/>
  <c r="G5793" i="23"/>
  <c r="G5780" i="23"/>
  <c r="G5767" i="23"/>
  <c r="G5754" i="23"/>
  <c r="G5741" i="23"/>
  <c r="G5728" i="23"/>
  <c r="G5715" i="23"/>
  <c r="G5703" i="23"/>
  <c r="G5691" i="23"/>
  <c r="G5679" i="23"/>
  <c r="G5667" i="23"/>
  <c r="G5655" i="23"/>
  <c r="G5643" i="23"/>
  <c r="G5631" i="23"/>
  <c r="G5619" i="23"/>
  <c r="G5607" i="23"/>
  <c r="G5595" i="23"/>
  <c r="G5583" i="23"/>
  <c r="G5571" i="23"/>
  <c r="G5559" i="23"/>
  <c r="G5547" i="23"/>
  <c r="G5535" i="23"/>
  <c r="G5523" i="23"/>
  <c r="G5511" i="23"/>
  <c r="G5499" i="23"/>
  <c r="G5487" i="23"/>
  <c r="G5475" i="23"/>
  <c r="G5463" i="23"/>
  <c r="G5451" i="23"/>
  <c r="G5439" i="23"/>
  <c r="G5427" i="23"/>
  <c r="G5415" i="23"/>
  <c r="G5403" i="23"/>
  <c r="G5391" i="23"/>
  <c r="G5379" i="23"/>
  <c r="G5367" i="23"/>
  <c r="G5355" i="23"/>
  <c r="G5343" i="23"/>
  <c r="G5331" i="23"/>
  <c r="G5319" i="23"/>
  <c r="G5307" i="23"/>
  <c r="G5295" i="23"/>
  <c r="G5283" i="23"/>
  <c r="G5271" i="23"/>
  <c r="G5259" i="23"/>
  <c r="G5247" i="23"/>
  <c r="G5235" i="23"/>
  <c r="G5223" i="23"/>
  <c r="G5211" i="23"/>
  <c r="G5199" i="23"/>
  <c r="G5187" i="23"/>
  <c r="G5175" i="23"/>
  <c r="G5163" i="23"/>
  <c r="G5151" i="23"/>
  <c r="G9873" i="23"/>
  <c r="G9664" i="23"/>
  <c r="G9433" i="23"/>
  <c r="G9289" i="23"/>
  <c r="G9117" i="23"/>
  <c r="G8975" i="23"/>
  <c r="G8839" i="23"/>
  <c r="G8756" i="23"/>
  <c r="G8661" i="23"/>
  <c r="G8585" i="23"/>
  <c r="G8498" i="23"/>
  <c r="G8439" i="23"/>
  <c r="G8372" i="23"/>
  <c r="G8319" i="23"/>
  <c r="G8244" i="23"/>
  <c r="G8198" i="23"/>
  <c r="G8148" i="23"/>
  <c r="G8107" i="23"/>
  <c r="G8055" i="23"/>
  <c r="G8014" i="23"/>
  <c r="G7971" i="23"/>
  <c r="G7935" i="23"/>
  <c r="G7884" i="23"/>
  <c r="G7844" i="23"/>
  <c r="G7803" i="23"/>
  <c r="G7764" i="23"/>
  <c r="G7713" i="23"/>
  <c r="G7677" i="23"/>
  <c r="G7634" i="23"/>
  <c r="G7593" i="23"/>
  <c r="G7546" i="23"/>
  <c r="G7512" i="23"/>
  <c r="G7473" i="23"/>
  <c r="G7437" i="23"/>
  <c r="G7394" i="23"/>
  <c r="G7361" i="23"/>
  <c r="G7324" i="23"/>
  <c r="G7292" i="23"/>
  <c r="G7255" i="23"/>
  <c r="G7231" i="23"/>
  <c r="G7200" i="23"/>
  <c r="G7178" i="23"/>
  <c r="G7148" i="23"/>
  <c r="G7126" i="23"/>
  <c r="G7095" i="23"/>
  <c r="G7073" i="23"/>
  <c r="G7043" i="23"/>
  <c r="G7021" i="23"/>
  <c r="G6990" i="23"/>
  <c r="G6969" i="23"/>
  <c r="G6938" i="23"/>
  <c r="G6916" i="23"/>
  <c r="G6886" i="23"/>
  <c r="G6864" i="23"/>
  <c r="G6834" i="23"/>
  <c r="G6815" i="23"/>
  <c r="G6789" i="23"/>
  <c r="G6767" i="23"/>
  <c r="G6742" i="23"/>
  <c r="G6724" i="23"/>
  <c r="G6700" i="23"/>
  <c r="G6680" i="23"/>
  <c r="G6656" i="23"/>
  <c r="G6636" i="23"/>
  <c r="G6612" i="23"/>
  <c r="G6594" i="23"/>
  <c r="G6570" i="23"/>
  <c r="G6552" i="23"/>
  <c r="G6531" i="23"/>
  <c r="G6513" i="23"/>
  <c r="G6491" i="23"/>
  <c r="G6474" i="23"/>
  <c r="G6452" i="23"/>
  <c r="G6435" i="23"/>
  <c r="G6413" i="23"/>
  <c r="G6396" i="23"/>
  <c r="G6376" i="23"/>
  <c r="G6360" i="23"/>
  <c r="G6340" i="23"/>
  <c r="G6324" i="23"/>
  <c r="G6304" i="23"/>
  <c r="G6288" i="23"/>
  <c r="G6268" i="23"/>
  <c r="G6252" i="23"/>
  <c r="G6232" i="23"/>
  <c r="G6216" i="23"/>
  <c r="G6196" i="23"/>
  <c r="G6180" i="23"/>
  <c r="G6160" i="23"/>
  <c r="G6144" i="23"/>
  <c r="G6124" i="23"/>
  <c r="G6108" i="23"/>
  <c r="G6088" i="23"/>
  <c r="G6072" i="23"/>
  <c r="G6054" i="23"/>
  <c r="G6039" i="23"/>
  <c r="G6024" i="23"/>
  <c r="G6006" i="23"/>
  <c r="G5991" i="23"/>
  <c r="G5977" i="23"/>
  <c r="G5963" i="23"/>
  <c r="G5949" i="23"/>
  <c r="G5936" i="23"/>
  <c r="G5923" i="23"/>
  <c r="G5910" i="23"/>
  <c r="G5897" i="23"/>
  <c r="G5884" i="23"/>
  <c r="G5871" i="23"/>
  <c r="G5858" i="23"/>
  <c r="G5845" i="23"/>
  <c r="G5832" i="23"/>
  <c r="G5819" i="23"/>
  <c r="G5805" i="23"/>
  <c r="G5792" i="23"/>
  <c r="G5779" i="23"/>
  <c r="G5766" i="23"/>
  <c r="G5753" i="23"/>
  <c r="G5740" i="23"/>
  <c r="G5727" i="23"/>
  <c r="G5714" i="23"/>
  <c r="G5702" i="23"/>
  <c r="G5690" i="23"/>
  <c r="G5678" i="23"/>
  <c r="G5666" i="23"/>
  <c r="G5654" i="23"/>
  <c r="G5642" i="23"/>
  <c r="G5630" i="23"/>
  <c r="G5618" i="23"/>
  <c r="G5606" i="23"/>
  <c r="G5594" i="23"/>
  <c r="G5582" i="23"/>
  <c r="G5570" i="23"/>
  <c r="G5558" i="23"/>
  <c r="G5546" i="23"/>
  <c r="G5534" i="23"/>
  <c r="G5522" i="23"/>
  <c r="G5510" i="23"/>
  <c r="G5498" i="23"/>
  <c r="G5486" i="23"/>
  <c r="G5474" i="23"/>
  <c r="G5462" i="23"/>
  <c r="G5450" i="23"/>
  <c r="G5438" i="23"/>
  <c r="G5426" i="23"/>
  <c r="G5414" i="23"/>
  <c r="G5402" i="23"/>
  <c r="G5390" i="23"/>
  <c r="G5378" i="23"/>
  <c r="G5366" i="23"/>
  <c r="G5354" i="23"/>
  <c r="G5342" i="23"/>
  <c r="G5330" i="23"/>
  <c r="G5318" i="23"/>
  <c r="G5306" i="23"/>
  <c r="G5294" i="23"/>
  <c r="G5282" i="23"/>
  <c r="G5270" i="23"/>
  <c r="G5258" i="23"/>
  <c r="G5246" i="23"/>
  <c r="G5234" i="23"/>
  <c r="G5222" i="23"/>
  <c r="G5210" i="23"/>
  <c r="G5198" i="23"/>
  <c r="G5186" i="23"/>
  <c r="G5174" i="23"/>
  <c r="G5162" i="23"/>
  <c r="G5150" i="23"/>
  <c r="G5138" i="23"/>
  <c r="G5126" i="23"/>
  <c r="G5114" i="23"/>
  <c r="G9851" i="23"/>
  <c r="G9553" i="23"/>
  <c r="G9249" i="23"/>
  <c r="G9020" i="23"/>
  <c r="G8838" i="23"/>
  <c r="G8706" i="23"/>
  <c r="G8558" i="23"/>
  <c r="G8464" i="23"/>
  <c r="G8370" i="23"/>
  <c r="G8284" i="23"/>
  <c r="G8186" i="23"/>
  <c r="G8124" i="23"/>
  <c r="G8054" i="23"/>
  <c r="G7996" i="23"/>
  <c r="G7920" i="23"/>
  <c r="G7865" i="23"/>
  <c r="G7797" i="23"/>
  <c r="G7743" i="23"/>
  <c r="G7666" i="23"/>
  <c r="G7610" i="23"/>
  <c r="G7545" i="23"/>
  <c r="G7494" i="23"/>
  <c r="G7425" i="23"/>
  <c r="G7375" i="23"/>
  <c r="G7322" i="23"/>
  <c r="G7275" i="23"/>
  <c r="G7224" i="23"/>
  <c r="G7187" i="23"/>
  <c r="G7146" i="23"/>
  <c r="G7113" i="23"/>
  <c r="G7066" i="23"/>
  <c r="G7030" i="23"/>
  <c r="G6989" i="23"/>
  <c r="G6956" i="23"/>
  <c r="G6909" i="23"/>
  <c r="G6873" i="23"/>
  <c r="G6833" i="23"/>
  <c r="G6803" i="23"/>
  <c r="G6761" i="23"/>
  <c r="G6731" i="23"/>
  <c r="G6699" i="23"/>
  <c r="G6669" i="23"/>
  <c r="G6631" i="23"/>
  <c r="G6603" i="23"/>
  <c r="G6569" i="23"/>
  <c r="G6543" i="23"/>
  <c r="G6508" i="23"/>
  <c r="G6482" i="23"/>
  <c r="G6451" i="23"/>
  <c r="G6425" i="23"/>
  <c r="G6391" i="23"/>
  <c r="G6367" i="23"/>
  <c r="G6339" i="23"/>
  <c r="G6315" i="23"/>
  <c r="G6283" i="23"/>
  <c r="G6259" i="23"/>
  <c r="G6231" i="23"/>
  <c r="G6207" i="23"/>
  <c r="G6175" i="23"/>
  <c r="G6151" i="23"/>
  <c r="G6123" i="23"/>
  <c r="G6099" i="23"/>
  <c r="G6068" i="23"/>
  <c r="G6049" i="23"/>
  <c r="G6020" i="23"/>
  <c r="G6001" i="23"/>
  <c r="G5976" i="23"/>
  <c r="G5957" i="23"/>
  <c r="G5935" i="23"/>
  <c r="G5918" i="23"/>
  <c r="G5896" i="23"/>
  <c r="G5879" i="23"/>
  <c r="G5857" i="23"/>
  <c r="G5839" i="23"/>
  <c r="G5817" i="23"/>
  <c r="G5800" i="23"/>
  <c r="G5778" i="23"/>
  <c r="G5761" i="23"/>
  <c r="G5739" i="23"/>
  <c r="G5721" i="23"/>
  <c r="G5701" i="23"/>
  <c r="G5685" i="23"/>
  <c r="G5665" i="23"/>
  <c r="G5649" i="23"/>
  <c r="G5629" i="23"/>
  <c r="G5613" i="23"/>
  <c r="G5593" i="23"/>
  <c r="G5577" i="23"/>
  <c r="G5557" i="23"/>
  <c r="G5541" i="23"/>
  <c r="G5521" i="23"/>
  <c r="G5505" i="23"/>
  <c r="G5485" i="23"/>
  <c r="G5469" i="23"/>
  <c r="G5449" i="23"/>
  <c r="G5433" i="23"/>
  <c r="G5413" i="23"/>
  <c r="G5397" i="23"/>
  <c r="G5377" i="23"/>
  <c r="G5361" i="23"/>
  <c r="G5341" i="23"/>
  <c r="G5325" i="23"/>
  <c r="G5305" i="23"/>
  <c r="G5289" i="23"/>
  <c r="G5269" i="23"/>
  <c r="G5253" i="23"/>
  <c r="G5233" i="23"/>
  <c r="G5217" i="23"/>
  <c r="G5197" i="23"/>
  <c r="G5181" i="23"/>
  <c r="G5161" i="23"/>
  <c r="G5145" i="23"/>
  <c r="G5130" i="23"/>
  <c r="G5112" i="23"/>
  <c r="G5098" i="23"/>
  <c r="G5084" i="23"/>
  <c r="G5070" i="23"/>
  <c r="G5054" i="23"/>
  <c r="G5040" i="23"/>
  <c r="G5026" i="23"/>
  <c r="G5012" i="23"/>
  <c r="G4998" i="23"/>
  <c r="G4982" i="23"/>
  <c r="G4968" i="23"/>
  <c r="G4954" i="23"/>
  <c r="G4940" i="23"/>
  <c r="G4926" i="23"/>
  <c r="G4910" i="23"/>
  <c r="G4896" i="23"/>
  <c r="G4882" i="23"/>
  <c r="G4868" i="23"/>
  <c r="G4854" i="23"/>
  <c r="G4838" i="23"/>
  <c r="G4824" i="23"/>
  <c r="G4810" i="23"/>
  <c r="G4796" i="23"/>
  <c r="G4782" i="23"/>
  <c r="G4768" i="23"/>
  <c r="G4756" i="23"/>
  <c r="G4744" i="23"/>
  <c r="G4732" i="23"/>
  <c r="G4720" i="23"/>
  <c r="G4708" i="23"/>
  <c r="G4696" i="23"/>
  <c r="G4684" i="23"/>
  <c r="G4672" i="23"/>
  <c r="G4660" i="23"/>
  <c r="G4648" i="23"/>
  <c r="G4636" i="23"/>
  <c r="G4624" i="23"/>
  <c r="G4612" i="23"/>
  <c r="G4600" i="23"/>
  <c r="G4588" i="23"/>
  <c r="G4576" i="23"/>
  <c r="G4564" i="23"/>
  <c r="G4552" i="23"/>
  <c r="G4540" i="23"/>
  <c r="G4528" i="23"/>
  <c r="G4516" i="23"/>
  <c r="G4504" i="23"/>
  <c r="G4492" i="23"/>
  <c r="G4480" i="23"/>
  <c r="G4468" i="23"/>
  <c r="G4456" i="23"/>
  <c r="G4444" i="23"/>
  <c r="G4432" i="23"/>
  <c r="G4420" i="23"/>
  <c r="G4408" i="23"/>
  <c r="G4396" i="23"/>
  <c r="G4384" i="23"/>
  <c r="G4372" i="23"/>
  <c r="G4360" i="23"/>
  <c r="G4348" i="23"/>
  <c r="G4336" i="23"/>
  <c r="G4324" i="23"/>
  <c r="G4312" i="23"/>
  <c r="G4300" i="23"/>
  <c r="G4288" i="23"/>
  <c r="G4276" i="23"/>
  <c r="G4264" i="23"/>
  <c r="G4252" i="23"/>
  <c r="G4240" i="23"/>
  <c r="G4228" i="23"/>
  <c r="G4216" i="23"/>
  <c r="G4204" i="23"/>
  <c r="G4192" i="23"/>
  <c r="G4180" i="23"/>
  <c r="G4168" i="23"/>
  <c r="G4156" i="23"/>
  <c r="G4144" i="23"/>
  <c r="G4132" i="23"/>
  <c r="G4120" i="23"/>
  <c r="G4108" i="23"/>
  <c r="G4096" i="23"/>
  <c r="G4084" i="23"/>
  <c r="G4072" i="23"/>
  <c r="G4060" i="23"/>
  <c r="G4048" i="23"/>
  <c r="G4036" i="23"/>
  <c r="G4024" i="23"/>
  <c r="G4012" i="23"/>
  <c r="G4000" i="23"/>
  <c r="G3988" i="23"/>
  <c r="G3976" i="23"/>
  <c r="G3964" i="23"/>
  <c r="G3952" i="23"/>
  <c r="G3940" i="23"/>
  <c r="G3928" i="23"/>
  <c r="G3916" i="23"/>
  <c r="G3904" i="23"/>
  <c r="G3892" i="23"/>
  <c r="G3880" i="23"/>
  <c r="G3868" i="23"/>
  <c r="G3856" i="23"/>
  <c r="G3844" i="23"/>
  <c r="G3832" i="23"/>
  <c r="G3820" i="23"/>
  <c r="G3808" i="23"/>
  <c r="G3796" i="23"/>
  <c r="G3784" i="23"/>
  <c r="G3772" i="23"/>
  <c r="G3760" i="23"/>
  <c r="G3748" i="23"/>
  <c r="G3736" i="23"/>
  <c r="G3724" i="23"/>
  <c r="G3712" i="23"/>
  <c r="G3700" i="23"/>
  <c r="G3688" i="23"/>
  <c r="G3676" i="23"/>
  <c r="G3664" i="23"/>
  <c r="G3652" i="23"/>
  <c r="G3640" i="23"/>
  <c r="G3628" i="23"/>
  <c r="G3616" i="23"/>
  <c r="G3604" i="23"/>
  <c r="G3592" i="23"/>
  <c r="G3580" i="23"/>
  <c r="G3568" i="23"/>
  <c r="G3556" i="23"/>
  <c r="G3544" i="23"/>
  <c r="G3532" i="23"/>
  <c r="G3520" i="23"/>
  <c r="G3508" i="23"/>
  <c r="G3496" i="23"/>
  <c r="G3484" i="23"/>
  <c r="G3472" i="23"/>
  <c r="G3460" i="23"/>
  <c r="G3448" i="23"/>
  <c r="G3436" i="23"/>
  <c r="G3424" i="23"/>
  <c r="G3412" i="23"/>
  <c r="G3400" i="23"/>
  <c r="G3388" i="23"/>
  <c r="G3376" i="23"/>
  <c r="G3364" i="23"/>
  <c r="G3352" i="23"/>
  <c r="G3340" i="23"/>
  <c r="G3328" i="23"/>
  <c r="G3316" i="23"/>
  <c r="G3304" i="23"/>
  <c r="G3292" i="23"/>
  <c r="G3280" i="23"/>
  <c r="G3268" i="23"/>
  <c r="G3256" i="23"/>
  <c r="G3244" i="23"/>
  <c r="G3232" i="23"/>
  <c r="G3220" i="23"/>
  <c r="G3208" i="23"/>
  <c r="G3196" i="23"/>
  <c r="G3184" i="23"/>
  <c r="G3172" i="23"/>
  <c r="G3160" i="23"/>
  <c r="G3148" i="23"/>
  <c r="G3136" i="23"/>
  <c r="G3124" i="23"/>
  <c r="G3112" i="23"/>
  <c r="G3100" i="23"/>
  <c r="G3088" i="23"/>
  <c r="G3076" i="23"/>
  <c r="G3064" i="23"/>
  <c r="G3052" i="23"/>
  <c r="G3040" i="23"/>
  <c r="G3028" i="23"/>
  <c r="G3016" i="23"/>
  <c r="G3004" i="23"/>
  <c r="G2992" i="23"/>
  <c r="G2980" i="23"/>
  <c r="G2968" i="23"/>
  <c r="G2956" i="23"/>
  <c r="G2944" i="23"/>
  <c r="G2932" i="23"/>
  <c r="G2920" i="23"/>
  <c r="G2908" i="23"/>
  <c r="G2896" i="23"/>
  <c r="G2884" i="23"/>
  <c r="G2872" i="23"/>
  <c r="G2860" i="23"/>
  <c r="G2848" i="23"/>
  <c r="G2836" i="23"/>
  <c r="G2824" i="23"/>
  <c r="G2812" i="23"/>
  <c r="G2800" i="23"/>
  <c r="G2788" i="23"/>
  <c r="G2776" i="23"/>
  <c r="G2764" i="23"/>
  <c r="G2752" i="23"/>
  <c r="G2740" i="23"/>
  <c r="G2728" i="23"/>
  <c r="G2716" i="23"/>
  <c r="G2704" i="23"/>
  <c r="G2692" i="23"/>
  <c r="G2680" i="23"/>
  <c r="G2668" i="23"/>
  <c r="G2656" i="23"/>
  <c r="G2644" i="23"/>
  <c r="G2632" i="23"/>
  <c r="G2620" i="23"/>
  <c r="G2608" i="23"/>
  <c r="G2596" i="23"/>
  <c r="G2584" i="23"/>
  <c r="G2572" i="23"/>
  <c r="G2560" i="23"/>
  <c r="G2548" i="23"/>
  <c r="G2536" i="23"/>
  <c r="G2524" i="23"/>
  <c r="G2512" i="23"/>
  <c r="G2500" i="23"/>
  <c r="G2488" i="23"/>
  <c r="G9809" i="23"/>
  <c r="G9525" i="23"/>
  <c r="G9237" i="23"/>
  <c r="G9014" i="23"/>
  <c r="G8835" i="23"/>
  <c r="G8701" i="23"/>
  <c r="G8556" i="23"/>
  <c r="G8463" i="23"/>
  <c r="G8357" i="23"/>
  <c r="G8276" i="23"/>
  <c r="G8178" i="23"/>
  <c r="G8116" i="23"/>
  <c r="G8049" i="23"/>
  <c r="G7995" i="23"/>
  <c r="G7917" i="23"/>
  <c r="G7860" i="23"/>
  <c r="G7793" i="23"/>
  <c r="G7735" i="23"/>
  <c r="G7662" i="23"/>
  <c r="G7604" i="23"/>
  <c r="G7543" i="23"/>
  <c r="G7493" i="23"/>
  <c r="G7424" i="23"/>
  <c r="G7374" i="23"/>
  <c r="G7316" i="23"/>
  <c r="G7270" i="23"/>
  <c r="G7222" i="23"/>
  <c r="G7186" i="23"/>
  <c r="G7145" i="23"/>
  <c r="G7109" i="23"/>
  <c r="G7065" i="23"/>
  <c r="G7029" i="23"/>
  <c r="G6988" i="23"/>
  <c r="G6952" i="23"/>
  <c r="G6908" i="23"/>
  <c r="G6872" i="23"/>
  <c r="G6832" i="23"/>
  <c r="G6802" i="23"/>
  <c r="G6760" i="23"/>
  <c r="G6730" i="23"/>
  <c r="G6696" i="23"/>
  <c r="G6668" i="23"/>
  <c r="G6630" i="23"/>
  <c r="G6600" i="23"/>
  <c r="G6568" i="23"/>
  <c r="G6542" i="23"/>
  <c r="G6507" i="23"/>
  <c r="G6480" i="23"/>
  <c r="G6450" i="23"/>
  <c r="G6424" i="23"/>
  <c r="G6390" i="23"/>
  <c r="G6366" i="23"/>
  <c r="G6338" i="23"/>
  <c r="G6314" i="23"/>
  <c r="G6282" i="23"/>
  <c r="G6258" i="23"/>
  <c r="G6230" i="23"/>
  <c r="G6206" i="23"/>
  <c r="G6174" i="23"/>
  <c r="G6150" i="23"/>
  <c r="G6122" i="23"/>
  <c r="G6098" i="23"/>
  <c r="G6067" i="23"/>
  <c r="G6048" i="23"/>
  <c r="G6019" i="23"/>
  <c r="G6000" i="23"/>
  <c r="G5973" i="23"/>
  <c r="G5956" i="23"/>
  <c r="G5934" i="23"/>
  <c r="G5917" i="23"/>
  <c r="G5895" i="23"/>
  <c r="G5877" i="23"/>
  <c r="G5856" i="23"/>
  <c r="G5838" i="23"/>
  <c r="G5816" i="23"/>
  <c r="G5799" i="23"/>
  <c r="G5777" i="23"/>
  <c r="G5760" i="23"/>
  <c r="G5738" i="23"/>
  <c r="G5720" i="23"/>
  <c r="G5700" i="23"/>
  <c r="G5684" i="23"/>
  <c r="G5664" i="23"/>
  <c r="G5648" i="23"/>
  <c r="G5628" i="23"/>
  <c r="G5612" i="23"/>
  <c r="G5592" i="23"/>
  <c r="G5576" i="23"/>
  <c r="G5556" i="23"/>
  <c r="G5540" i="23"/>
  <c r="G5520" i="23"/>
  <c r="G5504" i="23"/>
  <c r="G5484" i="23"/>
  <c r="G5468" i="23"/>
  <c r="G5448" i="23"/>
  <c r="G5432" i="23"/>
  <c r="G5412" i="23"/>
  <c r="G5396" i="23"/>
  <c r="G5376" i="23"/>
  <c r="G5360" i="23"/>
  <c r="G5340" i="23"/>
  <c r="G5324" i="23"/>
  <c r="G5304" i="23"/>
  <c r="G5288" i="23"/>
  <c r="G5268" i="23"/>
  <c r="G5252" i="23"/>
  <c r="G5232" i="23"/>
  <c r="G5216" i="23"/>
  <c r="G5196" i="23"/>
  <c r="G5180" i="23"/>
  <c r="G5160" i="23"/>
  <c r="G5144" i="23"/>
  <c r="G5127" i="23"/>
  <c r="G5111" i="23"/>
  <c r="G5097" i="23"/>
  <c r="G5083" i="23"/>
  <c r="G5067" i="23"/>
  <c r="G5053" i="23"/>
  <c r="G5039" i="23"/>
  <c r="G5025" i="23"/>
  <c r="G5011" i="23"/>
  <c r="G4995" i="23"/>
  <c r="G4981" i="23"/>
  <c r="G4967" i="23"/>
  <c r="G4953" i="23"/>
  <c r="G4939" i="23"/>
  <c r="G4923" i="23"/>
  <c r="G4909" i="23"/>
  <c r="G4895" i="23"/>
  <c r="G4881" i="23"/>
  <c r="G4867" i="23"/>
  <c r="G4851" i="23"/>
  <c r="G4837" i="23"/>
  <c r="G4823" i="23"/>
  <c r="G4809" i="23"/>
  <c r="G4795" i="23"/>
  <c r="G4779" i="23"/>
  <c r="G4767" i="23"/>
  <c r="G4755" i="23"/>
  <c r="G4743" i="23"/>
  <c r="G4731" i="23"/>
  <c r="G4719" i="23"/>
  <c r="G4707" i="23"/>
  <c r="G4695" i="23"/>
  <c r="G4683" i="23"/>
  <c r="G4671" i="23"/>
  <c r="G4659" i="23"/>
  <c r="G4647" i="23"/>
  <c r="G4635" i="23"/>
  <c r="G4623" i="23"/>
  <c r="G4611" i="23"/>
  <c r="G4599" i="23"/>
  <c r="G4587" i="23"/>
  <c r="G4575" i="23"/>
  <c r="G4563" i="23"/>
  <c r="G4551" i="23"/>
  <c r="G4539" i="23"/>
  <c r="G4527" i="23"/>
  <c r="G4515" i="23"/>
  <c r="G4503" i="23"/>
  <c r="G4491" i="23"/>
  <c r="G4479" i="23"/>
  <c r="G4467" i="23"/>
  <c r="G4455" i="23"/>
  <c r="G4443" i="23"/>
  <c r="G4431" i="23"/>
  <c r="G4419" i="23"/>
  <c r="G4407" i="23"/>
  <c r="G4395" i="23"/>
  <c r="G4383" i="23"/>
  <c r="G4371" i="23"/>
  <c r="G4359" i="23"/>
  <c r="G4347" i="23"/>
  <c r="G4335" i="23"/>
  <c r="G4323" i="23"/>
  <c r="G4311" i="23"/>
  <c r="G4299" i="23"/>
  <c r="G4287" i="23"/>
  <c r="G4275" i="23"/>
  <c r="G4263" i="23"/>
  <c r="G4251" i="23"/>
  <c r="G4239" i="23"/>
  <c r="G4227" i="23"/>
  <c r="G4215" i="23"/>
  <c r="G4203" i="23"/>
  <c r="G4191" i="23"/>
  <c r="G4179" i="23"/>
  <c r="G4167" i="23"/>
  <c r="G4155" i="23"/>
  <c r="G4143" i="23"/>
  <c r="G4131" i="23"/>
  <c r="G4119" i="23"/>
  <c r="G4107" i="23"/>
  <c r="G4095" i="23"/>
  <c r="G4083" i="23"/>
  <c r="G4071" i="23"/>
  <c r="G4059" i="23"/>
  <c r="G4047" i="23"/>
  <c r="G4035" i="23"/>
  <c r="G4023" i="23"/>
  <c r="G4011" i="23"/>
  <c r="G3999" i="23"/>
  <c r="G3987" i="23"/>
  <c r="G3975" i="23"/>
  <c r="G3963" i="23"/>
  <c r="G3951" i="23"/>
  <c r="G3939" i="23"/>
  <c r="G3927" i="23"/>
  <c r="G3915" i="23"/>
  <c r="G3903" i="23"/>
  <c r="G3891" i="23"/>
  <c r="G3879" i="23"/>
  <c r="G3867" i="23"/>
  <c r="G3855" i="23"/>
  <c r="G3843" i="23"/>
  <c r="G3831" i="23"/>
  <c r="G3819" i="23"/>
  <c r="G3807" i="23"/>
  <c r="G3795" i="23"/>
  <c r="G3783" i="23"/>
  <c r="G3771" i="23"/>
  <c r="G3759" i="23"/>
  <c r="G3747" i="23"/>
  <c r="G3735" i="23"/>
  <c r="G3723" i="23"/>
  <c r="G3711" i="23"/>
  <c r="G3699" i="23"/>
  <c r="G3687" i="23"/>
  <c r="G3675" i="23"/>
  <c r="G3663" i="23"/>
  <c r="G3651" i="23"/>
  <c r="G3639" i="23"/>
  <c r="G3627" i="23"/>
  <c r="G3615" i="23"/>
  <c r="G3603" i="23"/>
  <c r="G3591" i="23"/>
  <c r="G3579" i="23"/>
  <c r="G3567" i="23"/>
  <c r="G3555" i="23"/>
  <c r="G3543" i="23"/>
  <c r="G3531" i="23"/>
  <c r="G3519" i="23"/>
  <c r="G3507" i="23"/>
  <c r="G3495" i="23"/>
  <c r="G3483" i="23"/>
  <c r="G3471" i="23"/>
  <c r="G3459" i="23"/>
  <c r="G3447" i="23"/>
  <c r="G3435" i="23"/>
  <c r="G3423" i="23"/>
  <c r="G3411" i="23"/>
  <c r="G3399" i="23"/>
  <c r="G3387" i="23"/>
  <c r="G3375" i="23"/>
  <c r="G3363" i="23"/>
  <c r="G3351" i="23"/>
  <c r="G3339" i="23"/>
  <c r="G3327" i="23"/>
  <c r="G3315" i="23"/>
  <c r="G3303" i="23"/>
  <c r="G3291" i="23"/>
  <c r="G3279" i="23"/>
  <c r="G3267" i="23"/>
  <c r="G3255" i="23"/>
  <c r="G3243" i="23"/>
  <c r="G3231" i="23"/>
  <c r="G3219" i="23"/>
  <c r="G3207" i="23"/>
  <c r="G3195" i="23"/>
  <c r="G3183" i="23"/>
  <c r="G3171" i="23"/>
  <c r="G3159" i="23"/>
  <c r="G3147" i="23"/>
  <c r="G3135" i="23"/>
  <c r="G3123" i="23"/>
  <c r="G3111" i="23"/>
  <c r="G3099" i="23"/>
  <c r="G3087" i="23"/>
  <c r="G3075" i="23"/>
  <c r="G3063" i="23"/>
  <c r="G3051" i="23"/>
  <c r="G3039" i="23"/>
  <c r="G3027" i="23"/>
  <c r="G3015" i="23"/>
  <c r="G3003" i="23"/>
  <c r="G2991" i="23"/>
  <c r="G2979" i="23"/>
  <c r="G2967" i="23"/>
  <c r="G2955" i="23"/>
  <c r="G2943" i="23"/>
  <c r="G2931" i="23"/>
  <c r="G2919" i="23"/>
  <c r="G2907" i="23"/>
  <c r="G2895" i="23"/>
  <c r="G2883" i="23"/>
  <c r="G2871" i="23"/>
  <c r="G2859" i="23"/>
  <c r="G2847" i="23"/>
  <c r="G2835" i="23"/>
  <c r="G2823" i="23"/>
  <c r="G2811" i="23"/>
  <c r="G2799" i="23"/>
  <c r="G2787" i="23"/>
  <c r="G2775" i="23"/>
  <c r="G2763" i="23"/>
  <c r="G2751" i="23"/>
  <c r="G2739" i="23"/>
  <c r="G2727" i="23"/>
  <c r="G2715" i="23"/>
  <c r="G2703" i="23"/>
  <c r="G2691" i="23"/>
  <c r="G2679" i="23"/>
  <c r="G2667" i="23"/>
  <c r="G2655" i="23"/>
  <c r="G2643" i="23"/>
  <c r="G2631" i="23"/>
  <c r="G2619" i="23"/>
  <c r="G2607" i="23"/>
  <c r="G2595" i="23"/>
  <c r="G2583" i="23"/>
  <c r="G2571" i="23"/>
  <c r="G2559" i="23"/>
  <c r="G2547" i="23"/>
  <c r="G2535" i="23"/>
  <c r="G2523" i="23"/>
  <c r="G2511" i="23"/>
  <c r="G2499" i="23"/>
  <c r="G2487" i="23"/>
  <c r="G2475" i="23"/>
  <c r="G2463" i="23"/>
  <c r="G2451" i="23"/>
  <c r="G2439" i="23"/>
  <c r="G2427" i="23"/>
  <c r="G2415" i="23"/>
  <c r="G2403" i="23"/>
  <c r="G2391" i="23"/>
  <c r="G2379" i="23"/>
  <c r="G2367" i="23"/>
  <c r="G2355" i="23"/>
  <c r="G2343" i="23"/>
  <c r="G2331" i="23"/>
  <c r="G9808" i="23"/>
  <c r="G9521" i="23"/>
  <c r="G9216" i="23"/>
  <c r="G9005" i="23"/>
  <c r="G8831" i="23"/>
  <c r="G8697" i="23"/>
  <c r="G8553" i="23"/>
  <c r="G8462" i="23"/>
  <c r="G8356" i="23"/>
  <c r="G8275" i="23"/>
  <c r="G8177" i="23"/>
  <c r="G8114" i="23"/>
  <c r="G8047" i="23"/>
  <c r="G7994" i="23"/>
  <c r="G7916" i="23"/>
  <c r="G7858" i="23"/>
  <c r="G7792" i="23"/>
  <c r="G7734" i="23"/>
  <c r="G7661" i="23"/>
  <c r="G7603" i="23"/>
  <c r="G7542" i="23"/>
  <c r="G7492" i="23"/>
  <c r="G7422" i="23"/>
  <c r="G7373" i="23"/>
  <c r="G7315" i="23"/>
  <c r="G7269" i="23"/>
  <c r="G7221" i="23"/>
  <c r="G7185" i="23"/>
  <c r="G7144" i="23"/>
  <c r="G7108" i="23"/>
  <c r="G7064" i="23"/>
  <c r="G7028" i="23"/>
  <c r="G6987" i="23"/>
  <c r="G6951" i="23"/>
  <c r="G6906" i="23"/>
  <c r="G6870" i="23"/>
  <c r="G6831" i="23"/>
  <c r="G6801" i="23"/>
  <c r="G6759" i="23"/>
  <c r="G6729" i="23"/>
  <c r="G6695" i="23"/>
  <c r="G6667" i="23"/>
  <c r="G6629" i="23"/>
  <c r="G6599" i="23"/>
  <c r="G6567" i="23"/>
  <c r="G6540" i="23"/>
  <c r="G6506" i="23"/>
  <c r="G6479" i="23"/>
  <c r="G6449" i="23"/>
  <c r="G6423" i="23"/>
  <c r="G6389" i="23"/>
  <c r="G6365" i="23"/>
  <c r="G6337" i="23"/>
  <c r="G6313" i="23"/>
  <c r="G6281" i="23"/>
  <c r="G6257" i="23"/>
  <c r="G6229" i="23"/>
  <c r="G6205" i="23"/>
  <c r="G6173" i="23"/>
  <c r="G6149" i="23"/>
  <c r="G6121" i="23"/>
  <c r="G6097" i="23"/>
  <c r="G6066" i="23"/>
  <c r="G6044" i="23"/>
  <c r="G6018" i="23"/>
  <c r="G5996" i="23"/>
  <c r="G5972" i="23"/>
  <c r="G5955" i="23"/>
  <c r="G5933" i="23"/>
  <c r="G5916" i="23"/>
  <c r="G5894" i="23"/>
  <c r="G5876" i="23"/>
  <c r="G5855" i="23"/>
  <c r="G5837" i="23"/>
  <c r="G5815" i="23"/>
  <c r="G5798" i="23"/>
  <c r="G5776" i="23"/>
  <c r="G5759" i="23"/>
  <c r="G5737" i="23"/>
  <c r="G5719" i="23"/>
  <c r="G5699" i="23"/>
  <c r="G5683" i="23"/>
  <c r="G5663" i="23"/>
  <c r="G5647" i="23"/>
  <c r="G5627" i="23"/>
  <c r="G5611" i="23"/>
  <c r="G5591" i="23"/>
  <c r="G5575" i="23"/>
  <c r="G5555" i="23"/>
  <c r="G5539" i="23"/>
  <c r="G5519" i="23"/>
  <c r="G5503" i="23"/>
  <c r="G5483" i="23"/>
  <c r="G5467" i="23"/>
  <c r="G5447" i="23"/>
  <c r="G5431" i="23"/>
  <c r="G5411" i="23"/>
  <c r="G5395" i="23"/>
  <c r="G5375" i="23"/>
  <c r="G5359" i="23"/>
  <c r="G5339" i="23"/>
  <c r="G5323" i="23"/>
  <c r="G5303" i="23"/>
  <c r="G5287" i="23"/>
  <c r="G5267" i="23"/>
  <c r="G5251" i="23"/>
  <c r="G5231" i="23"/>
  <c r="G5215" i="23"/>
  <c r="G5195" i="23"/>
  <c r="G5179" i="23"/>
  <c r="G5159" i="23"/>
  <c r="G5143" i="23"/>
  <c r="G5125" i="23"/>
  <c r="G5110" i="23"/>
  <c r="G5096" i="23"/>
  <c r="G5082" i="23"/>
  <c r="G5066" i="23"/>
  <c r="G5052" i="23"/>
  <c r="G5038" i="23"/>
  <c r="G5024" i="23"/>
  <c r="G5010" i="23"/>
  <c r="G4994" i="23"/>
  <c r="G4980" i="23"/>
  <c r="G4966" i="23"/>
  <c r="G4952" i="23"/>
  <c r="G4938" i="23"/>
  <c r="G4922" i="23"/>
  <c r="G4908" i="23"/>
  <c r="G4894" i="23"/>
  <c r="G4880" i="23"/>
  <c r="G4866" i="23"/>
  <c r="G4850" i="23"/>
  <c r="G4836" i="23"/>
  <c r="G4822" i="23"/>
  <c r="G4808" i="23"/>
  <c r="G4794" i="23"/>
  <c r="G4778" i="23"/>
  <c r="G4766" i="23"/>
  <c r="G4754" i="23"/>
  <c r="G4742" i="23"/>
  <c r="G4730" i="23"/>
  <c r="G4718" i="23"/>
  <c r="G4706" i="23"/>
  <c r="G4694" i="23"/>
  <c r="G4682" i="23"/>
  <c r="G4670" i="23"/>
  <c r="G4658" i="23"/>
  <c r="G4646" i="23"/>
  <c r="G4634" i="23"/>
  <c r="G4622" i="23"/>
  <c r="G4610" i="23"/>
  <c r="G4598" i="23"/>
  <c r="G4586" i="23"/>
  <c r="G4574" i="23"/>
  <c r="G4562" i="23"/>
  <c r="G4550" i="23"/>
  <c r="G4538" i="23"/>
  <c r="G4526" i="23"/>
  <c r="G4514" i="23"/>
  <c r="G4502" i="23"/>
  <c r="G4490" i="23"/>
  <c r="G4478" i="23"/>
  <c r="G4466" i="23"/>
  <c r="G4454" i="23"/>
  <c r="G4442" i="23"/>
  <c r="G4430" i="23"/>
  <c r="G4418" i="23"/>
  <c r="G4406" i="23"/>
  <c r="G4394" i="23"/>
  <c r="G4382" i="23"/>
  <c r="G4370" i="23"/>
  <c r="G4358" i="23"/>
  <c r="G4346" i="23"/>
  <c r="G4334" i="23"/>
  <c r="G4322" i="23"/>
  <c r="G4310" i="23"/>
  <c r="G4298" i="23"/>
  <c r="G4286" i="23"/>
  <c r="G4274" i="23"/>
  <c r="G4262" i="23"/>
  <c r="G4250" i="23"/>
  <c r="G4238" i="23"/>
  <c r="G4226" i="23"/>
  <c r="G4214" i="23"/>
  <c r="G4202" i="23"/>
  <c r="G4190" i="23"/>
  <c r="G4178" i="23"/>
  <c r="G4166" i="23"/>
  <c r="G4154" i="23"/>
  <c r="G4142" i="23"/>
  <c r="G4130" i="23"/>
  <c r="G4118" i="23"/>
  <c r="G4106" i="23"/>
  <c r="G4094" i="23"/>
  <c r="G4082" i="23"/>
  <c r="G4070" i="23"/>
  <c r="G4058" i="23"/>
  <c r="G4046" i="23"/>
  <c r="G4034" i="23"/>
  <c r="G4022" i="23"/>
  <c r="G4010" i="23"/>
  <c r="G3998" i="23"/>
  <c r="G3986" i="23"/>
  <c r="G3974" i="23"/>
  <c r="G3962" i="23"/>
  <c r="G3950" i="23"/>
  <c r="G3938" i="23"/>
  <c r="G3926" i="23"/>
  <c r="G3914" i="23"/>
  <c r="G3902" i="23"/>
  <c r="G3890" i="23"/>
  <c r="G3878" i="23"/>
  <c r="G3866" i="23"/>
  <c r="G3854" i="23"/>
  <c r="G3842" i="23"/>
  <c r="G3830" i="23"/>
  <c r="G3818" i="23"/>
  <c r="G3806" i="23"/>
  <c r="G3794" i="23"/>
  <c r="G3782" i="23"/>
  <c r="G3770" i="23"/>
  <c r="G3758" i="23"/>
  <c r="G3746" i="23"/>
  <c r="G3734" i="23"/>
  <c r="G3722" i="23"/>
  <c r="G3710" i="23"/>
  <c r="G3698" i="23"/>
  <c r="G3686" i="23"/>
  <c r="G3674" i="23"/>
  <c r="G3662" i="23"/>
  <c r="G3650" i="23"/>
  <c r="G3638" i="23"/>
  <c r="G3626" i="23"/>
  <c r="G3614" i="23"/>
  <c r="G3602" i="23"/>
  <c r="G3590" i="23"/>
  <c r="G3578" i="23"/>
  <c r="G3566" i="23"/>
  <c r="G3554" i="23"/>
  <c r="G3542" i="23"/>
  <c r="G3530" i="23"/>
  <c r="G3518" i="23"/>
  <c r="G3506" i="23"/>
  <c r="G3494" i="23"/>
  <c r="G3482" i="23"/>
  <c r="G3470" i="23"/>
  <c r="G3458" i="23"/>
  <c r="G3446" i="23"/>
  <c r="G3434" i="23"/>
  <c r="G3422" i="23"/>
  <c r="G3410" i="23"/>
  <c r="G3398" i="23"/>
  <c r="G3386" i="23"/>
  <c r="G3374" i="23"/>
  <c r="G3362" i="23"/>
  <c r="G3350" i="23"/>
  <c r="G3338" i="23"/>
  <c r="G3326" i="23"/>
  <c r="G3314" i="23"/>
  <c r="G3302" i="23"/>
  <c r="G3290" i="23"/>
  <c r="G3278" i="23"/>
  <c r="G3266" i="23"/>
  <c r="G3254" i="23"/>
  <c r="G3242" i="23"/>
  <c r="G3230" i="23"/>
  <c r="G3218" i="23"/>
  <c r="G3206" i="23"/>
  <c r="G3194" i="23"/>
  <c r="G3182" i="23"/>
  <c r="G3170" i="23"/>
  <c r="G3158" i="23"/>
  <c r="G3146" i="23"/>
  <c r="G3134" i="23"/>
  <c r="G3122" i="23"/>
  <c r="G3110" i="23"/>
  <c r="G3098" i="23"/>
  <c r="G3086" i="23"/>
  <c r="G3074" i="23"/>
  <c r="G3062" i="23"/>
  <c r="G3050" i="23"/>
  <c r="G3038" i="23"/>
  <c r="G9807" i="23"/>
  <c r="G9520" i="23"/>
  <c r="G9204" i="23"/>
  <c r="G8988" i="23"/>
  <c r="G8823" i="23"/>
  <c r="G8696" i="23"/>
  <c r="G8552" i="23"/>
  <c r="G8461" i="23"/>
  <c r="G8355" i="23"/>
  <c r="G8273" i="23"/>
  <c r="G8176" i="23"/>
  <c r="G8113" i="23"/>
  <c r="G8046" i="23"/>
  <c r="G7992" i="23"/>
  <c r="G7915" i="23"/>
  <c r="G7857" i="23"/>
  <c r="G7791" i="23"/>
  <c r="G7733" i="23"/>
  <c r="G7656" i="23"/>
  <c r="G7601" i="23"/>
  <c r="G7541" i="23"/>
  <c r="G7491" i="23"/>
  <c r="G7421" i="23"/>
  <c r="G7371" i="23"/>
  <c r="G7313" i="23"/>
  <c r="G7268" i="23"/>
  <c r="G7220" i="23"/>
  <c r="G7184" i="23"/>
  <c r="G7143" i="23"/>
  <c r="G7107" i="23"/>
  <c r="G7062" i="23"/>
  <c r="G7026" i="23"/>
  <c r="G6986" i="23"/>
  <c r="G6950" i="23"/>
  <c r="G6905" i="23"/>
  <c r="G6869" i="23"/>
  <c r="G6830" i="23"/>
  <c r="G6800" i="23"/>
  <c r="G6756" i="23"/>
  <c r="G6728" i="23"/>
  <c r="G6694" i="23"/>
  <c r="G6666" i="23"/>
  <c r="G6628" i="23"/>
  <c r="G6598" i="23"/>
  <c r="G6566" i="23"/>
  <c r="G6539" i="23"/>
  <c r="G6504" i="23"/>
  <c r="G6478" i="23"/>
  <c r="G6448" i="23"/>
  <c r="G6422" i="23"/>
  <c r="G6388" i="23"/>
  <c r="G6364" i="23"/>
  <c r="G6336" i="23"/>
  <c r="G6312" i="23"/>
  <c r="G6280" i="23"/>
  <c r="G6256" i="23"/>
  <c r="G6228" i="23"/>
  <c r="G6204" i="23"/>
  <c r="G6172" i="23"/>
  <c r="G6148" i="23"/>
  <c r="G6120" i="23"/>
  <c r="G6096" i="23"/>
  <c r="G6065" i="23"/>
  <c r="G6043" i="23"/>
  <c r="G6017" i="23"/>
  <c r="G5995" i="23"/>
  <c r="G5971" i="23"/>
  <c r="G5954" i="23"/>
  <c r="G5932" i="23"/>
  <c r="G5915" i="23"/>
  <c r="G5893" i="23"/>
  <c r="G5875" i="23"/>
  <c r="G5853" i="23"/>
  <c r="G5836" i="23"/>
  <c r="G5814" i="23"/>
  <c r="G5797" i="23"/>
  <c r="G5775" i="23"/>
  <c r="G5757" i="23"/>
  <c r="G5736" i="23"/>
  <c r="G5718" i="23"/>
  <c r="G5698" i="23"/>
  <c r="G5682" i="23"/>
  <c r="G5662" i="23"/>
  <c r="G5646" i="23"/>
  <c r="G5626" i="23"/>
  <c r="G5610" i="23"/>
  <c r="G5590" i="23"/>
  <c r="G5574" i="23"/>
  <c r="G5554" i="23"/>
  <c r="G5538" i="23"/>
  <c r="G5518" i="23"/>
  <c r="G5502" i="23"/>
  <c r="G5482" i="23"/>
  <c r="G5466" i="23"/>
  <c r="G5446" i="23"/>
  <c r="G5430" i="23"/>
  <c r="G5410" i="23"/>
  <c r="G5394" i="23"/>
  <c r="G5374" i="23"/>
  <c r="G5358" i="23"/>
  <c r="G5338" i="23"/>
  <c r="G5322" i="23"/>
  <c r="G5302" i="23"/>
  <c r="G5286" i="23"/>
  <c r="G5266" i="23"/>
  <c r="G5250" i="23"/>
  <c r="G5230" i="23"/>
  <c r="G5214" i="23"/>
  <c r="G5194" i="23"/>
  <c r="G5178" i="23"/>
  <c r="G5158" i="23"/>
  <c r="G5142" i="23"/>
  <c r="G5124" i="23"/>
  <c r="G5109" i="23"/>
  <c r="G5095" i="23"/>
  <c r="G5079" i="23"/>
  <c r="G5065" i="23"/>
  <c r="G5051" i="23"/>
  <c r="G5037" i="23"/>
  <c r="G5023" i="23"/>
  <c r="G5007" i="23"/>
  <c r="G4993" i="23"/>
  <c r="G4979" i="23"/>
  <c r="G4965" i="23"/>
  <c r="G4951" i="23"/>
  <c r="G4935" i="23"/>
  <c r="G4921" i="23"/>
  <c r="G4907" i="23"/>
  <c r="G4893" i="23"/>
  <c r="G4879" i="23"/>
  <c r="G4863" i="23"/>
  <c r="G4849" i="23"/>
  <c r="G4835" i="23"/>
  <c r="G4821" i="23"/>
  <c r="G4807" i="23"/>
  <c r="G4791" i="23"/>
  <c r="G4777" i="23"/>
  <c r="G4765" i="23"/>
  <c r="G4753" i="23"/>
  <c r="G4741" i="23"/>
  <c r="G4729" i="23"/>
  <c r="G4717" i="23"/>
  <c r="G4705" i="23"/>
  <c r="G4693" i="23"/>
  <c r="G4681" i="23"/>
  <c r="G4669" i="23"/>
  <c r="G4657" i="23"/>
  <c r="G4645" i="23"/>
  <c r="G4633" i="23"/>
  <c r="G4621" i="23"/>
  <c r="G4609" i="23"/>
  <c r="G4597" i="23"/>
  <c r="G4585" i="23"/>
  <c r="G4573" i="23"/>
  <c r="G4561" i="23"/>
  <c r="G4549" i="23"/>
  <c r="G4537" i="23"/>
  <c r="G4525" i="23"/>
  <c r="G4513" i="23"/>
  <c r="G4501" i="23"/>
  <c r="G4489" i="23"/>
  <c r="G4477" i="23"/>
  <c r="G4465" i="23"/>
  <c r="G4453" i="23"/>
  <c r="G4441" i="23"/>
  <c r="G4429" i="23"/>
  <c r="G4417" i="23"/>
  <c r="G4405" i="23"/>
  <c r="G4393" i="23"/>
  <c r="G4381" i="23"/>
  <c r="G4369" i="23"/>
  <c r="G4357" i="23"/>
  <c r="G4345" i="23"/>
  <c r="G4333" i="23"/>
  <c r="G4321" i="23"/>
  <c r="G4309" i="23"/>
  <c r="G4297" i="23"/>
  <c r="G4285" i="23"/>
  <c r="G4273" i="23"/>
  <c r="G4261" i="23"/>
  <c r="G4249" i="23"/>
  <c r="G4237" i="23"/>
  <c r="G4225" i="23"/>
  <c r="G4213" i="23"/>
  <c r="G4201" i="23"/>
  <c r="G4189" i="23"/>
  <c r="G4177" i="23"/>
  <c r="G4165" i="23"/>
  <c r="G4153" i="23"/>
  <c r="G4141" i="23"/>
  <c r="G4129" i="23"/>
  <c r="G4117" i="23"/>
  <c r="G4105" i="23"/>
  <c r="G4093" i="23"/>
  <c r="G4081" i="23"/>
  <c r="G4069" i="23"/>
  <c r="G4057" i="23"/>
  <c r="G4045" i="23"/>
  <c r="G4033" i="23"/>
  <c r="G4021" i="23"/>
  <c r="G4009" i="23"/>
  <c r="G3997" i="23"/>
  <c r="G3985" i="23"/>
  <c r="G3973" i="23"/>
  <c r="G3961" i="23"/>
  <c r="G3949" i="23"/>
  <c r="G3937" i="23"/>
  <c r="G3925" i="23"/>
  <c r="G3913" i="23"/>
  <c r="G3901" i="23"/>
  <c r="G3889" i="23"/>
  <c r="G3877" i="23"/>
  <c r="G3865" i="23"/>
  <c r="G3853" i="23"/>
  <c r="G3841" i="23"/>
  <c r="G3829" i="23"/>
  <c r="G3817" i="23"/>
  <c r="G3805" i="23"/>
  <c r="G3793" i="23"/>
  <c r="G3781" i="23"/>
  <c r="G3769" i="23"/>
  <c r="G3757" i="23"/>
  <c r="G3745" i="23"/>
  <c r="G3733" i="23"/>
  <c r="G3721" i="23"/>
  <c r="G3709" i="23"/>
  <c r="G3697" i="23"/>
  <c r="G3685" i="23"/>
  <c r="G3673" i="23"/>
  <c r="G3661" i="23"/>
  <c r="G3649" i="23"/>
  <c r="G3637" i="23"/>
  <c r="G3625" i="23"/>
  <c r="G3613" i="23"/>
  <c r="G3601" i="23"/>
  <c r="G3589" i="23"/>
  <c r="G3577" i="23"/>
  <c r="G3565" i="23"/>
  <c r="G3553" i="23"/>
  <c r="G3541" i="23"/>
  <c r="G3529" i="23"/>
  <c r="G3517" i="23"/>
  <c r="G3505" i="23"/>
  <c r="G3493" i="23"/>
  <c r="G3481" i="23"/>
  <c r="G3469" i="23"/>
  <c r="G3457" i="23"/>
  <c r="G3445" i="23"/>
  <c r="G3433" i="23"/>
  <c r="G3421" i="23"/>
  <c r="G3409" i="23"/>
  <c r="G3397" i="23"/>
  <c r="G3385" i="23"/>
  <c r="G3373" i="23"/>
  <c r="G3361" i="23"/>
  <c r="G3349" i="23"/>
  <c r="G3337" i="23"/>
  <c r="G3325" i="23"/>
  <c r="G3313" i="23"/>
  <c r="G3301" i="23"/>
  <c r="G3289" i="23"/>
  <c r="G3277" i="23"/>
  <c r="G3265" i="23"/>
  <c r="G3253" i="23"/>
  <c r="G3241" i="23"/>
  <c r="G3229" i="23"/>
  <c r="G3217" i="23"/>
  <c r="G3205" i="23"/>
  <c r="G3193" i="23"/>
  <c r="G3181" i="23"/>
  <c r="G3169" i="23"/>
  <c r="G3157" i="23"/>
  <c r="G3145" i="23"/>
  <c r="G3133" i="23"/>
  <c r="G3121" i="23"/>
  <c r="G3109" i="23"/>
  <c r="G3097" i="23"/>
  <c r="G3085" i="23"/>
  <c r="G3073" i="23"/>
  <c r="G3061" i="23"/>
  <c r="G3049" i="23"/>
  <c r="G3037" i="23"/>
  <c r="G3025" i="23"/>
  <c r="G3013" i="23"/>
  <c r="G3001" i="23"/>
  <c r="G2989" i="23"/>
  <c r="G2977" i="23"/>
  <c r="G2965" i="23"/>
  <c r="G2953" i="23"/>
  <c r="G2941" i="23"/>
  <c r="G2929" i="23"/>
  <c r="G9723" i="23"/>
  <c r="G9357" i="23"/>
  <c r="G8938" i="23"/>
  <c r="G8730" i="23"/>
  <c r="G8544" i="23"/>
  <c r="G8409" i="23"/>
  <c r="G8243" i="23"/>
  <c r="G8145" i="23"/>
  <c r="G8032" i="23"/>
  <c r="G7950" i="23"/>
  <c r="G7838" i="23"/>
  <c r="G7749" i="23"/>
  <c r="G7654" i="23"/>
  <c r="G7572" i="23"/>
  <c r="G7469" i="23"/>
  <c r="G7390" i="23"/>
  <c r="G7305" i="23"/>
  <c r="G7241" i="23"/>
  <c r="G7170" i="23"/>
  <c r="G7118" i="23"/>
  <c r="G7060" i="23"/>
  <c r="G7008" i="23"/>
  <c r="G6937" i="23"/>
  <c r="G6885" i="23"/>
  <c r="G6825" i="23"/>
  <c r="G6777" i="23"/>
  <c r="G6717" i="23"/>
  <c r="G6675" i="23"/>
  <c r="G6627" i="23"/>
  <c r="G6583" i="23"/>
  <c r="G6530" i="23"/>
  <c r="G6490" i="23"/>
  <c r="G6442" i="23"/>
  <c r="G6403" i="23"/>
  <c r="G6355" i="23"/>
  <c r="G6319" i="23"/>
  <c r="G6279" i="23"/>
  <c r="G6243" i="23"/>
  <c r="G6195" i="23"/>
  <c r="G6159" i="23"/>
  <c r="G6115" i="23"/>
  <c r="G6079" i="23"/>
  <c r="G6038" i="23"/>
  <c r="G6005" i="23"/>
  <c r="G5970" i="23"/>
  <c r="G5944" i="23"/>
  <c r="G5909" i="23"/>
  <c r="G5883" i="23"/>
  <c r="G5852" i="23"/>
  <c r="G5826" i="23"/>
  <c r="G5791" i="23"/>
  <c r="G5765" i="23"/>
  <c r="G5735" i="23"/>
  <c r="G5709" i="23"/>
  <c r="G5677" i="23"/>
  <c r="G5653" i="23"/>
  <c r="G5625" i="23"/>
  <c r="G5601" i="23"/>
  <c r="G5569" i="23"/>
  <c r="G5545" i="23"/>
  <c r="G5517" i="23"/>
  <c r="G5493" i="23"/>
  <c r="G5461" i="23"/>
  <c r="G5437" i="23"/>
  <c r="G5409" i="23"/>
  <c r="G5385" i="23"/>
  <c r="G5353" i="23"/>
  <c r="G5329" i="23"/>
  <c r="G5301" i="23"/>
  <c r="G5277" i="23"/>
  <c r="G5245" i="23"/>
  <c r="G5221" i="23"/>
  <c r="G5193" i="23"/>
  <c r="G5169" i="23"/>
  <c r="G5139" i="23"/>
  <c r="G5119" i="23"/>
  <c r="G5094" i="23"/>
  <c r="G5074" i="23"/>
  <c r="G5050" i="23"/>
  <c r="G5030" i="23"/>
  <c r="G5006" i="23"/>
  <c r="G4988" i="23"/>
  <c r="G4964" i="23"/>
  <c r="G4944" i="23"/>
  <c r="G4920" i="23"/>
  <c r="G4902" i="23"/>
  <c r="G4878" i="23"/>
  <c r="G4858" i="23"/>
  <c r="G4834" i="23"/>
  <c r="G4814" i="23"/>
  <c r="G4790" i="23"/>
  <c r="G4772" i="23"/>
  <c r="G4752" i="23"/>
  <c r="G4736" i="23"/>
  <c r="G4716" i="23"/>
  <c r="G4700" i="23"/>
  <c r="G4680" i="23"/>
  <c r="G4664" i="23"/>
  <c r="G4644" i="23"/>
  <c r="G4628" i="23"/>
  <c r="G4608" i="23"/>
  <c r="G4592" i="23"/>
  <c r="G4572" i="23"/>
  <c r="G4556" i="23"/>
  <c r="G4536" i="23"/>
  <c r="G4520" i="23"/>
  <c r="G4500" i="23"/>
  <c r="G4484" i="23"/>
  <c r="G4464" i="23"/>
  <c r="G4448" i="23"/>
  <c r="G4428" i="23"/>
  <c r="G4412" i="23"/>
  <c r="G4392" i="23"/>
  <c r="G4376" i="23"/>
  <c r="G4356" i="23"/>
  <c r="G4340" i="23"/>
  <c r="G4320" i="23"/>
  <c r="G4304" i="23"/>
  <c r="G4284" i="23"/>
  <c r="G4268" i="23"/>
  <c r="G4248" i="23"/>
  <c r="G4232" i="23"/>
  <c r="G4212" i="23"/>
  <c r="G4196" i="23"/>
  <c r="G4176" i="23"/>
  <c r="G4160" i="23"/>
  <c r="G4140" i="23"/>
  <c r="G4124" i="23"/>
  <c r="G4104" i="23"/>
  <c r="G4088" i="23"/>
  <c r="G4068" i="23"/>
  <c r="G4052" i="23"/>
  <c r="G4032" i="23"/>
  <c r="G4016" i="23"/>
  <c r="G3996" i="23"/>
  <c r="G3980" i="23"/>
  <c r="G3960" i="23"/>
  <c r="G3944" i="23"/>
  <c r="G3924" i="23"/>
  <c r="G3908" i="23"/>
  <c r="G3888" i="23"/>
  <c r="G3872" i="23"/>
  <c r="G3852" i="23"/>
  <c r="G3836" i="23"/>
  <c r="G3816" i="23"/>
  <c r="G3800" i="23"/>
  <c r="G3780" i="23"/>
  <c r="G3764" i="23"/>
  <c r="G3744" i="23"/>
  <c r="G3728" i="23"/>
  <c r="G3708" i="23"/>
  <c r="G3692" i="23"/>
  <c r="G3672" i="23"/>
  <c r="G3656" i="23"/>
  <c r="G3636" i="23"/>
  <c r="G3620" i="23"/>
  <c r="G3600" i="23"/>
  <c r="G3584" i="23"/>
  <c r="G3564" i="23"/>
  <c r="G3548" i="23"/>
  <c r="G3528" i="23"/>
  <c r="G3512" i="23"/>
  <c r="G3492" i="23"/>
  <c r="G3476" i="23"/>
  <c r="G3456" i="23"/>
  <c r="G3440" i="23"/>
  <c r="G3420" i="23"/>
  <c r="G3404" i="23"/>
  <c r="G3384" i="23"/>
  <c r="G3368" i="23"/>
  <c r="G3348" i="23"/>
  <c r="G3332" i="23"/>
  <c r="G3312" i="23"/>
  <c r="G3296" i="23"/>
  <c r="G3276" i="23"/>
  <c r="G3260" i="23"/>
  <c r="G3240" i="23"/>
  <c r="G3224" i="23"/>
  <c r="G3204" i="23"/>
  <c r="G3188" i="23"/>
  <c r="G3168" i="23"/>
  <c r="G3152" i="23"/>
  <c r="G3132" i="23"/>
  <c r="G3116" i="23"/>
  <c r="G3096" i="23"/>
  <c r="G3080" i="23"/>
  <c r="G3060" i="23"/>
  <c r="G3044" i="23"/>
  <c r="G3026" i="23"/>
  <c r="G3010" i="23"/>
  <c r="G2995" i="23"/>
  <c r="G2978" i="23"/>
  <c r="G2962" i="23"/>
  <c r="G2947" i="23"/>
  <c r="G2930" i="23"/>
  <c r="G2915" i="23"/>
  <c r="G2901" i="23"/>
  <c r="G2887" i="23"/>
  <c r="G2873" i="23"/>
  <c r="G2857" i="23"/>
  <c r="G2843" i="23"/>
  <c r="G2829" i="23"/>
  <c r="G2815" i="23"/>
  <c r="G2801" i="23"/>
  <c r="G2785" i="23"/>
  <c r="G2771" i="23"/>
  <c r="G2757" i="23"/>
  <c r="G2743" i="23"/>
  <c r="G2729" i="23"/>
  <c r="G2713" i="23"/>
  <c r="G2699" i="23"/>
  <c r="G2685" i="23"/>
  <c r="G2671" i="23"/>
  <c r="G2657" i="23"/>
  <c r="G2641" i="23"/>
  <c r="G2627" i="23"/>
  <c r="G2613" i="23"/>
  <c r="G2599" i="23"/>
  <c r="G2585" i="23"/>
  <c r="G2569" i="23"/>
  <c r="G2555" i="23"/>
  <c r="G2541" i="23"/>
  <c r="G2527" i="23"/>
  <c r="G2513" i="23"/>
  <c r="G2497" i="23"/>
  <c r="G2483" i="23"/>
  <c r="G2470" i="23"/>
  <c r="G2457" i="23"/>
  <c r="G2444" i="23"/>
  <c r="G2431" i="23"/>
  <c r="G2418" i="23"/>
  <c r="G2405" i="23"/>
  <c r="G2392" i="23"/>
  <c r="G2378" i="23"/>
  <c r="G2365" i="23"/>
  <c r="G2352" i="23"/>
  <c r="G2339" i="23"/>
  <c r="G2326" i="23"/>
  <c r="G2314" i="23"/>
  <c r="G2302" i="23"/>
  <c r="G2290" i="23"/>
  <c r="G2278" i="23"/>
  <c r="G2266" i="23"/>
  <c r="G2254" i="23"/>
  <c r="G2242" i="23"/>
  <c r="G2230" i="23"/>
  <c r="G2218" i="23"/>
  <c r="G2206" i="23"/>
  <c r="G2194" i="23"/>
  <c r="G2182" i="23"/>
  <c r="G2170" i="23"/>
  <c r="G2158" i="23"/>
  <c r="G2146" i="23"/>
  <c r="G2134" i="23"/>
  <c r="G2122" i="23"/>
  <c r="G2110" i="23"/>
  <c r="G2098" i="23"/>
  <c r="G2086" i="23"/>
  <c r="G2074" i="23"/>
  <c r="G2062" i="23"/>
  <c r="G2050" i="23"/>
  <c r="G2038" i="23"/>
  <c r="G2026" i="23"/>
  <c r="G2014" i="23"/>
  <c r="G2002" i="23"/>
  <c r="G1990" i="23"/>
  <c r="G1978" i="23"/>
  <c r="G1966" i="23"/>
  <c r="G1954" i="23"/>
  <c r="G1942" i="23"/>
  <c r="G1930" i="23"/>
  <c r="G1918" i="23"/>
  <c r="G1906" i="23"/>
  <c r="G1894" i="23"/>
  <c r="G1882" i="23"/>
  <c r="G1870" i="23"/>
  <c r="G1858" i="23"/>
  <c r="G1846" i="23"/>
  <c r="G1834" i="23"/>
  <c r="G1822" i="23"/>
  <c r="G1810" i="23"/>
  <c r="G1798" i="23"/>
  <c r="G1786" i="23"/>
  <c r="G1774" i="23"/>
  <c r="G1762" i="23"/>
  <c r="G1750" i="23"/>
  <c r="G1738" i="23"/>
  <c r="G1726" i="23"/>
  <c r="G1714" i="23"/>
  <c r="G1702" i="23"/>
  <c r="G1690" i="23"/>
  <c r="G1678" i="23"/>
  <c r="G1666" i="23"/>
  <c r="G1654" i="23"/>
  <c r="G1642" i="23"/>
  <c r="G1630" i="23"/>
  <c r="G1618" i="23"/>
  <c r="G1606" i="23"/>
  <c r="G1594" i="23"/>
  <c r="G1582" i="23"/>
  <c r="G1570" i="23"/>
  <c r="G1558" i="23"/>
  <c r="G1546" i="23"/>
  <c r="G1534" i="23"/>
  <c r="G1522" i="23"/>
  <c r="G1510" i="23"/>
  <c r="G1498" i="23"/>
  <c r="G1486" i="23"/>
  <c r="G1474" i="23"/>
  <c r="G1462" i="23"/>
  <c r="G1450" i="23"/>
  <c r="G1438" i="23"/>
  <c r="G1426" i="23"/>
  <c r="G1414" i="23"/>
  <c r="G1402" i="23"/>
  <c r="G1390" i="23"/>
  <c r="G1378" i="23"/>
  <c r="G1366" i="23"/>
  <c r="G1354" i="23"/>
  <c r="G1342" i="23"/>
  <c r="G1330" i="23"/>
  <c r="G1318" i="23"/>
  <c r="G1306" i="23"/>
  <c r="G1294" i="23"/>
  <c r="G1282" i="23"/>
  <c r="G1270" i="23"/>
  <c r="G1258" i="23"/>
  <c r="G1246" i="23"/>
  <c r="G1234" i="23"/>
  <c r="G1222" i="23"/>
  <c r="G1210" i="23"/>
  <c r="G1198" i="23"/>
  <c r="G1186" i="23"/>
  <c r="G1174" i="23"/>
  <c r="G1162" i="23"/>
  <c r="G1150" i="23"/>
  <c r="G1138" i="23"/>
  <c r="G1126" i="23"/>
  <c r="G1114" i="23"/>
  <c r="G1102" i="23"/>
  <c r="G1090" i="23"/>
  <c r="G9712" i="23"/>
  <c r="G9350" i="23"/>
  <c r="G8931" i="23"/>
  <c r="G8717" i="23"/>
  <c r="G8533" i="23"/>
  <c r="G8406" i="23"/>
  <c r="G8241" i="23"/>
  <c r="G8138" i="23"/>
  <c r="G8031" i="23"/>
  <c r="G7944" i="23"/>
  <c r="G7829" i="23"/>
  <c r="G7748" i="23"/>
  <c r="G7653" i="23"/>
  <c r="G7567" i="23"/>
  <c r="G7464" i="23"/>
  <c r="G7389" i="23"/>
  <c r="G7301" i="23"/>
  <c r="G7240" i="23"/>
  <c r="G7169" i="23"/>
  <c r="G7117" i="23"/>
  <c r="G7057" i="23"/>
  <c r="G7005" i="23"/>
  <c r="G6936" i="23"/>
  <c r="G6884" i="23"/>
  <c r="G6821" i="23"/>
  <c r="G6776" i="23"/>
  <c r="G6716" i="23"/>
  <c r="G6672" i="23"/>
  <c r="G6624" i="23"/>
  <c r="G6582" i="23"/>
  <c r="G6528" i="23"/>
  <c r="G6489" i="23"/>
  <c r="G6441" i="23"/>
  <c r="G6402" i="23"/>
  <c r="G6354" i="23"/>
  <c r="G6318" i="23"/>
  <c r="G6278" i="23"/>
  <c r="G6242" i="23"/>
  <c r="G6194" i="23"/>
  <c r="G6158" i="23"/>
  <c r="G6114" i="23"/>
  <c r="G6078" i="23"/>
  <c r="G6037" i="23"/>
  <c r="G6004" i="23"/>
  <c r="G5969" i="23"/>
  <c r="G5943" i="23"/>
  <c r="G5908" i="23"/>
  <c r="G5882" i="23"/>
  <c r="G5851" i="23"/>
  <c r="G5825" i="23"/>
  <c r="G5790" i="23"/>
  <c r="G5764" i="23"/>
  <c r="G5733" i="23"/>
  <c r="G5708" i="23"/>
  <c r="G5676" i="23"/>
  <c r="G5652" i="23"/>
  <c r="G5624" i="23"/>
  <c r="G5600" i="23"/>
  <c r="G5568" i="23"/>
  <c r="G5544" i="23"/>
  <c r="G5516" i="23"/>
  <c r="G5492" i="23"/>
  <c r="G5460" i="23"/>
  <c r="G5436" i="23"/>
  <c r="G5408" i="23"/>
  <c r="G5384" i="23"/>
  <c r="G5352" i="23"/>
  <c r="G5328" i="23"/>
  <c r="G5300" i="23"/>
  <c r="G5276" i="23"/>
  <c r="G5244" i="23"/>
  <c r="G5220" i="23"/>
  <c r="G5192" i="23"/>
  <c r="G5168" i="23"/>
  <c r="G5137" i="23"/>
  <c r="G5118" i="23"/>
  <c r="G5091" i="23"/>
  <c r="G5073" i="23"/>
  <c r="G5049" i="23"/>
  <c r="G5029" i="23"/>
  <c r="G5005" i="23"/>
  <c r="G4987" i="23"/>
  <c r="G4963" i="23"/>
  <c r="G4943" i="23"/>
  <c r="G4919" i="23"/>
  <c r="G4899" i="23"/>
  <c r="G4875" i="23"/>
  <c r="G4857" i="23"/>
  <c r="G4833" i="23"/>
  <c r="G4813" i="23"/>
  <c r="G4789" i="23"/>
  <c r="G4771" i="23"/>
  <c r="G4751" i="23"/>
  <c r="G4735" i="23"/>
  <c r="G4715" i="23"/>
  <c r="G4699" i="23"/>
  <c r="G4679" i="23"/>
  <c r="G4663" i="23"/>
  <c r="G4643" i="23"/>
  <c r="G4627" i="23"/>
  <c r="G4607" i="23"/>
  <c r="G4591" i="23"/>
  <c r="G4571" i="23"/>
  <c r="G4555" i="23"/>
  <c r="G4535" i="23"/>
  <c r="G4519" i="23"/>
  <c r="G4499" i="23"/>
  <c r="G4483" i="23"/>
  <c r="G4463" i="23"/>
  <c r="G4447" i="23"/>
  <c r="G4427" i="23"/>
  <c r="G4411" i="23"/>
  <c r="G4391" i="23"/>
  <c r="G4375" i="23"/>
  <c r="G4355" i="23"/>
  <c r="G4339" i="23"/>
  <c r="G4319" i="23"/>
  <c r="G4303" i="23"/>
  <c r="G4283" i="23"/>
  <c r="G4267" i="23"/>
  <c r="G4247" i="23"/>
  <c r="G4231" i="23"/>
  <c r="G4211" i="23"/>
  <c r="G4195" i="23"/>
  <c r="G4175" i="23"/>
  <c r="G4159" i="23"/>
  <c r="G4139" i="23"/>
  <c r="G4123" i="23"/>
  <c r="G4103" i="23"/>
  <c r="G4087" i="23"/>
  <c r="G4067" i="23"/>
  <c r="G4051" i="23"/>
  <c r="G4031" i="23"/>
  <c r="G4015" i="23"/>
  <c r="G3995" i="23"/>
  <c r="G3979" i="23"/>
  <c r="G3959" i="23"/>
  <c r="G3943" i="23"/>
  <c r="G3923" i="23"/>
  <c r="G3907" i="23"/>
  <c r="G3887" i="23"/>
  <c r="G3871" i="23"/>
  <c r="G3851" i="23"/>
  <c r="G3835" i="23"/>
  <c r="G3815" i="23"/>
  <c r="G3799" i="23"/>
  <c r="G3779" i="23"/>
  <c r="G3763" i="23"/>
  <c r="G3743" i="23"/>
  <c r="G3727" i="23"/>
  <c r="G3707" i="23"/>
  <c r="G3691" i="23"/>
  <c r="G3671" i="23"/>
  <c r="G3655" i="23"/>
  <c r="G3635" i="23"/>
  <c r="G3619" i="23"/>
  <c r="G3599" i="23"/>
  <c r="G3583" i="23"/>
  <c r="G3563" i="23"/>
  <c r="G3547" i="23"/>
  <c r="G3527" i="23"/>
  <c r="G3511" i="23"/>
  <c r="G3491" i="23"/>
  <c r="G3475" i="23"/>
  <c r="G3455" i="23"/>
  <c r="G3439" i="23"/>
  <c r="G3419" i="23"/>
  <c r="G3403" i="23"/>
  <c r="G3383" i="23"/>
  <c r="G3367" i="23"/>
  <c r="G3347" i="23"/>
  <c r="G3331" i="23"/>
  <c r="G3311" i="23"/>
  <c r="G3295" i="23"/>
  <c r="G3275" i="23"/>
  <c r="G3259" i="23"/>
  <c r="G3239" i="23"/>
  <c r="G3223" i="23"/>
  <c r="G3203" i="23"/>
  <c r="G3187" i="23"/>
  <c r="G3167" i="23"/>
  <c r="G3151" i="23"/>
  <c r="G3131" i="23"/>
  <c r="G3115" i="23"/>
  <c r="G3095" i="23"/>
  <c r="G3079" i="23"/>
  <c r="G3059" i="23"/>
  <c r="G3043" i="23"/>
  <c r="G3024" i="23"/>
  <c r="G3009" i="23"/>
  <c r="G2994" i="23"/>
  <c r="G2976" i="23"/>
  <c r="G2961" i="23"/>
  <c r="G2946" i="23"/>
  <c r="G2928" i="23"/>
  <c r="G2914" i="23"/>
  <c r="G2900" i="23"/>
  <c r="G2886" i="23"/>
  <c r="G2870" i="23"/>
  <c r="G2856" i="23"/>
  <c r="G2842" i="23"/>
  <c r="G2828" i="23"/>
  <c r="G2814" i="23"/>
  <c r="G2798" i="23"/>
  <c r="G2784" i="23"/>
  <c r="G2770" i="23"/>
  <c r="G2756" i="23"/>
  <c r="G2742" i="23"/>
  <c r="G2726" i="23"/>
  <c r="G2712" i="23"/>
  <c r="G2698" i="23"/>
  <c r="G2684" i="23"/>
  <c r="G2670" i="23"/>
  <c r="G2654" i="23"/>
  <c r="G2640" i="23"/>
  <c r="G2626" i="23"/>
  <c r="G2612" i="23"/>
  <c r="G2598" i="23"/>
  <c r="G2582" i="23"/>
  <c r="G2568" i="23"/>
  <c r="G2554" i="23"/>
  <c r="G2540" i="23"/>
  <c r="G2526" i="23"/>
  <c r="G2510" i="23"/>
  <c r="G2496" i="23"/>
  <c r="G2482" i="23"/>
  <c r="G2469" i="23"/>
  <c r="G2456" i="23"/>
  <c r="G2443" i="23"/>
  <c r="G2430" i="23"/>
  <c r="G2417" i="23"/>
  <c r="G2404" i="23"/>
  <c r="G2390" i="23"/>
  <c r="G2377" i="23"/>
  <c r="G2364" i="23"/>
  <c r="G2351" i="23"/>
  <c r="G2338" i="23"/>
  <c r="G2325" i="23"/>
  <c r="G2313" i="23"/>
  <c r="G2301" i="23"/>
  <c r="G2289" i="23"/>
  <c r="G2277" i="23"/>
  <c r="G2265" i="23"/>
  <c r="G2253" i="23"/>
  <c r="G2241" i="23"/>
  <c r="G2229" i="23"/>
  <c r="G2217" i="23"/>
  <c r="G2205" i="23"/>
  <c r="G2193" i="23"/>
  <c r="G2181" i="23"/>
  <c r="G2169" i="23"/>
  <c r="G2157" i="23"/>
  <c r="G2145" i="23"/>
  <c r="G2133" i="23"/>
  <c r="G2121" i="23"/>
  <c r="G2109" i="23"/>
  <c r="G2097" i="23"/>
  <c r="G2085" i="23"/>
  <c r="G2073" i="23"/>
  <c r="G2061" i="23"/>
  <c r="G2049" i="23"/>
  <c r="G2037" i="23"/>
  <c r="G2025" i="23"/>
  <c r="G2013" i="23"/>
  <c r="G2001" i="23"/>
  <c r="G1989" i="23"/>
  <c r="G1977" i="23"/>
  <c r="G1965" i="23"/>
  <c r="G1953" i="23"/>
  <c r="G1941" i="23"/>
  <c r="G1929" i="23"/>
  <c r="G1917" i="23"/>
  <c r="G1905" i="23"/>
  <c r="G1893" i="23"/>
  <c r="G1881" i="23"/>
  <c r="G1869" i="23"/>
  <c r="G1857" i="23"/>
  <c r="G1845" i="23"/>
  <c r="G1833" i="23"/>
  <c r="G1821" i="23"/>
  <c r="G1809" i="23"/>
  <c r="G1797" i="23"/>
  <c r="G1785" i="23"/>
  <c r="G1773" i="23"/>
  <c r="G1761" i="23"/>
  <c r="G1749" i="23"/>
  <c r="G1737" i="23"/>
  <c r="G1725" i="23"/>
  <c r="G1713" i="23"/>
  <c r="G1701" i="23"/>
  <c r="G1689" i="23"/>
  <c r="G1677" i="23"/>
  <c r="G1665" i="23"/>
  <c r="G1653" i="23"/>
  <c r="G1641" i="23"/>
  <c r="G1629" i="23"/>
  <c r="G1617" i="23"/>
  <c r="G1605" i="23"/>
  <c r="G1593" i="23"/>
  <c r="G1581" i="23"/>
  <c r="G1569" i="23"/>
  <c r="G1557" i="23"/>
  <c r="G1545" i="23"/>
  <c r="G1533" i="23"/>
  <c r="G1521" i="23"/>
  <c r="G1509" i="23"/>
  <c r="G1497" i="23"/>
  <c r="G1485" i="23"/>
  <c r="G1473" i="23"/>
  <c r="G1461" i="23"/>
  <c r="G1449" i="23"/>
  <c r="G1437" i="23"/>
  <c r="G1425" i="23"/>
  <c r="G1413" i="23"/>
  <c r="G1401" i="23"/>
  <c r="G1389" i="23"/>
  <c r="G1377" i="23"/>
  <c r="G1365" i="23"/>
  <c r="G1353" i="23"/>
  <c r="G1341" i="23"/>
  <c r="G1329" i="23"/>
  <c r="G1317" i="23"/>
  <c r="G1305" i="23"/>
  <c r="G1293" i="23"/>
  <c r="G1281" i="23"/>
  <c r="G1269" i="23"/>
  <c r="G1257" i="23"/>
  <c r="G1245" i="23"/>
  <c r="G1233" i="23"/>
  <c r="G1221" i="23"/>
  <c r="G1209" i="23"/>
  <c r="G1197" i="23"/>
  <c r="G1185" i="23"/>
  <c r="G1173" i="23"/>
  <c r="G1161" i="23"/>
  <c r="G1149" i="23"/>
  <c r="G1137" i="23"/>
  <c r="G1125" i="23"/>
  <c r="G1113" i="23"/>
  <c r="G1101" i="23"/>
  <c r="G1089" i="23"/>
  <c r="G1077" i="23"/>
  <c r="G1065" i="23"/>
  <c r="G9711" i="23"/>
  <c r="G9349" i="23"/>
  <c r="G8930" i="23"/>
  <c r="G8715" i="23"/>
  <c r="G8532" i="23"/>
  <c r="G8400" i="23"/>
  <c r="G8240" i="23"/>
  <c r="G8137" i="23"/>
  <c r="G8030" i="23"/>
  <c r="G7942" i="23"/>
  <c r="G7828" i="23"/>
  <c r="G7747" i="23"/>
  <c r="G7652" i="23"/>
  <c r="G7566" i="23"/>
  <c r="G7462" i="23"/>
  <c r="G7388" i="23"/>
  <c r="G7299" i="23"/>
  <c r="G7239" i="23"/>
  <c r="G7168" i="23"/>
  <c r="G7116" i="23"/>
  <c r="G7056" i="23"/>
  <c r="G7004" i="23"/>
  <c r="G6935" i="23"/>
  <c r="G6882" i="23"/>
  <c r="G6820" i="23"/>
  <c r="G6774" i="23"/>
  <c r="G6715" i="23"/>
  <c r="G6671" i="23"/>
  <c r="G6623" i="23"/>
  <c r="G6581" i="23"/>
  <c r="G6527" i="23"/>
  <c r="G6488" i="23"/>
  <c r="G6440" i="23"/>
  <c r="G6401" i="23"/>
  <c r="G6353" i="23"/>
  <c r="G6317" i="23"/>
  <c r="G6277" i="23"/>
  <c r="G6241" i="23"/>
  <c r="G6193" i="23"/>
  <c r="G6157" i="23"/>
  <c r="G6113" i="23"/>
  <c r="G6077" i="23"/>
  <c r="G6036" i="23"/>
  <c r="G6003" i="23"/>
  <c r="G5968" i="23"/>
  <c r="G5942" i="23"/>
  <c r="G5907" i="23"/>
  <c r="G5881" i="23"/>
  <c r="G5850" i="23"/>
  <c r="G5824" i="23"/>
  <c r="G5789" i="23"/>
  <c r="G5763" i="23"/>
  <c r="G5732" i="23"/>
  <c r="G5707" i="23"/>
  <c r="G5675" i="23"/>
  <c r="G5651" i="23"/>
  <c r="G5623" i="23"/>
  <c r="G5599" i="23"/>
  <c r="G5567" i="23"/>
  <c r="G5543" i="23"/>
  <c r="G5515" i="23"/>
  <c r="G5491" i="23"/>
  <c r="G5459" i="23"/>
  <c r="G5435" i="23"/>
  <c r="G5407" i="23"/>
  <c r="G5383" i="23"/>
  <c r="G5351" i="23"/>
  <c r="G5327" i="23"/>
  <c r="G5299" i="23"/>
  <c r="G5275" i="23"/>
  <c r="G5243" i="23"/>
  <c r="G5219" i="23"/>
  <c r="G5191" i="23"/>
  <c r="G5167" i="23"/>
  <c r="G5136" i="23"/>
  <c r="G5115" i="23"/>
  <c r="G5090" i="23"/>
  <c r="G5072" i="23"/>
  <c r="G5048" i="23"/>
  <c r="G5028" i="23"/>
  <c r="G5004" i="23"/>
  <c r="G4986" i="23"/>
  <c r="G4962" i="23"/>
  <c r="G4942" i="23"/>
  <c r="G4918" i="23"/>
  <c r="G4898" i="23"/>
  <c r="G4874" i="23"/>
  <c r="G4856" i="23"/>
  <c r="G4832" i="23"/>
  <c r="G4812" i="23"/>
  <c r="G4788" i="23"/>
  <c r="G4770" i="23"/>
  <c r="G4750" i="23"/>
  <c r="G4734" i="23"/>
  <c r="G4714" i="23"/>
  <c r="G4698" i="23"/>
  <c r="G4678" i="23"/>
  <c r="G4662" i="23"/>
  <c r="G4642" i="23"/>
  <c r="G4626" i="23"/>
  <c r="G4606" i="23"/>
  <c r="G4590" i="23"/>
  <c r="G4570" i="23"/>
  <c r="G4554" i="23"/>
  <c r="G4534" i="23"/>
  <c r="G4518" i="23"/>
  <c r="G4498" i="23"/>
  <c r="G4482" i="23"/>
  <c r="G4462" i="23"/>
  <c r="G4446" i="23"/>
  <c r="G4426" i="23"/>
  <c r="G4410" i="23"/>
  <c r="G4390" i="23"/>
  <c r="G4374" i="23"/>
  <c r="G4354" i="23"/>
  <c r="G4338" i="23"/>
  <c r="G4318" i="23"/>
  <c r="G4302" i="23"/>
  <c r="G4282" i="23"/>
  <c r="G4266" i="23"/>
  <c r="G4246" i="23"/>
  <c r="G4230" i="23"/>
  <c r="G4210" i="23"/>
  <c r="G4194" i="23"/>
  <c r="G4174" i="23"/>
  <c r="G4158" i="23"/>
  <c r="G4138" i="23"/>
  <c r="G4122" i="23"/>
  <c r="G4102" i="23"/>
  <c r="G4086" i="23"/>
  <c r="G4066" i="23"/>
  <c r="G4050" i="23"/>
  <c r="G4030" i="23"/>
  <c r="G4014" i="23"/>
  <c r="G3994" i="23"/>
  <c r="G3978" i="23"/>
  <c r="G3958" i="23"/>
  <c r="G3942" i="23"/>
  <c r="G3922" i="23"/>
  <c r="G3906" i="23"/>
  <c r="G3886" i="23"/>
  <c r="G3870" i="23"/>
  <c r="G3850" i="23"/>
  <c r="G3834" i="23"/>
  <c r="G3814" i="23"/>
  <c r="G3798" i="23"/>
  <c r="G3778" i="23"/>
  <c r="G3762" i="23"/>
  <c r="G3742" i="23"/>
  <c r="G3726" i="23"/>
  <c r="G3706" i="23"/>
  <c r="G3690" i="23"/>
  <c r="G3670" i="23"/>
  <c r="G3654" i="23"/>
  <c r="G3634" i="23"/>
  <c r="G3618" i="23"/>
  <c r="G3598" i="23"/>
  <c r="G3582" i="23"/>
  <c r="G3562" i="23"/>
  <c r="G3546" i="23"/>
  <c r="G3526" i="23"/>
  <c r="G3510" i="23"/>
  <c r="G3490" i="23"/>
  <c r="G3474" i="23"/>
  <c r="G3454" i="23"/>
  <c r="G3438" i="23"/>
  <c r="G3418" i="23"/>
  <c r="G3402" i="23"/>
  <c r="G3382" i="23"/>
  <c r="G3366" i="23"/>
  <c r="G3346" i="23"/>
  <c r="G3330" i="23"/>
  <c r="G3310" i="23"/>
  <c r="G3294" i="23"/>
  <c r="G3274" i="23"/>
  <c r="G3258" i="23"/>
  <c r="G3238" i="23"/>
  <c r="G3222" i="23"/>
  <c r="G3202" i="23"/>
  <c r="G3186" i="23"/>
  <c r="G3166" i="23"/>
  <c r="G3150" i="23"/>
  <c r="G3130" i="23"/>
  <c r="G3114" i="23"/>
  <c r="G3094" i="23"/>
  <c r="G3078" i="23"/>
  <c r="G3058" i="23"/>
  <c r="G3042" i="23"/>
  <c r="G3023" i="23"/>
  <c r="G3008" i="23"/>
  <c r="G2993" i="23"/>
  <c r="G2975" i="23"/>
  <c r="G2960" i="23"/>
  <c r="G2945" i="23"/>
  <c r="G2927" i="23"/>
  <c r="G2913" i="23"/>
  <c r="G2899" i="23"/>
  <c r="G2885" i="23"/>
  <c r="G2869" i="23"/>
  <c r="G2855" i="23"/>
  <c r="G2841" i="23"/>
  <c r="G2827" i="23"/>
  <c r="G2813" i="23"/>
  <c r="G2797" i="23"/>
  <c r="G2783" i="23"/>
  <c r="G2769" i="23"/>
  <c r="G2755" i="23"/>
  <c r="G2741" i="23"/>
  <c r="G2725" i="23"/>
  <c r="G2711" i="23"/>
  <c r="G2697" i="23"/>
  <c r="G2683" i="23"/>
  <c r="G2669" i="23"/>
  <c r="G2653" i="23"/>
  <c r="G2639" i="23"/>
  <c r="G2625" i="23"/>
  <c r="G2611" i="23"/>
  <c r="G2597" i="23"/>
  <c r="G2581" i="23"/>
  <c r="G2567" i="23"/>
  <c r="G2553" i="23"/>
  <c r="G2539" i="23"/>
  <c r="G2525" i="23"/>
  <c r="G2509" i="23"/>
  <c r="G2495" i="23"/>
  <c r="G2481" i="23"/>
  <c r="G2468" i="23"/>
  <c r="G2455" i="23"/>
  <c r="G2442" i="23"/>
  <c r="G2429" i="23"/>
  <c r="G2416" i="23"/>
  <c r="G2402" i="23"/>
  <c r="G2389" i="23"/>
  <c r="G2376" i="23"/>
  <c r="G2363" i="23"/>
  <c r="G2350" i="23"/>
  <c r="G2337" i="23"/>
  <c r="G2324" i="23"/>
  <c r="G2312" i="23"/>
  <c r="G2300" i="23"/>
  <c r="G2288" i="23"/>
  <c r="G2276" i="23"/>
  <c r="G2264" i="23"/>
  <c r="G2252" i="23"/>
  <c r="G2240" i="23"/>
  <c r="G2228" i="23"/>
  <c r="G2216" i="23"/>
  <c r="G2204" i="23"/>
  <c r="G2192" i="23"/>
  <c r="G2180" i="23"/>
  <c r="G2168" i="23"/>
  <c r="G2156" i="23"/>
  <c r="G2144" i="23"/>
  <c r="G2132" i="23"/>
  <c r="G2120" i="23"/>
  <c r="G2108" i="23"/>
  <c r="G2096" i="23"/>
  <c r="G2084" i="23"/>
  <c r="G2072" i="23"/>
  <c r="G2060" i="23"/>
  <c r="G2048" i="23"/>
  <c r="G2036" i="23"/>
  <c r="G2024" i="23"/>
  <c r="G2012" i="23"/>
  <c r="G2000" i="23"/>
  <c r="G1988" i="23"/>
  <c r="G1976" i="23"/>
  <c r="G1964" i="23"/>
  <c r="G1952" i="23"/>
  <c r="G1940" i="23"/>
  <c r="G1928" i="23"/>
  <c r="G1916" i="23"/>
  <c r="G9708" i="23"/>
  <c r="G9348" i="23"/>
  <c r="G8929" i="23"/>
  <c r="G8709" i="23"/>
  <c r="G8531" i="23"/>
  <c r="G8397" i="23"/>
  <c r="G8239" i="23"/>
  <c r="G8133" i="23"/>
  <c r="G8028" i="23"/>
  <c r="G7939" i="23"/>
  <c r="G7827" i="23"/>
  <c r="G7745" i="23"/>
  <c r="G7651" i="23"/>
  <c r="G7564" i="23"/>
  <c r="G7461" i="23"/>
  <c r="G7387" i="23"/>
  <c r="G7298" i="23"/>
  <c r="G7238" i="23"/>
  <c r="G7167" i="23"/>
  <c r="G7115" i="23"/>
  <c r="G7055" i="23"/>
  <c r="G7002" i="23"/>
  <c r="G6934" i="23"/>
  <c r="G6881" i="23"/>
  <c r="G6819" i="23"/>
  <c r="G6773" i="23"/>
  <c r="G6714" i="23"/>
  <c r="G6670" i="23"/>
  <c r="G6622" i="23"/>
  <c r="G6580" i="23"/>
  <c r="G6526" i="23"/>
  <c r="G6487" i="23"/>
  <c r="G6439" i="23"/>
  <c r="G6400" i="23"/>
  <c r="G6352" i="23"/>
  <c r="G6316" i="23"/>
  <c r="G6276" i="23"/>
  <c r="G6240" i="23"/>
  <c r="G6192" i="23"/>
  <c r="G6156" i="23"/>
  <c r="G6112" i="23"/>
  <c r="G6076" i="23"/>
  <c r="G6032" i="23"/>
  <c r="G6002" i="23"/>
  <c r="G5967" i="23"/>
  <c r="G5941" i="23"/>
  <c r="G5906" i="23"/>
  <c r="G5880" i="23"/>
  <c r="G5849" i="23"/>
  <c r="G5823" i="23"/>
  <c r="G5788" i="23"/>
  <c r="G5762" i="23"/>
  <c r="G5731" i="23"/>
  <c r="G5706" i="23"/>
  <c r="G5674" i="23"/>
  <c r="G5650" i="23"/>
  <c r="G5622" i="23"/>
  <c r="G5598" i="23"/>
  <c r="G5566" i="23"/>
  <c r="G5542" i="23"/>
  <c r="G5514" i="23"/>
  <c r="G5490" i="23"/>
  <c r="G5458" i="23"/>
  <c r="G5434" i="23"/>
  <c r="G5406" i="23"/>
  <c r="G5382" i="23"/>
  <c r="G5350" i="23"/>
  <c r="G5326" i="23"/>
  <c r="G5298" i="23"/>
  <c r="G5274" i="23"/>
  <c r="G5242" i="23"/>
  <c r="G5218" i="23"/>
  <c r="G5190" i="23"/>
  <c r="G5166" i="23"/>
  <c r="G5135" i="23"/>
  <c r="G5113" i="23"/>
  <c r="G5089" i="23"/>
  <c r="G5071" i="23"/>
  <c r="G5047" i="23"/>
  <c r="G5027" i="23"/>
  <c r="G5003" i="23"/>
  <c r="G4983" i="23"/>
  <c r="G4959" i="23"/>
  <c r="G4941" i="23"/>
  <c r="G4917" i="23"/>
  <c r="G4897" i="23"/>
  <c r="G4873" i="23"/>
  <c r="G4855" i="23"/>
  <c r="G4831" i="23"/>
  <c r="G4811" i="23"/>
  <c r="G4787" i="23"/>
  <c r="G4769" i="23"/>
  <c r="G4749" i="23"/>
  <c r="G4733" i="23"/>
  <c r="G4713" i="23"/>
  <c r="G4697" i="23"/>
  <c r="G4677" i="23"/>
  <c r="G4661" i="23"/>
  <c r="G4641" i="23"/>
  <c r="G4625" i="23"/>
  <c r="G4605" i="23"/>
  <c r="G4589" i="23"/>
  <c r="G4569" i="23"/>
  <c r="G4553" i="23"/>
  <c r="G4533" i="23"/>
  <c r="G4517" i="23"/>
  <c r="G4497" i="23"/>
  <c r="G4481" i="23"/>
  <c r="G4461" i="23"/>
  <c r="G4445" i="23"/>
  <c r="G4425" i="23"/>
  <c r="G4409" i="23"/>
  <c r="G4389" i="23"/>
  <c r="G4373" i="23"/>
  <c r="G4353" i="23"/>
  <c r="G4337" i="23"/>
  <c r="G4317" i="23"/>
  <c r="G4301" i="23"/>
  <c r="G4281" i="23"/>
  <c r="G4265" i="23"/>
  <c r="G4245" i="23"/>
  <c r="G4229" i="23"/>
  <c r="G4209" i="23"/>
  <c r="G4193" i="23"/>
  <c r="G4173" i="23"/>
  <c r="G4157" i="23"/>
  <c r="G4137" i="23"/>
  <c r="G4121" i="23"/>
  <c r="G4101" i="23"/>
  <c r="G4085" i="23"/>
  <c r="G4065" i="23"/>
  <c r="G4049" i="23"/>
  <c r="G4029" i="23"/>
  <c r="G4013" i="23"/>
  <c r="G3993" i="23"/>
  <c r="G3977" i="23"/>
  <c r="G3957" i="23"/>
  <c r="G3941" i="23"/>
  <c r="G3921" i="23"/>
  <c r="G3905" i="23"/>
  <c r="G3885" i="23"/>
  <c r="G3869" i="23"/>
  <c r="G3849" i="23"/>
  <c r="G3833" i="23"/>
  <c r="G3813" i="23"/>
  <c r="G3797" i="23"/>
  <c r="G3777" i="23"/>
  <c r="G3761" i="23"/>
  <c r="G3741" i="23"/>
  <c r="G3725" i="23"/>
  <c r="G3705" i="23"/>
  <c r="G3689" i="23"/>
  <c r="G3669" i="23"/>
  <c r="G3653" i="23"/>
  <c r="G3633" i="23"/>
  <c r="G3617" i="23"/>
  <c r="G3597" i="23"/>
  <c r="G3581" i="23"/>
  <c r="G3561" i="23"/>
  <c r="G3545" i="23"/>
  <c r="G3525" i="23"/>
  <c r="G3509" i="23"/>
  <c r="G3489" i="23"/>
  <c r="G3473" i="23"/>
  <c r="G3453" i="23"/>
  <c r="G3437" i="23"/>
  <c r="G3417" i="23"/>
  <c r="G3401" i="23"/>
  <c r="G3381" i="23"/>
  <c r="G3365" i="23"/>
  <c r="G3345" i="23"/>
  <c r="G3329" i="23"/>
  <c r="G3309" i="23"/>
  <c r="G3293" i="23"/>
  <c r="G3273" i="23"/>
  <c r="G3257" i="23"/>
  <c r="G3237" i="23"/>
  <c r="G3221" i="23"/>
  <c r="G3201" i="23"/>
  <c r="G3185" i="23"/>
  <c r="G3165" i="23"/>
  <c r="G3149" i="23"/>
  <c r="G3129" i="23"/>
  <c r="G3113" i="23"/>
  <c r="G3093" i="23"/>
  <c r="G3077" i="23"/>
  <c r="G3057" i="23"/>
  <c r="G3041" i="23"/>
  <c r="G3022" i="23"/>
  <c r="G3007" i="23"/>
  <c r="G2990" i="23"/>
  <c r="G2974" i="23"/>
  <c r="G2959" i="23"/>
  <c r="G2942" i="23"/>
  <c r="G2926" i="23"/>
  <c r="G2912" i="23"/>
  <c r="G2898" i="23"/>
  <c r="G2882" i="23"/>
  <c r="G2868" i="23"/>
  <c r="G2854" i="23"/>
  <c r="G2840" i="23"/>
  <c r="G2826" i="23"/>
  <c r="G2810" i="23"/>
  <c r="G2796" i="23"/>
  <c r="G2782" i="23"/>
  <c r="G2768" i="23"/>
  <c r="G2754" i="23"/>
  <c r="G2738" i="23"/>
  <c r="G2724" i="23"/>
  <c r="G2710" i="23"/>
  <c r="G2696" i="23"/>
  <c r="G2682" i="23"/>
  <c r="G2666" i="23"/>
  <c r="G2652" i="23"/>
  <c r="G2638" i="23"/>
  <c r="G2624" i="23"/>
  <c r="G2610" i="23"/>
  <c r="G2594" i="23"/>
  <c r="G2580" i="23"/>
  <c r="G2566" i="23"/>
  <c r="G2552" i="23"/>
  <c r="G2538" i="23"/>
  <c r="G2522" i="23"/>
  <c r="G2508" i="23"/>
  <c r="G2494" i="23"/>
  <c r="G2480" i="23"/>
  <c r="G2467" i="23"/>
  <c r="G2454" i="23"/>
  <c r="G2441" i="23"/>
  <c r="G2428" i="23"/>
  <c r="G2414" i="23"/>
  <c r="G2401" i="23"/>
  <c r="G2388" i="23"/>
  <c r="G2375" i="23"/>
  <c r="G2362" i="23"/>
  <c r="G2349" i="23"/>
  <c r="G2336" i="23"/>
  <c r="G2323" i="23"/>
  <c r="G2311" i="23"/>
  <c r="G2299" i="23"/>
  <c r="G2287" i="23"/>
  <c r="G2275" i="23"/>
  <c r="G2263" i="23"/>
  <c r="G2251" i="23"/>
  <c r="G2239" i="23"/>
  <c r="G2227" i="23"/>
  <c r="G2215" i="23"/>
  <c r="G2203" i="23"/>
  <c r="G2191" i="23"/>
  <c r="G2179" i="23"/>
  <c r="G2167" i="23"/>
  <c r="G2155" i="23"/>
  <c r="G2143" i="23"/>
  <c r="G2131" i="23"/>
  <c r="G2119" i="23"/>
  <c r="G2107" i="23"/>
  <c r="G2095" i="23"/>
  <c r="G2083" i="23"/>
  <c r="G2071" i="23"/>
  <c r="G2059" i="23"/>
  <c r="G2047" i="23"/>
  <c r="G2035" i="23"/>
  <c r="G2023" i="23"/>
  <c r="G2011" i="23"/>
  <c r="G1999" i="23"/>
  <c r="G1987" i="23"/>
  <c r="G1975" i="23"/>
  <c r="G1963" i="23"/>
  <c r="G1951" i="23"/>
  <c r="G1939" i="23"/>
  <c r="G1927" i="23"/>
  <c r="G1915" i="23"/>
  <c r="G1903" i="23"/>
  <c r="G1891" i="23"/>
  <c r="G1879" i="23"/>
  <c r="G1867" i="23"/>
  <c r="G1855" i="23"/>
  <c r="G1843" i="23"/>
  <c r="G1831" i="23"/>
  <c r="G1819" i="23"/>
  <c r="G1807" i="23"/>
  <c r="G1795" i="23"/>
  <c r="G1783" i="23"/>
  <c r="G1771" i="23"/>
  <c r="G16" i="23"/>
  <c r="G28" i="23"/>
  <c r="G40" i="23"/>
  <c r="G52" i="23"/>
  <c r="G64" i="23"/>
  <c r="G76" i="23"/>
  <c r="G88" i="23"/>
  <c r="G100" i="23"/>
  <c r="G112" i="23"/>
  <c r="G124" i="23"/>
  <c r="G136" i="23"/>
  <c r="G148" i="23"/>
  <c r="G160" i="23"/>
  <c r="G172" i="23"/>
  <c r="G184" i="23"/>
  <c r="G196" i="23"/>
  <c r="G208" i="23"/>
  <c r="G220" i="23"/>
  <c r="G232" i="23"/>
  <c r="G244" i="23"/>
  <c r="G256" i="23"/>
  <c r="G268" i="23"/>
  <c r="G280" i="23"/>
  <c r="G292" i="23"/>
  <c r="G304" i="23"/>
  <c r="G316" i="23"/>
  <c r="G328" i="23"/>
  <c r="G340" i="23"/>
  <c r="G352" i="23"/>
  <c r="G364" i="23"/>
  <c r="G376" i="23"/>
  <c r="G388" i="23"/>
  <c r="G400" i="23"/>
  <c r="G412" i="23"/>
  <c r="G424" i="23"/>
  <c r="G436" i="23"/>
  <c r="G448" i="23"/>
  <c r="G460" i="23"/>
  <c r="G472" i="23"/>
  <c r="G484" i="23"/>
  <c r="G496" i="23"/>
  <c r="G508" i="23"/>
  <c r="G520" i="23"/>
  <c r="G532" i="23"/>
  <c r="G544" i="23"/>
  <c r="G556" i="23"/>
  <c r="G568" i="23"/>
  <c r="G580" i="23"/>
  <c r="G592" i="23"/>
  <c r="G604" i="23"/>
  <c r="G616" i="23"/>
  <c r="G628" i="23"/>
  <c r="G640" i="23"/>
  <c r="G652" i="23"/>
  <c r="G664" i="23"/>
  <c r="G676" i="23"/>
  <c r="G688" i="23"/>
  <c r="G700" i="23"/>
  <c r="G712" i="23"/>
  <c r="G724" i="23"/>
  <c r="G736" i="23"/>
  <c r="G748" i="23"/>
  <c r="G760" i="23"/>
  <c r="G772" i="23"/>
  <c r="G784" i="23"/>
  <c r="G796" i="23"/>
  <c r="G808" i="23"/>
  <c r="G820" i="23"/>
  <c r="G832" i="23"/>
  <c r="G844" i="23"/>
  <c r="G856" i="23"/>
  <c r="G868" i="23"/>
  <c r="G880" i="23"/>
  <c r="G892" i="23"/>
  <c r="G904" i="23"/>
  <c r="G916" i="23"/>
  <c r="G928" i="23"/>
  <c r="G940" i="23"/>
  <c r="G952" i="23"/>
  <c r="G964" i="23"/>
  <c r="G976" i="23"/>
  <c r="G988" i="23"/>
  <c r="G1000" i="23"/>
  <c r="G1012" i="23"/>
  <c r="G1024" i="23"/>
  <c r="G1036" i="23"/>
  <c r="G1048" i="23"/>
  <c r="G1060" i="23"/>
  <c r="G1073" i="23"/>
  <c r="G1086" i="23"/>
  <c r="G1100" i="23"/>
  <c r="G1116" i="23"/>
  <c r="G1130" i="23"/>
  <c r="G1144" i="23"/>
  <c r="G1158" i="23"/>
  <c r="G1172" i="23"/>
  <c r="G1188" i="23"/>
  <c r="G1202" i="23"/>
  <c r="G1216" i="23"/>
  <c r="G1230" i="23"/>
  <c r="G1244" i="23"/>
  <c r="G1260" i="23"/>
  <c r="G1274" i="23"/>
  <c r="G1288" i="23"/>
  <c r="G1302" i="23"/>
  <c r="G1316" i="23"/>
  <c r="G1332" i="23"/>
  <c r="G1346" i="23"/>
  <c r="G1360" i="23"/>
  <c r="G1374" i="23"/>
  <c r="G1388" i="23"/>
  <c r="G1404" i="23"/>
  <c r="G1418" i="23"/>
  <c r="G1432" i="23"/>
  <c r="G1446" i="23"/>
  <c r="G1460" i="23"/>
  <c r="G1476" i="23"/>
  <c r="G1490" i="23"/>
  <c r="G1504" i="23"/>
  <c r="G1518" i="23"/>
  <c r="G1532" i="23"/>
  <c r="G1548" i="23"/>
  <c r="G1562" i="23"/>
  <c r="G1576" i="23"/>
  <c r="G1590" i="23"/>
  <c r="G1604" i="23"/>
  <c r="G1620" i="23"/>
  <c r="G1634" i="23"/>
  <c r="G1648" i="23"/>
  <c r="G1662" i="23"/>
  <c r="G1676" i="23"/>
  <c r="G1692" i="23"/>
  <c r="G1706" i="23"/>
  <c r="G1720" i="23"/>
  <c r="G1734" i="23"/>
  <c r="G1748" i="23"/>
  <c r="G1764" i="23"/>
  <c r="G1779" i="23"/>
  <c r="G1794" i="23"/>
  <c r="G1812" i="23"/>
  <c r="G1827" i="23"/>
  <c r="G1842" i="23"/>
  <c r="G1860" i="23"/>
  <c r="G1875" i="23"/>
  <c r="G1890" i="23"/>
  <c r="G1908" i="23"/>
  <c r="G1924" i="23"/>
  <c r="G1944" i="23"/>
  <c r="G1960" i="23"/>
  <c r="G1980" i="23"/>
  <c r="G1996" i="23"/>
  <c r="G2016" i="23"/>
  <c r="G2032" i="23"/>
  <c r="G2052" i="23"/>
  <c r="G2068" i="23"/>
  <c r="G2088" i="23"/>
  <c r="G2104" i="23"/>
  <c r="G2124" i="23"/>
  <c r="G2140" i="23"/>
  <c r="G2160" i="23"/>
  <c r="G2176" i="23"/>
  <c r="G2196" i="23"/>
  <c r="G2212" i="23"/>
  <c r="G2232" i="23"/>
  <c r="G2248" i="23"/>
  <c r="G2268" i="23"/>
  <c r="G2284" i="23"/>
  <c r="G2304" i="23"/>
  <c r="G2320" i="23"/>
  <c r="G2341" i="23"/>
  <c r="G2359" i="23"/>
  <c r="G2381" i="23"/>
  <c r="G2398" i="23"/>
  <c r="G2420" i="23"/>
  <c r="G2437" i="23"/>
  <c r="G2459" i="23"/>
  <c r="G2477" i="23"/>
  <c r="G2501" i="23"/>
  <c r="G2519" i="23"/>
  <c r="G2543" i="23"/>
  <c r="G2563" i="23"/>
  <c r="G2587" i="23"/>
  <c r="G2605" i="23"/>
  <c r="G2629" i="23"/>
  <c r="G2649" i="23"/>
  <c r="G2673" i="23"/>
  <c r="G2693" i="23"/>
  <c r="G2717" i="23"/>
  <c r="G2735" i="23"/>
  <c r="G2759" i="23"/>
  <c r="G2779" i="23"/>
  <c r="G2803" i="23"/>
  <c r="G2821" i="23"/>
  <c r="G2845" i="23"/>
  <c r="G2865" i="23"/>
  <c r="G2889" i="23"/>
  <c r="G2909" i="23"/>
  <c r="G2934" i="23"/>
  <c r="G2954" i="23"/>
  <c r="G2982" i="23"/>
  <c r="G3002" i="23"/>
  <c r="G3030" i="23"/>
  <c r="G3054" i="23"/>
  <c r="G3082" i="23"/>
  <c r="G3106" i="23"/>
  <c r="G3138" i="23"/>
  <c r="G3162" i="23"/>
  <c r="G3190" i="23"/>
  <c r="G3214" i="23"/>
  <c r="G3246" i="23"/>
  <c r="G3270" i="23"/>
  <c r="G3298" i="23"/>
  <c r="G3322" i="23"/>
  <c r="G3354" i="23"/>
  <c r="G3378" i="23"/>
  <c r="G3406" i="23"/>
  <c r="G3430" i="23"/>
  <c r="G3462" i="23"/>
  <c r="G3486" i="23"/>
  <c r="G3514" i="23"/>
  <c r="G3538" i="23"/>
  <c r="G3570" i="23"/>
  <c r="G3594" i="23"/>
  <c r="G3622" i="23"/>
  <c r="G3646" i="23"/>
  <c r="G3678" i="23"/>
  <c r="G3702" i="23"/>
  <c r="G3730" i="23"/>
  <c r="G3754" i="23"/>
  <c r="G3786" i="23"/>
  <c r="G3810" i="23"/>
  <c r="G3838" i="23"/>
  <c r="G3862" i="23"/>
  <c r="G3894" i="23"/>
  <c r="G3918" i="23"/>
  <c r="G3946" i="23"/>
  <c r="G3970" i="23"/>
  <c r="G4002" i="23"/>
  <c r="G4026" i="23"/>
  <c r="G4054" i="23"/>
  <c r="G4078" i="23"/>
  <c r="G4110" i="23"/>
  <c r="G4134" i="23"/>
  <c r="G4162" i="23"/>
  <c r="G4186" i="23"/>
  <c r="G4218" i="23"/>
  <c r="G4242" i="23"/>
  <c r="G4270" i="23"/>
  <c r="G4294" i="23"/>
  <c r="G4326" i="23"/>
  <c r="G4350" i="23"/>
  <c r="G4378" i="23"/>
  <c r="G4402" i="23"/>
  <c r="G4434" i="23"/>
  <c r="G4458" i="23"/>
  <c r="G4486" i="23"/>
  <c r="G4510" i="23"/>
  <c r="G4542" i="23"/>
  <c r="G4566" i="23"/>
  <c r="G4594" i="23"/>
  <c r="G4618" i="23"/>
  <c r="G4650" i="23"/>
  <c r="G4674" i="23"/>
  <c r="G4702" i="23"/>
  <c r="G4726" i="23"/>
  <c r="G4758" i="23"/>
  <c r="G4784" i="23"/>
  <c r="G4818" i="23"/>
  <c r="G4846" i="23"/>
  <c r="G4884" i="23"/>
  <c r="G4914" i="23"/>
  <c r="G4946" i="23"/>
  <c r="G4976" i="23"/>
  <c r="G5014" i="23"/>
  <c r="G5042" i="23"/>
  <c r="G5076" i="23"/>
  <c r="G5106" i="23"/>
  <c r="G5147" i="23"/>
  <c r="G5183" i="23"/>
  <c r="G5227" i="23"/>
  <c r="G5263" i="23"/>
  <c r="G5311" i="23"/>
  <c r="G5347" i="23"/>
  <c r="G5387" i="23"/>
  <c r="G5423" i="23"/>
  <c r="G5471" i="23"/>
  <c r="G5507" i="23"/>
  <c r="G5551" i="23"/>
  <c r="G5587" i="23"/>
  <c r="G5635" i="23"/>
  <c r="G5671" i="23"/>
  <c r="G5711" i="23"/>
  <c r="G5750" i="23"/>
  <c r="G5802" i="23"/>
  <c r="G5841" i="23"/>
  <c r="G5889" i="23"/>
  <c r="G5929" i="23"/>
  <c r="G5982" i="23"/>
  <c r="G6029" i="23"/>
  <c r="G6085" i="23"/>
  <c r="G6137" i="23"/>
  <c r="G6209" i="23"/>
  <c r="G6265" i="23"/>
  <c r="G6329" i="23"/>
  <c r="G6385" i="23"/>
  <c r="G6462" i="23"/>
  <c r="G6519" i="23"/>
  <c r="G6585" i="23"/>
  <c r="G6653" i="23"/>
  <c r="G6739" i="23"/>
  <c r="G6805" i="23"/>
  <c r="G6899" i="23"/>
  <c r="G6975" i="23"/>
  <c r="G7080" i="23"/>
  <c r="G7161" i="23"/>
  <c r="G7252" i="23"/>
  <c r="G7347" i="23"/>
  <c r="G7496" i="23"/>
  <c r="G7622" i="23"/>
  <c r="G7772" i="23"/>
  <c r="G7903" i="23"/>
  <c r="G8073" i="23"/>
  <c r="G8214" i="23"/>
  <c r="G8412" i="23"/>
  <c r="G8635" i="23"/>
  <c r="G9062" i="23"/>
  <c r="G9578" i="23"/>
  <c r="G5" i="23"/>
  <c r="G17" i="23"/>
  <c r="G29" i="23"/>
  <c r="G41" i="23"/>
  <c r="G53" i="23"/>
  <c r="G65" i="23"/>
  <c r="G77" i="23"/>
  <c r="G89" i="23"/>
  <c r="G101" i="23"/>
  <c r="G113" i="23"/>
  <c r="G125" i="23"/>
  <c r="G137" i="23"/>
  <c r="G149" i="23"/>
  <c r="G161" i="23"/>
  <c r="G173" i="23"/>
  <c r="G185" i="23"/>
  <c r="G197" i="23"/>
  <c r="G209" i="23"/>
  <c r="G221" i="23"/>
  <c r="G233" i="23"/>
  <c r="G245" i="23"/>
  <c r="G257" i="23"/>
  <c r="G269" i="23"/>
  <c r="G281" i="23"/>
  <c r="G293" i="23"/>
  <c r="G305" i="23"/>
  <c r="G317" i="23"/>
  <c r="G329" i="23"/>
  <c r="G341" i="23"/>
  <c r="G353" i="23"/>
  <c r="G365" i="23"/>
  <c r="G377" i="23"/>
  <c r="G389" i="23"/>
  <c r="G401" i="23"/>
  <c r="G413" i="23"/>
  <c r="G425" i="23"/>
  <c r="G437" i="23"/>
  <c r="G449" i="23"/>
  <c r="G461" i="23"/>
  <c r="G473" i="23"/>
  <c r="G485" i="23"/>
  <c r="G497" i="23"/>
  <c r="G509" i="23"/>
  <c r="G521" i="23"/>
  <c r="G533" i="23"/>
  <c r="G545" i="23"/>
  <c r="G557" i="23"/>
  <c r="G569" i="23"/>
  <c r="G581" i="23"/>
  <c r="G593" i="23"/>
  <c r="G605" i="23"/>
  <c r="G617" i="23"/>
  <c r="G629" i="23"/>
  <c r="G641" i="23"/>
  <c r="G653" i="23"/>
  <c r="G665" i="23"/>
  <c r="G677" i="23"/>
  <c r="G689" i="23"/>
  <c r="G701" i="23"/>
  <c r="G713" i="23"/>
  <c r="G725" i="23"/>
  <c r="G737" i="23"/>
  <c r="G749" i="23"/>
  <c r="G761" i="23"/>
  <c r="G773" i="23"/>
  <c r="G785" i="23"/>
  <c r="G797" i="23"/>
  <c r="G809" i="23"/>
  <c r="G821" i="23"/>
  <c r="G833" i="23"/>
  <c r="G845" i="23"/>
  <c r="G857" i="23"/>
  <c r="G869" i="23"/>
  <c r="G881" i="23"/>
  <c r="G893" i="23"/>
  <c r="G905" i="23"/>
  <c r="G917" i="23"/>
  <c r="G929" i="23"/>
  <c r="G941" i="23"/>
  <c r="G953" i="23"/>
  <c r="G965" i="23"/>
  <c r="G977" i="23"/>
  <c r="G989" i="23"/>
  <c r="G1001" i="23"/>
  <c r="G1013" i="23"/>
  <c r="G1025" i="23"/>
  <c r="G1037" i="23"/>
  <c r="G1049" i="23"/>
  <c r="G1061" i="23"/>
  <c r="G1074" i="23"/>
  <c r="G1087" i="23"/>
  <c r="G1103" i="23"/>
  <c r="G1117" i="23"/>
  <c r="G1131" i="23"/>
  <c r="G1145" i="23"/>
  <c r="G1159" i="23"/>
  <c r="G1175" i="23"/>
  <c r="G1189" i="23"/>
  <c r="G1203" i="23"/>
  <c r="G1217" i="23"/>
  <c r="G1231" i="23"/>
  <c r="G1247" i="23"/>
  <c r="G1261" i="23"/>
  <c r="G1275" i="23"/>
  <c r="G1289" i="23"/>
  <c r="G1303" i="23"/>
  <c r="G1319" i="23"/>
  <c r="G1333" i="23"/>
  <c r="G1347" i="23"/>
  <c r="G1361" i="23"/>
  <c r="G1375" i="23"/>
  <c r="G1391" i="23"/>
  <c r="G1405" i="23"/>
  <c r="G1419" i="23"/>
  <c r="G1433" i="23"/>
  <c r="G1447" i="23"/>
  <c r="G1463" i="23"/>
  <c r="G1477" i="23"/>
  <c r="G1491" i="23"/>
  <c r="G1505" i="23"/>
  <c r="G1519" i="23"/>
  <c r="G1535" i="23"/>
  <c r="G1549" i="23"/>
  <c r="G1563" i="23"/>
  <c r="G1577" i="23"/>
  <c r="G1591" i="23"/>
  <c r="G1607" i="23"/>
  <c r="G1621" i="23"/>
  <c r="G1635" i="23"/>
  <c r="G1649" i="23"/>
  <c r="G1663" i="23"/>
  <c r="G1679" i="23"/>
  <c r="G1693" i="23"/>
  <c r="G1707" i="23"/>
  <c r="G1721" i="23"/>
  <c r="G1735" i="23"/>
  <c r="G1751" i="23"/>
  <c r="G1765" i="23"/>
  <c r="G1780" i="23"/>
  <c r="G1796" i="23"/>
  <c r="G1813" i="23"/>
  <c r="G1828" i="23"/>
  <c r="G1844" i="23"/>
  <c r="G1861" i="23"/>
  <c r="G1876" i="23"/>
  <c r="G1892" i="23"/>
  <c r="G1909" i="23"/>
  <c r="G1925" i="23"/>
  <c r="G1945" i="23"/>
  <c r="G1961" i="23"/>
  <c r="G1981" i="23"/>
  <c r="G1997" i="23"/>
  <c r="G2017" i="23"/>
  <c r="G2033" i="23"/>
  <c r="G2053" i="23"/>
  <c r="G2069" i="23"/>
  <c r="G2089" i="23"/>
  <c r="G2105" i="23"/>
  <c r="G2125" i="23"/>
  <c r="G2141" i="23"/>
  <c r="G2161" i="23"/>
  <c r="G2177" i="23"/>
  <c r="G2197" i="23"/>
  <c r="G2213" i="23"/>
  <c r="G2233" i="23"/>
  <c r="G2249" i="23"/>
  <c r="G2269" i="23"/>
  <c r="G2285" i="23"/>
  <c r="G2305" i="23"/>
  <c r="G2321" i="23"/>
  <c r="G2342" i="23"/>
  <c r="G2360" i="23"/>
  <c r="G2382" i="23"/>
  <c r="G2399" i="23"/>
  <c r="G2421" i="23"/>
  <c r="G2438" i="23"/>
  <c r="G2460" i="23"/>
  <c r="G2478" i="23"/>
  <c r="G2502" i="23"/>
  <c r="G2520" i="23"/>
  <c r="G2544" i="23"/>
  <c r="G2564" i="23"/>
  <c r="G2588" i="23"/>
  <c r="G2606" i="23"/>
  <c r="G2630" i="23"/>
  <c r="G2650" i="23"/>
  <c r="G2674" i="23"/>
  <c r="G2694" i="23"/>
  <c r="G2718" i="23"/>
  <c r="G2736" i="23"/>
  <c r="G2760" i="23"/>
  <c r="G2780" i="23"/>
  <c r="G2804" i="23"/>
  <c r="G2822" i="23"/>
  <c r="G2846" i="23"/>
  <c r="G2866" i="23"/>
  <c r="G2890" i="23"/>
  <c r="G2910" i="23"/>
  <c r="G2935" i="23"/>
  <c r="G2957" i="23"/>
  <c r="G2983" i="23"/>
  <c r="G3005" i="23"/>
  <c r="G3031" i="23"/>
  <c r="G3055" i="23"/>
  <c r="G3083" i="23"/>
  <c r="G3107" i="23"/>
  <c r="G3139" i="23"/>
  <c r="G3163" i="23"/>
  <c r="G3191" i="23"/>
  <c r="G3215" i="23"/>
  <c r="G3247" i="23"/>
  <c r="G3271" i="23"/>
  <c r="G3299" i="23"/>
  <c r="G3323" i="23"/>
  <c r="G3355" i="23"/>
  <c r="G3379" i="23"/>
  <c r="G3407" i="23"/>
  <c r="G3431" i="23"/>
  <c r="G3463" i="23"/>
  <c r="G3487" i="23"/>
  <c r="G3515" i="23"/>
  <c r="G3539" i="23"/>
  <c r="G3571" i="23"/>
  <c r="G3595" i="23"/>
  <c r="G3623" i="23"/>
  <c r="G3647" i="23"/>
  <c r="G3679" i="23"/>
  <c r="G3703" i="23"/>
  <c r="G3731" i="23"/>
  <c r="G3755" i="23"/>
  <c r="G3787" i="23"/>
  <c r="G3811" i="23"/>
  <c r="G3839" i="23"/>
  <c r="G3863" i="23"/>
  <c r="G3895" i="23"/>
  <c r="G3919" i="23"/>
  <c r="G3947" i="23"/>
  <c r="G3971" i="23"/>
  <c r="G4003" i="23"/>
  <c r="G4027" i="23"/>
  <c r="G4055" i="23"/>
  <c r="G4079" i="23"/>
  <c r="G4111" i="23"/>
  <c r="G4135" i="23"/>
  <c r="G4163" i="23"/>
  <c r="G4187" i="23"/>
  <c r="G4219" i="23"/>
  <c r="G4243" i="23"/>
  <c r="G4271" i="23"/>
  <c r="G4295" i="23"/>
  <c r="G4327" i="23"/>
  <c r="G4351" i="23"/>
  <c r="G4379" i="23"/>
  <c r="G4403" i="23"/>
  <c r="G4435" i="23"/>
  <c r="G4459" i="23"/>
  <c r="G4487" i="23"/>
  <c r="G4511" i="23"/>
  <c r="G4543" i="23"/>
  <c r="G4567" i="23"/>
  <c r="G4595" i="23"/>
  <c r="G4619" i="23"/>
  <c r="G4651" i="23"/>
  <c r="G4675" i="23"/>
  <c r="G4703" i="23"/>
  <c r="G4727" i="23"/>
  <c r="G4759" i="23"/>
  <c r="G4785" i="23"/>
  <c r="G4819" i="23"/>
  <c r="G4847" i="23"/>
  <c r="G4885" i="23"/>
  <c r="G4915" i="23"/>
  <c r="G4947" i="23"/>
  <c r="G4977" i="23"/>
  <c r="G5015" i="23"/>
  <c r="G5043" i="23"/>
  <c r="G5077" i="23"/>
  <c r="G5107" i="23"/>
  <c r="G5148" i="23"/>
  <c r="G5184" i="23"/>
  <c r="G5228" i="23"/>
  <c r="G5264" i="23"/>
  <c r="G5312" i="23"/>
  <c r="G5348" i="23"/>
  <c r="G5388" i="23"/>
  <c r="G5424" i="23"/>
  <c r="G5472" i="23"/>
  <c r="G5508" i="23"/>
  <c r="G5552" i="23"/>
  <c r="G5588" i="23"/>
  <c r="G5636" i="23"/>
  <c r="G5672" i="23"/>
  <c r="G5712" i="23"/>
  <c r="G5751" i="23"/>
  <c r="G5803" i="23"/>
  <c r="G5843" i="23"/>
  <c r="G5891" i="23"/>
  <c r="G5930" i="23"/>
  <c r="G5983" i="23"/>
  <c r="G6030" i="23"/>
  <c r="G6086" i="23"/>
  <c r="G6138" i="23"/>
  <c r="G6210" i="23"/>
  <c r="G6266" i="23"/>
  <c r="G6330" i="23"/>
  <c r="G6386" i="23"/>
  <c r="G6463" i="23"/>
  <c r="G6520" i="23"/>
  <c r="G6586" i="23"/>
  <c r="G6654" i="23"/>
  <c r="G6740" i="23"/>
  <c r="G6806" i="23"/>
  <c r="G6900" i="23"/>
  <c r="G6976" i="23"/>
  <c r="G7081" i="23"/>
  <c r="G7162" i="23"/>
  <c r="G7253" i="23"/>
  <c r="G7348" i="23"/>
  <c r="G7497" i="23"/>
  <c r="G7623" i="23"/>
  <c r="G7773" i="23"/>
  <c r="G7905" i="23"/>
  <c r="G8075" i="23"/>
  <c r="G8216" i="23"/>
  <c r="G8413" i="23"/>
  <c r="G8643" i="23"/>
  <c r="G9072" i="23"/>
  <c r="G9579" i="23"/>
  <c r="G6" i="23"/>
  <c r="G18" i="23"/>
  <c r="G30" i="23"/>
  <c r="G42" i="23"/>
  <c r="G54" i="23"/>
  <c r="G66" i="23"/>
  <c r="G78" i="23"/>
  <c r="G90" i="23"/>
  <c r="G102" i="23"/>
  <c r="G114" i="23"/>
  <c r="G126" i="23"/>
  <c r="G138" i="23"/>
  <c r="G150" i="23"/>
  <c r="G162" i="23"/>
  <c r="G174" i="23"/>
  <c r="G186" i="23"/>
  <c r="G198" i="23"/>
  <c r="G210" i="23"/>
  <c r="G222" i="23"/>
  <c r="G234" i="23"/>
  <c r="G246" i="23"/>
  <c r="G258" i="23"/>
  <c r="G270" i="23"/>
  <c r="G282" i="23"/>
  <c r="G294" i="23"/>
  <c r="G306" i="23"/>
  <c r="G318" i="23"/>
  <c r="G330" i="23"/>
  <c r="G342" i="23"/>
  <c r="G354" i="23"/>
  <c r="G366" i="23"/>
  <c r="G378" i="23"/>
  <c r="G390" i="23"/>
  <c r="G402" i="23"/>
  <c r="G414" i="23"/>
  <c r="G426" i="23"/>
  <c r="G438" i="23"/>
  <c r="G450" i="23"/>
  <c r="G462" i="23"/>
  <c r="G474" i="23"/>
  <c r="G486" i="23"/>
  <c r="G498" i="23"/>
  <c r="G510" i="23"/>
  <c r="G522" i="23"/>
  <c r="G534" i="23"/>
  <c r="G546" i="23"/>
  <c r="G558" i="23"/>
  <c r="G570" i="23"/>
  <c r="G582" i="23"/>
  <c r="G594" i="23"/>
  <c r="G606" i="23"/>
  <c r="G618" i="23"/>
  <c r="G630" i="23"/>
  <c r="G642" i="23"/>
  <c r="G654" i="23"/>
  <c r="G666" i="23"/>
  <c r="G678" i="23"/>
  <c r="G690" i="23"/>
  <c r="G702" i="23"/>
  <c r="G714" i="23"/>
  <c r="G726" i="23"/>
  <c r="G738" i="23"/>
  <c r="G750" i="23"/>
  <c r="G762" i="23"/>
  <c r="G774" i="23"/>
  <c r="G786" i="23"/>
  <c r="G798" i="23"/>
  <c r="G810" i="23"/>
  <c r="G822" i="23"/>
  <c r="G834" i="23"/>
  <c r="G846" i="23"/>
  <c r="G858" i="23"/>
  <c r="G870" i="23"/>
  <c r="G882" i="23"/>
  <c r="G894" i="23"/>
  <c r="G906" i="23"/>
  <c r="G918" i="23"/>
  <c r="G930" i="23"/>
  <c r="G942" i="23"/>
  <c r="G954" i="23"/>
  <c r="G966" i="23"/>
  <c r="G978" i="23"/>
  <c r="G990" i="23"/>
  <c r="G1002" i="23"/>
  <c r="G1014" i="23"/>
  <c r="G1026" i="23"/>
  <c r="G1038" i="23"/>
  <c r="G1050" i="23"/>
  <c r="G1062" i="23"/>
  <c r="G1075" i="23"/>
  <c r="G1088" i="23"/>
  <c r="G1104" i="23"/>
  <c r="G1118" i="23"/>
  <c r="G1132" i="23"/>
  <c r="G1146" i="23"/>
  <c r="G1160" i="23"/>
  <c r="G1176" i="23"/>
  <c r="G1190" i="23"/>
  <c r="G1204" i="23"/>
  <c r="G1218" i="23"/>
  <c r="G1232" i="23"/>
  <c r="G1248" i="23"/>
  <c r="G1262" i="23"/>
  <c r="G1276" i="23"/>
  <c r="G1290" i="23"/>
  <c r="G1304" i="23"/>
  <c r="G1320" i="23"/>
  <c r="G1334" i="23"/>
  <c r="G1348" i="23"/>
  <c r="G1362" i="23"/>
  <c r="G1376" i="23"/>
  <c r="G1392" i="23"/>
  <c r="G1406" i="23"/>
  <c r="G1420" i="23"/>
  <c r="G1434" i="23"/>
  <c r="G1448" i="23"/>
  <c r="G1464" i="23"/>
  <c r="G1478" i="23"/>
  <c r="G1492" i="23"/>
  <c r="G1506" i="23"/>
  <c r="G1520" i="23"/>
  <c r="G1536" i="23"/>
  <c r="G1550" i="23"/>
  <c r="G1564" i="23"/>
  <c r="G1578" i="23"/>
  <c r="G1592" i="23"/>
  <c r="G1608" i="23"/>
  <c r="G1622" i="23"/>
  <c r="G1636" i="23"/>
  <c r="G1650" i="23"/>
  <c r="G1664" i="23"/>
  <c r="G1680" i="23"/>
  <c r="G1694" i="23"/>
  <c r="G1708" i="23"/>
  <c r="G1722" i="23"/>
  <c r="G1736" i="23"/>
  <c r="G1752" i="23"/>
  <c r="G1766" i="23"/>
  <c r="G1781" i="23"/>
  <c r="G1799" i="23"/>
  <c r="G1814" i="23"/>
  <c r="G1829" i="23"/>
  <c r="G1847" i="23"/>
  <c r="G1862" i="23"/>
  <c r="G1877" i="23"/>
  <c r="G1895" i="23"/>
  <c r="G1910" i="23"/>
  <c r="G1926" i="23"/>
  <c r="G1946" i="23"/>
  <c r="G1962" i="23"/>
  <c r="G1982" i="23"/>
  <c r="G1998" i="23"/>
  <c r="G2018" i="23"/>
  <c r="G2034" i="23"/>
  <c r="G2054" i="23"/>
  <c r="G2070" i="23"/>
  <c r="G2090" i="23"/>
  <c r="G2106" i="23"/>
  <c r="G2126" i="23"/>
  <c r="G2142" i="23"/>
  <c r="G2162" i="23"/>
  <c r="G2178" i="23"/>
  <c r="G2198" i="23"/>
  <c r="G2214" i="23"/>
  <c r="G2234" i="23"/>
  <c r="G2250" i="23"/>
  <c r="G2270" i="23"/>
  <c r="G2286" i="23"/>
  <c r="G2306" i="23"/>
  <c r="G2322" i="23"/>
  <c r="G2344" i="23"/>
  <c r="G2361" i="23"/>
  <c r="G2383" i="23"/>
  <c r="G2400" i="23"/>
  <c r="G2422" i="23"/>
  <c r="G2440" i="23"/>
  <c r="G2461" i="23"/>
  <c r="G2479" i="23"/>
  <c r="G2503" i="23"/>
  <c r="G2521" i="23"/>
  <c r="G2545" i="23"/>
  <c r="G2565" i="23"/>
  <c r="G2589" i="23"/>
  <c r="G2609" i="23"/>
  <c r="G2633" i="23"/>
  <c r="G2651" i="23"/>
  <c r="G2675" i="23"/>
  <c r="G2695" i="23"/>
  <c r="G2719" i="23"/>
  <c r="G2737" i="23"/>
  <c r="G2761" i="23"/>
  <c r="G2781" i="23"/>
  <c r="G2805" i="23"/>
  <c r="G2825" i="23"/>
  <c r="G2849" i="23"/>
  <c r="G2867" i="23"/>
  <c r="G2891" i="23"/>
  <c r="G2911" i="23"/>
  <c r="G2936" i="23"/>
  <c r="G2958" i="23"/>
  <c r="G2984" i="23"/>
  <c r="G3006" i="23"/>
  <c r="G3032" i="23"/>
  <c r="G3056" i="23"/>
  <c r="G3084" i="23"/>
  <c r="G3108" i="23"/>
  <c r="G3140" i="23"/>
  <c r="G3164" i="23"/>
  <c r="G3192" i="23"/>
  <c r="G3216" i="23"/>
  <c r="G3248" i="23"/>
  <c r="G3272" i="23"/>
  <c r="G3300" i="23"/>
  <c r="G3324" i="23"/>
  <c r="G3356" i="23"/>
  <c r="G3380" i="23"/>
  <c r="G3408" i="23"/>
  <c r="G3432" i="23"/>
  <c r="G3464" i="23"/>
  <c r="G3488" i="23"/>
  <c r="G3516" i="23"/>
  <c r="G3540" i="23"/>
  <c r="G3572" i="23"/>
  <c r="G3596" i="23"/>
  <c r="G3624" i="23"/>
  <c r="G3648" i="23"/>
  <c r="G3680" i="23"/>
  <c r="G3704" i="23"/>
  <c r="G3732" i="23"/>
  <c r="G3756" i="23"/>
  <c r="G3788" i="23"/>
  <c r="G3812" i="23"/>
  <c r="G3840" i="23"/>
  <c r="G3864" i="23"/>
  <c r="G3896" i="23"/>
  <c r="G3920" i="23"/>
  <c r="G3948" i="23"/>
  <c r="G3972" i="23"/>
  <c r="G4004" i="23"/>
  <c r="G4028" i="23"/>
  <c r="G4056" i="23"/>
  <c r="G4080" i="23"/>
  <c r="G4112" i="23"/>
  <c r="G4136" i="23"/>
  <c r="G4164" i="23"/>
  <c r="G4188" i="23"/>
  <c r="G4220" i="23"/>
  <c r="G4244" i="23"/>
  <c r="G4272" i="23"/>
  <c r="G4296" i="23"/>
  <c r="G4328" i="23"/>
  <c r="G4352" i="23"/>
  <c r="G4380" i="23"/>
  <c r="G4404" i="23"/>
  <c r="G4436" i="23"/>
  <c r="G4460" i="23"/>
  <c r="G4488" i="23"/>
  <c r="G4512" i="23"/>
  <c r="G4544" i="23"/>
  <c r="G4568" i="23"/>
  <c r="G4596" i="23"/>
  <c r="G4620" i="23"/>
  <c r="G4652" i="23"/>
  <c r="G4676" i="23"/>
  <c r="G4704" i="23"/>
  <c r="G4728" i="23"/>
  <c r="G4760" i="23"/>
  <c r="G4786" i="23"/>
  <c r="G4820" i="23"/>
  <c r="G4848" i="23"/>
  <c r="G4886" i="23"/>
  <c r="G4916" i="23"/>
  <c r="G4950" i="23"/>
  <c r="G4978" i="23"/>
  <c r="G5016" i="23"/>
  <c r="G5046" i="23"/>
  <c r="G5078" i="23"/>
  <c r="G5108" i="23"/>
  <c r="G5149" i="23"/>
  <c r="G5185" i="23"/>
  <c r="G5229" i="23"/>
  <c r="G5265" i="23"/>
  <c r="G5313" i="23"/>
  <c r="G5349" i="23"/>
  <c r="G5389" i="23"/>
  <c r="G5425" i="23"/>
  <c r="G5473" i="23"/>
  <c r="G5509" i="23"/>
  <c r="G5553" i="23"/>
  <c r="G5589" i="23"/>
  <c r="G5637" i="23"/>
  <c r="G5673" i="23"/>
  <c r="G5713" i="23"/>
  <c r="G5752" i="23"/>
  <c r="G5804" i="23"/>
  <c r="G5844" i="23"/>
  <c r="G5892" i="23"/>
  <c r="G5931" i="23"/>
  <c r="G5984" i="23"/>
  <c r="G6031" i="23"/>
  <c r="G6087" i="23"/>
  <c r="G6139" i="23"/>
  <c r="G6211" i="23"/>
  <c r="G6267" i="23"/>
  <c r="G6331" i="23"/>
  <c r="G6387" i="23"/>
  <c r="G6464" i="23"/>
  <c r="G6521" i="23"/>
  <c r="G6587" i="23"/>
  <c r="G6655" i="23"/>
  <c r="G6741" i="23"/>
  <c r="G6807" i="23"/>
  <c r="G6903" i="23"/>
  <c r="G6977" i="23"/>
  <c r="G7082" i="23"/>
  <c r="G7165" i="23"/>
  <c r="G7254" i="23"/>
  <c r="G7352" i="23"/>
  <c r="G7505" i="23"/>
  <c r="G7629" i="23"/>
  <c r="G7780" i="23"/>
  <c r="G7913" i="23"/>
  <c r="G8082" i="23"/>
  <c r="G8221" i="23"/>
  <c r="G8424" i="23"/>
  <c r="G8649" i="23"/>
  <c r="G9093" i="23"/>
  <c r="G9588" i="23"/>
  <c r="L14" i="23"/>
  <c r="M14" i="23" s="1"/>
  <c r="L15" i="23"/>
  <c r="M15" i="23" s="1"/>
  <c r="L12" i="23"/>
  <c r="M12" i="23" s="1"/>
  <c r="L13" i="23"/>
  <c r="M13" i="23" s="1"/>
  <c r="E22" i="20"/>
  <c r="E23" i="20" s="1"/>
  <c r="E24" i="20" s="1"/>
  <c r="E21" i="20"/>
  <c r="D77" i="25" l="1"/>
  <c r="G77" i="25"/>
  <c r="E77" i="25"/>
  <c r="F77" i="25"/>
  <c r="K27" i="23"/>
  <c r="L27" i="23" s="1"/>
  <c r="M27" i="23" s="1"/>
  <c r="K28" i="23"/>
  <c r="K29" i="23"/>
  <c r="K26" i="23"/>
  <c r="L26" i="23" s="1"/>
  <c r="M22" i="23"/>
  <c r="M21" i="23"/>
  <c r="M20" i="23"/>
  <c r="M19" i="23"/>
  <c r="B23" i="22"/>
  <c r="K10" i="22"/>
  <c r="K11" i="22"/>
  <c r="K12" i="22"/>
  <c r="K13" i="22"/>
  <c r="K14" i="22"/>
  <c r="K9" i="22"/>
  <c r="J10" i="22"/>
  <c r="J11" i="22"/>
  <c r="J12" i="22"/>
  <c r="J13" i="22"/>
  <c r="J14" i="22"/>
  <c r="J9" i="22"/>
  <c r="I10" i="22"/>
  <c r="I11" i="22"/>
  <c r="I12" i="22"/>
  <c r="I13" i="22"/>
  <c r="I14" i="22"/>
  <c r="I9" i="22"/>
  <c r="F10" i="22"/>
  <c r="F11" i="22"/>
  <c r="F12" i="22"/>
  <c r="F13" i="22"/>
  <c r="F14" i="22"/>
  <c r="F9" i="22"/>
  <c r="N26" i="22" s="1"/>
  <c r="D10" i="22"/>
  <c r="D11" i="22"/>
  <c r="D12" i="22"/>
  <c r="D13" i="22"/>
  <c r="D14" i="22"/>
  <c r="D9" i="22"/>
  <c r="M28" i="22" s="1"/>
  <c r="N28" i="22" s="1"/>
  <c r="O28" i="22" s="1"/>
  <c r="C14" i="22"/>
  <c r="C13" i="22"/>
  <c r="C12" i="22"/>
  <c r="C11" i="22"/>
  <c r="C10" i="22"/>
  <c r="C9" i="22"/>
  <c r="B14" i="22"/>
  <c r="B13" i="22"/>
  <c r="B12" i="22"/>
  <c r="B11" i="22"/>
  <c r="B10" i="22"/>
  <c r="B9" i="22"/>
  <c r="F11" i="14"/>
  <c r="F12" i="14"/>
  <c r="F13" i="14"/>
  <c r="F14" i="14"/>
  <c r="F10" i="14"/>
  <c r="E11" i="14"/>
  <c r="E12" i="14"/>
  <c r="E13" i="14"/>
  <c r="E14" i="14"/>
  <c r="E10" i="14"/>
  <c r="B14" i="14"/>
  <c r="B13" i="14"/>
  <c r="B12" i="14"/>
  <c r="B11" i="14"/>
  <c r="B10" i="14"/>
  <c r="L29" i="23" l="1"/>
  <c r="M29" i="23" s="1"/>
  <c r="L28" i="23"/>
  <c r="M28" i="23" s="1"/>
  <c r="M26" i="23"/>
  <c r="O26" i="22"/>
  <c r="M26" i="22"/>
  <c r="E14" i="22"/>
  <c r="E13" i="22"/>
  <c r="E9" i="22"/>
  <c r="E11" i="22"/>
  <c r="E12" i="22"/>
  <c r="E10" i="22"/>
  <c r="BO7" i="17"/>
  <c r="BO11" i="17"/>
  <c r="BO14" i="17"/>
  <c r="BO15" i="17"/>
  <c r="BN7" i="17"/>
  <c r="BN8" i="17"/>
  <c r="BO8" i="17" s="1"/>
  <c r="BN9" i="17"/>
  <c r="BO9" i="17" s="1"/>
  <c r="BN10" i="17"/>
  <c r="BO10" i="17" s="1"/>
  <c r="BN11" i="17"/>
  <c r="BN12" i="17"/>
  <c r="BO12" i="17" s="1"/>
  <c r="BN13" i="17"/>
  <c r="BO13" i="17" s="1"/>
  <c r="BN14" i="17"/>
  <c r="BN15" i="17"/>
  <c r="G9" i="22" l="1"/>
  <c r="O9" i="22"/>
  <c r="G13" i="22"/>
  <c r="O13" i="22"/>
  <c r="G10" i="22"/>
  <c r="O10" i="22"/>
  <c r="G12" i="22"/>
  <c r="O12" i="22"/>
  <c r="G11" i="22"/>
  <c r="O11" i="22"/>
  <c r="G14" i="22"/>
  <c r="O14" i="22"/>
  <c r="CL60" i="17"/>
  <c r="CL61" i="17"/>
  <c r="CL62" i="17"/>
  <c r="CL63" i="17"/>
  <c r="CK55" i="17"/>
  <c r="CK56" i="17"/>
  <c r="CL56" i="17" s="1"/>
  <c r="CK57" i="17"/>
  <c r="CL57" i="17" s="1"/>
  <c r="CK58" i="17"/>
  <c r="CL59" i="17" s="1"/>
  <c r="CK59" i="17"/>
  <c r="CK60" i="17"/>
  <c r="CK61" i="17"/>
  <c r="CK62" i="17"/>
  <c r="CK63" i="17"/>
  <c r="CI56" i="17"/>
  <c r="CI57" i="17"/>
  <c r="CI58" i="17"/>
  <c r="CH55" i="17"/>
  <c r="CH56" i="17"/>
  <c r="CH57" i="17"/>
  <c r="CH58" i="17"/>
  <c r="CH59" i="17"/>
  <c r="CI59" i="17" s="1"/>
  <c r="CH60" i="17"/>
  <c r="CH61" i="17"/>
  <c r="CI61" i="17" s="1"/>
  <c r="CH62" i="17"/>
  <c r="CI62" i="17" s="1"/>
  <c r="CH63" i="17"/>
  <c r="CI63" i="17" s="1"/>
  <c r="CG55" i="17"/>
  <c r="CG56" i="17"/>
  <c r="CG57" i="17"/>
  <c r="CG58" i="17"/>
  <c r="CG59" i="17"/>
  <c r="CG60" i="17"/>
  <c r="CG61" i="17"/>
  <c r="CG62" i="17"/>
  <c r="CG63" i="17"/>
  <c r="G17" i="14"/>
  <c r="G16" i="14"/>
  <c r="I41" i="16"/>
  <c r="H41" i="16"/>
  <c r="G41" i="16"/>
  <c r="F41" i="16"/>
  <c r="E41" i="16"/>
  <c r="I14" i="16"/>
  <c r="I13" i="16"/>
  <c r="H14" i="16"/>
  <c r="H13" i="16"/>
  <c r="G14" i="16"/>
  <c r="G13" i="16"/>
  <c r="F14" i="16"/>
  <c r="F13" i="16"/>
  <c r="E14" i="16"/>
  <c r="E13" i="16"/>
  <c r="I12" i="16"/>
  <c r="H12" i="16"/>
  <c r="G12" i="16"/>
  <c r="F12" i="16"/>
  <c r="E12" i="16"/>
  <c r="CI60" i="17" l="1"/>
  <c r="CL58" i="17"/>
  <c r="N14" i="22"/>
  <c r="M14" i="22"/>
  <c r="N10" i="22"/>
  <c r="M10" i="22"/>
  <c r="M11" i="22"/>
  <c r="N11" i="22"/>
  <c r="N13" i="22"/>
  <c r="M13" i="22"/>
  <c r="M12" i="22"/>
  <c r="N12" i="22"/>
  <c r="O21" i="22"/>
  <c r="O20" i="22"/>
  <c r="O19" i="22"/>
  <c r="O27" i="22" s="1"/>
  <c r="O18" i="22"/>
  <c r="O17" i="22"/>
  <c r="O16" i="22"/>
  <c r="M9" i="22"/>
  <c r="N9" i="22"/>
  <c r="O30" i="22" l="1"/>
  <c r="O33" i="22" s="1"/>
  <c r="O25" i="22"/>
  <c r="N16" i="22"/>
  <c r="N21" i="22"/>
  <c r="N20" i="22"/>
  <c r="N19" i="22"/>
  <c r="N25" i="22" s="1"/>
  <c r="N27" i="22" s="1"/>
  <c r="N30" i="22" s="1"/>
  <c r="N33" i="22" s="1"/>
  <c r="N18" i="22"/>
  <c r="N17" i="22"/>
  <c r="M21" i="22"/>
  <c r="M19" i="22"/>
  <c r="M25" i="22" s="1"/>
  <c r="M27" i="22" s="1"/>
  <c r="M30" i="22" s="1"/>
  <c r="M33" i="22" s="1"/>
  <c r="M20" i="22"/>
  <c r="M18" i="22"/>
  <c r="M17" i="22"/>
  <c r="M16" i="22"/>
  <c r="C33" i="20" l="1"/>
  <c r="C32" i="20"/>
  <c r="B28" i="20"/>
  <c r="F10" i="20"/>
  <c r="G10" i="20" s="1"/>
  <c r="H10" i="20" s="1"/>
  <c r="I10" i="20" s="1"/>
  <c r="B57" i="16" l="1"/>
  <c r="B56" i="16"/>
  <c r="B30" i="16"/>
  <c r="B28" i="16"/>
  <c r="B27" i="16"/>
  <c r="B26" i="16"/>
  <c r="B25" i="16"/>
  <c r="B24" i="16"/>
  <c r="B23" i="16"/>
  <c r="B22" i="16"/>
  <c r="B21" i="16"/>
  <c r="B20" i="16"/>
  <c r="B8" i="16"/>
  <c r="B7" i="16"/>
  <c r="B6" i="16"/>
  <c r="B5" i="16"/>
  <c r="C74" i="7"/>
  <c r="C72" i="7"/>
  <c r="L114" i="7"/>
  <c r="K114" i="7"/>
  <c r="J114" i="7"/>
  <c r="I114" i="7"/>
  <c r="H114" i="7"/>
  <c r="G114" i="7"/>
  <c r="F114" i="7"/>
  <c r="E114" i="7"/>
  <c r="D114" i="7"/>
  <c r="C114" i="7"/>
  <c r="C117" i="7"/>
  <c r="C116" i="7"/>
  <c r="L117" i="7"/>
  <c r="K117" i="7"/>
  <c r="J117" i="7"/>
  <c r="I117" i="7"/>
  <c r="H117" i="7"/>
  <c r="G117" i="7"/>
  <c r="F117" i="7"/>
  <c r="E117" i="7"/>
  <c r="D117" i="7"/>
  <c r="L116" i="7"/>
  <c r="K116" i="7"/>
  <c r="J116" i="7"/>
  <c r="I116" i="7"/>
  <c r="H116" i="7"/>
  <c r="G116" i="7"/>
  <c r="F116" i="7"/>
  <c r="E116" i="7"/>
  <c r="D116" i="7"/>
  <c r="L115" i="7"/>
  <c r="K115" i="7"/>
  <c r="J115" i="7"/>
  <c r="I115" i="7"/>
  <c r="H115" i="7"/>
  <c r="G115" i="7"/>
  <c r="F115" i="7"/>
  <c r="E115" i="7"/>
  <c r="D115" i="7"/>
  <c r="C115" i="7"/>
  <c r="C113" i="7"/>
  <c r="C112" i="7"/>
  <c r="L113" i="7"/>
  <c r="K113" i="7"/>
  <c r="J113" i="7"/>
  <c r="I113" i="7"/>
  <c r="H113" i="7"/>
  <c r="G113" i="7"/>
  <c r="F113" i="7"/>
  <c r="E113" i="7"/>
  <c r="D113" i="7"/>
  <c r="L112" i="7"/>
  <c r="K112" i="7"/>
  <c r="J112" i="7"/>
  <c r="I112" i="7"/>
  <c r="H112" i="7"/>
  <c r="G112" i="7"/>
  <c r="F112" i="7"/>
  <c r="E112" i="7"/>
  <c r="D112" i="7"/>
  <c r="L111" i="7"/>
  <c r="K111" i="7"/>
  <c r="J111" i="7"/>
  <c r="I111" i="7"/>
  <c r="H111" i="7"/>
  <c r="G111" i="7"/>
  <c r="F111" i="7"/>
  <c r="E111" i="7"/>
  <c r="D111" i="7"/>
  <c r="C111" i="7"/>
  <c r="D118" i="7"/>
  <c r="E118" i="7"/>
  <c r="F118" i="7"/>
  <c r="G118" i="7"/>
  <c r="H118" i="7"/>
  <c r="I118" i="7"/>
  <c r="J118" i="7"/>
  <c r="K118" i="7"/>
  <c r="L118" i="7"/>
  <c r="C118" i="7"/>
  <c r="C108" i="7"/>
  <c r="C107" i="7"/>
  <c r="C106" i="7"/>
  <c r="L108" i="7"/>
  <c r="K108" i="7"/>
  <c r="J108" i="7"/>
  <c r="I108" i="7"/>
  <c r="H108" i="7"/>
  <c r="G108" i="7"/>
  <c r="F108" i="7"/>
  <c r="E108" i="7"/>
  <c r="D108" i="7"/>
  <c r="L107" i="7"/>
  <c r="K107" i="7"/>
  <c r="J107" i="7"/>
  <c r="I107" i="7"/>
  <c r="H107" i="7"/>
  <c r="G107" i="7"/>
  <c r="F107" i="7"/>
  <c r="E107" i="7"/>
  <c r="D107" i="7"/>
  <c r="L106" i="7"/>
  <c r="K106" i="7"/>
  <c r="J106" i="7"/>
  <c r="I106" i="7"/>
  <c r="H106" i="7"/>
  <c r="G106" i="7"/>
  <c r="F106" i="7"/>
  <c r="E106" i="7"/>
  <c r="D106" i="7"/>
  <c r="L105" i="7"/>
  <c r="K105" i="7"/>
  <c r="J105" i="7"/>
  <c r="I105" i="7"/>
  <c r="H105" i="7"/>
  <c r="G105" i="7"/>
  <c r="F105" i="7"/>
  <c r="E105" i="7"/>
  <c r="D105" i="7"/>
  <c r="C105" i="7"/>
  <c r="L109" i="7"/>
  <c r="K109" i="7"/>
  <c r="J109" i="7"/>
  <c r="I109" i="7"/>
  <c r="H109" i="7"/>
  <c r="G109" i="7"/>
  <c r="F109" i="7"/>
  <c r="E109" i="7"/>
  <c r="D109" i="7"/>
  <c r="C109" i="7"/>
  <c r="B117" i="7"/>
  <c r="B116" i="7"/>
  <c r="B115" i="7"/>
  <c r="B114" i="7"/>
  <c r="B113" i="7"/>
  <c r="B112" i="7"/>
  <c r="B111" i="7"/>
  <c r="B108" i="7"/>
  <c r="B107" i="7"/>
  <c r="B106" i="7"/>
  <c r="B105" i="7"/>
  <c r="L97" i="7"/>
  <c r="K97" i="7"/>
  <c r="J97" i="7"/>
  <c r="I97" i="7"/>
  <c r="H97" i="7"/>
  <c r="G97" i="7"/>
  <c r="E97" i="7"/>
  <c r="D97" i="7"/>
  <c r="C97" i="7"/>
  <c r="L96" i="7"/>
  <c r="K96" i="7"/>
  <c r="J96" i="7"/>
  <c r="I96" i="7"/>
  <c r="H96" i="7"/>
  <c r="G96" i="7"/>
  <c r="E96" i="7"/>
  <c r="D96" i="7"/>
  <c r="C96" i="7"/>
  <c r="L95" i="7"/>
  <c r="K95" i="7"/>
  <c r="J95" i="7"/>
  <c r="I95" i="7"/>
  <c r="H95" i="7"/>
  <c r="G95" i="7"/>
  <c r="E95" i="7"/>
  <c r="D95" i="7"/>
  <c r="C95" i="7"/>
  <c r="L94" i="7"/>
  <c r="K94" i="7"/>
  <c r="J94" i="7"/>
  <c r="I94" i="7"/>
  <c r="H94" i="7"/>
  <c r="G94" i="7"/>
  <c r="E94" i="7"/>
  <c r="D94" i="7"/>
  <c r="C94" i="7"/>
  <c r="L93" i="7"/>
  <c r="K93" i="7"/>
  <c r="J93" i="7"/>
  <c r="I93" i="7"/>
  <c r="H93" i="7"/>
  <c r="G93" i="7"/>
  <c r="E93" i="7"/>
  <c r="D93" i="7"/>
  <c r="C93" i="7"/>
  <c r="L92" i="7"/>
  <c r="K92" i="7"/>
  <c r="J92" i="7"/>
  <c r="I92" i="7"/>
  <c r="H92" i="7"/>
  <c r="G92" i="7"/>
  <c r="E92" i="7"/>
  <c r="D92" i="7"/>
  <c r="C92" i="7"/>
  <c r="L91" i="7"/>
  <c r="K91" i="7"/>
  <c r="J91" i="7"/>
  <c r="I91" i="7"/>
  <c r="H91" i="7"/>
  <c r="G91" i="7"/>
  <c r="E91" i="7"/>
  <c r="D91" i="7"/>
  <c r="C91" i="7"/>
  <c r="L90" i="7"/>
  <c r="K90" i="7"/>
  <c r="J90" i="7"/>
  <c r="I90" i="7"/>
  <c r="H90" i="7"/>
  <c r="G90" i="7"/>
  <c r="E90" i="7"/>
  <c r="D90" i="7"/>
  <c r="C90" i="7"/>
  <c r="L89" i="7"/>
  <c r="K89" i="7"/>
  <c r="J89" i="7"/>
  <c r="I89" i="7"/>
  <c r="H89" i="7"/>
  <c r="G89" i="7"/>
  <c r="E89" i="7"/>
  <c r="D89" i="7"/>
  <c r="C89" i="7"/>
  <c r="L88" i="7"/>
  <c r="K88" i="7"/>
  <c r="J88" i="7"/>
  <c r="I88" i="7"/>
  <c r="H88" i="7"/>
  <c r="G88" i="7"/>
  <c r="E88" i="7"/>
  <c r="D88" i="7"/>
  <c r="C88" i="7"/>
  <c r="L87" i="7"/>
  <c r="K87" i="7"/>
  <c r="J87" i="7"/>
  <c r="I87" i="7"/>
  <c r="H87" i="7"/>
  <c r="G87" i="7"/>
  <c r="E87" i="7"/>
  <c r="D87" i="7"/>
  <c r="C87" i="7"/>
  <c r="L86" i="7"/>
  <c r="K86" i="7"/>
  <c r="J86" i="7"/>
  <c r="I86" i="7"/>
  <c r="H86" i="7"/>
  <c r="G86" i="7"/>
  <c r="E86" i="7"/>
  <c r="D86" i="7"/>
  <c r="C86" i="7"/>
  <c r="L85" i="7"/>
  <c r="K85" i="7"/>
  <c r="J85" i="7"/>
  <c r="I85" i="7"/>
  <c r="H85" i="7"/>
  <c r="G85" i="7"/>
  <c r="E85" i="7"/>
  <c r="D85" i="7"/>
  <c r="C85" i="7"/>
  <c r="L84" i="7"/>
  <c r="K84" i="7"/>
  <c r="J84" i="7"/>
  <c r="I84" i="7"/>
  <c r="H84" i="7"/>
  <c r="G84" i="7"/>
  <c r="E84" i="7"/>
  <c r="D84" i="7"/>
  <c r="C84" i="7"/>
  <c r="L83" i="7"/>
  <c r="K83" i="7"/>
  <c r="J83" i="7"/>
  <c r="I83" i="7"/>
  <c r="H83" i="7"/>
  <c r="G83" i="7"/>
  <c r="E83" i="7"/>
  <c r="D83" i="7"/>
  <c r="C83" i="7"/>
  <c r="B98" i="7"/>
  <c r="B97" i="7"/>
  <c r="B96" i="7"/>
  <c r="B95" i="7"/>
  <c r="B94" i="7"/>
  <c r="B93" i="7"/>
  <c r="B92" i="7"/>
  <c r="B91" i="7"/>
  <c r="B90" i="7"/>
  <c r="B89" i="7"/>
  <c r="B88" i="7"/>
  <c r="B87" i="7"/>
  <c r="B86" i="7"/>
  <c r="B85" i="7"/>
  <c r="B84" i="7"/>
  <c r="B83" i="7"/>
  <c r="E22" i="14"/>
  <c r="E23" i="14"/>
  <c r="F5" i="18"/>
  <c r="F7" i="18" s="1"/>
  <c r="C32" i="14"/>
  <c r="C31" i="14"/>
  <c r="CK8" i="17"/>
  <c r="CK9" i="17"/>
  <c r="CK10" i="17"/>
  <c r="CL10" i="17" s="1"/>
  <c r="CK11" i="17"/>
  <c r="CL11" i="17" s="1"/>
  <c r="CK12" i="17"/>
  <c r="CL12" i="17" s="1"/>
  <c r="CK13" i="17"/>
  <c r="CK14" i="17"/>
  <c r="CK15" i="17"/>
  <c r="CK16" i="17"/>
  <c r="CK17" i="17"/>
  <c r="CK18" i="17"/>
  <c r="CL18" i="17" s="1"/>
  <c r="CK19" i="17"/>
  <c r="CL19" i="17" s="1"/>
  <c r="CK20" i="17"/>
  <c r="CK21" i="17"/>
  <c r="CK22" i="17"/>
  <c r="CK23" i="17"/>
  <c r="CL23" i="17" s="1"/>
  <c r="CK24" i="17"/>
  <c r="CL25" i="17" s="1"/>
  <c r="CK25" i="17"/>
  <c r="CK26" i="17"/>
  <c r="CK27" i="17"/>
  <c r="CK28" i="17"/>
  <c r="CK29" i="17"/>
  <c r="CK30" i="17"/>
  <c r="CK31" i="17"/>
  <c r="CK32" i="17"/>
  <c r="CK33" i="17"/>
  <c r="CK34" i="17"/>
  <c r="CK35" i="17"/>
  <c r="CL35" i="17" s="1"/>
  <c r="CK36" i="17"/>
  <c r="CL36" i="17" s="1"/>
  <c r="CK37" i="17"/>
  <c r="CK38" i="17"/>
  <c r="CL39" i="17" s="1"/>
  <c r="CK39" i="17"/>
  <c r="CK40" i="17"/>
  <c r="CK41" i="17"/>
  <c r="CK42" i="17"/>
  <c r="CK43" i="17"/>
  <c r="CK44" i="17"/>
  <c r="CK45" i="17"/>
  <c r="CK46" i="17"/>
  <c r="CK47" i="17"/>
  <c r="CL47" i="17" s="1"/>
  <c r="CK48" i="17"/>
  <c r="CL48" i="17" s="1"/>
  <c r="CK49" i="17"/>
  <c r="CK50" i="17"/>
  <c r="CL51" i="17" s="1"/>
  <c r="CK51" i="17"/>
  <c r="CK52" i="17"/>
  <c r="CL52" i="17" s="1"/>
  <c r="CK53" i="17"/>
  <c r="CK54" i="17"/>
  <c r="CK7" i="17"/>
  <c r="CL7" i="17" s="1"/>
  <c r="CH54" i="17"/>
  <c r="CI55" i="17" s="1"/>
  <c r="CH53" i="17"/>
  <c r="CH52" i="17"/>
  <c r="CI53" i="17" s="1"/>
  <c r="CH51" i="17"/>
  <c r="CH50" i="17"/>
  <c r="CI50" i="17" s="1"/>
  <c r="CH49" i="17"/>
  <c r="CH48" i="17"/>
  <c r="CI49" i="17" s="1"/>
  <c r="CH47" i="17"/>
  <c r="CH46" i="17"/>
  <c r="CI46" i="17" s="1"/>
  <c r="CH45" i="17"/>
  <c r="CH44" i="17"/>
  <c r="CH43" i="17"/>
  <c r="CI43" i="17" s="1"/>
  <c r="CH42" i="17"/>
  <c r="CH41" i="17"/>
  <c r="CH40" i="17"/>
  <c r="CH39" i="17"/>
  <c r="CH38" i="17"/>
  <c r="CI39" i="17" s="1"/>
  <c r="CH37" i="17"/>
  <c r="CH36" i="17"/>
  <c r="CI37" i="17" s="1"/>
  <c r="CH35" i="17"/>
  <c r="CH34" i="17"/>
  <c r="CI34" i="17" s="1"/>
  <c r="CH33" i="17"/>
  <c r="CI33" i="17" s="1"/>
  <c r="CH32" i="17"/>
  <c r="CH31" i="17"/>
  <c r="CH30" i="17"/>
  <c r="CH29" i="17"/>
  <c r="CH28" i="17"/>
  <c r="CH27" i="17"/>
  <c r="CH26" i="17"/>
  <c r="CI27" i="17" s="1"/>
  <c r="CH25" i="17"/>
  <c r="CH24" i="17"/>
  <c r="CI25" i="17" s="1"/>
  <c r="CH23" i="17"/>
  <c r="CH22" i="17"/>
  <c r="CI22" i="17" s="1"/>
  <c r="CH21" i="17"/>
  <c r="CI21" i="17" s="1"/>
  <c r="CH20" i="17"/>
  <c r="CH19" i="17"/>
  <c r="CH18" i="17"/>
  <c r="CH17" i="17"/>
  <c r="CH16" i="17"/>
  <c r="CH15" i="17"/>
  <c r="CH14" i="17"/>
  <c r="CI14" i="17" s="1"/>
  <c r="CH13" i="17"/>
  <c r="CH12" i="17"/>
  <c r="CH11" i="17"/>
  <c r="CH10" i="17"/>
  <c r="CI11" i="17" s="1"/>
  <c r="CH9" i="17"/>
  <c r="CI9" i="17" s="1"/>
  <c r="CH8" i="17"/>
  <c r="CI42" i="17"/>
  <c r="CH7" i="17"/>
  <c r="CI7" i="17" s="1"/>
  <c r="CG8" i="17"/>
  <c r="CG9" i="17"/>
  <c r="CG10" i="17"/>
  <c r="CG11" i="17"/>
  <c r="CG12" i="17"/>
  <c r="CG13" i="17"/>
  <c r="CG14" i="17"/>
  <c r="CG15" i="17"/>
  <c r="CG16" i="17"/>
  <c r="CG17" i="17"/>
  <c r="CG18" i="17"/>
  <c r="CG19" i="17"/>
  <c r="CG20" i="17"/>
  <c r="CG21" i="17"/>
  <c r="CG22" i="17"/>
  <c r="CG23" i="17"/>
  <c r="CG24" i="17"/>
  <c r="CG25" i="17"/>
  <c r="CG26" i="17"/>
  <c r="CG27" i="17"/>
  <c r="CG28" i="17"/>
  <c r="CG29" i="17"/>
  <c r="CG30" i="17"/>
  <c r="CG31" i="17"/>
  <c r="CG32" i="17"/>
  <c r="CG33" i="17"/>
  <c r="CG34" i="17"/>
  <c r="CG35" i="17"/>
  <c r="CG36" i="17"/>
  <c r="CG37" i="17"/>
  <c r="CG38" i="17"/>
  <c r="CG39" i="17"/>
  <c r="CG40" i="17"/>
  <c r="CG41" i="17"/>
  <c r="CG42" i="17"/>
  <c r="CG43" i="17"/>
  <c r="CG44" i="17"/>
  <c r="CG45" i="17"/>
  <c r="CG46" i="17"/>
  <c r="CG47" i="17"/>
  <c r="CG48" i="17"/>
  <c r="CG49" i="17"/>
  <c r="CG50" i="17"/>
  <c r="CG51" i="17"/>
  <c r="CG52" i="17"/>
  <c r="CG53" i="17"/>
  <c r="CG54" i="17"/>
  <c r="CG2" i="17"/>
  <c r="CG7" i="17"/>
  <c r="CI51" i="17"/>
  <c r="CL45" i="17"/>
  <c r="CL46" i="17"/>
  <c r="CI30" i="17"/>
  <c r="CR8" i="17"/>
  <c r="J14" i="14" s="1"/>
  <c r="CG5" i="17"/>
  <c r="I26" i="16" l="1"/>
  <c r="G26" i="16"/>
  <c r="E26" i="16"/>
  <c r="H26" i="16"/>
  <c r="F26" i="16"/>
  <c r="E27" i="16"/>
  <c r="I27" i="16"/>
  <c r="F27" i="16"/>
  <c r="H27" i="16"/>
  <c r="G27" i="16"/>
  <c r="I8" i="16"/>
  <c r="E8" i="16"/>
  <c r="G8" i="16"/>
  <c r="H8" i="16"/>
  <c r="F8" i="16"/>
  <c r="CI19" i="17"/>
  <c r="I20" i="16"/>
  <c r="G20" i="16"/>
  <c r="E20" i="16"/>
  <c r="H20" i="16"/>
  <c r="F20" i="16"/>
  <c r="H28" i="16"/>
  <c r="G28" i="16"/>
  <c r="F28" i="16"/>
  <c r="F29" i="16" s="1"/>
  <c r="F31" i="16" s="1"/>
  <c r="I28" i="16"/>
  <c r="E28" i="16"/>
  <c r="CI10" i="17"/>
  <c r="I21" i="16"/>
  <c r="F21" i="16"/>
  <c r="E21" i="16"/>
  <c r="H21" i="16"/>
  <c r="G21" i="16"/>
  <c r="F30" i="16"/>
  <c r="I30" i="16"/>
  <c r="H30" i="16"/>
  <c r="G30" i="16"/>
  <c r="E30" i="16"/>
  <c r="CI28" i="17"/>
  <c r="I7" i="16"/>
  <c r="E7" i="16"/>
  <c r="F7" i="16"/>
  <c r="G7" i="16"/>
  <c r="H7" i="16"/>
  <c r="CI32" i="17"/>
  <c r="CL54" i="17"/>
  <c r="CL55" i="17"/>
  <c r="H22" i="16"/>
  <c r="G22" i="16"/>
  <c r="F22" i="16"/>
  <c r="E22" i="16"/>
  <c r="I22" i="16"/>
  <c r="F5" i="16"/>
  <c r="E5" i="16"/>
  <c r="I5" i="16"/>
  <c r="G5" i="16"/>
  <c r="H5" i="16"/>
  <c r="H6" i="16"/>
  <c r="G6" i="16"/>
  <c r="F6" i="16"/>
  <c r="I6" i="16"/>
  <c r="E6" i="16"/>
  <c r="I23" i="16"/>
  <c r="G23" i="16"/>
  <c r="E23" i="16"/>
  <c r="H23" i="16"/>
  <c r="F23" i="16"/>
  <c r="I24" i="16"/>
  <c r="E24" i="16"/>
  <c r="E29" i="16" s="1"/>
  <c r="E31" i="16" s="1"/>
  <c r="F24" i="16"/>
  <c r="H24" i="16"/>
  <c r="G24" i="16"/>
  <c r="H25" i="16"/>
  <c r="G25" i="16"/>
  <c r="F25" i="16"/>
  <c r="E25" i="16"/>
  <c r="I25" i="16"/>
  <c r="CL49" i="17"/>
  <c r="CL37" i="17"/>
  <c r="CL13" i="17"/>
  <c r="CL24" i="17"/>
  <c r="CI15" i="17"/>
  <c r="CL34" i="17"/>
  <c r="CL22" i="17"/>
  <c r="CI26" i="17"/>
  <c r="CI18" i="17"/>
  <c r="CI54" i="17"/>
  <c r="CL33" i="17"/>
  <c r="CL21" i="17"/>
  <c r="CL9" i="17"/>
  <c r="CL31" i="17"/>
  <c r="CI38" i="17"/>
  <c r="CI45" i="17"/>
  <c r="CL30" i="17"/>
  <c r="CL40" i="17"/>
  <c r="CL28" i="17"/>
  <c r="CL16" i="17"/>
  <c r="CI47" i="17"/>
  <c r="CL27" i="17"/>
  <c r="CL15" i="17"/>
  <c r="CI52" i="17"/>
  <c r="CL44" i="17"/>
  <c r="CI35" i="17"/>
  <c r="CI40" i="17"/>
  <c r="CI41" i="17"/>
  <c r="CL42" i="17"/>
  <c r="CI23" i="17"/>
  <c r="CI12" i="17"/>
  <c r="CI16" i="17"/>
  <c r="CI29" i="17"/>
  <c r="CL53" i="17"/>
  <c r="CL41" i="17"/>
  <c r="CL17" i="17"/>
  <c r="E15" i="16"/>
  <c r="I15" i="16"/>
  <c r="F15" i="16"/>
  <c r="I29" i="16"/>
  <c r="H15" i="16"/>
  <c r="G15" i="16"/>
  <c r="CL29" i="17"/>
  <c r="CL8" i="17"/>
  <c r="CL32" i="17"/>
  <c r="CL43" i="17"/>
  <c r="CL20" i="17"/>
  <c r="CI17" i="17"/>
  <c r="CI13" i="17"/>
  <c r="CI31" i="17"/>
  <c r="CI20" i="17"/>
  <c r="CI44" i="17"/>
  <c r="CL14" i="17"/>
  <c r="CI24" i="17"/>
  <c r="CL26" i="17"/>
  <c r="CI36" i="17"/>
  <c r="CL38" i="17"/>
  <c r="CI48" i="17"/>
  <c r="CL50" i="17"/>
  <c r="CI8" i="17"/>
  <c r="H29" i="16" l="1"/>
  <c r="H31" i="16" s="1"/>
  <c r="H9" i="16"/>
  <c r="I31" i="16"/>
  <c r="G29" i="16"/>
  <c r="G31" i="16" s="1"/>
  <c r="I9" i="16"/>
  <c r="I17" i="16" s="1"/>
  <c r="I33" i="16" s="1"/>
  <c r="F9" i="16"/>
  <c r="F17" i="16" s="1"/>
  <c r="G9" i="16"/>
  <c r="G17" i="16" s="1"/>
  <c r="H17" i="16"/>
  <c r="H33" i="16" s="1"/>
  <c r="CR5" i="17"/>
  <c r="CO7" i="17" s="1"/>
  <c r="CO13" i="17" s="1"/>
  <c r="CR6" i="17"/>
  <c r="I42" i="16" l="1"/>
  <c r="I48" i="16" s="1"/>
  <c r="G42" i="16"/>
  <c r="G48" i="16" s="1"/>
  <c r="H42" i="16"/>
  <c r="H48" i="16" s="1"/>
  <c r="F33" i="16"/>
  <c r="G33" i="16"/>
  <c r="BN63" i="17" l="1"/>
  <c r="BN62" i="17"/>
  <c r="BN61" i="17"/>
  <c r="BN60" i="17"/>
  <c r="BN59" i="17"/>
  <c r="BN58" i="17"/>
  <c r="BN57" i="17"/>
  <c r="BN56" i="17"/>
  <c r="BN55" i="17"/>
  <c r="BN54" i="17"/>
  <c r="BN53" i="17"/>
  <c r="BN52" i="17"/>
  <c r="BN51" i="17"/>
  <c r="BN50" i="17"/>
  <c r="BN49" i="17"/>
  <c r="BN48" i="17"/>
  <c r="BN47" i="17"/>
  <c r="BN46" i="17"/>
  <c r="BN45" i="17"/>
  <c r="BN44" i="17"/>
  <c r="BN43" i="17"/>
  <c r="BN42" i="17"/>
  <c r="BN41" i="17"/>
  <c r="BN40" i="17"/>
  <c r="BN39" i="17"/>
  <c r="BN38" i="17"/>
  <c r="BN37" i="17"/>
  <c r="BN36" i="17"/>
  <c r="BN35" i="17"/>
  <c r="BN34" i="17"/>
  <c r="BN33" i="17"/>
  <c r="BN32" i="17"/>
  <c r="BN31" i="17"/>
  <c r="BN30" i="17"/>
  <c r="BO30" i="17" s="1"/>
  <c r="BN29" i="17"/>
  <c r="BN28" i="17"/>
  <c r="BN27" i="17"/>
  <c r="BN26" i="17"/>
  <c r="BN25" i="17"/>
  <c r="BN24" i="17"/>
  <c r="BN23" i="17"/>
  <c r="BN22" i="17"/>
  <c r="BN21" i="17"/>
  <c r="BN20" i="17"/>
  <c r="BN19" i="17"/>
  <c r="BN18" i="17"/>
  <c r="BN17" i="17"/>
  <c r="BO45" i="17"/>
  <c r="BN16" i="17"/>
  <c r="BO16" i="17" s="1"/>
  <c r="BM2" i="17"/>
  <c r="BX8" i="17"/>
  <c r="J13" i="14" s="1"/>
  <c r="BM5" i="17"/>
  <c r="BO22" i="17" l="1"/>
  <c r="BO48" i="17"/>
  <c r="BO34" i="17"/>
  <c r="BO19" i="17"/>
  <c r="BO21" i="17"/>
  <c r="BO26" i="17"/>
  <c r="BO38" i="17"/>
  <c r="BO50" i="17"/>
  <c r="BO63" i="17"/>
  <c r="BO23" i="17"/>
  <c r="BO58" i="17"/>
  <c r="BO62" i="17"/>
  <c r="BO28" i="17"/>
  <c r="BO40" i="17"/>
  <c r="BO55" i="17"/>
  <c r="BO29" i="17"/>
  <c r="BO37" i="17"/>
  <c r="BO41" i="17"/>
  <c r="BO53" i="17"/>
  <c r="BO49" i="17"/>
  <c r="BO17" i="17"/>
  <c r="BO25" i="17"/>
  <c r="BO60" i="17"/>
  <c r="BO59" i="17"/>
  <c r="BO42" i="17"/>
  <c r="BO56" i="17"/>
  <c r="BO36" i="17"/>
  <c r="BO43" i="17"/>
  <c r="BO31" i="17"/>
  <c r="BO35" i="17"/>
  <c r="BO47" i="17"/>
  <c r="BO24" i="17"/>
  <c r="BO46" i="17"/>
  <c r="BO18" i="17"/>
  <c r="BO33" i="17"/>
  <c r="BO52" i="17"/>
  <c r="BO54" i="17"/>
  <c r="BO57" i="17"/>
  <c r="BO61" i="17"/>
  <c r="BO39" i="17"/>
  <c r="BO51" i="17"/>
  <c r="BO32" i="17"/>
  <c r="BO44" i="17"/>
  <c r="BO20" i="17"/>
  <c r="BO27" i="17"/>
  <c r="AT63" i="17"/>
  <c r="AT62" i="17"/>
  <c r="AT61" i="17"/>
  <c r="AU62" i="17" s="1"/>
  <c r="AT60" i="17"/>
  <c r="AT59" i="17"/>
  <c r="AT58" i="17"/>
  <c r="AT57" i="17"/>
  <c r="AT56" i="17"/>
  <c r="AT55" i="17"/>
  <c r="AT54" i="17"/>
  <c r="AT53" i="17"/>
  <c r="AT52" i="17"/>
  <c r="AT51" i="17"/>
  <c r="AT50" i="17"/>
  <c r="AT49" i="17"/>
  <c r="AU50" i="17" s="1"/>
  <c r="AT48" i="17"/>
  <c r="AT47" i="17"/>
  <c r="AT46" i="17"/>
  <c r="AT45" i="17"/>
  <c r="AT44" i="17"/>
  <c r="AT43" i="17"/>
  <c r="AT42" i="17"/>
  <c r="AT41" i="17"/>
  <c r="AT40" i="17"/>
  <c r="AT39" i="17"/>
  <c r="AT38" i="17"/>
  <c r="AT37" i="17"/>
  <c r="AT36" i="17"/>
  <c r="AT35" i="17"/>
  <c r="AT34" i="17"/>
  <c r="AT33" i="17"/>
  <c r="AT32" i="17"/>
  <c r="AT31" i="17"/>
  <c r="AT30" i="17"/>
  <c r="AT29" i="17"/>
  <c r="AT28" i="17"/>
  <c r="AT27" i="17"/>
  <c r="AT26" i="17"/>
  <c r="AT25" i="17"/>
  <c r="AT24" i="17"/>
  <c r="AT23" i="17"/>
  <c r="AT22" i="17"/>
  <c r="AT21" i="17"/>
  <c r="AT20" i="17"/>
  <c r="AT19" i="17"/>
  <c r="AT18" i="17"/>
  <c r="AT17" i="17"/>
  <c r="AT16" i="17"/>
  <c r="AT15" i="17"/>
  <c r="AT14" i="17"/>
  <c r="AT13" i="17"/>
  <c r="AT12" i="17"/>
  <c r="AT11" i="17"/>
  <c r="AT10" i="17"/>
  <c r="AT9" i="17"/>
  <c r="AT8" i="17"/>
  <c r="Y7" i="17"/>
  <c r="Z7" i="17" s="1"/>
  <c r="AT7" i="17"/>
  <c r="AU7" i="17" s="1"/>
  <c r="Y8" i="17"/>
  <c r="Y9" i="17"/>
  <c r="Y10" i="17"/>
  <c r="Y11" i="17"/>
  <c r="Y12" i="17"/>
  <c r="Y13" i="17"/>
  <c r="Y14" i="17"/>
  <c r="Y15" i="17"/>
  <c r="Y16" i="17"/>
  <c r="Y17" i="17"/>
  <c r="Y18" i="17"/>
  <c r="Y19" i="17"/>
  <c r="Y20" i="17"/>
  <c r="Y21" i="17"/>
  <c r="Y22" i="17"/>
  <c r="Y23" i="17"/>
  <c r="Y24" i="17"/>
  <c r="Y25" i="17"/>
  <c r="Y26" i="17"/>
  <c r="Y27" i="17"/>
  <c r="Y28" i="17"/>
  <c r="Y29" i="17"/>
  <c r="Y30" i="17"/>
  <c r="Y31" i="17"/>
  <c r="Y32" i="17"/>
  <c r="Y33" i="17"/>
  <c r="Y34" i="17"/>
  <c r="Y35" i="17"/>
  <c r="Y36" i="17"/>
  <c r="Y37" i="17"/>
  <c r="Y38" i="17"/>
  <c r="Y39" i="17"/>
  <c r="Y40" i="17"/>
  <c r="Y41" i="17"/>
  <c r="Y42" i="17"/>
  <c r="Y43" i="17"/>
  <c r="Y44" i="17"/>
  <c r="Y45" i="17"/>
  <c r="Y46" i="17"/>
  <c r="Y47" i="17"/>
  <c r="Y48" i="17"/>
  <c r="Y49" i="17"/>
  <c r="Y50" i="17"/>
  <c r="Y51" i="17"/>
  <c r="Y52" i="17"/>
  <c r="Y53" i="17"/>
  <c r="Y54" i="17"/>
  <c r="Y55" i="17"/>
  <c r="Y56" i="17"/>
  <c r="Y57" i="17"/>
  <c r="Y58" i="17"/>
  <c r="Y59" i="17"/>
  <c r="Y60" i="17"/>
  <c r="Y61" i="17"/>
  <c r="Y62" i="17"/>
  <c r="Y63" i="17"/>
  <c r="AQ1" i="15"/>
  <c r="AI1" i="15"/>
  <c r="AA1" i="15"/>
  <c r="S1" i="15"/>
  <c r="B1" i="15"/>
  <c r="AS5" i="17"/>
  <c r="AS2" i="17"/>
  <c r="BD8" i="17"/>
  <c r="J12" i="14" s="1"/>
  <c r="X2" i="17"/>
  <c r="X5" i="17"/>
  <c r="I10" i="14"/>
  <c r="H10" i="14"/>
  <c r="AI8" i="17"/>
  <c r="J11" i="14" s="1"/>
  <c r="B5" i="17"/>
  <c r="M8" i="17"/>
  <c r="J10" i="14" s="1"/>
  <c r="AU14" i="17" l="1"/>
  <c r="AU26" i="17"/>
  <c r="AU38" i="17"/>
  <c r="J17" i="14"/>
  <c r="J16" i="14"/>
  <c r="K10" i="14"/>
  <c r="AU27" i="17"/>
  <c r="AU15" i="17"/>
  <c r="AU39" i="17"/>
  <c r="AU51" i="17"/>
  <c r="Z49" i="17"/>
  <c r="Z37" i="17"/>
  <c r="Z25" i="17"/>
  <c r="AU30" i="17"/>
  <c r="AU42" i="17"/>
  <c r="AU18" i="17"/>
  <c r="AU54" i="17"/>
  <c r="AU63" i="17"/>
  <c r="AU12" i="17"/>
  <c r="AU24" i="17"/>
  <c r="AU36" i="17"/>
  <c r="AU48" i="17"/>
  <c r="AU60" i="17"/>
  <c r="Z60" i="17"/>
  <c r="AU40" i="17"/>
  <c r="AU28" i="17"/>
  <c r="AU52" i="17"/>
  <c r="AU17" i="17"/>
  <c r="AU29" i="17"/>
  <c r="AU41" i="17"/>
  <c r="AU53" i="17"/>
  <c r="AU16" i="17"/>
  <c r="AU10" i="17"/>
  <c r="AU22" i="17"/>
  <c r="AU34" i="17"/>
  <c r="AU46" i="17"/>
  <c r="AU58" i="17"/>
  <c r="AU9" i="17"/>
  <c r="AU21" i="17"/>
  <c r="AU33" i="17"/>
  <c r="AU45" i="17"/>
  <c r="AU57" i="17"/>
  <c r="AU19" i="17"/>
  <c r="AU8" i="17"/>
  <c r="AU44" i="17"/>
  <c r="AU11" i="17"/>
  <c r="AU23" i="17"/>
  <c r="AU35" i="17"/>
  <c r="AU47" i="17"/>
  <c r="AU59" i="17"/>
  <c r="AU43" i="17"/>
  <c r="AU20" i="17"/>
  <c r="AU55" i="17"/>
  <c r="AU13" i="17"/>
  <c r="AU25" i="17"/>
  <c r="AU37" i="17"/>
  <c r="AU49" i="17"/>
  <c r="AU61" i="17"/>
  <c r="AU32" i="17"/>
  <c r="AU31" i="17"/>
  <c r="AU56" i="17"/>
  <c r="Z56" i="17"/>
  <c r="Z44" i="17"/>
  <c r="Z18" i="17"/>
  <c r="Z32" i="17"/>
  <c r="Z20" i="17"/>
  <c r="Z29" i="17"/>
  <c r="Z53" i="17"/>
  <c r="Z8" i="17"/>
  <c r="Z12" i="17"/>
  <c r="Z41" i="17"/>
  <c r="Z17" i="17"/>
  <c r="Z54" i="17"/>
  <c r="Z9" i="17"/>
  <c r="Z42" i="17"/>
  <c r="Z30" i="17"/>
  <c r="Z38" i="17"/>
  <c r="Z11" i="17"/>
  <c r="Z13" i="17"/>
  <c r="Z33" i="17"/>
  <c r="Z45" i="17"/>
  <c r="Z57" i="17"/>
  <c r="Z14" i="17"/>
  <c r="Z34" i="17"/>
  <c r="Z21" i="17"/>
  <c r="Z61" i="17"/>
  <c r="Z22" i="17"/>
  <c r="Z50" i="17"/>
  <c r="Z15" i="17"/>
  <c r="Z19" i="17"/>
  <c r="Z23" i="17"/>
  <c r="Z27" i="17"/>
  <c r="Z31" i="17"/>
  <c r="Z35" i="17"/>
  <c r="Z39" i="17"/>
  <c r="Z43" i="17"/>
  <c r="Z47" i="17"/>
  <c r="Z51" i="17"/>
  <c r="Z55" i="17"/>
  <c r="Z59" i="17"/>
  <c r="Z63" i="17"/>
  <c r="Z10" i="17"/>
  <c r="Z26" i="17"/>
  <c r="Z62" i="17"/>
  <c r="Z46" i="17"/>
  <c r="Z58" i="17"/>
  <c r="Z16" i="17"/>
  <c r="Z28" i="17"/>
  <c r="Z40" i="17"/>
  <c r="Z52" i="17"/>
  <c r="Z36" i="17"/>
  <c r="Z48" i="17"/>
  <c r="Z24" i="17"/>
  <c r="F63" i="17" l="1"/>
  <c r="AB63" i="17" s="1"/>
  <c r="AW63" i="17" s="1"/>
  <c r="BQ63" i="17" s="1"/>
  <c r="F62" i="17"/>
  <c r="AB62" i="17" s="1"/>
  <c r="AW62" i="17" s="1"/>
  <c r="BQ62" i="17" s="1"/>
  <c r="F61" i="17"/>
  <c r="AB61" i="17" s="1"/>
  <c r="AW61" i="17" s="1"/>
  <c r="BQ61" i="17" s="1"/>
  <c r="F60" i="17"/>
  <c r="AB60" i="17" s="1"/>
  <c r="F59" i="17"/>
  <c r="AB59" i="17" s="1"/>
  <c r="AW59" i="17" s="1"/>
  <c r="BQ59" i="17" s="1"/>
  <c r="F58" i="17"/>
  <c r="AB58" i="17" s="1"/>
  <c r="AW58" i="17" s="1"/>
  <c r="F57" i="17"/>
  <c r="AB57" i="17" s="1"/>
  <c r="AW57" i="17" s="1"/>
  <c r="BQ57" i="17" s="1"/>
  <c r="BR57" i="17" s="1"/>
  <c r="F56" i="17"/>
  <c r="AB56" i="17" s="1"/>
  <c r="AW56" i="17" s="1"/>
  <c r="BQ56" i="17" s="1"/>
  <c r="BR56" i="17" s="1"/>
  <c r="F55" i="17"/>
  <c r="AB55" i="17" s="1"/>
  <c r="AW55" i="17" s="1"/>
  <c r="BQ55" i="17" s="1"/>
  <c r="F54" i="17"/>
  <c r="AB54" i="17" s="1"/>
  <c r="AW54" i="17" s="1"/>
  <c r="BQ54" i="17" s="1"/>
  <c r="F53" i="17"/>
  <c r="AB53" i="17" s="1"/>
  <c r="AW53" i="17" s="1"/>
  <c r="BQ53" i="17" s="1"/>
  <c r="F52" i="17"/>
  <c r="AB52" i="17" s="1"/>
  <c r="AW52" i="17" s="1"/>
  <c r="BQ52" i="17" s="1"/>
  <c r="F51" i="17"/>
  <c r="AB51" i="17" s="1"/>
  <c r="AW51" i="17" s="1"/>
  <c r="BQ51" i="17" s="1"/>
  <c r="BR51" i="17" s="1"/>
  <c r="F50" i="17"/>
  <c r="AB50" i="17" s="1"/>
  <c r="AW50" i="17" s="1"/>
  <c r="BQ50" i="17" s="1"/>
  <c r="F49" i="17"/>
  <c r="AB49" i="17" s="1"/>
  <c r="AW49" i="17" s="1"/>
  <c r="BQ49" i="17" s="1"/>
  <c r="F48" i="17"/>
  <c r="AB48" i="17" s="1"/>
  <c r="F47" i="17"/>
  <c r="AB47" i="17" s="1"/>
  <c r="AW47" i="17" s="1"/>
  <c r="BQ47" i="17" s="1"/>
  <c r="F46" i="17"/>
  <c r="AB46" i="17" s="1"/>
  <c r="AW46" i="17" s="1"/>
  <c r="BQ46" i="17" s="1"/>
  <c r="F45" i="17"/>
  <c r="AB45" i="17" s="1"/>
  <c r="AW45" i="17" s="1"/>
  <c r="BQ45" i="17" s="1"/>
  <c r="F44" i="17"/>
  <c r="AB44" i="17" s="1"/>
  <c r="AW44" i="17" s="1"/>
  <c r="BQ44" i="17" s="1"/>
  <c r="BR44" i="17" s="1"/>
  <c r="F43" i="17"/>
  <c r="AB43" i="17" s="1"/>
  <c r="AW43" i="17" s="1"/>
  <c r="BQ43" i="17" s="1"/>
  <c r="F42" i="17"/>
  <c r="AB42" i="17" s="1"/>
  <c r="AW42" i="17" s="1"/>
  <c r="BQ42" i="17" s="1"/>
  <c r="F41" i="17"/>
  <c r="AB41" i="17" s="1"/>
  <c r="AW41" i="17" s="1"/>
  <c r="BQ41" i="17" s="1"/>
  <c r="F40" i="17"/>
  <c r="AB40" i="17" s="1"/>
  <c r="AW40" i="17" s="1"/>
  <c r="BQ40" i="17" s="1"/>
  <c r="BR40" i="17" s="1"/>
  <c r="F39" i="17"/>
  <c r="AB39" i="17" s="1"/>
  <c r="AW39" i="17" s="1"/>
  <c r="BQ39" i="17" s="1"/>
  <c r="BR39" i="17" s="1"/>
  <c r="F38" i="17"/>
  <c r="AB38" i="17" s="1"/>
  <c r="AW38" i="17" s="1"/>
  <c r="BQ38" i="17" s="1"/>
  <c r="F37" i="17"/>
  <c r="AB37" i="17" s="1"/>
  <c r="AW37" i="17" s="1"/>
  <c r="BQ37" i="17" s="1"/>
  <c r="F36" i="17"/>
  <c r="F35" i="17"/>
  <c r="AB35" i="17" s="1"/>
  <c r="AW35" i="17" s="1"/>
  <c r="BQ35" i="17" s="1"/>
  <c r="F34" i="17"/>
  <c r="AB34" i="17" s="1"/>
  <c r="AW34" i="17" s="1"/>
  <c r="BQ34" i="17" s="1"/>
  <c r="F33" i="17"/>
  <c r="AB33" i="17" s="1"/>
  <c r="AW33" i="17" s="1"/>
  <c r="BQ33" i="17" s="1"/>
  <c r="F32" i="17"/>
  <c r="AB32" i="17" s="1"/>
  <c r="AW32" i="17" s="1"/>
  <c r="BQ32" i="17" s="1"/>
  <c r="BR32" i="17" s="1"/>
  <c r="F31" i="17"/>
  <c r="AB31" i="17" s="1"/>
  <c r="AW31" i="17" s="1"/>
  <c r="BQ31" i="17" s="1"/>
  <c r="F30" i="17"/>
  <c r="AB30" i="17" s="1"/>
  <c r="AW30" i="17" s="1"/>
  <c r="BQ30" i="17" s="1"/>
  <c r="F29" i="17"/>
  <c r="AB29" i="17" s="1"/>
  <c r="AW29" i="17" s="1"/>
  <c r="BQ29" i="17" s="1"/>
  <c r="F28" i="17"/>
  <c r="AB28" i="17" s="1"/>
  <c r="AW28" i="17" s="1"/>
  <c r="BQ28" i="17" s="1"/>
  <c r="BR28" i="17" s="1"/>
  <c r="F27" i="17"/>
  <c r="AB27" i="17" s="1"/>
  <c r="AW27" i="17" s="1"/>
  <c r="BQ27" i="17" s="1"/>
  <c r="BR27" i="17" s="1"/>
  <c r="F26" i="17"/>
  <c r="AB26" i="17" s="1"/>
  <c r="AW26" i="17" s="1"/>
  <c r="BQ26" i="17" s="1"/>
  <c r="F25" i="17"/>
  <c r="AB25" i="17" s="1"/>
  <c r="AW25" i="17" s="1"/>
  <c r="BQ25" i="17" s="1"/>
  <c r="F24" i="17"/>
  <c r="AB24" i="17" s="1"/>
  <c r="F23" i="17"/>
  <c r="AB23" i="17" s="1"/>
  <c r="AW23" i="17" s="1"/>
  <c r="BQ23" i="17" s="1"/>
  <c r="F22" i="17"/>
  <c r="AB22" i="17" s="1"/>
  <c r="AW22" i="17" s="1"/>
  <c r="BQ22" i="17" s="1"/>
  <c r="F21" i="17"/>
  <c r="AB21" i="17" s="1"/>
  <c r="AW21" i="17" s="1"/>
  <c r="BQ21" i="17" s="1"/>
  <c r="F20" i="17"/>
  <c r="AB20" i="17" s="1"/>
  <c r="AW20" i="17" s="1"/>
  <c r="BQ20" i="17" s="1"/>
  <c r="BR20" i="17" s="1"/>
  <c r="F19" i="17"/>
  <c r="AB19" i="17" s="1"/>
  <c r="AW19" i="17" s="1"/>
  <c r="BQ19" i="17" s="1"/>
  <c r="F18" i="17"/>
  <c r="AB18" i="17" s="1"/>
  <c r="AW18" i="17" s="1"/>
  <c r="BQ18" i="17" s="1"/>
  <c r="F17" i="17"/>
  <c r="AB17" i="17" s="1"/>
  <c r="AW17" i="17" s="1"/>
  <c r="BQ17" i="17" s="1"/>
  <c r="F16" i="17"/>
  <c r="AB16" i="17" s="1"/>
  <c r="AW16" i="17" s="1"/>
  <c r="BQ16" i="17" s="1"/>
  <c r="BR16" i="17" s="1"/>
  <c r="F15" i="17"/>
  <c r="AB15" i="17" s="1"/>
  <c r="AW15" i="17" s="1"/>
  <c r="BQ15" i="17" s="1"/>
  <c r="BR15" i="17" s="1"/>
  <c r="F14" i="17"/>
  <c r="AB14" i="17" s="1"/>
  <c r="AW14" i="17" s="1"/>
  <c r="BQ14" i="17" s="1"/>
  <c r="F13" i="17"/>
  <c r="AB13" i="17" s="1"/>
  <c r="AW13" i="17" s="1"/>
  <c r="BQ13" i="17" s="1"/>
  <c r="F12" i="17"/>
  <c r="AB12" i="17" s="1"/>
  <c r="F11" i="17"/>
  <c r="AB11" i="17" s="1"/>
  <c r="AW11" i="17" s="1"/>
  <c r="BQ11" i="17" s="1"/>
  <c r="F10" i="17"/>
  <c r="AB10" i="17" s="1"/>
  <c r="AW10" i="17" s="1"/>
  <c r="BQ10" i="17" s="1"/>
  <c r="F9" i="17"/>
  <c r="AB9" i="17" s="1"/>
  <c r="AW9" i="17" s="1"/>
  <c r="BQ9" i="17" s="1"/>
  <c r="F8" i="17"/>
  <c r="AB8" i="17" s="1"/>
  <c r="AW8" i="17" s="1"/>
  <c r="BQ8" i="17" s="1"/>
  <c r="F7" i="17"/>
  <c r="B10" i="17"/>
  <c r="B18" i="23" s="1"/>
  <c r="B11" i="17"/>
  <c r="B8" i="23" s="1"/>
  <c r="B12" i="17"/>
  <c r="B41" i="23" s="1"/>
  <c r="B13" i="17"/>
  <c r="B46" i="23" s="1"/>
  <c r="B14" i="17"/>
  <c r="B43" i="23" s="1"/>
  <c r="B15" i="17"/>
  <c r="B52" i="23" s="1"/>
  <c r="B16" i="17"/>
  <c r="B10" i="23" s="1"/>
  <c r="B17" i="17"/>
  <c r="B48" i="23" s="1"/>
  <c r="B18" i="17"/>
  <c r="B24" i="23" s="1"/>
  <c r="B19" i="17"/>
  <c r="B23" i="23" s="1"/>
  <c r="B20" i="17"/>
  <c r="B13" i="23" s="1"/>
  <c r="B21" i="17"/>
  <c r="B47" i="23" s="1"/>
  <c r="B22" i="17"/>
  <c r="B14" i="23" s="1"/>
  <c r="B23" i="17"/>
  <c r="B15" i="23" s="1"/>
  <c r="B24" i="17"/>
  <c r="B34" i="23" s="1"/>
  <c r="B25" i="17"/>
  <c r="B20" i="23" s="1"/>
  <c r="B26" i="17"/>
  <c r="B19" i="23" s="1"/>
  <c r="B27" i="17"/>
  <c r="B59" i="23" s="1"/>
  <c r="B28" i="17"/>
  <c r="B35" i="23" s="1"/>
  <c r="B29" i="17"/>
  <c r="B36" i="23" s="1"/>
  <c r="B30" i="17"/>
  <c r="B29" i="23" s="1"/>
  <c r="B31" i="17"/>
  <c r="B26" i="23" s="1"/>
  <c r="B32" i="17"/>
  <c r="B27" i="23" s="1"/>
  <c r="B33" i="17"/>
  <c r="B9" i="23" s="1"/>
  <c r="B34" i="17"/>
  <c r="B32" i="23" s="1"/>
  <c r="B35" i="17"/>
  <c r="B40" i="23" s="1"/>
  <c r="B36" i="17"/>
  <c r="B38" i="23" s="1"/>
  <c r="B37" i="17"/>
  <c r="B53" i="23" s="1"/>
  <c r="B38" i="17"/>
  <c r="B6" i="23" s="1"/>
  <c r="B39" i="17"/>
  <c r="B12" i="23" s="1"/>
  <c r="B40" i="17"/>
  <c r="B25" i="23" s="1"/>
  <c r="B41" i="17"/>
  <c r="B33" i="23" s="1"/>
  <c r="B42" i="17"/>
  <c r="B21" i="23" s="1"/>
  <c r="B43" i="17"/>
  <c r="B11" i="23" s="1"/>
  <c r="B44" i="17"/>
  <c r="B7" i="23" s="1"/>
  <c r="B45" i="17"/>
  <c r="B30" i="23" s="1"/>
  <c r="B46" i="17"/>
  <c r="B56" i="23" s="1"/>
  <c r="B47" i="17"/>
  <c r="B51" i="23" s="1"/>
  <c r="B48" i="17"/>
  <c r="B54" i="23" s="1"/>
  <c r="B49" i="17"/>
  <c r="B49" i="23" s="1"/>
  <c r="B50" i="17"/>
  <c r="B31" i="23" s="1"/>
  <c r="B51" i="17"/>
  <c r="B57" i="23" s="1"/>
  <c r="B52" i="17"/>
  <c r="B55" i="23" s="1"/>
  <c r="B53" i="17"/>
  <c r="B60" i="23" s="1"/>
  <c r="B54" i="17"/>
  <c r="B5" i="23" s="1"/>
  <c r="B55" i="17"/>
  <c r="B22" i="23" s="1"/>
  <c r="B56" i="17"/>
  <c r="B16" i="23" s="1"/>
  <c r="B57" i="17"/>
  <c r="B42" i="23" s="1"/>
  <c r="B58" i="17"/>
  <c r="B58" i="23" s="1"/>
  <c r="B59" i="17"/>
  <c r="B50" i="23" s="1"/>
  <c r="B60" i="17"/>
  <c r="B17" i="23" s="1"/>
  <c r="B61" i="17"/>
  <c r="B39" i="23" s="1"/>
  <c r="B62" i="17"/>
  <c r="B45" i="23" s="1"/>
  <c r="B63" i="17"/>
  <c r="B44" i="23" s="1"/>
  <c r="B9" i="17"/>
  <c r="B37" i="23" s="1"/>
  <c r="B8" i="17"/>
  <c r="B28" i="23" s="1"/>
  <c r="B7" i="17"/>
  <c r="C63" i="17"/>
  <c r="C44" i="23" s="1"/>
  <c r="C62" i="17"/>
  <c r="C45" i="23" s="1"/>
  <c r="D45" i="23" s="1"/>
  <c r="C61" i="17"/>
  <c r="C39" i="23" s="1"/>
  <c r="C60" i="17"/>
  <c r="C17" i="23" s="1"/>
  <c r="C59" i="17"/>
  <c r="C50" i="23" s="1"/>
  <c r="C58" i="17"/>
  <c r="C58" i="23" s="1"/>
  <c r="D58" i="23" s="1"/>
  <c r="C57" i="17"/>
  <c r="C42" i="23" s="1"/>
  <c r="C56" i="17"/>
  <c r="C16" i="23" s="1"/>
  <c r="C55" i="17"/>
  <c r="C22" i="23" s="1"/>
  <c r="C54" i="17"/>
  <c r="C5" i="23" s="1"/>
  <c r="C53" i="17"/>
  <c r="C60" i="23" s="1"/>
  <c r="D60" i="23" s="1"/>
  <c r="C52" i="17"/>
  <c r="C55" i="23" s="1"/>
  <c r="C51" i="17"/>
  <c r="C57" i="23" s="1"/>
  <c r="C50" i="17"/>
  <c r="C31" i="23" s="1"/>
  <c r="C49" i="17"/>
  <c r="C49" i="23" s="1"/>
  <c r="C48" i="17"/>
  <c r="C54" i="23" s="1"/>
  <c r="C47" i="17"/>
  <c r="C51" i="23" s="1"/>
  <c r="C46" i="17"/>
  <c r="C56" i="23" s="1"/>
  <c r="D56" i="23" s="1"/>
  <c r="C45" i="17"/>
  <c r="C30" i="23" s="1"/>
  <c r="C44" i="17"/>
  <c r="C7" i="23" s="1"/>
  <c r="C43" i="17"/>
  <c r="C11" i="23" s="1"/>
  <c r="C42" i="17"/>
  <c r="C21" i="23" s="1"/>
  <c r="C41" i="17"/>
  <c r="C33" i="23" s="1"/>
  <c r="C40" i="17"/>
  <c r="C25" i="23" s="1"/>
  <c r="D25" i="23" s="1"/>
  <c r="C39" i="17"/>
  <c r="C12" i="23" s="1"/>
  <c r="D12" i="23" s="1"/>
  <c r="C38" i="17"/>
  <c r="C6" i="23" s="1"/>
  <c r="D6" i="23" s="1"/>
  <c r="C37" i="17"/>
  <c r="C53" i="23" s="1"/>
  <c r="C36" i="17"/>
  <c r="C38" i="23" s="1"/>
  <c r="D38" i="23" s="1"/>
  <c r="C35" i="17"/>
  <c r="C40" i="23" s="1"/>
  <c r="D40" i="23" s="1"/>
  <c r="C34" i="17"/>
  <c r="C32" i="23" s="1"/>
  <c r="D32" i="23" s="1"/>
  <c r="C33" i="17"/>
  <c r="C9" i="23" s="1"/>
  <c r="C32" i="17"/>
  <c r="C27" i="23" s="1"/>
  <c r="C31" i="17"/>
  <c r="C26" i="23" s="1"/>
  <c r="D26" i="23" s="1"/>
  <c r="C30" i="17"/>
  <c r="C29" i="23" s="1"/>
  <c r="D29" i="23" s="1"/>
  <c r="C29" i="17"/>
  <c r="C36" i="23" s="1"/>
  <c r="C28" i="17"/>
  <c r="C35" i="23" s="1"/>
  <c r="D35" i="23" s="1"/>
  <c r="C27" i="17"/>
  <c r="C59" i="23" s="1"/>
  <c r="D59" i="23" s="1"/>
  <c r="C26" i="17"/>
  <c r="C19" i="23" s="1"/>
  <c r="D19" i="23" s="1"/>
  <c r="C25" i="17"/>
  <c r="C20" i="23" s="1"/>
  <c r="D20" i="23" s="1"/>
  <c r="C24" i="17"/>
  <c r="C34" i="23" s="1"/>
  <c r="C23" i="17"/>
  <c r="C15" i="23" s="1"/>
  <c r="D15" i="23" s="1"/>
  <c r="C22" i="17"/>
  <c r="C14" i="23" s="1"/>
  <c r="D14" i="23" s="1"/>
  <c r="C21" i="17"/>
  <c r="C47" i="23" s="1"/>
  <c r="C20" i="17"/>
  <c r="C13" i="23" s="1"/>
  <c r="C19" i="17"/>
  <c r="C23" i="23" s="1"/>
  <c r="D23" i="23" s="1"/>
  <c r="C18" i="17"/>
  <c r="C24" i="23" s="1"/>
  <c r="C17" i="17"/>
  <c r="C48" i="23" s="1"/>
  <c r="D48" i="23" s="1"/>
  <c r="C16" i="17"/>
  <c r="C10" i="23" s="1"/>
  <c r="D10" i="23" s="1"/>
  <c r="C15" i="17"/>
  <c r="C52" i="23" s="1"/>
  <c r="D52" i="23" s="1"/>
  <c r="C14" i="17"/>
  <c r="C13" i="17"/>
  <c r="C46" i="23" s="1"/>
  <c r="D46" i="23" s="1"/>
  <c r="C12" i="17"/>
  <c r="C41" i="23" s="1"/>
  <c r="D41" i="23" s="1"/>
  <c r="C11" i="17"/>
  <c r="C8" i="23" s="1"/>
  <c r="D8" i="23" s="1"/>
  <c r="C10" i="17"/>
  <c r="C18" i="23" s="1"/>
  <c r="D18" i="23" s="1"/>
  <c r="C9" i="17"/>
  <c r="C37" i="23" s="1"/>
  <c r="D37" i="23" s="1"/>
  <c r="C8" i="17"/>
  <c r="C28" i="23" s="1"/>
  <c r="D28" i="23" s="1"/>
  <c r="C7" i="17"/>
  <c r="D7" i="17" s="1"/>
  <c r="B2" i="17"/>
  <c r="BR53" i="17" l="1"/>
  <c r="BR52" i="17"/>
  <c r="D51" i="23"/>
  <c r="D50" i="23"/>
  <c r="BR29" i="17"/>
  <c r="D54" i="23"/>
  <c r="D17" i="23"/>
  <c r="BR18" i="17"/>
  <c r="BR30" i="17"/>
  <c r="BR42" i="17"/>
  <c r="BR54" i="17"/>
  <c r="BR17" i="17"/>
  <c r="BR41" i="17"/>
  <c r="D34" i="23"/>
  <c r="D53" i="23"/>
  <c r="D49" i="23"/>
  <c r="D39" i="23"/>
  <c r="BR19" i="17"/>
  <c r="BR31" i="17"/>
  <c r="BR43" i="17"/>
  <c r="BR55" i="17"/>
  <c r="D57" i="23"/>
  <c r="BR9" i="17"/>
  <c r="BR21" i="17"/>
  <c r="BR45" i="17"/>
  <c r="BR10" i="17"/>
  <c r="BR46" i="17"/>
  <c r="D36" i="23"/>
  <c r="D33" i="23"/>
  <c r="BR11" i="17"/>
  <c r="BR23" i="17"/>
  <c r="BR35" i="17"/>
  <c r="BR47" i="17"/>
  <c r="D55" i="23"/>
  <c r="D24" i="23"/>
  <c r="D21" i="23"/>
  <c r="D5" i="23"/>
  <c r="D15" i="17"/>
  <c r="C43" i="23"/>
  <c r="D43" i="23" s="1"/>
  <c r="D44" i="23"/>
  <c r="BR33" i="17"/>
  <c r="BR22" i="17"/>
  <c r="BR34" i="17"/>
  <c r="AX59" i="17"/>
  <c r="BQ58" i="17"/>
  <c r="BR58" i="17" s="1"/>
  <c r="D11" i="23"/>
  <c r="D22" i="23"/>
  <c r="D13" i="23"/>
  <c r="D27" i="23"/>
  <c r="D7" i="23"/>
  <c r="D16" i="23"/>
  <c r="BR14" i="17"/>
  <c r="BR26" i="17"/>
  <c r="BR38" i="17"/>
  <c r="BR50" i="17"/>
  <c r="BR62" i="17"/>
  <c r="D31" i="23"/>
  <c r="D47" i="23"/>
  <c r="D9" i="23"/>
  <c r="D30" i="23"/>
  <c r="D42" i="23"/>
  <c r="BR63" i="17"/>
  <c r="X60" i="17"/>
  <c r="AS60" i="17" s="1"/>
  <c r="X24" i="17"/>
  <c r="AS24" i="17" s="1"/>
  <c r="X35" i="17"/>
  <c r="AS35" i="17" s="1"/>
  <c r="X20" i="17"/>
  <c r="AS20" i="17" s="1"/>
  <c r="X12" i="17"/>
  <c r="AS12" i="17" s="1"/>
  <c r="X59" i="17"/>
  <c r="AS59" i="17" s="1"/>
  <c r="X11" i="17"/>
  <c r="AS11" i="17" s="1"/>
  <c r="X57" i="17"/>
  <c r="AS57" i="17" s="1"/>
  <c r="X21" i="17"/>
  <c r="AS21" i="17" s="1"/>
  <c r="X31" i="17"/>
  <c r="AS31" i="17" s="1"/>
  <c r="X23" i="17"/>
  <c r="AS23" i="17" s="1"/>
  <c r="X45" i="17"/>
  <c r="AS45" i="17" s="1"/>
  <c r="X33" i="17"/>
  <c r="AS33" i="17" s="1"/>
  <c r="X32" i="17"/>
  <c r="AS32" i="17" s="1"/>
  <c r="X7" i="17"/>
  <c r="AS7" i="17" s="1"/>
  <c r="X54" i="17"/>
  <c r="AS54" i="17" s="1"/>
  <c r="X42" i="17"/>
  <c r="AS42" i="17" s="1"/>
  <c r="X30" i="17"/>
  <c r="AS30" i="17" s="1"/>
  <c r="X18" i="17"/>
  <c r="AS18" i="17" s="1"/>
  <c r="X34" i="17"/>
  <c r="AS34" i="17" s="1"/>
  <c r="X55" i="17"/>
  <c r="AS55" i="17" s="1"/>
  <c r="X8" i="17"/>
  <c r="AS8" i="17" s="1"/>
  <c r="X53" i="17"/>
  <c r="AS53" i="17" s="1"/>
  <c r="X41" i="17"/>
  <c r="AS41" i="17" s="1"/>
  <c r="X29" i="17"/>
  <c r="AS29" i="17" s="1"/>
  <c r="X17" i="17"/>
  <c r="AS17" i="17" s="1"/>
  <c r="X47" i="17"/>
  <c r="AS47" i="17" s="1"/>
  <c r="X44" i="17"/>
  <c r="AS44" i="17" s="1"/>
  <c r="X9" i="17"/>
  <c r="AS9" i="17" s="1"/>
  <c r="X52" i="17"/>
  <c r="AS52" i="17" s="1"/>
  <c r="X40" i="17"/>
  <c r="AS40" i="17" s="1"/>
  <c r="X28" i="17"/>
  <c r="AS28" i="17" s="1"/>
  <c r="X16" i="17"/>
  <c r="AS16" i="17" s="1"/>
  <c r="X36" i="17"/>
  <c r="AS36" i="17" s="1"/>
  <c r="X58" i="17"/>
  <c r="AS58" i="17" s="1"/>
  <c r="X22" i="17"/>
  <c r="AS22" i="17" s="1"/>
  <c r="X63" i="17"/>
  <c r="AS63" i="17" s="1"/>
  <c r="X51" i="17"/>
  <c r="AS51" i="17" s="1"/>
  <c r="X39" i="17"/>
  <c r="AS39" i="17" s="1"/>
  <c r="X27" i="17"/>
  <c r="AS27" i="17" s="1"/>
  <c r="X15" i="17"/>
  <c r="AS15" i="17" s="1"/>
  <c r="X48" i="17"/>
  <c r="AS48" i="17" s="1"/>
  <c r="X10" i="17"/>
  <c r="AS10" i="17" s="1"/>
  <c r="X43" i="17"/>
  <c r="AS43" i="17" s="1"/>
  <c r="X62" i="17"/>
  <c r="AS62" i="17" s="1"/>
  <c r="X50" i="17"/>
  <c r="AS50" i="17" s="1"/>
  <c r="X38" i="17"/>
  <c r="AS38" i="17" s="1"/>
  <c r="X26" i="17"/>
  <c r="AS26" i="17" s="1"/>
  <c r="X14" i="17"/>
  <c r="AS14" i="17" s="1"/>
  <c r="X46" i="17"/>
  <c r="AS46" i="17" s="1"/>
  <c r="X56" i="17"/>
  <c r="AS56" i="17" s="1"/>
  <c r="X19" i="17"/>
  <c r="AS19" i="17" s="1"/>
  <c r="X61" i="17"/>
  <c r="AS61" i="17" s="1"/>
  <c r="X49" i="17"/>
  <c r="AS49" i="17" s="1"/>
  <c r="X37" i="17"/>
  <c r="AS37" i="17" s="1"/>
  <c r="X25" i="17"/>
  <c r="AS25" i="17" s="1"/>
  <c r="X13" i="17"/>
  <c r="AS13" i="17" s="1"/>
  <c r="AC12" i="17"/>
  <c r="AW12" i="17"/>
  <c r="AX13" i="17" s="1"/>
  <c r="AC60" i="17"/>
  <c r="AW60" i="17"/>
  <c r="AX14" i="17"/>
  <c r="AX50" i="17"/>
  <c r="AX27" i="17"/>
  <c r="AX51" i="17"/>
  <c r="AX16" i="17"/>
  <c r="AX52" i="17"/>
  <c r="AX41" i="17"/>
  <c r="AX54" i="17"/>
  <c r="AX31" i="17"/>
  <c r="AX55" i="17"/>
  <c r="AX20" i="17"/>
  <c r="AX44" i="17"/>
  <c r="AX9" i="17"/>
  <c r="AX21" i="17"/>
  <c r="AX33" i="17"/>
  <c r="AX45" i="17"/>
  <c r="AX58" i="17"/>
  <c r="AX57" i="17"/>
  <c r="AC24" i="17"/>
  <c r="AW24" i="17"/>
  <c r="AC48" i="17"/>
  <c r="AW48" i="17"/>
  <c r="AX62" i="17"/>
  <c r="AX15" i="17"/>
  <c r="AX63" i="17"/>
  <c r="AX40" i="17"/>
  <c r="AX17" i="17"/>
  <c r="AX29" i="17"/>
  <c r="AX30" i="17"/>
  <c r="AX19" i="17"/>
  <c r="AX32" i="17"/>
  <c r="AX11" i="17"/>
  <c r="AX10" i="17"/>
  <c r="AX23" i="17"/>
  <c r="AX22" i="17"/>
  <c r="AX35" i="17"/>
  <c r="AX34" i="17"/>
  <c r="AX47" i="17"/>
  <c r="AX46" i="17"/>
  <c r="AX26" i="17"/>
  <c r="AX38" i="17"/>
  <c r="AX39" i="17"/>
  <c r="AX28" i="17"/>
  <c r="AX53" i="17"/>
  <c r="AX18" i="17"/>
  <c r="AX42" i="17"/>
  <c r="AX43" i="17"/>
  <c r="AX56" i="17"/>
  <c r="AC13" i="17"/>
  <c r="AC61" i="17"/>
  <c r="AC14" i="17"/>
  <c r="AC26" i="17"/>
  <c r="AC62" i="17"/>
  <c r="AC27" i="17"/>
  <c r="AC51" i="17"/>
  <c r="AC16" i="17"/>
  <c r="AC40" i="17"/>
  <c r="AC17" i="17"/>
  <c r="AC41" i="17"/>
  <c r="AC30" i="17"/>
  <c r="AC54" i="17"/>
  <c r="AC32" i="17"/>
  <c r="AC31" i="17"/>
  <c r="AC44" i="17"/>
  <c r="AC43" i="17"/>
  <c r="AC56" i="17"/>
  <c r="AC55" i="17"/>
  <c r="AC21" i="17"/>
  <c r="AC45" i="17"/>
  <c r="AC10" i="17"/>
  <c r="AC22" i="17"/>
  <c r="AC34" i="17"/>
  <c r="AC46" i="17"/>
  <c r="AC58" i="17"/>
  <c r="G36" i="17"/>
  <c r="AB36" i="17"/>
  <c r="AC25" i="17"/>
  <c r="AC49" i="17"/>
  <c r="AC38" i="17"/>
  <c r="AC50" i="17"/>
  <c r="AC15" i="17"/>
  <c r="AC39" i="17"/>
  <c r="AC63" i="17"/>
  <c r="AC28" i="17"/>
  <c r="AC52" i="17"/>
  <c r="AC29" i="17"/>
  <c r="AC53" i="17"/>
  <c r="AC18" i="17"/>
  <c r="AC42" i="17"/>
  <c r="AC20" i="17"/>
  <c r="AC19" i="17"/>
  <c r="AC9" i="17"/>
  <c r="AC33" i="17"/>
  <c r="AC57" i="17"/>
  <c r="AC11" i="17"/>
  <c r="AC23" i="17"/>
  <c r="AC35" i="17"/>
  <c r="AC47" i="17"/>
  <c r="AC59" i="17"/>
  <c r="G7" i="17"/>
  <c r="AB7" i="17"/>
  <c r="AW7" i="17" s="1"/>
  <c r="G40" i="17"/>
  <c r="G41" i="17"/>
  <c r="G42" i="17"/>
  <c r="D13" i="17"/>
  <c r="D49" i="17"/>
  <c r="G43" i="17"/>
  <c r="G24" i="17"/>
  <c r="G13" i="17"/>
  <c r="D25" i="17"/>
  <c r="G31" i="17"/>
  <c r="G25" i="17"/>
  <c r="D37" i="17"/>
  <c r="G19" i="17"/>
  <c r="G55" i="17"/>
  <c r="G61" i="17"/>
  <c r="G60" i="17"/>
  <c r="G12" i="17"/>
  <c r="G49" i="17"/>
  <c r="G48" i="17"/>
  <c r="D27" i="17"/>
  <c r="D39" i="17"/>
  <c r="D51" i="17"/>
  <c r="D19" i="17"/>
  <c r="D31" i="17"/>
  <c r="D43" i="17"/>
  <c r="D55" i="17"/>
  <c r="G37" i="17"/>
  <c r="D8" i="17"/>
  <c r="D20" i="17"/>
  <c r="D32" i="17"/>
  <c r="D44" i="17"/>
  <c r="D56" i="17"/>
  <c r="G14" i="17"/>
  <c r="G26" i="17"/>
  <c r="G38" i="17"/>
  <c r="G50" i="17"/>
  <c r="G62" i="17"/>
  <c r="G15" i="17"/>
  <c r="G27" i="17"/>
  <c r="G39" i="17"/>
  <c r="G51" i="17"/>
  <c r="G63" i="17"/>
  <c r="G16" i="17"/>
  <c r="G28" i="17"/>
  <c r="G52" i="17"/>
  <c r="G17" i="17"/>
  <c r="G29" i="17"/>
  <c r="G53" i="17"/>
  <c r="G18" i="17"/>
  <c r="G30" i="17"/>
  <c r="G54" i="17"/>
  <c r="D23" i="17"/>
  <c r="D59" i="17"/>
  <c r="D12" i="17"/>
  <c r="D48" i="17"/>
  <c r="D61" i="17"/>
  <c r="D38" i="17"/>
  <c r="G8" i="17"/>
  <c r="G44" i="17"/>
  <c r="G9" i="17"/>
  <c r="G45" i="17"/>
  <c r="D40" i="17"/>
  <c r="G10" i="17"/>
  <c r="G34" i="17"/>
  <c r="G58" i="17"/>
  <c r="D17" i="17"/>
  <c r="D29" i="17"/>
  <c r="D41" i="17"/>
  <c r="D53" i="17"/>
  <c r="G11" i="17"/>
  <c r="G23" i="17"/>
  <c r="G35" i="17"/>
  <c r="G47" i="17"/>
  <c r="G59" i="17"/>
  <c r="D21" i="17"/>
  <c r="D45" i="17"/>
  <c r="D10" i="17"/>
  <c r="D22" i="17"/>
  <c r="D46" i="17"/>
  <c r="D58" i="17"/>
  <c r="D11" i="17"/>
  <c r="D47" i="17"/>
  <c r="D24" i="17"/>
  <c r="D60" i="17"/>
  <c r="D26" i="17"/>
  <c r="D62" i="17"/>
  <c r="G20" i="17"/>
  <c r="G56" i="17"/>
  <c r="D63" i="17"/>
  <c r="G33" i="17"/>
  <c r="D16" i="17"/>
  <c r="D52" i="17"/>
  <c r="D18" i="17"/>
  <c r="D30" i="17"/>
  <c r="D42" i="17"/>
  <c r="D54" i="17"/>
  <c r="D9" i="17"/>
  <c r="D33" i="17"/>
  <c r="D57" i="17"/>
  <c r="D34" i="17"/>
  <c r="D35" i="17"/>
  <c r="D36" i="17"/>
  <c r="D14" i="17"/>
  <c r="D50" i="17"/>
  <c r="G32" i="17"/>
  <c r="G21" i="17"/>
  <c r="G57" i="17"/>
  <c r="D28" i="17"/>
  <c r="G22" i="17"/>
  <c r="G46" i="17"/>
  <c r="C33" i="14"/>
  <c r="D33" i="14" s="1"/>
  <c r="E33" i="14" s="1"/>
  <c r="K32" i="14"/>
  <c r="I14" i="14"/>
  <c r="I13" i="14"/>
  <c r="I12" i="14"/>
  <c r="I11" i="14"/>
  <c r="H14" i="14"/>
  <c r="K14" i="14" s="1"/>
  <c r="H13" i="14"/>
  <c r="K13" i="14" s="1"/>
  <c r="H12" i="14"/>
  <c r="K12" i="14" s="1"/>
  <c r="H11" i="14"/>
  <c r="BR59" i="17" l="1"/>
  <c r="AX60" i="17"/>
  <c r="BQ60" i="17"/>
  <c r="AX48" i="17"/>
  <c r="BQ48" i="17"/>
  <c r="AX24" i="17"/>
  <c r="BQ24" i="17"/>
  <c r="AX12" i="17"/>
  <c r="BQ12" i="17"/>
  <c r="AX7" i="17"/>
  <c r="BQ7" i="17"/>
  <c r="K11" i="14"/>
  <c r="H16" i="14"/>
  <c r="H17" i="14"/>
  <c r="I16" i="14"/>
  <c r="E31" i="14" s="1"/>
  <c r="I17" i="14"/>
  <c r="AX25" i="17"/>
  <c r="AX61" i="17"/>
  <c r="AX49" i="17"/>
  <c r="AX8" i="17"/>
  <c r="AC36" i="17"/>
  <c r="AW36" i="17"/>
  <c r="BQ36" i="17" s="1"/>
  <c r="AC37" i="17"/>
  <c r="AC7" i="17"/>
  <c r="AC8" i="17"/>
  <c r="AI5" i="17" s="1"/>
  <c r="AF7" i="17" s="1"/>
  <c r="AF13" i="17" s="1"/>
  <c r="M5" i="17"/>
  <c r="J7" i="17" s="1"/>
  <c r="J13" i="17" s="1"/>
  <c r="M6" i="17"/>
  <c r="D31" i="14"/>
  <c r="D32" i="14"/>
  <c r="E24" i="14"/>
  <c r="K40" i="14" s="1"/>
  <c r="B38" i="13"/>
  <c r="B37" i="13"/>
  <c r="B35" i="13"/>
  <c r="B1" i="13"/>
  <c r="B5" i="13"/>
  <c r="C2" i="13"/>
  <c r="D2" i="13" s="1"/>
  <c r="E2" i="13" s="1"/>
  <c r="F2" i="13" s="1"/>
  <c r="G2" i="13" s="1"/>
  <c r="H2" i="13" s="1"/>
  <c r="I2" i="13" s="1"/>
  <c r="J2" i="13" s="1"/>
  <c r="K2" i="13" s="1"/>
  <c r="L2" i="13" s="1"/>
  <c r="C3" i="13"/>
  <c r="D3" i="13" s="1"/>
  <c r="E3" i="13" s="1"/>
  <c r="F3" i="13" s="1"/>
  <c r="G3" i="13" s="1"/>
  <c r="H3" i="13" s="1"/>
  <c r="I3" i="13" s="1"/>
  <c r="J3" i="13" s="1"/>
  <c r="K3" i="13" s="1"/>
  <c r="L3" i="13" s="1"/>
  <c r="M3" i="13" s="1"/>
  <c r="N3" i="13" s="1"/>
  <c r="O3" i="13" s="1"/>
  <c r="P3" i="13" s="1"/>
  <c r="Q3" i="13" s="1"/>
  <c r="M2" i="13" l="1"/>
  <c r="D3" i="20"/>
  <c r="BR36" i="17"/>
  <c r="BR37" i="17"/>
  <c r="BR7" i="17"/>
  <c r="BR8" i="17"/>
  <c r="BX5" i="17" s="1"/>
  <c r="BU7" i="17" s="1"/>
  <c r="BU13" i="17" s="1"/>
  <c r="BR12" i="17"/>
  <c r="BR13" i="17"/>
  <c r="BR48" i="17"/>
  <c r="BR49" i="17"/>
  <c r="BR24" i="17"/>
  <c r="BR25" i="17"/>
  <c r="BR60" i="17"/>
  <c r="BR61" i="17"/>
  <c r="K17" i="14"/>
  <c r="K30" i="14" s="1"/>
  <c r="K16" i="14"/>
  <c r="E32" i="14"/>
  <c r="K41" i="14"/>
  <c r="AX36" i="17"/>
  <c r="AX37" i="17"/>
  <c r="BD5" i="17" s="1"/>
  <c r="BA7" i="17" s="1"/>
  <c r="BA13" i="17" s="1"/>
  <c r="AI6" i="17"/>
  <c r="D35" i="14"/>
  <c r="BX6" i="17" l="1"/>
  <c r="N2" i="13"/>
  <c r="E3" i="20"/>
  <c r="E35" i="14"/>
  <c r="K31" i="14" s="1"/>
  <c r="K33" i="14" s="1"/>
  <c r="K24" i="14" s="1"/>
  <c r="K25" i="14" s="1"/>
  <c r="K37" i="14" s="1"/>
  <c r="K38" i="14"/>
  <c r="BD6" i="17"/>
  <c r="O2" i="13" l="1"/>
  <c r="F3" i="20"/>
  <c r="K43" i="14"/>
  <c r="C16" i="20" s="1"/>
  <c r="E11" i="20" s="1"/>
  <c r="C21" i="20" l="1"/>
  <c r="F20" i="20"/>
  <c r="G20" i="20" s="1"/>
  <c r="H20" i="20" s="1"/>
  <c r="I20" i="20" s="1"/>
  <c r="P2" i="13"/>
  <c r="G3" i="20"/>
  <c r="F11" i="20"/>
  <c r="G11" i="20"/>
  <c r="H11" i="20"/>
  <c r="I11" i="20"/>
  <c r="M77" i="7"/>
  <c r="L77" i="7"/>
  <c r="K77" i="7"/>
  <c r="J77" i="7"/>
  <c r="I77" i="7"/>
  <c r="H77" i="7"/>
  <c r="G77" i="7"/>
  <c r="F77" i="7"/>
  <c r="E77" i="7"/>
  <c r="M76" i="7"/>
  <c r="L76" i="7"/>
  <c r="K76" i="7"/>
  <c r="J76" i="7"/>
  <c r="I76" i="7"/>
  <c r="H76" i="7"/>
  <c r="G76" i="7"/>
  <c r="F76" i="7"/>
  <c r="E76" i="7"/>
  <c r="D77" i="7"/>
  <c r="D76" i="7"/>
  <c r="M74" i="7"/>
  <c r="L74" i="7"/>
  <c r="K74" i="7"/>
  <c r="J74" i="7"/>
  <c r="I74" i="7"/>
  <c r="H74" i="7"/>
  <c r="G74" i="7"/>
  <c r="F74" i="7"/>
  <c r="E74" i="7"/>
  <c r="D74" i="7"/>
  <c r="M72" i="7"/>
  <c r="L72" i="7"/>
  <c r="K72" i="7"/>
  <c r="J72" i="7"/>
  <c r="I72" i="7"/>
  <c r="H72" i="7"/>
  <c r="G72" i="7"/>
  <c r="F72" i="7"/>
  <c r="E72" i="7"/>
  <c r="D72" i="7"/>
  <c r="M3" i="11"/>
  <c r="C7" i="11"/>
  <c r="C6" i="11"/>
  <c r="B2" i="11"/>
  <c r="L3" i="11"/>
  <c r="K3" i="11"/>
  <c r="J3" i="11"/>
  <c r="I3" i="11"/>
  <c r="H3" i="11"/>
  <c r="G3" i="11"/>
  <c r="F3" i="11"/>
  <c r="E3" i="11"/>
  <c r="D3" i="11"/>
  <c r="C3" i="11"/>
  <c r="Q2" i="13" l="1"/>
  <c r="I3" i="20" s="1"/>
  <c r="H3" i="20"/>
  <c r="M40" i="11"/>
  <c r="M39" i="11"/>
  <c r="B2" i="7"/>
  <c r="C77" i="7" l="1"/>
  <c r="C76" i="7"/>
  <c r="D60" i="7"/>
  <c r="E60" i="7"/>
  <c r="F60" i="7"/>
  <c r="G60" i="7"/>
  <c r="H60" i="7"/>
  <c r="I60" i="7"/>
  <c r="J60" i="7"/>
  <c r="K60" i="7"/>
  <c r="L60" i="7"/>
  <c r="C60" i="7"/>
  <c r="C64" i="7"/>
  <c r="D64" i="7"/>
  <c r="E64" i="7"/>
  <c r="F64" i="7"/>
  <c r="G64" i="7"/>
  <c r="H64" i="7"/>
  <c r="I64" i="7"/>
  <c r="J64" i="7"/>
  <c r="K64" i="7"/>
  <c r="L64" i="7"/>
  <c r="C65" i="7"/>
  <c r="D65" i="7"/>
  <c r="E65" i="7"/>
  <c r="F65" i="7"/>
  <c r="G65" i="7"/>
  <c r="H65" i="7"/>
  <c r="I65" i="7"/>
  <c r="J65" i="7"/>
  <c r="K65" i="7"/>
  <c r="L65" i="7"/>
  <c r="D63" i="7"/>
  <c r="E63" i="7"/>
  <c r="F63" i="7"/>
  <c r="G63" i="7"/>
  <c r="H63" i="7"/>
  <c r="I63" i="7"/>
  <c r="J63" i="7"/>
  <c r="K63" i="7"/>
  <c r="L63" i="7"/>
  <c r="C63" i="7"/>
  <c r="C58" i="7"/>
  <c r="D58" i="7"/>
  <c r="E58" i="7"/>
  <c r="F58" i="7"/>
  <c r="G58" i="7"/>
  <c r="H58" i="7"/>
  <c r="I58" i="7"/>
  <c r="J58" i="7"/>
  <c r="K58" i="7"/>
  <c r="L58" i="7"/>
  <c r="C59" i="7"/>
  <c r="D59" i="7"/>
  <c r="E59" i="7"/>
  <c r="F59" i="7"/>
  <c r="G59" i="7"/>
  <c r="H59" i="7"/>
  <c r="I59" i="7"/>
  <c r="J59" i="7"/>
  <c r="K59" i="7"/>
  <c r="L59" i="7"/>
  <c r="D57" i="7"/>
  <c r="E57" i="7"/>
  <c r="F57" i="7"/>
  <c r="G57" i="7"/>
  <c r="H57" i="7"/>
  <c r="I57" i="7"/>
  <c r="J57" i="7"/>
  <c r="K57" i="7"/>
  <c r="L57" i="7"/>
  <c r="C57" i="7"/>
  <c r="L54" i="7"/>
  <c r="K54" i="7"/>
  <c r="J54" i="7"/>
  <c r="I54" i="7"/>
  <c r="H54" i="7"/>
  <c r="G54" i="7"/>
  <c r="F54" i="7"/>
  <c r="E54" i="7"/>
  <c r="D54" i="7"/>
  <c r="C54" i="7"/>
  <c r="L53" i="7"/>
  <c r="L40" i="11" s="1"/>
  <c r="K53" i="7"/>
  <c r="K40" i="11" s="1"/>
  <c r="J53" i="7"/>
  <c r="J40" i="11" s="1"/>
  <c r="I53" i="7"/>
  <c r="I40" i="11" s="1"/>
  <c r="H53" i="7"/>
  <c r="H40" i="11" s="1"/>
  <c r="G53" i="7"/>
  <c r="G40" i="11" s="1"/>
  <c r="F53" i="7"/>
  <c r="F40" i="11" s="1"/>
  <c r="E53" i="7"/>
  <c r="E40" i="11" s="1"/>
  <c r="D53" i="7"/>
  <c r="D40" i="11" s="1"/>
  <c r="C53" i="7"/>
  <c r="L52" i="7"/>
  <c r="K52" i="7"/>
  <c r="J52" i="7"/>
  <c r="I52" i="7"/>
  <c r="H52" i="7"/>
  <c r="G52" i="7"/>
  <c r="F52" i="7"/>
  <c r="E52" i="7"/>
  <c r="D52" i="7"/>
  <c r="C52" i="7"/>
  <c r="L51" i="7"/>
  <c r="K51" i="7"/>
  <c r="J51" i="7"/>
  <c r="I51" i="7"/>
  <c r="H51" i="7"/>
  <c r="G51" i="7"/>
  <c r="F51" i="7"/>
  <c r="E51" i="7"/>
  <c r="D51" i="7"/>
  <c r="C51" i="7"/>
  <c r="D39" i="7"/>
  <c r="E39" i="7"/>
  <c r="F39" i="7"/>
  <c r="G39" i="7"/>
  <c r="H39" i="7"/>
  <c r="I39" i="7"/>
  <c r="J39" i="7"/>
  <c r="K39" i="7"/>
  <c r="L39" i="7"/>
  <c r="M39" i="7"/>
  <c r="M44" i="7" s="1"/>
  <c r="C39" i="7"/>
  <c r="M33" i="7"/>
  <c r="L33" i="7"/>
  <c r="L29" i="13" s="1"/>
  <c r="K33" i="7"/>
  <c r="K29" i="13" s="1"/>
  <c r="J33" i="7"/>
  <c r="J29" i="13" s="1"/>
  <c r="I33" i="7"/>
  <c r="I29" i="13" s="1"/>
  <c r="H33" i="7"/>
  <c r="H29" i="13" s="1"/>
  <c r="G33" i="7"/>
  <c r="G29" i="13" s="1"/>
  <c r="F33" i="7"/>
  <c r="F29" i="13" s="1"/>
  <c r="E33" i="7"/>
  <c r="E29" i="13" s="1"/>
  <c r="D33" i="7"/>
  <c r="D29" i="13" s="1"/>
  <c r="C33" i="7"/>
  <c r="C29" i="13" s="1"/>
  <c r="C3" i="7"/>
  <c r="D3" i="7"/>
  <c r="E3" i="7"/>
  <c r="M27" i="7"/>
  <c r="D27" i="7"/>
  <c r="D23" i="13" s="1"/>
  <c r="E27" i="7"/>
  <c r="E23" i="13" s="1"/>
  <c r="F27" i="7"/>
  <c r="F23" i="13" s="1"/>
  <c r="G27" i="7"/>
  <c r="G23" i="13" s="1"/>
  <c r="H27" i="7"/>
  <c r="H23" i="13" s="1"/>
  <c r="I27" i="7"/>
  <c r="I23" i="13" s="1"/>
  <c r="J27" i="7"/>
  <c r="J23" i="13" s="1"/>
  <c r="K27" i="7"/>
  <c r="K23" i="13" s="1"/>
  <c r="L27" i="7"/>
  <c r="L23" i="13" s="1"/>
  <c r="C27" i="7"/>
  <c r="C23" i="13" s="1"/>
  <c r="M24" i="7"/>
  <c r="L24" i="7"/>
  <c r="L20" i="13" s="1"/>
  <c r="K24" i="7"/>
  <c r="K20" i="13" s="1"/>
  <c r="J24" i="7"/>
  <c r="J20" i="13" s="1"/>
  <c r="I24" i="7"/>
  <c r="I20" i="13" s="1"/>
  <c r="H24" i="7"/>
  <c r="H20" i="13" s="1"/>
  <c r="G24" i="7"/>
  <c r="G20" i="13" s="1"/>
  <c r="F24" i="7"/>
  <c r="F20" i="13" s="1"/>
  <c r="E24" i="7"/>
  <c r="E20" i="13" s="1"/>
  <c r="D24" i="7"/>
  <c r="D20" i="13" s="1"/>
  <c r="C24" i="7"/>
  <c r="C20" i="13" s="1"/>
  <c r="M18" i="7"/>
  <c r="D15" i="7"/>
  <c r="D14" i="13" s="1"/>
  <c r="E15" i="7"/>
  <c r="E14" i="13" s="1"/>
  <c r="F15" i="7"/>
  <c r="F14" i="13" s="1"/>
  <c r="G15" i="7"/>
  <c r="G14" i="13" s="1"/>
  <c r="H15" i="7"/>
  <c r="H14" i="13" s="1"/>
  <c r="I15" i="7"/>
  <c r="I14" i="13" s="1"/>
  <c r="J15" i="7"/>
  <c r="J14" i="13" s="1"/>
  <c r="K15" i="7"/>
  <c r="K14" i="13" s="1"/>
  <c r="L15" i="7"/>
  <c r="L14" i="13" s="1"/>
  <c r="C15" i="7"/>
  <c r="C14" i="13" s="1"/>
  <c r="C9" i="7"/>
  <c r="D9" i="7"/>
  <c r="E9" i="7"/>
  <c r="E8" i="13" s="1"/>
  <c r="C6" i="7"/>
  <c r="D6" i="7"/>
  <c r="E6" i="7"/>
  <c r="D8" i="13" l="1"/>
  <c r="D10" i="7"/>
  <c r="C8" i="13"/>
  <c r="C9" i="13" s="1"/>
  <c r="C10" i="7"/>
  <c r="C9" i="11" s="1"/>
  <c r="F24" i="13"/>
  <c r="K15" i="13"/>
  <c r="I24" i="13"/>
  <c r="I21" i="13"/>
  <c r="H30" i="13"/>
  <c r="J61" i="7"/>
  <c r="J55" i="7"/>
  <c r="D66" i="7"/>
  <c r="E15" i="13"/>
  <c r="D24" i="13"/>
  <c r="F21" i="13"/>
  <c r="E30" i="13"/>
  <c r="J15" i="13"/>
  <c r="H24" i="13"/>
  <c r="J30" i="13"/>
  <c r="H15" i="13"/>
  <c r="D15" i="13"/>
  <c r="K21" i="13"/>
  <c r="D21" i="13"/>
  <c r="F15" i="13"/>
  <c r="K24" i="13"/>
  <c r="E5" i="13"/>
  <c r="E31" i="11"/>
  <c r="E27" i="11"/>
  <c r="E33" i="11" s="1"/>
  <c r="E29" i="11"/>
  <c r="E35" i="11" s="1"/>
  <c r="E28" i="11"/>
  <c r="E34" i="11" s="1"/>
  <c r="E30" i="11"/>
  <c r="E38" i="11"/>
  <c r="G15" i="13"/>
  <c r="J21" i="13"/>
  <c r="E24" i="13"/>
  <c r="I30" i="13"/>
  <c r="G44" i="7"/>
  <c r="G35" i="13"/>
  <c r="K30" i="13"/>
  <c r="E44" i="7"/>
  <c r="E35" i="13"/>
  <c r="E9" i="13"/>
  <c r="L30" i="13"/>
  <c r="D44" i="7"/>
  <c r="D35" i="13"/>
  <c r="H44" i="7"/>
  <c r="H35" i="13"/>
  <c r="C21" i="13"/>
  <c r="N20" i="13"/>
  <c r="P20" i="13"/>
  <c r="M20" i="13"/>
  <c r="M21" i="13" s="1"/>
  <c r="O20" i="13"/>
  <c r="Q20" i="13"/>
  <c r="L24" i="13"/>
  <c r="C44" i="7"/>
  <c r="C35" i="13"/>
  <c r="L21" i="13"/>
  <c r="M25" i="11"/>
  <c r="M21" i="11"/>
  <c r="C30" i="13"/>
  <c r="M29" i="13"/>
  <c r="M30" i="13" s="1"/>
  <c r="O29" i="13"/>
  <c r="N29" i="13"/>
  <c r="Q29" i="13"/>
  <c r="P29" i="13"/>
  <c r="D7" i="7"/>
  <c r="D5" i="11" s="1"/>
  <c r="D5" i="13"/>
  <c r="D28" i="11"/>
  <c r="D34" i="11" s="1"/>
  <c r="D31" i="11"/>
  <c r="D27" i="11"/>
  <c r="D33" i="11" s="1"/>
  <c r="D30" i="11"/>
  <c r="D29" i="11"/>
  <c r="D35" i="11" s="1"/>
  <c r="D38" i="11"/>
  <c r="F44" i="7"/>
  <c r="F35" i="13"/>
  <c r="C5" i="11"/>
  <c r="C5" i="13"/>
  <c r="C31" i="11"/>
  <c r="C27" i="11"/>
  <c r="C30" i="11"/>
  <c r="C28" i="11"/>
  <c r="C29" i="11"/>
  <c r="C24" i="13"/>
  <c r="Q23" i="13"/>
  <c r="M23" i="13"/>
  <c r="M24" i="13" s="1"/>
  <c r="O23" i="13"/>
  <c r="P23" i="13"/>
  <c r="N23" i="13"/>
  <c r="C15" i="13"/>
  <c r="P14" i="13"/>
  <c r="Q14" i="13"/>
  <c r="N14" i="13"/>
  <c r="O14" i="13"/>
  <c r="M14" i="13"/>
  <c r="M15" i="13" s="1"/>
  <c r="L15" i="13"/>
  <c r="E21" i="13"/>
  <c r="J24" i="13"/>
  <c r="D30" i="13"/>
  <c r="L44" i="7"/>
  <c r="L35" i="13"/>
  <c r="M35" i="13" s="1"/>
  <c r="N35" i="13" s="1"/>
  <c r="O35" i="13" s="1"/>
  <c r="P35" i="13" s="1"/>
  <c r="Q35" i="13" s="1"/>
  <c r="G21" i="13"/>
  <c r="F30" i="13"/>
  <c r="J44" i="7"/>
  <c r="J35" i="13"/>
  <c r="K44" i="7"/>
  <c r="K35" i="13"/>
  <c r="I15" i="13"/>
  <c r="H21" i="13"/>
  <c r="G24" i="13"/>
  <c r="G30" i="13"/>
  <c r="I44" i="7"/>
  <c r="I35" i="13"/>
  <c r="H61" i="7"/>
  <c r="C66" i="7"/>
  <c r="E66" i="7"/>
  <c r="E16" i="7"/>
  <c r="E17" i="11" s="1"/>
  <c r="E10" i="7"/>
  <c r="F61" i="7"/>
  <c r="L66" i="7"/>
  <c r="E25" i="7"/>
  <c r="L61" i="7"/>
  <c r="L55" i="7"/>
  <c r="D28" i="7"/>
  <c r="D18" i="11" s="1"/>
  <c r="E7" i="7"/>
  <c r="E5" i="11" s="1"/>
  <c r="E28" i="7"/>
  <c r="E18" i="11" s="1"/>
  <c r="K55" i="7"/>
  <c r="I61" i="7"/>
  <c r="G61" i="7"/>
  <c r="D16" i="7"/>
  <c r="D17" i="11" s="1"/>
  <c r="C55" i="7"/>
  <c r="E61" i="7"/>
  <c r="K66" i="7"/>
  <c r="C28" i="7"/>
  <c r="C18" i="11" s="1"/>
  <c r="C8" i="11"/>
  <c r="C25" i="7"/>
  <c r="D55" i="7"/>
  <c r="D61" i="7"/>
  <c r="J66" i="7"/>
  <c r="C16" i="7"/>
  <c r="C17" i="11" s="1"/>
  <c r="D25" i="7"/>
  <c r="E55" i="7"/>
  <c r="I66" i="7"/>
  <c r="F55" i="7"/>
  <c r="H66" i="7"/>
  <c r="G55" i="7"/>
  <c r="C61" i="7"/>
  <c r="G66" i="7"/>
  <c r="F66" i="7"/>
  <c r="H55" i="7"/>
  <c r="I55" i="7"/>
  <c r="K61" i="7"/>
  <c r="E12" i="7"/>
  <c r="D12" i="7"/>
  <c r="C12" i="7"/>
  <c r="C13" i="7" s="1"/>
  <c r="M9" i="7"/>
  <c r="M6" i="7"/>
  <c r="L9" i="7"/>
  <c r="L8" i="13" s="1"/>
  <c r="K9" i="7"/>
  <c r="K8" i="13" s="1"/>
  <c r="J9" i="7"/>
  <c r="J8" i="13" s="1"/>
  <c r="I9" i="7"/>
  <c r="I8" i="13" s="1"/>
  <c r="H9" i="7"/>
  <c r="H8" i="13" s="1"/>
  <c r="G9" i="7"/>
  <c r="G8" i="13" s="1"/>
  <c r="F9" i="7"/>
  <c r="F8" i="13" s="1"/>
  <c r="F9" i="13" s="1"/>
  <c r="L6" i="7"/>
  <c r="K6" i="7"/>
  <c r="J6" i="7"/>
  <c r="I6" i="7"/>
  <c r="H6" i="7"/>
  <c r="G6" i="7"/>
  <c r="B6" i="7"/>
  <c r="F3" i="7"/>
  <c r="G3" i="7"/>
  <c r="I3" i="7"/>
  <c r="J3" i="7"/>
  <c r="K3" i="7"/>
  <c r="L3" i="7"/>
  <c r="H3" i="7"/>
  <c r="D9" i="13" l="1"/>
  <c r="D9" i="11"/>
  <c r="I45" i="7"/>
  <c r="E45" i="7"/>
  <c r="J68" i="7"/>
  <c r="J39" i="11" s="1"/>
  <c r="D68" i="7"/>
  <c r="D39" i="11" s="1"/>
  <c r="F45" i="7"/>
  <c r="O15" i="13"/>
  <c r="Q15" i="13"/>
  <c r="O30" i="13"/>
  <c r="L45" i="7"/>
  <c r="E9" i="11"/>
  <c r="M9" i="11"/>
  <c r="D36" i="11"/>
  <c r="I9" i="11"/>
  <c r="M45" i="7"/>
  <c r="H68" i="7"/>
  <c r="H39" i="11" s="1"/>
  <c r="J9" i="11"/>
  <c r="P21" i="13"/>
  <c r="P15" i="13"/>
  <c r="Q21" i="13"/>
  <c r="I9" i="13"/>
  <c r="N24" i="13"/>
  <c r="O21" i="13"/>
  <c r="G9" i="13"/>
  <c r="P30" i="13"/>
  <c r="E68" i="7"/>
  <c r="E39" i="11" s="1"/>
  <c r="L9" i="11"/>
  <c r="N30" i="13"/>
  <c r="G9" i="11"/>
  <c r="F9" i="11"/>
  <c r="Q8" i="13"/>
  <c r="H9" i="13"/>
  <c r="K45" i="7"/>
  <c r="K9" i="11"/>
  <c r="H45" i="7"/>
  <c r="D6" i="13"/>
  <c r="C6" i="13"/>
  <c r="H9" i="11"/>
  <c r="Q30" i="13"/>
  <c r="P24" i="13"/>
  <c r="J9" i="13"/>
  <c r="F7" i="7"/>
  <c r="F5" i="11" s="1"/>
  <c r="F5" i="13"/>
  <c r="F6" i="13" s="1"/>
  <c r="F27" i="11"/>
  <c r="F33" i="11" s="1"/>
  <c r="F30" i="11"/>
  <c r="F28" i="11"/>
  <c r="F34" i="11" s="1"/>
  <c r="F29" i="11"/>
  <c r="F35" i="11" s="1"/>
  <c r="F31" i="11"/>
  <c r="F38" i="11"/>
  <c r="K9" i="13"/>
  <c r="G16" i="7"/>
  <c r="G17" i="11" s="1"/>
  <c r="G5" i="13"/>
  <c r="G27" i="11"/>
  <c r="G33" i="11" s="1"/>
  <c r="G28" i="11"/>
  <c r="G34" i="11" s="1"/>
  <c r="G30" i="11"/>
  <c r="G29" i="11"/>
  <c r="G35" i="11" s="1"/>
  <c r="G31" i="11"/>
  <c r="G38" i="11"/>
  <c r="M27" i="11"/>
  <c r="M33" i="11" s="1"/>
  <c r="M29" i="11"/>
  <c r="M35" i="11" s="1"/>
  <c r="M28" i="11"/>
  <c r="M34" i="11" s="1"/>
  <c r="M30" i="11"/>
  <c r="M31" i="11"/>
  <c r="M38" i="11"/>
  <c r="N21" i="13"/>
  <c r="L9" i="13"/>
  <c r="O24" i="13"/>
  <c r="H28" i="7"/>
  <c r="H18" i="11" s="1"/>
  <c r="H5" i="13"/>
  <c r="H30" i="11"/>
  <c r="H28" i="11"/>
  <c r="H34" i="11" s="1"/>
  <c r="H29" i="11"/>
  <c r="H35" i="11" s="1"/>
  <c r="H31" i="11"/>
  <c r="H27" i="11"/>
  <c r="H33" i="11" s="1"/>
  <c r="H38" i="11"/>
  <c r="I5" i="13"/>
  <c r="I28" i="11"/>
  <c r="I34" i="11" s="1"/>
  <c r="I30" i="11"/>
  <c r="I29" i="11"/>
  <c r="I35" i="11" s="1"/>
  <c r="I31" i="11"/>
  <c r="I27" i="11"/>
  <c r="I33" i="11" s="1"/>
  <c r="I38" i="11"/>
  <c r="Q24" i="13"/>
  <c r="J25" i="7"/>
  <c r="J5" i="13"/>
  <c r="J30" i="11"/>
  <c r="J29" i="11"/>
  <c r="J35" i="11" s="1"/>
  <c r="J31" i="11"/>
  <c r="J28" i="11"/>
  <c r="J34" i="11" s="1"/>
  <c r="J27" i="11"/>
  <c r="J33" i="11" s="1"/>
  <c r="J38" i="11"/>
  <c r="J45" i="7"/>
  <c r="N8" i="13"/>
  <c r="K16" i="7"/>
  <c r="K17" i="11" s="1"/>
  <c r="K5" i="13"/>
  <c r="K31" i="11"/>
  <c r="K30" i="11"/>
  <c r="K28" i="11"/>
  <c r="K34" i="11" s="1"/>
  <c r="K27" i="11"/>
  <c r="K33" i="11" s="1"/>
  <c r="K29" i="11"/>
  <c r="K35" i="11" s="1"/>
  <c r="K38" i="11"/>
  <c r="D45" i="7"/>
  <c r="C35" i="11"/>
  <c r="M8" i="13"/>
  <c r="M9" i="13" s="1"/>
  <c r="E36" i="11"/>
  <c r="G45" i="7"/>
  <c r="C34" i="11"/>
  <c r="O8" i="13"/>
  <c r="C33" i="11"/>
  <c r="L25" i="7"/>
  <c r="L5" i="13"/>
  <c r="L27" i="11"/>
  <c r="L33" i="11" s="1"/>
  <c r="L30" i="11"/>
  <c r="L31" i="11"/>
  <c r="L29" i="11"/>
  <c r="L35" i="11" s="1"/>
  <c r="L28" i="11"/>
  <c r="L34" i="11" s="1"/>
  <c r="L38" i="11"/>
  <c r="N15" i="13"/>
  <c r="P8" i="13"/>
  <c r="E6" i="13"/>
  <c r="L68" i="7"/>
  <c r="L39" i="11" s="1"/>
  <c r="C40" i="11"/>
  <c r="C38" i="11"/>
  <c r="D13" i="7"/>
  <c r="D11" i="11" s="1"/>
  <c r="D11" i="13"/>
  <c r="E13" i="7"/>
  <c r="E11" i="11" s="1"/>
  <c r="E11" i="13"/>
  <c r="C11" i="11"/>
  <c r="C11" i="13"/>
  <c r="F68" i="7"/>
  <c r="F39" i="11" s="1"/>
  <c r="C68" i="7"/>
  <c r="G10" i="7"/>
  <c r="H10" i="7"/>
  <c r="I10" i="7"/>
  <c r="K68" i="7"/>
  <c r="J16" i="7"/>
  <c r="J17" i="11" s="1"/>
  <c r="J10" i="7"/>
  <c r="K10" i="7"/>
  <c r="J28" i="7"/>
  <c r="J18" i="11" s="1"/>
  <c r="L16" i="7"/>
  <c r="L17" i="11" s="1"/>
  <c r="M10" i="7"/>
  <c r="L10" i="7"/>
  <c r="M7" i="7"/>
  <c r="M5" i="11" s="1"/>
  <c r="G68" i="7"/>
  <c r="M25" i="7"/>
  <c r="F16" i="7"/>
  <c r="F17" i="11" s="1"/>
  <c r="G7" i="7"/>
  <c r="G5" i="11" s="1"/>
  <c r="I7" i="7"/>
  <c r="I5" i="11" s="1"/>
  <c r="I28" i="7"/>
  <c r="I18" i="11" s="1"/>
  <c r="K25" i="7"/>
  <c r="F25" i="7"/>
  <c r="H7" i="7"/>
  <c r="H5" i="11" s="1"/>
  <c r="M28" i="7"/>
  <c r="M18" i="11" s="1"/>
  <c r="G25" i="7"/>
  <c r="J7" i="7"/>
  <c r="J5" i="11" s="1"/>
  <c r="K7" i="7"/>
  <c r="K5" i="11" s="1"/>
  <c r="L7" i="7"/>
  <c r="L5" i="11" s="1"/>
  <c r="M19" i="7"/>
  <c r="M12" i="11" s="1"/>
  <c r="I68" i="7"/>
  <c r="F10" i="7"/>
  <c r="M31" i="7"/>
  <c r="M14" i="11" s="1"/>
  <c r="K28" i="7"/>
  <c r="K18" i="11" s="1"/>
  <c r="L28" i="7"/>
  <c r="L18" i="11" s="1"/>
  <c r="G28" i="7"/>
  <c r="G18" i="11" s="1"/>
  <c r="M13" i="11"/>
  <c r="M19" i="11" s="1"/>
  <c r="F28" i="7"/>
  <c r="F18" i="11" s="1"/>
  <c r="H25" i="7"/>
  <c r="I25" i="7"/>
  <c r="I16" i="7"/>
  <c r="I17" i="11" s="1"/>
  <c r="M34" i="7"/>
  <c r="H16" i="7"/>
  <c r="H17" i="11" s="1"/>
  <c r="D69" i="7"/>
  <c r="M36" i="7"/>
  <c r="M23" i="11" s="1"/>
  <c r="C18" i="7"/>
  <c r="D18" i="7"/>
  <c r="E18" i="7"/>
  <c r="K12" i="7"/>
  <c r="L12" i="7"/>
  <c r="G12" i="7"/>
  <c r="H12" i="7"/>
  <c r="I12" i="7"/>
  <c r="J12" i="7"/>
  <c r="F12" i="7"/>
  <c r="M12" i="7"/>
  <c r="M13" i="7" s="1"/>
  <c r="M11" i="11" s="1"/>
  <c r="C36" i="20"/>
  <c r="J69" i="7" l="1"/>
  <c r="C98" i="7"/>
  <c r="C30" i="7"/>
  <c r="E98" i="7"/>
  <c r="E30" i="7"/>
  <c r="E26" i="13" s="1"/>
  <c r="D98" i="7"/>
  <c r="D30" i="7"/>
  <c r="E69" i="7"/>
  <c r="P9" i="13"/>
  <c r="H69" i="7"/>
  <c r="K6" i="13"/>
  <c r="M36" i="11"/>
  <c r="N9" i="13"/>
  <c r="H6" i="13"/>
  <c r="J36" i="11"/>
  <c r="P9" i="11"/>
  <c r="J6" i="13"/>
  <c r="O5" i="13"/>
  <c r="P30" i="11"/>
  <c r="I36" i="11"/>
  <c r="P31" i="11"/>
  <c r="O30" i="11"/>
  <c r="L36" i="11"/>
  <c r="L6" i="13"/>
  <c r="P29" i="11"/>
  <c r="N5" i="13"/>
  <c r="F36" i="11"/>
  <c r="M5" i="13"/>
  <c r="M6" i="13" s="1"/>
  <c r="P27" i="11"/>
  <c r="P35" i="11"/>
  <c r="O35" i="11"/>
  <c r="O27" i="11"/>
  <c r="O29" i="11"/>
  <c r="L69" i="7"/>
  <c r="O9" i="11"/>
  <c r="O33" i="11"/>
  <c r="C36" i="11"/>
  <c r="P33" i="11"/>
  <c r="G36" i="11"/>
  <c r="E12" i="13"/>
  <c r="O9" i="13"/>
  <c r="I6" i="13"/>
  <c r="G6" i="13"/>
  <c r="O31" i="11"/>
  <c r="O28" i="11"/>
  <c r="K36" i="11"/>
  <c r="P28" i="11"/>
  <c r="H36" i="11"/>
  <c r="P34" i="11"/>
  <c r="O34" i="11"/>
  <c r="Q5" i="13"/>
  <c r="P5" i="13"/>
  <c r="Q9" i="13"/>
  <c r="P5" i="11"/>
  <c r="D12" i="13"/>
  <c r="P18" i="11"/>
  <c r="P38" i="11"/>
  <c r="O38" i="11"/>
  <c r="P40" i="11"/>
  <c r="O40" i="11"/>
  <c r="C17" i="13"/>
  <c r="C25" i="11"/>
  <c r="J13" i="7"/>
  <c r="J11" i="11" s="1"/>
  <c r="J11" i="13"/>
  <c r="I13" i="7"/>
  <c r="I11" i="11" s="1"/>
  <c r="I11" i="13"/>
  <c r="C12" i="13"/>
  <c r="H13" i="7"/>
  <c r="H11" i="11" s="1"/>
  <c r="H11" i="13"/>
  <c r="F13" i="7"/>
  <c r="F11" i="11" s="1"/>
  <c r="F11" i="13"/>
  <c r="F12" i="13" s="1"/>
  <c r="G13" i="7"/>
  <c r="G11" i="11" s="1"/>
  <c r="G11" i="13"/>
  <c r="E17" i="13"/>
  <c r="E25" i="11"/>
  <c r="E21" i="11"/>
  <c r="L13" i="7"/>
  <c r="L11" i="11" s="1"/>
  <c r="L11" i="13"/>
  <c r="K13" i="7"/>
  <c r="K11" i="11" s="1"/>
  <c r="K11" i="13"/>
  <c r="D17" i="13"/>
  <c r="D25" i="11"/>
  <c r="D21" i="11"/>
  <c r="O18" i="11"/>
  <c r="O5" i="11"/>
  <c r="F69" i="7"/>
  <c r="I69" i="7"/>
  <c r="I39" i="11"/>
  <c r="K69" i="7"/>
  <c r="K39" i="11"/>
  <c r="G69" i="7"/>
  <c r="G39" i="11"/>
  <c r="C69" i="7"/>
  <c r="C39" i="11"/>
  <c r="C19" i="7"/>
  <c r="C12" i="11" s="1"/>
  <c r="C13" i="11"/>
  <c r="C21" i="11"/>
  <c r="M37" i="7"/>
  <c r="M15" i="11" s="1"/>
  <c r="E19" i="7"/>
  <c r="E12" i="11" s="1"/>
  <c r="E6" i="11"/>
  <c r="E13" i="11"/>
  <c r="E19" i="11" s="1"/>
  <c r="D13" i="11"/>
  <c r="D19" i="11" s="1"/>
  <c r="D19" i="7"/>
  <c r="D12" i="11" s="1"/>
  <c r="D6" i="11"/>
  <c r="M41" i="7"/>
  <c r="M46" i="7" s="1"/>
  <c r="M47" i="7" s="1"/>
  <c r="M22" i="11" s="1"/>
  <c r="M24" i="11" s="1"/>
  <c r="F18" i="7"/>
  <c r="J18" i="7"/>
  <c r="I18" i="7"/>
  <c r="H18" i="7"/>
  <c r="G18" i="7"/>
  <c r="L18" i="7"/>
  <c r="K18" i="7"/>
  <c r="D26" i="13"/>
  <c r="M15" i="7"/>
  <c r="M16" i="7" s="1"/>
  <c r="M17" i="11" s="1"/>
  <c r="O17" i="11" s="1"/>
  <c r="C26" i="13"/>
  <c r="K98" i="7" l="1"/>
  <c r="K30" i="7"/>
  <c r="I98" i="7"/>
  <c r="I30" i="7"/>
  <c r="F34" i="16" s="1"/>
  <c r="H98" i="7"/>
  <c r="H30" i="7"/>
  <c r="E34" i="16" s="1"/>
  <c r="J98" i="7"/>
  <c r="J30" i="7"/>
  <c r="G34" i="16" s="1"/>
  <c r="F98" i="7"/>
  <c r="F30" i="7"/>
  <c r="F26" i="13" s="1"/>
  <c r="F27" i="13" s="1"/>
  <c r="L98" i="7"/>
  <c r="L30" i="7"/>
  <c r="I34" i="16" s="1"/>
  <c r="G98" i="7"/>
  <c r="G30" i="7"/>
  <c r="G26" i="13" s="1"/>
  <c r="N6" i="13"/>
  <c r="P6" i="13"/>
  <c r="Q6" i="13"/>
  <c r="O6" i="13"/>
  <c r="E18" i="13"/>
  <c r="P36" i="11"/>
  <c r="O36" i="11"/>
  <c r="P11" i="11"/>
  <c r="D18" i="13"/>
  <c r="O11" i="13"/>
  <c r="D27" i="13"/>
  <c r="L12" i="13"/>
  <c r="K12" i="13"/>
  <c r="I12" i="13"/>
  <c r="P17" i="11"/>
  <c r="E27" i="13"/>
  <c r="M11" i="13"/>
  <c r="M12" i="13" s="1"/>
  <c r="G17" i="13"/>
  <c r="G21" i="11"/>
  <c r="G25" i="11"/>
  <c r="N11" i="13"/>
  <c r="K17" i="13"/>
  <c r="K21" i="11"/>
  <c r="K25" i="11"/>
  <c r="H17" i="13"/>
  <c r="H21" i="11"/>
  <c r="H25" i="11"/>
  <c r="G12" i="13"/>
  <c r="P11" i="13"/>
  <c r="L17" i="13"/>
  <c r="L21" i="11"/>
  <c r="L25" i="11"/>
  <c r="F17" i="13"/>
  <c r="F18" i="13" s="1"/>
  <c r="F21" i="11"/>
  <c r="F25" i="11"/>
  <c r="O11" i="11"/>
  <c r="J12" i="13"/>
  <c r="I17" i="13"/>
  <c r="I21" i="11"/>
  <c r="I25" i="11"/>
  <c r="C27" i="13"/>
  <c r="C19" i="11"/>
  <c r="J17" i="13"/>
  <c r="J21" i="11"/>
  <c r="J25" i="11"/>
  <c r="H12" i="13"/>
  <c r="C18" i="13"/>
  <c r="Q11" i="13"/>
  <c r="P39" i="11"/>
  <c r="O39" i="11"/>
  <c r="K6" i="11"/>
  <c r="K13" i="11"/>
  <c r="K19" i="11" s="1"/>
  <c r="K19" i="7"/>
  <c r="K12" i="11" s="1"/>
  <c r="C31" i="7"/>
  <c r="C14" i="11" s="1"/>
  <c r="C34" i="7"/>
  <c r="E7" i="11"/>
  <c r="E31" i="7"/>
  <c r="E14" i="11" s="1"/>
  <c r="E34" i="7"/>
  <c r="H19" i="7"/>
  <c r="H12" i="11" s="1"/>
  <c r="H6" i="11"/>
  <c r="H13" i="11"/>
  <c r="H19" i="11" s="1"/>
  <c r="D31" i="7"/>
  <c r="D14" i="11" s="1"/>
  <c r="D7" i="11"/>
  <c r="D34" i="7"/>
  <c r="L13" i="11"/>
  <c r="L19" i="11" s="1"/>
  <c r="L6" i="11"/>
  <c r="L19" i="7"/>
  <c r="L12" i="11" s="1"/>
  <c r="M6" i="11"/>
  <c r="G6" i="11"/>
  <c r="G19" i="7"/>
  <c r="G12" i="11" s="1"/>
  <c r="G13" i="11"/>
  <c r="G19" i="11" s="1"/>
  <c r="I13" i="11"/>
  <c r="I19" i="11" s="1"/>
  <c r="I6" i="11"/>
  <c r="I19" i="7"/>
  <c r="I12" i="11" s="1"/>
  <c r="J13" i="11"/>
  <c r="J19" i="11" s="1"/>
  <c r="J6" i="11"/>
  <c r="J19" i="7"/>
  <c r="J12" i="11" s="1"/>
  <c r="F6" i="11"/>
  <c r="F19" i="7"/>
  <c r="F12" i="11" s="1"/>
  <c r="F13" i="11"/>
  <c r="F19" i="11" s="1"/>
  <c r="D36" i="7"/>
  <c r="C36" i="7"/>
  <c r="E36" i="7"/>
  <c r="H34" i="16"/>
  <c r="E44" i="16" l="1"/>
  <c r="E46" i="16" s="1"/>
  <c r="H44" i="16"/>
  <c r="H46" i="16" s="1"/>
  <c r="H49" i="16" s="1"/>
  <c r="H56" i="16" s="1"/>
  <c r="H36" i="16"/>
  <c r="H57" i="16" s="1"/>
  <c r="F44" i="16"/>
  <c r="F46" i="16" s="1"/>
  <c r="F36" i="16"/>
  <c r="F57" i="16" s="1"/>
  <c r="I44" i="16"/>
  <c r="I36" i="16"/>
  <c r="I57" i="16" s="1"/>
  <c r="G44" i="16"/>
  <c r="G46" i="16" s="1"/>
  <c r="G49" i="16" s="1"/>
  <c r="G56" i="16" s="1"/>
  <c r="G36" i="16"/>
  <c r="G57" i="16" s="1"/>
  <c r="K26" i="13"/>
  <c r="L26" i="13"/>
  <c r="H26" i="13"/>
  <c r="H27" i="13" s="1"/>
  <c r="I26" i="13"/>
  <c r="J26" i="13"/>
  <c r="I18" i="13"/>
  <c r="J18" i="13"/>
  <c r="P12" i="13"/>
  <c r="M17" i="13"/>
  <c r="M18" i="13" s="1"/>
  <c r="O25" i="11"/>
  <c r="P25" i="11"/>
  <c r="P12" i="11"/>
  <c r="O6" i="11"/>
  <c r="O21" i="11"/>
  <c r="N12" i="13"/>
  <c r="Q12" i="13"/>
  <c r="N17" i="13"/>
  <c r="P21" i="11"/>
  <c r="H18" i="13"/>
  <c r="O17" i="13"/>
  <c r="P19" i="11"/>
  <c r="O19" i="11"/>
  <c r="K18" i="13"/>
  <c r="P6" i="11"/>
  <c r="L18" i="13"/>
  <c r="E32" i="13"/>
  <c r="E23" i="11"/>
  <c r="O12" i="11"/>
  <c r="O13" i="11"/>
  <c r="G18" i="13"/>
  <c r="G27" i="13"/>
  <c r="C37" i="7"/>
  <c r="C15" i="11" s="1"/>
  <c r="C32" i="13"/>
  <c r="C23" i="11"/>
  <c r="D32" i="13"/>
  <c r="D23" i="11"/>
  <c r="P17" i="13"/>
  <c r="O12" i="13"/>
  <c r="Q17" i="13"/>
  <c r="P13" i="11"/>
  <c r="K31" i="7"/>
  <c r="K14" i="11" s="1"/>
  <c r="K7" i="11"/>
  <c r="K34" i="7"/>
  <c r="L7" i="11"/>
  <c r="L31" i="7"/>
  <c r="L14" i="11" s="1"/>
  <c r="L34" i="7"/>
  <c r="M7" i="11"/>
  <c r="E8" i="11"/>
  <c r="E37" i="7"/>
  <c r="E15" i="11" s="1"/>
  <c r="J31" i="7"/>
  <c r="J14" i="11" s="1"/>
  <c r="J7" i="11"/>
  <c r="J34" i="7"/>
  <c r="D8" i="11"/>
  <c r="D37" i="7"/>
  <c r="D15" i="11" s="1"/>
  <c r="H31" i="7"/>
  <c r="H14" i="11" s="1"/>
  <c r="H7" i="11"/>
  <c r="H34" i="7"/>
  <c r="F31" i="7"/>
  <c r="F14" i="11" s="1"/>
  <c r="F7" i="11"/>
  <c r="F34" i="7"/>
  <c r="I7" i="11"/>
  <c r="I31" i="7"/>
  <c r="I14" i="11" s="1"/>
  <c r="I34" i="7"/>
  <c r="G31" i="7"/>
  <c r="G14" i="11" s="1"/>
  <c r="G7" i="11"/>
  <c r="G34" i="7"/>
  <c r="H36" i="7"/>
  <c r="C41" i="7"/>
  <c r="C46" i="7" s="1"/>
  <c r="C47" i="7" s="1"/>
  <c r="C22" i="11" s="1"/>
  <c r="J36" i="7"/>
  <c r="F36" i="7"/>
  <c r="L36" i="7"/>
  <c r="K36" i="7"/>
  <c r="E41" i="7"/>
  <c r="E46" i="7" s="1"/>
  <c r="E47" i="7" s="1"/>
  <c r="E22" i="11" s="1"/>
  <c r="I36" i="7"/>
  <c r="G36" i="7"/>
  <c r="D41" i="7"/>
  <c r="L27" i="13" l="1"/>
  <c r="I27" i="13"/>
  <c r="G59" i="16"/>
  <c r="K27" i="13"/>
  <c r="H59" i="16"/>
  <c r="I46" i="16"/>
  <c r="I49" i="16" s="1"/>
  <c r="I56" i="16" s="1"/>
  <c r="I59" i="16" s="1"/>
  <c r="D5" i="20"/>
  <c r="M26" i="13"/>
  <c r="M27" i="13" s="1"/>
  <c r="P26" i="13"/>
  <c r="N26" i="13"/>
  <c r="Q26" i="13"/>
  <c r="O26" i="13"/>
  <c r="P18" i="13"/>
  <c r="J27" i="13"/>
  <c r="N18" i="13"/>
  <c r="E24" i="11"/>
  <c r="O18" i="13"/>
  <c r="O7" i="11"/>
  <c r="P14" i="11"/>
  <c r="O14" i="11"/>
  <c r="Q18" i="13"/>
  <c r="G32" i="13"/>
  <c r="G23" i="11"/>
  <c r="P7" i="11"/>
  <c r="D42" i="7"/>
  <c r="D46" i="7"/>
  <c r="D47" i="7" s="1"/>
  <c r="D22" i="11" s="1"/>
  <c r="D24" i="11" s="1"/>
  <c r="E37" i="13"/>
  <c r="E33" i="13"/>
  <c r="D37" i="13"/>
  <c r="D33" i="13"/>
  <c r="K32" i="13"/>
  <c r="K23" i="11"/>
  <c r="F32" i="13"/>
  <c r="F23" i="11"/>
  <c r="J32" i="13"/>
  <c r="J23" i="11"/>
  <c r="L32" i="13"/>
  <c r="L23" i="11"/>
  <c r="C33" i="13"/>
  <c r="C37" i="13"/>
  <c r="C38" i="13" s="1"/>
  <c r="I32" i="13"/>
  <c r="I23" i="11"/>
  <c r="C24" i="11"/>
  <c r="H32" i="13"/>
  <c r="H23" i="11"/>
  <c r="G8" i="11"/>
  <c r="G37" i="7"/>
  <c r="G15" i="11" s="1"/>
  <c r="K8" i="11"/>
  <c r="K37" i="7"/>
  <c r="K15" i="11" s="1"/>
  <c r="E42" i="7"/>
  <c r="J37" i="7"/>
  <c r="J15" i="11" s="1"/>
  <c r="J8" i="11"/>
  <c r="I8" i="11"/>
  <c r="I37" i="7"/>
  <c r="I15" i="11" s="1"/>
  <c r="L8" i="11"/>
  <c r="L37" i="7"/>
  <c r="L15" i="11" s="1"/>
  <c r="M8" i="11"/>
  <c r="F8" i="11"/>
  <c r="F37" i="7"/>
  <c r="F15" i="11" s="1"/>
  <c r="H8" i="11"/>
  <c r="H37" i="7"/>
  <c r="H15" i="11" s="1"/>
  <c r="F41" i="7"/>
  <c r="I41" i="7"/>
  <c r="I46" i="7" s="1"/>
  <c r="I47" i="7" s="1"/>
  <c r="I22" i="11" s="1"/>
  <c r="K41" i="7"/>
  <c r="K46" i="7" s="1"/>
  <c r="K47" i="7" s="1"/>
  <c r="K22" i="11" s="1"/>
  <c r="L41" i="7"/>
  <c r="L46" i="7" s="1"/>
  <c r="L47" i="7" s="1"/>
  <c r="L22" i="11" s="1"/>
  <c r="H41" i="7"/>
  <c r="H46" i="7" s="1"/>
  <c r="H47" i="7" s="1"/>
  <c r="H22" i="11" s="1"/>
  <c r="G41" i="7"/>
  <c r="J41" i="7"/>
  <c r="Q27" i="13" l="1"/>
  <c r="D7" i="20"/>
  <c r="E5" i="20"/>
  <c r="N27" i="13"/>
  <c r="O27" i="13"/>
  <c r="P27" i="13"/>
  <c r="P32" i="13"/>
  <c r="P37" i="13" s="1"/>
  <c r="M32" i="13"/>
  <c r="M33" i="13" s="1"/>
  <c r="O8" i="11"/>
  <c r="P15" i="11"/>
  <c r="H24" i="11"/>
  <c r="I24" i="11"/>
  <c r="E38" i="13"/>
  <c r="O15" i="11"/>
  <c r="O23" i="11"/>
  <c r="P8" i="11"/>
  <c r="H37" i="13"/>
  <c r="H33" i="13"/>
  <c r="D38" i="13"/>
  <c r="L24" i="11"/>
  <c r="K24" i="11"/>
  <c r="L33" i="13"/>
  <c r="L37" i="13"/>
  <c r="G42" i="7"/>
  <c r="G46" i="7"/>
  <c r="G47" i="7" s="1"/>
  <c r="G22" i="11" s="1"/>
  <c r="G24" i="11" s="1"/>
  <c r="I37" i="13"/>
  <c r="I33" i="13"/>
  <c r="J42" i="7"/>
  <c r="J46" i="7"/>
  <c r="J47" i="7" s="1"/>
  <c r="J22" i="11" s="1"/>
  <c r="J24" i="11" s="1"/>
  <c r="Q32" i="13"/>
  <c r="J37" i="13"/>
  <c r="J33" i="13"/>
  <c r="P23" i="11"/>
  <c r="N32" i="13"/>
  <c r="F42" i="7"/>
  <c r="F46" i="7"/>
  <c r="F47" i="7" s="1"/>
  <c r="F22" i="11" s="1"/>
  <c r="O32" i="13"/>
  <c r="F37" i="13"/>
  <c r="F38" i="13" s="1"/>
  <c r="F33" i="13"/>
  <c r="G37" i="13"/>
  <c r="G33" i="13"/>
  <c r="K37" i="13"/>
  <c r="K33" i="13"/>
  <c r="H42" i="7"/>
  <c r="L42" i="7"/>
  <c r="M42" i="7"/>
  <c r="I42" i="7"/>
  <c r="K42" i="7"/>
  <c r="F5" i="20" l="1"/>
  <c r="E7" i="20"/>
  <c r="G38" i="13"/>
  <c r="P33" i="13"/>
  <c r="M37" i="13"/>
  <c r="M38" i="13" s="1"/>
  <c r="I38" i="13"/>
  <c r="J38" i="13"/>
  <c r="N37" i="13"/>
  <c r="N33" i="13"/>
  <c r="O22" i="11"/>
  <c r="L38" i="13"/>
  <c r="K38" i="13"/>
  <c r="Q37" i="13"/>
  <c r="Q38" i="13" s="1"/>
  <c r="Q33" i="13"/>
  <c r="O33" i="13"/>
  <c r="O37" i="13"/>
  <c r="P38" i="13" s="1"/>
  <c r="F24" i="11"/>
  <c r="P22" i="11"/>
  <c r="H38" i="13"/>
  <c r="G5" i="20" l="1"/>
  <c r="F7" i="20"/>
  <c r="N38" i="13"/>
  <c r="P24" i="11"/>
  <c r="O24" i="11"/>
  <c r="O38" i="13"/>
  <c r="H5" i="20" l="1"/>
  <c r="G7" i="20"/>
  <c r="H7" i="20" l="1"/>
  <c r="I5" i="20"/>
  <c r="I7" i="20" s="1"/>
  <c r="I9" i="20" s="1"/>
  <c r="C20" i="20" l="1"/>
  <c r="C24" i="20" s="1"/>
  <c r="C29" i="20" s="1"/>
  <c r="I12" i="20"/>
  <c r="E9" i="16"/>
  <c r="E17" i="16" s="1"/>
  <c r="E33" i="16" l="1"/>
  <c r="E36" i="16" s="1"/>
  <c r="F42" i="16"/>
  <c r="F48" i="16" s="1"/>
  <c r="F49" i="16" s="1"/>
  <c r="F56" i="16" s="1"/>
  <c r="F59" i="16" s="1"/>
  <c r="I52" i="16" l="1"/>
  <c r="D8" i="20" s="1"/>
  <c r="E8" i="20" s="1"/>
  <c r="F8" i="20" s="1"/>
  <c r="I62" i="16"/>
  <c r="I61" i="16"/>
  <c r="I51" i="16"/>
  <c r="D9" i="20" l="1"/>
  <c r="E9" i="20"/>
  <c r="E12" i="20" s="1"/>
  <c r="F9" i="20"/>
  <c r="F12" i="20" s="1"/>
  <c r="G8" i="20"/>
  <c r="G9" i="20" l="1"/>
  <c r="G12" i="20" s="1"/>
  <c r="H8" i="20"/>
  <c r="H9" i="20" s="1"/>
  <c r="H12" i="20" s="1"/>
  <c r="C28" i="20" l="1"/>
  <c r="C30" i="20" s="1"/>
  <c r="E20" i="20" s="1"/>
  <c r="C34" i="20" l="1"/>
  <c r="C37" i="20" s="1"/>
  <c r="C40"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Ashish Chaudhari</author>
  </authors>
  <commentList>
    <comment ref="I8" authorId="0" shapeId="0" xr:uid="{D4343230-1F0B-4DED-A49A-6249E0F253B6}">
      <text>
        <r>
          <rPr>
            <b/>
            <sz val="9"/>
            <color indexed="81"/>
            <rFont val="Tahoma"/>
            <family val="2"/>
          </rPr>
          <t>Industry Rate</t>
        </r>
      </text>
    </comment>
    <comment ref="C14" authorId="0" shapeId="0" xr:uid="{26582BF1-81AD-4450-A7D0-6627728B180E}">
      <text>
        <r>
          <rPr>
            <b/>
            <sz val="9"/>
            <color indexed="81"/>
            <rFont val="Tahoma"/>
            <family val="2"/>
          </rPr>
          <t>Industry expected growth 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Ashish Chaudhari</author>
  </authors>
  <commentList>
    <comment ref="B4" authorId="0" shapeId="0" xr:uid="{7A17516C-955F-457B-BF5A-77AABF0CA1EF}">
      <text>
        <r>
          <rPr>
            <b/>
            <sz val="9"/>
            <color indexed="81"/>
            <rFont val="Tahoma"/>
            <family val="2"/>
          </rPr>
          <t xml:space="preserve">from Prime investor 
</t>
        </r>
      </text>
    </comment>
    <comment ref="F6" authorId="0" shapeId="0" xr:uid="{58FA13D9-F8AE-45C2-9070-4EE81E5ACCE5}">
      <text>
        <r>
          <rPr>
            <b/>
            <sz val="9"/>
            <color indexed="81"/>
            <rFont val="Tahoma"/>
            <family val="2"/>
          </rPr>
          <t>from Prime Investor</t>
        </r>
      </text>
    </comment>
  </commentList>
</comments>
</file>

<file path=xl/sharedStrings.xml><?xml version="1.0" encoding="utf-8"?>
<sst xmlns="http://schemas.openxmlformats.org/spreadsheetml/2006/main" count="17672" uniqueCount="8953">
  <si>
    <t>COMPANY NAME</t>
  </si>
  <si>
    <t>Sales</t>
  </si>
  <si>
    <t>Expenses</t>
  </si>
  <si>
    <t>Operating Profit</t>
  </si>
  <si>
    <t>Other Income</t>
  </si>
  <si>
    <t>Depreciation</t>
  </si>
  <si>
    <t>Interest</t>
  </si>
  <si>
    <t>Profit before tax</t>
  </si>
  <si>
    <t>Tax</t>
  </si>
  <si>
    <t>Net profit</t>
  </si>
  <si>
    <t>Sales Growth</t>
  </si>
  <si>
    <t>Equity Share Capital</t>
  </si>
  <si>
    <t>Reserves</t>
  </si>
  <si>
    <t>Total</t>
  </si>
  <si>
    <t>Net Block</t>
  </si>
  <si>
    <t>Capital Work in Progress</t>
  </si>
  <si>
    <t>Investments</t>
  </si>
  <si>
    <t>Face Value</t>
  </si>
  <si>
    <t>Cash from Operating Activity</t>
  </si>
  <si>
    <t>Cash from Investing Activity</t>
  </si>
  <si>
    <t>Cash from Financing Activity</t>
  </si>
  <si>
    <t>Net Cash Flow</t>
  </si>
  <si>
    <t>PLEASE DO NOT MAKE ANY CHANGES TO THIS SHEET</t>
  </si>
  <si>
    <t>PROFIT &amp; LOSS</t>
  </si>
  <si>
    <t>Report Date</t>
  </si>
  <si>
    <t>Quarters</t>
  </si>
  <si>
    <t>BALANCE SHEET</t>
  </si>
  <si>
    <t>CASH FLOW:</t>
  </si>
  <si>
    <t>Number of shares</t>
  </si>
  <si>
    <t>Current Price</t>
  </si>
  <si>
    <t>Inventory</t>
  </si>
  <si>
    <t>LATEST VERSION</t>
  </si>
  <si>
    <t>CURRENT VERSION</t>
  </si>
  <si>
    <t>HINDUSTAN AERONAUTICS LTD</t>
  </si>
  <si>
    <t>META</t>
  </si>
  <si>
    <t>Dividend Amount</t>
  </si>
  <si>
    <t>Borrowings</t>
  </si>
  <si>
    <t>Other Liabilities</t>
  </si>
  <si>
    <t>Other Assets</t>
  </si>
  <si>
    <t>No. of Equity Shares</t>
  </si>
  <si>
    <t>New Bonus Shares</t>
  </si>
  <si>
    <t>DERIVED:</t>
  </si>
  <si>
    <t>PRICE:</t>
  </si>
  <si>
    <t>Receivables</t>
  </si>
  <si>
    <t>Market Capitalization</t>
  </si>
  <si>
    <t>Raw Material Cost</t>
  </si>
  <si>
    <t>Change in Inventory</t>
  </si>
  <si>
    <t>Power and Fuel</t>
  </si>
  <si>
    <t>Other Mfr. Exp</t>
  </si>
  <si>
    <t>Employee Cost</t>
  </si>
  <si>
    <t>Selling and admin</t>
  </si>
  <si>
    <t>Other Expenses</t>
  </si>
  <si>
    <t>Cash &amp; Bank</t>
  </si>
  <si>
    <t>Face value</t>
  </si>
  <si>
    <t>Adjusted Equity Shares in Cr</t>
  </si>
  <si>
    <t>Years</t>
  </si>
  <si>
    <t>LTM</t>
  </si>
  <si>
    <t>#</t>
  </si>
  <si>
    <t>Income Statement</t>
  </si>
  <si>
    <t>-</t>
  </si>
  <si>
    <t>COGS</t>
  </si>
  <si>
    <t>COGS % of Sales</t>
  </si>
  <si>
    <t>Gross Profit</t>
  </si>
  <si>
    <t>EBITDA</t>
  </si>
  <si>
    <t>S&amp;G % of sales</t>
  </si>
  <si>
    <t>EBITDA % of Sales</t>
  </si>
  <si>
    <t>Interest % of Sales</t>
  </si>
  <si>
    <t>Depreciation % of Sales</t>
  </si>
  <si>
    <t>Gross Profit % of sales</t>
  </si>
  <si>
    <t>Profit Before Tax</t>
  </si>
  <si>
    <t>PBT % of sales</t>
  </si>
  <si>
    <t>Effective Tax Rate</t>
  </si>
  <si>
    <t>Net Profit</t>
  </si>
  <si>
    <t>Net Margins</t>
  </si>
  <si>
    <t>Earnings Per Share</t>
  </si>
  <si>
    <t>Dividend Per Share</t>
  </si>
  <si>
    <t>EPS growth</t>
  </si>
  <si>
    <t>DPS Growth</t>
  </si>
  <si>
    <t xml:space="preserve"># </t>
  </si>
  <si>
    <t>Balance Sheet</t>
  </si>
  <si>
    <t>Total Liabilities</t>
  </si>
  <si>
    <t>Total Assets</t>
  </si>
  <si>
    <t>Total Non Current Assets</t>
  </si>
  <si>
    <t>Non Current Assets Net Block</t>
  </si>
  <si>
    <t>Total Current Assets</t>
  </si>
  <si>
    <t>Check</t>
  </si>
  <si>
    <t>Profit from operations</t>
  </si>
  <si>
    <t>Payables</t>
  </si>
  <si>
    <t>Other WC items</t>
  </si>
  <si>
    <t>Working capital changes</t>
  </si>
  <si>
    <t>Direct taxes</t>
  </si>
  <si>
    <t>Fixed assets purchased</t>
  </si>
  <si>
    <t>Fixed assets sold</t>
  </si>
  <si>
    <t>Investments purchased</t>
  </si>
  <si>
    <t>Investments sold</t>
  </si>
  <si>
    <t>Interest received</t>
  </si>
  <si>
    <t>Dividends received</t>
  </si>
  <si>
    <t>Investment in group cos</t>
  </si>
  <si>
    <t>Other investing items</t>
  </si>
  <si>
    <t>Proceeds from borrowings</t>
  </si>
  <si>
    <t>Repayment of borrowings</t>
  </si>
  <si>
    <t>Interest paid fin</t>
  </si>
  <si>
    <t>Dividends paid</t>
  </si>
  <si>
    <t>Financial liabilities</t>
  </si>
  <si>
    <t>Other financing items</t>
  </si>
  <si>
    <t>Cash from Operating Activity -</t>
  </si>
  <si>
    <t>Cash from Investing Activity -</t>
  </si>
  <si>
    <t>Cash from Financing Activity -</t>
  </si>
  <si>
    <t>Cash Flow Statement</t>
  </si>
  <si>
    <t>PBT Growth</t>
  </si>
  <si>
    <t>Net Profit Growth</t>
  </si>
  <si>
    <t>Dividend Growth</t>
  </si>
  <si>
    <t>Gross Margin</t>
  </si>
  <si>
    <t>EBITDA Margin</t>
  </si>
  <si>
    <t>PBT Margin</t>
  </si>
  <si>
    <t>Net Profit Margin</t>
  </si>
  <si>
    <t>Operating Income (% of Sales)</t>
  </si>
  <si>
    <t>Sales Expenses   (% of Sales)</t>
  </si>
  <si>
    <t>Depreciation    (% of Sales)</t>
  </si>
  <si>
    <t>Return on Capital Employed</t>
  </si>
  <si>
    <t>Retained Earnings</t>
  </si>
  <si>
    <t>Retained Earnings %</t>
  </si>
  <si>
    <t>Return on Equity %</t>
  </si>
  <si>
    <t>Self Sustained Growth Rate</t>
  </si>
  <si>
    <t>PBIT Margin</t>
  </si>
  <si>
    <t>Selling &amp; General Expenses</t>
  </si>
  <si>
    <t>Dividend Payout Ratio</t>
  </si>
  <si>
    <t>Interest Coverage Ratio</t>
  </si>
  <si>
    <t>Debtor Turnover Ratio</t>
  </si>
  <si>
    <t>Creditor Turnover Ratio</t>
  </si>
  <si>
    <t>Inventory Turnover Ratio</t>
  </si>
  <si>
    <t>Fixed Asset Turnover Ratio</t>
  </si>
  <si>
    <t>Capital Turnover Ratio</t>
  </si>
  <si>
    <t>Payable Days</t>
  </si>
  <si>
    <t>Debtors Days</t>
  </si>
  <si>
    <t>Inventory Days</t>
  </si>
  <si>
    <t>Cash Conversion Cycle</t>
  </si>
  <si>
    <t>CFO / Sales</t>
  </si>
  <si>
    <t>CFO / Total Assets</t>
  </si>
  <si>
    <t>CFO / Total Debt</t>
  </si>
  <si>
    <t>Mean</t>
  </si>
  <si>
    <t>Median</t>
  </si>
  <si>
    <t>Trend</t>
  </si>
  <si>
    <t>Year</t>
  </si>
  <si>
    <t>Weightage</t>
  </si>
  <si>
    <t>COGS Growth</t>
  </si>
  <si>
    <t>Gross Profit Growth</t>
  </si>
  <si>
    <t>S&amp;G Growth</t>
  </si>
  <si>
    <t>EBITDA Growth</t>
  </si>
  <si>
    <t>Interest Growth</t>
  </si>
  <si>
    <t>Depreciation Growth</t>
  </si>
  <si>
    <t>Weighted Average Cost of Capital</t>
  </si>
  <si>
    <t>All figures are in INR unless stated otherwise</t>
  </si>
  <si>
    <t>Peer Comps</t>
  </si>
  <si>
    <t>Name of the Comp</t>
  </si>
  <si>
    <t>Country</t>
  </si>
  <si>
    <t xml:space="preserve">Total Debt </t>
  </si>
  <si>
    <t>Total Equity</t>
  </si>
  <si>
    <r>
      <t xml:space="preserve">Tax Rate </t>
    </r>
    <r>
      <rPr>
        <vertAlign val="superscript"/>
        <sz val="11"/>
        <color theme="1"/>
        <rFont val="Calibri"/>
        <family val="2"/>
        <scheme val="minor"/>
      </rPr>
      <t>1</t>
    </r>
  </si>
  <si>
    <t xml:space="preserve">Debt / </t>
  </si>
  <si>
    <t>Equity</t>
  </si>
  <si>
    <t>Debt /</t>
  </si>
  <si>
    <t>Capital</t>
  </si>
  <si>
    <t>Levered Beta</t>
  </si>
  <si>
    <t>Levered</t>
  </si>
  <si>
    <r>
      <t xml:space="preserve">Beta </t>
    </r>
    <r>
      <rPr>
        <vertAlign val="superscript"/>
        <sz val="11"/>
        <color theme="1"/>
        <rFont val="Calibri"/>
        <family val="2"/>
        <scheme val="minor"/>
      </rPr>
      <t>2</t>
    </r>
  </si>
  <si>
    <r>
      <t xml:space="preserve">Beta </t>
    </r>
    <r>
      <rPr>
        <vertAlign val="superscript"/>
        <sz val="11"/>
        <color theme="1"/>
        <rFont val="Calibri"/>
        <family val="2"/>
        <scheme val="minor"/>
      </rPr>
      <t>3</t>
    </r>
  </si>
  <si>
    <t>Unlevered</t>
  </si>
  <si>
    <t>Bharat Electron</t>
  </si>
  <si>
    <t>Bharat Dynamics</t>
  </si>
  <si>
    <t>Data Pattern</t>
  </si>
  <si>
    <t>Zen Technologies</t>
  </si>
  <si>
    <t>India</t>
  </si>
  <si>
    <t>Average</t>
  </si>
  <si>
    <t>Cost Of Debt</t>
  </si>
  <si>
    <t>Pre Tax Cost Of Debt</t>
  </si>
  <si>
    <t>Tax Rate</t>
  </si>
  <si>
    <t>Post Tax Cost of Debt</t>
  </si>
  <si>
    <t>Cost Of Equity</t>
  </si>
  <si>
    <t>Risk Free Rate</t>
  </si>
  <si>
    <t>Equity Risk Premium</t>
  </si>
  <si>
    <r>
      <t xml:space="preserve">Levered Beta </t>
    </r>
    <r>
      <rPr>
        <vertAlign val="superscript"/>
        <sz val="11"/>
        <color theme="1"/>
        <rFont val="Calibri"/>
        <family val="2"/>
        <scheme val="minor"/>
      </rPr>
      <t>4</t>
    </r>
  </si>
  <si>
    <t xml:space="preserve"> Capital Structure</t>
  </si>
  <si>
    <t xml:space="preserve">Current </t>
  </si>
  <si>
    <t>Target</t>
  </si>
  <si>
    <t>Total Debt</t>
  </si>
  <si>
    <t>Total Capital</t>
  </si>
  <si>
    <t>Comps Median Unlevered Beta</t>
  </si>
  <si>
    <t>Target Debt / Equity</t>
  </si>
  <si>
    <t>Debt / Equity</t>
  </si>
  <si>
    <t>Notes :</t>
  </si>
  <si>
    <t>1) Tax Rate considered as Marginal Tax Rate for the country</t>
  </si>
  <si>
    <t>2) Levered Beta is based on 5-year monthly data</t>
  </si>
  <si>
    <t xml:space="preserve">3) Unlevereed Beta = Levered Beta / (1+(1-Tax rate)*Debt/Equity) </t>
  </si>
  <si>
    <t xml:space="preserve">4) Levereed Beta = Unlevered Beta *(1+(1-Tax rate)*Debt/Equity) </t>
  </si>
  <si>
    <t xml:space="preserve"> </t>
  </si>
  <si>
    <t>Date</t>
  </si>
  <si>
    <t>Price</t>
  </si>
  <si>
    <t>Open</t>
  </si>
  <si>
    <t>High</t>
  </si>
  <si>
    <t>Low</t>
  </si>
  <si>
    <t>Vol.</t>
  </si>
  <si>
    <t>Change %</t>
  </si>
  <si>
    <t>7.46M</t>
  </si>
  <si>
    <t>8.00M</t>
  </si>
  <si>
    <t>10.00M</t>
  </si>
  <si>
    <t>24.34M</t>
  </si>
  <si>
    <t>44.98M</t>
  </si>
  <si>
    <t>50.51M</t>
  </si>
  <si>
    <t>40.91M</t>
  </si>
  <si>
    <t>31.25M</t>
  </si>
  <si>
    <t>20.14M</t>
  </si>
  <si>
    <t>35.43M</t>
  </si>
  <si>
    <t>22.45M</t>
  </si>
  <si>
    <t>32.60M</t>
  </si>
  <si>
    <t>46.04M</t>
  </si>
  <si>
    <t>38.36M</t>
  </si>
  <si>
    <t>46.06M</t>
  </si>
  <si>
    <t>38.01M</t>
  </si>
  <si>
    <t>50.27M</t>
  </si>
  <si>
    <t>58.26M</t>
  </si>
  <si>
    <t>33.81M</t>
  </si>
  <si>
    <t>51.48M</t>
  </si>
  <si>
    <t>30.46M</t>
  </si>
  <si>
    <t>26.07M</t>
  </si>
  <si>
    <t>49.59M</t>
  </si>
  <si>
    <t>87.83M</t>
  </si>
  <si>
    <t>24.50M</t>
  </si>
  <si>
    <t>65.25M</t>
  </si>
  <si>
    <t>100.07M</t>
  </si>
  <si>
    <t>44.04M</t>
  </si>
  <si>
    <t>40.61M</t>
  </si>
  <si>
    <t>34.46M</t>
  </si>
  <si>
    <t>21.61M</t>
  </si>
  <si>
    <t>40.77M</t>
  </si>
  <si>
    <t>43.24M</t>
  </si>
  <si>
    <t>35.26M</t>
  </si>
  <si>
    <t>37.60M</t>
  </si>
  <si>
    <t>37.31M</t>
  </si>
  <si>
    <t>41.94M</t>
  </si>
  <si>
    <t>78.35M</t>
  </si>
  <si>
    <t>106.04M</t>
  </si>
  <si>
    <t>69.64M</t>
  </si>
  <si>
    <t>39.41M</t>
  </si>
  <si>
    <t>38.45M</t>
  </si>
  <si>
    <t>32.51M</t>
  </si>
  <si>
    <t>29.98M</t>
  </si>
  <si>
    <t>28.07M</t>
  </si>
  <si>
    <t>37.44M</t>
  </si>
  <si>
    <t>41.27M</t>
  </si>
  <si>
    <t>47.18M</t>
  </si>
  <si>
    <t>46.60M</t>
  </si>
  <si>
    <t>68.35M</t>
  </si>
  <si>
    <t>36.75M</t>
  </si>
  <si>
    <t>23.13M</t>
  </si>
  <si>
    <t>25.66M</t>
  </si>
  <si>
    <t>26.75M</t>
  </si>
  <si>
    <t>17.69M</t>
  </si>
  <si>
    <t>21.89M</t>
  </si>
  <si>
    <t>15.49M</t>
  </si>
  <si>
    <t>Closing Price</t>
  </si>
  <si>
    <t>Returns</t>
  </si>
  <si>
    <t>Index</t>
  </si>
  <si>
    <t>9.64B</t>
  </si>
  <si>
    <t>10.27B</t>
  </si>
  <si>
    <t>8.08B</t>
  </si>
  <si>
    <t>6.00B</t>
  </si>
  <si>
    <t>6.35B</t>
  </si>
  <si>
    <t>6.96B</t>
  </si>
  <si>
    <t>7.65B</t>
  </si>
  <si>
    <t>5.85B</t>
  </si>
  <si>
    <t>5.50B</t>
  </si>
  <si>
    <t>5.44B</t>
  </si>
  <si>
    <t>5.62B</t>
  </si>
  <si>
    <t>7.96B</t>
  </si>
  <si>
    <t>5.66B</t>
  </si>
  <si>
    <t>6.34B</t>
  </si>
  <si>
    <t>5.51B</t>
  </si>
  <si>
    <t>5.48B</t>
  </si>
  <si>
    <t>5.59B</t>
  </si>
  <si>
    <t>6.90B</t>
  </si>
  <si>
    <t>4.54B</t>
  </si>
  <si>
    <t>5.26B</t>
  </si>
  <si>
    <t>4.74B</t>
  </si>
  <si>
    <t>5.63B</t>
  </si>
  <si>
    <t>5.69B</t>
  </si>
  <si>
    <t>4.46B</t>
  </si>
  <si>
    <t>5.74B</t>
  </si>
  <si>
    <t>5.14B</t>
  </si>
  <si>
    <t>5.80B</t>
  </si>
  <si>
    <t>6.25B</t>
  </si>
  <si>
    <t>5.67B</t>
  </si>
  <si>
    <t>4.25B</t>
  </si>
  <si>
    <t>4.42B</t>
  </si>
  <si>
    <t>6.12B</t>
  </si>
  <si>
    <t>6.82B</t>
  </si>
  <si>
    <t>6.73B</t>
  </si>
  <si>
    <t>6.74B</t>
  </si>
  <si>
    <t>6.28B</t>
  </si>
  <si>
    <t>6.71B</t>
  </si>
  <si>
    <t>7.75B</t>
  </si>
  <si>
    <t>7.09B</t>
  </si>
  <si>
    <t>6.33B</t>
  </si>
  <si>
    <t>6.16B</t>
  </si>
  <si>
    <t>5.89B</t>
  </si>
  <si>
    <t>5.45B</t>
  </si>
  <si>
    <t>6.46B</t>
  </si>
  <si>
    <t>5.65B</t>
  </si>
  <si>
    <t>6.24B</t>
  </si>
  <si>
    <t>7.66B</t>
  </si>
  <si>
    <t>8.55B</t>
  </si>
  <si>
    <t>7.06B</t>
  </si>
  <si>
    <t>5.87B</t>
  </si>
  <si>
    <t>5.98B</t>
  </si>
  <si>
    <t>4.16B</t>
  </si>
  <si>
    <t>Nifty 50 Monthly Returns</t>
  </si>
  <si>
    <r>
      <t xml:space="preserve">Beta </t>
    </r>
    <r>
      <rPr>
        <vertAlign val="superscript"/>
        <sz val="11"/>
        <color theme="1"/>
        <rFont val="Calibri"/>
        <family val="2"/>
        <scheme val="minor"/>
      </rPr>
      <t>1</t>
    </r>
  </si>
  <si>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</si>
  <si>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</si>
  <si>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</si>
  <si>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</si>
  <si>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</si>
  <si>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</si>
  <si>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</si>
  <si>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</si>
  <si>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</si>
  <si>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</si>
  <si>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</si>
  <si>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</si>
  <si>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</si>
  <si>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</si>
  <si>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</si>
  <si>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</si>
  <si>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</si>
  <si>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</si>
  <si>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</si>
  <si>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</si>
  <si>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</si>
  <si>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</si>
  <si>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</si>
  <si>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</si>
  <si>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Beta Drifting</t>
  </si>
  <si>
    <t>Levered Raw Beta</t>
  </si>
  <si>
    <t>Beta Weight</t>
  </si>
  <si>
    <t>Market Beta Weight</t>
  </si>
  <si>
    <t>Market Beta</t>
  </si>
  <si>
    <t>Ajusted Beta</t>
  </si>
  <si>
    <t>Regression Beta - 5 years Monthly</t>
  </si>
  <si>
    <t>583.25M</t>
  </si>
  <si>
    <t>1.51B</t>
  </si>
  <si>
    <t>1.19B</t>
  </si>
  <si>
    <t>588.86M</t>
  </si>
  <si>
    <t>573.74M</t>
  </si>
  <si>
    <t>472.30M</t>
  </si>
  <si>
    <t>399.39M</t>
  </si>
  <si>
    <t>409.65M</t>
  </si>
  <si>
    <t>367.60M</t>
  </si>
  <si>
    <t>408.05M</t>
  </si>
  <si>
    <t>382.51M</t>
  </si>
  <si>
    <t>592.57M</t>
  </si>
  <si>
    <t>756.72M</t>
  </si>
  <si>
    <t>344.67M</t>
  </si>
  <si>
    <t>341.21M</t>
  </si>
  <si>
    <t>539.96M</t>
  </si>
  <si>
    <t>522.63M</t>
  </si>
  <si>
    <t>611.10M</t>
  </si>
  <si>
    <t>301.76M</t>
  </si>
  <si>
    <t>378.82M</t>
  </si>
  <si>
    <t>320.36M</t>
  </si>
  <si>
    <t>326.42M</t>
  </si>
  <si>
    <t>311.95M</t>
  </si>
  <si>
    <t>308.58M</t>
  </si>
  <si>
    <t>189.55M</t>
  </si>
  <si>
    <t>247.49M</t>
  </si>
  <si>
    <t>415.25M</t>
  </si>
  <si>
    <t>319.21M</t>
  </si>
  <si>
    <t>297.22M</t>
  </si>
  <si>
    <t>378.94M</t>
  </si>
  <si>
    <t>218.71M</t>
  </si>
  <si>
    <t>227.93M</t>
  </si>
  <si>
    <t>561.74M</t>
  </si>
  <si>
    <t>403.20M</t>
  </si>
  <si>
    <t>548.30M</t>
  </si>
  <si>
    <t>586.45M</t>
  </si>
  <si>
    <t>642.12M</t>
  </si>
  <si>
    <t>973.65M</t>
  </si>
  <si>
    <t>1.27B</t>
  </si>
  <si>
    <t>884.04M</t>
  </si>
  <si>
    <t>438.95M</t>
  </si>
  <si>
    <t>641.59M</t>
  </si>
  <si>
    <t>423.59M</t>
  </si>
  <si>
    <t>435.76M</t>
  </si>
  <si>
    <t>322.79M</t>
  </si>
  <si>
    <t>394.15M</t>
  </si>
  <si>
    <t>474.50M</t>
  </si>
  <si>
    <t>449.95M</t>
  </si>
  <si>
    <t>447.26M</t>
  </si>
  <si>
    <t>775.78M</t>
  </si>
  <si>
    <t>608.12M</t>
  </si>
  <si>
    <t>360.71M</t>
  </si>
  <si>
    <t>228.73M</t>
  </si>
  <si>
    <t>331.26M</t>
  </si>
  <si>
    <t>303.50M</t>
  </si>
  <si>
    <t>249.13M</t>
  </si>
  <si>
    <t>189.93M</t>
  </si>
  <si>
    <t>22.15M</t>
  </si>
  <si>
    <t>28.64M</t>
  </si>
  <si>
    <t>21.44M</t>
  </si>
  <si>
    <t>34.89M</t>
  </si>
  <si>
    <t>35.61M</t>
  </si>
  <si>
    <t>43.18M</t>
  </si>
  <si>
    <t>63.61M</t>
  </si>
  <si>
    <t>127.57M</t>
  </si>
  <si>
    <t>43.15M</t>
  </si>
  <si>
    <t>33.99M</t>
  </si>
  <si>
    <t>25.70M</t>
  </si>
  <si>
    <t>24.43M</t>
  </si>
  <si>
    <t>16.77M</t>
  </si>
  <si>
    <t>14.74M</t>
  </si>
  <si>
    <t>15.33M</t>
  </si>
  <si>
    <t>19.13M</t>
  </si>
  <si>
    <t>24.79M</t>
  </si>
  <si>
    <t>68.32M</t>
  </si>
  <si>
    <t>74.42M</t>
  </si>
  <si>
    <t>95.74M</t>
  </si>
  <si>
    <t>53.23M</t>
  </si>
  <si>
    <t>30.41M</t>
  </si>
  <si>
    <t>59.35M</t>
  </si>
  <si>
    <t>33.53M</t>
  </si>
  <si>
    <t>82.19M</t>
  </si>
  <si>
    <t>29.51M</t>
  </si>
  <si>
    <t>20.08M</t>
  </si>
  <si>
    <t>35.10M</t>
  </si>
  <si>
    <t>16.64M</t>
  </si>
  <si>
    <t>41.76M</t>
  </si>
  <si>
    <t>35.19M</t>
  </si>
  <si>
    <t>26.85M</t>
  </si>
  <si>
    <t>19.49M</t>
  </si>
  <si>
    <t>35.77M</t>
  </si>
  <si>
    <t>72.79M</t>
  </si>
  <si>
    <t>15.61M</t>
  </si>
  <si>
    <t>30.51M</t>
  </si>
  <si>
    <t>41.20M</t>
  </si>
  <si>
    <t>47.95M</t>
  </si>
  <si>
    <t>89.91M</t>
  </si>
  <si>
    <t>53.84M</t>
  </si>
  <si>
    <t>35.52M</t>
  </si>
  <si>
    <t>74.09M</t>
  </si>
  <si>
    <t>67.36M</t>
  </si>
  <si>
    <t>132.00M</t>
  </si>
  <si>
    <t>39.96M</t>
  </si>
  <si>
    <t>26.45M</t>
  </si>
  <si>
    <t>22.42M</t>
  </si>
  <si>
    <t>6.51M</t>
  </si>
  <si>
    <t>12.45M</t>
  </si>
  <si>
    <t>21.08M</t>
  </si>
  <si>
    <t>8.96M</t>
  </si>
  <si>
    <t>14.89M</t>
  </si>
  <si>
    <t>28.41M</t>
  </si>
  <si>
    <t>11.82M</t>
  </si>
  <si>
    <t>10.26M</t>
  </si>
  <si>
    <t>5.10M</t>
  </si>
  <si>
    <t>12.14M</t>
  </si>
  <si>
    <t>4.42M</t>
  </si>
  <si>
    <t>5.07M</t>
  </si>
  <si>
    <t>8.81M</t>
  </si>
  <si>
    <t>3.62M</t>
  </si>
  <si>
    <t>2.30M</t>
  </si>
  <si>
    <t>2.36M</t>
  </si>
  <si>
    <t>6.37M</t>
  </si>
  <si>
    <t>6.54M</t>
  </si>
  <si>
    <t>6.81M</t>
  </si>
  <si>
    <t>5.25M</t>
  </si>
  <si>
    <t>3.20M</t>
  </si>
  <si>
    <t>3.94M</t>
  </si>
  <si>
    <t>2.83M</t>
  </si>
  <si>
    <t>6.38M</t>
  </si>
  <si>
    <t>4.92M</t>
  </si>
  <si>
    <t>5.53M</t>
  </si>
  <si>
    <t>6.01M</t>
  </si>
  <si>
    <t>7.08M</t>
  </si>
  <si>
    <t>2.18M</t>
  </si>
  <si>
    <t>3.06M</t>
  </si>
  <si>
    <t>2.39M</t>
  </si>
  <si>
    <t>3.70M</t>
  </si>
  <si>
    <t>14.36M</t>
  </si>
  <si>
    <t>8.09M</t>
  </si>
  <si>
    <t>12.33M</t>
  </si>
  <si>
    <t>11.50M</t>
  </si>
  <si>
    <t>12.09M</t>
  </si>
  <si>
    <t>19.99M</t>
  </si>
  <si>
    <t>4.91M</t>
  </si>
  <si>
    <t>4.43M</t>
  </si>
  <si>
    <t>8.08M</t>
  </si>
  <si>
    <t>4.44M</t>
  </si>
  <si>
    <t>4.29M</t>
  </si>
  <si>
    <t>3.02M</t>
  </si>
  <si>
    <t>14.01M</t>
  </si>
  <si>
    <t>54.11M</t>
  </si>
  <si>
    <t>35.53M</t>
  </si>
  <si>
    <t>30.64M</t>
  </si>
  <si>
    <t>19.76M</t>
  </si>
  <si>
    <t>5.19M</t>
  </si>
  <si>
    <t>5.30M</t>
  </si>
  <si>
    <t>6.71M</t>
  </si>
  <si>
    <t>7.01M</t>
  </si>
  <si>
    <t>18.25M</t>
  </si>
  <si>
    <t>5.72M</t>
  </si>
  <si>
    <t>3.49M</t>
  </si>
  <si>
    <t>5.99M</t>
  </si>
  <si>
    <t>52.34M</t>
  </si>
  <si>
    <t>55.09M</t>
  </si>
  <si>
    <t>29.20M</t>
  </si>
  <si>
    <t>34.21M</t>
  </si>
  <si>
    <t>30.93M</t>
  </si>
  <si>
    <t>39.87M</t>
  </si>
  <si>
    <t>47.09M</t>
  </si>
  <si>
    <t>30.05M</t>
  </si>
  <si>
    <t>20.60M</t>
  </si>
  <si>
    <t>16.05M</t>
  </si>
  <si>
    <t>15.74M</t>
  </si>
  <si>
    <t>19.62M</t>
  </si>
  <si>
    <t>9.02M</t>
  </si>
  <si>
    <t>11.44M</t>
  </si>
  <si>
    <t>31.31M</t>
  </si>
  <si>
    <t>21.41M</t>
  </si>
  <si>
    <t>15.69M</t>
  </si>
  <si>
    <t>11.41M</t>
  </si>
  <si>
    <t>23.42M</t>
  </si>
  <si>
    <t>29.08M</t>
  </si>
  <si>
    <t>65.32M</t>
  </si>
  <si>
    <t>25.27M</t>
  </si>
  <si>
    <t>12.88M</t>
  </si>
  <si>
    <t>76.46M</t>
  </si>
  <si>
    <t>33.57M</t>
  </si>
  <si>
    <t>71.99M</t>
  </si>
  <si>
    <t>31.71M</t>
  </si>
  <si>
    <t>33.27M</t>
  </si>
  <si>
    <t>27.00M</t>
  </si>
  <si>
    <t>19.30M</t>
  </si>
  <si>
    <t>59.17M</t>
  </si>
  <si>
    <t>23.18M</t>
  </si>
  <si>
    <t>27.40M</t>
  </si>
  <si>
    <t>32.15M</t>
  </si>
  <si>
    <t>14.44M</t>
  </si>
  <si>
    <t>28.81M</t>
  </si>
  <si>
    <t>37.32M</t>
  </si>
  <si>
    <t>19.18M</t>
  </si>
  <si>
    <t>16.40M</t>
  </si>
  <si>
    <t>13.77M</t>
  </si>
  <si>
    <t>10.73M</t>
  </si>
  <si>
    <t>12.72M</t>
  </si>
  <si>
    <t>64.14M</t>
  </si>
  <si>
    <t>55.86M</t>
  </si>
  <si>
    <t>35.87M</t>
  </si>
  <si>
    <t>23.32M</t>
  </si>
  <si>
    <t>34.13M</t>
  </si>
  <si>
    <t>13.66M</t>
  </si>
  <si>
    <t>16.92M</t>
  </si>
  <si>
    <t>6.64M</t>
  </si>
  <si>
    <t>10.27M</t>
  </si>
  <si>
    <t>8.14M</t>
  </si>
  <si>
    <t>10.67M</t>
  </si>
  <si>
    <t>4.79M</t>
  </si>
  <si>
    <t>Annual</t>
  </si>
  <si>
    <t>Return on Market</t>
  </si>
  <si>
    <t>Average Returns</t>
  </si>
  <si>
    <t>Dividend Yield</t>
  </si>
  <si>
    <r>
      <t>1.35%</t>
    </r>
    <r>
      <rPr>
        <vertAlign val="superscript"/>
        <sz val="11"/>
        <color theme="1"/>
        <rFont val="Calibri"/>
        <family val="2"/>
        <scheme val="minor"/>
      </rPr>
      <t>1</t>
    </r>
  </si>
  <si>
    <t>Total Market Return</t>
  </si>
  <si>
    <t>Cost of Equity</t>
  </si>
  <si>
    <t>Equity Weight</t>
  </si>
  <si>
    <t>Cost of Debt</t>
  </si>
  <si>
    <t>Debt Weight</t>
  </si>
  <si>
    <t>WACC</t>
  </si>
  <si>
    <t>Particulars</t>
  </si>
  <si>
    <t>Common Size Statement Income Statement</t>
  </si>
  <si>
    <t>Common Size Statement Balance Sheett</t>
  </si>
  <si>
    <t>Equity Capital</t>
  </si>
  <si>
    <t>Long term Borrowings</t>
  </si>
  <si>
    <t>Short term Borrowings</t>
  </si>
  <si>
    <t>Lease Liabilities</t>
  </si>
  <si>
    <t>Other Borrowings</t>
  </si>
  <si>
    <t>Non controlling int</t>
  </si>
  <si>
    <t>Trade Payables</t>
  </si>
  <si>
    <t>Advance from Customers</t>
  </si>
  <si>
    <t>Other liability items</t>
  </si>
  <si>
    <t>Land</t>
  </si>
  <si>
    <t>Building</t>
  </si>
  <si>
    <t>Plant Machinery</t>
  </si>
  <si>
    <t>Equipments</t>
  </si>
  <si>
    <t>Furniture n fittings</t>
  </si>
  <si>
    <t>Railway sidings</t>
  </si>
  <si>
    <t>Vehicles</t>
  </si>
  <si>
    <t>Intangible Assets</t>
  </si>
  <si>
    <t>Other fixed assets</t>
  </si>
  <si>
    <t>Gross Block</t>
  </si>
  <si>
    <t>Accumulated Depreciation</t>
  </si>
  <si>
    <t>CWIP</t>
  </si>
  <si>
    <t>Inventories</t>
  </si>
  <si>
    <t>Cash Equivalents</t>
  </si>
  <si>
    <t>Loans n Advances</t>
  </si>
  <si>
    <t>Other asset items</t>
  </si>
  <si>
    <t>Calculation Of ROIC</t>
  </si>
  <si>
    <t>Current Assets</t>
  </si>
  <si>
    <t>Current Liabilities</t>
  </si>
  <si>
    <t>Net Working Capital</t>
  </si>
  <si>
    <t>Non Current Assets</t>
  </si>
  <si>
    <t>Net Non Current Assets</t>
  </si>
  <si>
    <t>Invested Capital</t>
  </si>
  <si>
    <t>EBIT</t>
  </si>
  <si>
    <t>Return on Invested Capital</t>
  </si>
  <si>
    <t>Total Current Liabilities</t>
  </si>
  <si>
    <t>Calculation Of Reinvestment Rate</t>
  </si>
  <si>
    <t>Trade receivables </t>
  </si>
  <si>
    <r>
      <t>Cash from Operating Activity </t>
    </r>
    <r>
      <rPr>
        <sz val="12"/>
        <color rgb="FF665EFD"/>
        <rFont val="Calibri"/>
        <family val="2"/>
        <scheme val="minor"/>
      </rPr>
      <t>-</t>
    </r>
  </si>
  <si>
    <r>
      <t>Borrowings </t>
    </r>
    <r>
      <rPr>
        <sz val="12"/>
        <color rgb="FF665EFD"/>
        <rFont val="Calibri"/>
        <family val="2"/>
        <scheme val="minor"/>
      </rPr>
      <t>-</t>
    </r>
  </si>
  <si>
    <r>
      <t>Other Liabilities </t>
    </r>
    <r>
      <rPr>
        <sz val="12"/>
        <color rgb="FF665EFD"/>
        <rFont val="Calibri"/>
        <family val="2"/>
        <scheme val="minor"/>
      </rPr>
      <t>-</t>
    </r>
  </si>
  <si>
    <r>
      <t>Cash from Investing Activity </t>
    </r>
    <r>
      <rPr>
        <sz val="12"/>
        <color rgb="FF665EFD"/>
        <rFont val="Calibri"/>
        <family val="2"/>
        <scheme val="minor"/>
      </rPr>
      <t>-</t>
    </r>
  </si>
  <si>
    <r>
      <t>Fixed Assets </t>
    </r>
    <r>
      <rPr>
        <sz val="12"/>
        <color rgb="FF665EFD"/>
        <rFont val="Calibri"/>
        <family val="2"/>
        <scheme val="minor"/>
      </rPr>
      <t>-</t>
    </r>
  </si>
  <si>
    <r>
      <t>Cash from Financing Activity </t>
    </r>
    <r>
      <rPr>
        <sz val="12"/>
        <color rgb="FF665EFD"/>
        <rFont val="Calibri"/>
        <family val="2"/>
        <scheme val="minor"/>
      </rPr>
      <t>-</t>
    </r>
  </si>
  <si>
    <r>
      <t>Other Assets </t>
    </r>
    <r>
      <rPr>
        <sz val="12"/>
        <color rgb="FF665EFD"/>
        <rFont val="Calibri"/>
        <family val="2"/>
        <scheme val="minor"/>
      </rPr>
      <t>-</t>
    </r>
  </si>
  <si>
    <t>From Investing.com</t>
  </si>
  <si>
    <t>Net Capex</t>
  </si>
  <si>
    <t>Change in Working Capital</t>
  </si>
  <si>
    <t>Marginal Tax Rate</t>
  </si>
  <si>
    <t>Reinvestment</t>
  </si>
  <si>
    <t>Reinvestment Rate</t>
  </si>
  <si>
    <t>EBIT (1-T)</t>
  </si>
  <si>
    <t>4 year Average</t>
  </si>
  <si>
    <t>4 year Median</t>
  </si>
  <si>
    <t xml:space="preserve">Calculation of Growth Rate  </t>
  </si>
  <si>
    <t>Intrinsic Growth</t>
  </si>
  <si>
    <t>Calculation of PV of FCFF</t>
  </si>
  <si>
    <t>EBIT(1-T)</t>
  </si>
  <si>
    <t>Less : Reinvestment Rate</t>
  </si>
  <si>
    <t>Free Cash Flow to Firm</t>
  </si>
  <si>
    <t>Mid Year Convention</t>
  </si>
  <si>
    <t>Discounting Factor</t>
  </si>
  <si>
    <t>PV of FCFF</t>
  </si>
  <si>
    <t>Expected Growth</t>
  </si>
  <si>
    <t>Terminal Growth</t>
  </si>
  <si>
    <t>Calculation of Terminal Value</t>
  </si>
  <si>
    <t>FCFF (n+1)</t>
  </si>
  <si>
    <t>Terminal Growth Rate</t>
  </si>
  <si>
    <t>Terminal Value</t>
  </si>
  <si>
    <t>Calculation of Equity Value</t>
  </si>
  <si>
    <t>PV of Termial Value</t>
  </si>
  <si>
    <t>Value of Operating Assets</t>
  </si>
  <si>
    <t>Add : Cash</t>
  </si>
  <si>
    <t>Less : Debt</t>
  </si>
  <si>
    <t>Value of Equity</t>
  </si>
  <si>
    <t>No. of Shares</t>
  </si>
  <si>
    <t>Equity Value per Share</t>
  </si>
  <si>
    <t>Share Price</t>
  </si>
  <si>
    <t>Discount / Premium</t>
  </si>
  <si>
    <t>S.No.</t>
  </si>
  <si>
    <t>Name</t>
  </si>
  <si>
    <t>Hind.Aeronautics</t>
  </si>
  <si>
    <t>Apollo Micro Sys</t>
  </si>
  <si>
    <t>Comparable Company Valuation</t>
  </si>
  <si>
    <t>Company</t>
  </si>
  <si>
    <t>Shares Outstanding</t>
  </si>
  <si>
    <t>Equity Value</t>
  </si>
  <si>
    <t>Net Debt</t>
  </si>
  <si>
    <t>Enterprise Value</t>
  </si>
  <si>
    <t>Market Data</t>
  </si>
  <si>
    <t>Financials</t>
  </si>
  <si>
    <t>Valuation</t>
  </si>
  <si>
    <t>Revenue</t>
  </si>
  <si>
    <t>Net Income</t>
  </si>
  <si>
    <t>CMP Rs.</t>
  </si>
  <si>
    <t>Mar Cap Rs.Cr.</t>
  </si>
  <si>
    <t>Debt Rs.Cr.</t>
  </si>
  <si>
    <t>No. Eq. Shares Cr.</t>
  </si>
  <si>
    <t>Cash End Rs.Cr.</t>
  </si>
  <si>
    <t>EV Rs.Cr.</t>
  </si>
  <si>
    <t>Eq Cap Rs.Cr.</t>
  </si>
  <si>
    <t>Sales Rs.Cr.</t>
  </si>
  <si>
    <t>EBIT 12M Rs.Cr.</t>
  </si>
  <si>
    <t>Dep 12M Rs.Cr.</t>
  </si>
  <si>
    <t>NP 12M Rs.Cr.</t>
  </si>
  <si>
    <t>EV/Revenue</t>
  </si>
  <si>
    <t>EV/EBITDA</t>
  </si>
  <si>
    <t>P/E</t>
  </si>
  <si>
    <t>Implied Enterprise Value</t>
  </si>
  <si>
    <t>Implied Market Value</t>
  </si>
  <si>
    <t>Implied Value Per Share</t>
  </si>
  <si>
    <t>Source : Screener.in</t>
  </si>
  <si>
    <t>Amount in Crores</t>
  </si>
  <si>
    <r>
      <t>75</t>
    </r>
    <r>
      <rPr>
        <vertAlign val="superscript"/>
        <sz val="12"/>
        <color theme="1"/>
        <rFont val="Calibri"/>
        <family val="2"/>
        <scheme val="minor"/>
      </rPr>
      <t>th</t>
    </r>
    <r>
      <rPr>
        <sz val="12"/>
        <color theme="1"/>
        <rFont val="Calibri"/>
        <family val="2"/>
        <scheme val="minor"/>
      </rPr>
      <t xml:space="preserve"> Percentile</t>
    </r>
  </si>
  <si>
    <r>
      <t>25</t>
    </r>
    <r>
      <rPr>
        <vertAlign val="superscript"/>
        <sz val="12"/>
        <color theme="1"/>
        <rFont val="Calibri"/>
        <family val="2"/>
        <scheme val="minor"/>
      </rPr>
      <t>th</t>
    </r>
    <r>
      <rPr>
        <sz val="12"/>
        <color theme="1"/>
        <rFont val="Calibri"/>
        <family val="2"/>
        <scheme val="minor"/>
      </rPr>
      <t xml:space="preserve"> Percentile</t>
    </r>
  </si>
  <si>
    <t xml:space="preserve">Relative Valuation </t>
  </si>
  <si>
    <t>Sensitivity Analysis</t>
  </si>
  <si>
    <t xml:space="preserve">Calculation of Value at Risk </t>
  </si>
  <si>
    <t>Regression Beta - 5  years Monthly</t>
  </si>
  <si>
    <t>Sorted Returns</t>
  </si>
  <si>
    <t>Replication</t>
  </si>
  <si>
    <t>Simulated Returns</t>
  </si>
  <si>
    <t>Historical Approach</t>
  </si>
  <si>
    <t>Standard Deviation</t>
  </si>
  <si>
    <t>Min</t>
  </si>
  <si>
    <t>Max</t>
  </si>
  <si>
    <t>Percentile</t>
  </si>
  <si>
    <t>VaR %</t>
  </si>
  <si>
    <t>CMP</t>
  </si>
  <si>
    <t>Stock  Price</t>
  </si>
  <si>
    <t>Var INR</t>
  </si>
  <si>
    <t>Confidence Level</t>
  </si>
  <si>
    <t>Monta Carlo Simulation</t>
  </si>
  <si>
    <t>SETFNIF50</t>
  </si>
  <si>
    <t>SBI-ETF NIFTY 50</t>
  </si>
  <si>
    <t>SETFNIFBK</t>
  </si>
  <si>
    <t>SBI-ETF NIFTY BANK</t>
  </si>
  <si>
    <t>KOTAKBKETF</t>
  </si>
  <si>
    <t>Kotak Banking ETF - Dividend Payout Option</t>
  </si>
  <si>
    <t>Hotels &amp; Resorts</t>
  </si>
  <si>
    <t>SILVERPRL</t>
  </si>
  <si>
    <t>Silver Pearl Hospitality &amp; Luxury Spaces Ltd</t>
  </si>
  <si>
    <t>Business Process Outsourcing (BPO)/ Knowledge Process Outsourcing (KPO)</t>
  </si>
  <si>
    <t>WEWIN</t>
  </si>
  <si>
    <t>We Win Ltd</t>
  </si>
  <si>
    <t>Specialty Chemicals</t>
  </si>
  <si>
    <t>AETHER</t>
  </si>
  <si>
    <t>Aether Industries Ltd</t>
  </si>
  <si>
    <t>IT Enabled Services</t>
  </si>
  <si>
    <t>EMUDHRA</t>
  </si>
  <si>
    <t>eMudhra Ltd</t>
  </si>
  <si>
    <t>Gems- Jewellery And Watches</t>
  </si>
  <si>
    <t>ETHOSLTD</t>
  </si>
  <si>
    <t>Ethos Ltd</t>
  </si>
  <si>
    <t>Other Agricultural Products</t>
  </si>
  <si>
    <t>TIERRA</t>
  </si>
  <si>
    <t>Tierra Agrotech Ltd</t>
  </si>
  <si>
    <t>Fertilizers</t>
  </si>
  <si>
    <t>PARADEEP</t>
  </si>
  <si>
    <t>Paradeep Phosphates Ltd</t>
  </si>
  <si>
    <t>Logistics Solution Provider</t>
  </si>
  <si>
    <t>DELHIVERY</t>
  </si>
  <si>
    <t>Delhivery Ltd</t>
  </si>
  <si>
    <t>Iron &amp; Steel Products</t>
  </si>
  <si>
    <t>VENUSPIPES</t>
  </si>
  <si>
    <t>Venus Pipes &amp; Tubes Ltd</t>
  </si>
  <si>
    <t>Financial Products Distributor</t>
  </si>
  <si>
    <t>PRUDENT</t>
  </si>
  <si>
    <t>Prudent Corporate Advisory Services Ltd</t>
  </si>
  <si>
    <t>Life Insurance</t>
  </si>
  <si>
    <t>LICI</t>
  </si>
  <si>
    <t>Life Insurance Corporation of India</t>
  </si>
  <si>
    <t>SILVERTUC</t>
  </si>
  <si>
    <t>Silver Touch Technologies Ltd</t>
  </si>
  <si>
    <t>Hospital</t>
  </si>
  <si>
    <t>RAINBOW</t>
  </si>
  <si>
    <t>Rainbow Children's Medicare Ltd</t>
  </si>
  <si>
    <t>Footwear</t>
  </si>
  <si>
    <t>CAMPUS</t>
  </si>
  <si>
    <t>Campus Activewear Ltd</t>
  </si>
  <si>
    <t>Precious Metals</t>
  </si>
  <si>
    <t>NVENTURES</t>
  </si>
  <si>
    <t>Nanavati Ventures Ltd</t>
  </si>
  <si>
    <t>E-Retail/ E-Commerce</t>
  </si>
  <si>
    <t>FONE4</t>
  </si>
  <si>
    <t>Fone4 Communications (India) Ltd</t>
  </si>
  <si>
    <t>GLHRL</t>
  </si>
  <si>
    <t>Global Longlife Hospital and Research Ltd</t>
  </si>
  <si>
    <t>Furniture- Home Furnishing- Flooring</t>
  </si>
  <si>
    <t>SFSL</t>
  </si>
  <si>
    <t>Shashwat Furnishing Solutions Ltd</t>
  </si>
  <si>
    <t>EIGHTY</t>
  </si>
  <si>
    <t>Eighty Jewellers Ltd</t>
  </si>
  <si>
    <t>HARIOMPIPE</t>
  </si>
  <si>
    <t>Hariom Pipe Industries Ltd</t>
  </si>
  <si>
    <t>Trading &amp; Distributors</t>
  </si>
  <si>
    <t>DHYAANI</t>
  </si>
  <si>
    <t>Dhyaani Tile and Marblez Ltd</t>
  </si>
  <si>
    <t>SEML</t>
  </si>
  <si>
    <t>Sunrise Efficient Marketing Ltd</t>
  </si>
  <si>
    <t>E-Learning</t>
  </si>
  <si>
    <t>VERANDA</t>
  </si>
  <si>
    <t>Veranda Learning Solutions Ltd</t>
  </si>
  <si>
    <t>UMAEXPORTS</t>
  </si>
  <si>
    <t>Uma Exports Ltd</t>
  </si>
  <si>
    <t>Plastic Products - Consumer</t>
  </si>
  <si>
    <t>AVROIND</t>
  </si>
  <si>
    <t>Avro India Ltd</t>
  </si>
  <si>
    <t>MOLOWVOL</t>
  </si>
  <si>
    <t>Motilal Oswal S&amp;P BSE Low Volatility ETF</t>
  </si>
  <si>
    <t>EVOQ</t>
  </si>
  <si>
    <t>Evoq Remedies Ltd</t>
  </si>
  <si>
    <t>Pharmaceuticals</t>
  </si>
  <si>
    <t>ACHYUT</t>
  </si>
  <si>
    <t>Achyut Healthcare Ltd</t>
  </si>
  <si>
    <t>Auto Components &amp; Equipments</t>
  </si>
  <si>
    <t>MSUMI</t>
  </si>
  <si>
    <t>Motherson Sumi Wiring India Ltd</t>
  </si>
  <si>
    <t>BCCL</t>
  </si>
  <si>
    <t>Bhatia Colour Chem Ltd</t>
  </si>
  <si>
    <t>Engineering- Designing &amp; Construction</t>
  </si>
  <si>
    <t>GMRP&amp;UI</t>
  </si>
  <si>
    <t>GMR Power and Urban Infra Ltd</t>
  </si>
  <si>
    <t>GATEWAY</t>
  </si>
  <si>
    <t>Gateway Distriparks Ltd</t>
  </si>
  <si>
    <t>Household Appliances</t>
  </si>
  <si>
    <t>EUREKAFORBE</t>
  </si>
  <si>
    <t>Eureka Forbes Ltd</t>
  </si>
  <si>
    <t>MAM150ETF</t>
  </si>
  <si>
    <t>Mirae Asset Nifty Midcap 150 ETF</t>
  </si>
  <si>
    <t>EKENNIS</t>
  </si>
  <si>
    <t>Ekennis Software Service Ltd</t>
  </si>
  <si>
    <t>BSLNIFTY</t>
  </si>
  <si>
    <t>Aditya Birla Sun Life Nifty ETF</t>
  </si>
  <si>
    <t>HEALTHY</t>
  </si>
  <si>
    <t>Aditya Birla Sun Life Nifty Healthcare ETF</t>
  </si>
  <si>
    <t>TECH</t>
  </si>
  <si>
    <t>Aditya Birla Sunlife Nifty IT ETF</t>
  </si>
  <si>
    <t>SILVER</t>
  </si>
  <si>
    <t>Aditya Birla Sun Life Silver ETF</t>
  </si>
  <si>
    <t>Computers - Software &amp; Consulting</t>
  </si>
  <si>
    <t>SOFTTECH</t>
  </si>
  <si>
    <t>Softtech Engineers Ltd</t>
  </si>
  <si>
    <t>MOMOMENTUM</t>
  </si>
  <si>
    <t>Motilal Oswal Nifty 200 Momentum 30 ETF</t>
  </si>
  <si>
    <t>Houseware</t>
  </si>
  <si>
    <t>MARUTIIPL</t>
  </si>
  <si>
    <t>Maruti Interior Products Ltd</t>
  </si>
  <si>
    <t>Speciality Retail</t>
  </si>
  <si>
    <t>MANYAVAR</t>
  </si>
  <si>
    <t>Vedant Fashions Ltd</t>
  </si>
  <si>
    <t>DEVIT</t>
  </si>
  <si>
    <t>Dev Information Technology Ltd</t>
  </si>
  <si>
    <t>SSTL</t>
  </si>
  <si>
    <t>Safa Systems &amp; Technologies Ltd</t>
  </si>
  <si>
    <t>Industrial Machinery</t>
  </si>
  <si>
    <t>QRIL</t>
  </si>
  <si>
    <t>Quality RO Industries Ltd</t>
  </si>
  <si>
    <t>Edible Oil</t>
  </si>
  <si>
    <t>AWL</t>
  </si>
  <si>
    <t>Adani Wilmar Ltd</t>
  </si>
  <si>
    <t>MAMFGETF</t>
  </si>
  <si>
    <t>Mirae Asset Nifty India Manufacturing ETF</t>
  </si>
  <si>
    <t>Stationary</t>
  </si>
  <si>
    <t>ALKOSIGN</t>
  </si>
  <si>
    <t>Alkosign Ltd</t>
  </si>
  <si>
    <t>ICICISILVE</t>
  </si>
  <si>
    <t>ICICI Prudential Silver ETF</t>
  </si>
  <si>
    <t>Diversified Commercial Services</t>
  </si>
  <si>
    <t>AGSTRA</t>
  </si>
  <si>
    <t>AGS Transact Technologies Ltd</t>
  </si>
  <si>
    <t>ICICIAUTO</t>
  </si>
  <si>
    <t>ICICI Prudential Nifty Auto ETF</t>
  </si>
  <si>
    <t>WFL</t>
  </si>
  <si>
    <t>Wonder Fibromats Ltd</t>
  </si>
  <si>
    <t>FABINO</t>
  </si>
  <si>
    <t>Fabino Life Sciences Ltd</t>
  </si>
  <si>
    <t>Education</t>
  </si>
  <si>
    <t>ASCENSIVE</t>
  </si>
  <si>
    <t>Ascensive Educare Ltd</t>
  </si>
  <si>
    <t>BCONCEPTS</t>
  </si>
  <si>
    <t>Brand Concepts Ltd</t>
  </si>
  <si>
    <t>CMSINFO</t>
  </si>
  <si>
    <t>CMS Info Systems Ltd</t>
  </si>
  <si>
    <t>DSPN50ETF</t>
  </si>
  <si>
    <t>DSP Nifty 50 ETF</t>
  </si>
  <si>
    <t>Advertising &amp; Media Agencies</t>
  </si>
  <si>
    <t>BRANDBUCKT</t>
  </si>
  <si>
    <t>Brandbucket Media &amp; Technology Ltd</t>
  </si>
  <si>
    <t>DSPQ50ETF</t>
  </si>
  <si>
    <t>DSP Nifty Midcap 150 Quality 50 ETF</t>
  </si>
  <si>
    <t>MONQ50</t>
  </si>
  <si>
    <t>Motilal Oswal Nasdaq Q 50 ETF</t>
  </si>
  <si>
    <t>WITS</t>
  </si>
  <si>
    <t>Wherrelz IT Solutions Ltd</t>
  </si>
  <si>
    <t>Packaging</t>
  </si>
  <si>
    <t>CLARA</t>
  </si>
  <si>
    <t>Clara Industries Ltd</t>
  </si>
  <si>
    <t>SUPRIYA</t>
  </si>
  <si>
    <t>Supriya Lifescience Ltd</t>
  </si>
  <si>
    <t>HPAL</t>
  </si>
  <si>
    <t>HP Adhesives Ltd</t>
  </si>
  <si>
    <t>Aerospace &amp; Defense</t>
  </si>
  <si>
    <t>DATAPATTNS</t>
  </si>
  <si>
    <t>Data Patterns (India) Ltd</t>
  </si>
  <si>
    <t>Pharmacy Retail</t>
  </si>
  <si>
    <t>MEDPLUS</t>
  </si>
  <si>
    <t>Medplus Health Services Ltd</t>
  </si>
  <si>
    <t>METROBRAND</t>
  </si>
  <si>
    <t>Metro Brands Ltd</t>
  </si>
  <si>
    <t>Software Products</t>
  </si>
  <si>
    <t>MAPMYINDIA</t>
  </si>
  <si>
    <t>C.E. Info Systems Ltd</t>
  </si>
  <si>
    <t>JETFREIGHT</t>
  </si>
  <si>
    <t>Jet Freight Logistics Ltd</t>
  </si>
  <si>
    <t>Residential- Commercial Projects</t>
  </si>
  <si>
    <t>SHRIRAMPPS</t>
  </si>
  <si>
    <t>Shriram Properties Ltd</t>
  </si>
  <si>
    <t>RATEGAIN</t>
  </si>
  <si>
    <t>RateGain Travel Technologies Ltd</t>
  </si>
  <si>
    <t>ZODIAC</t>
  </si>
  <si>
    <t>Zodiac Energy Ltd</t>
  </si>
  <si>
    <t>ANANDRATHI</t>
  </si>
  <si>
    <t>Anand Rathi Wealth Ltd</t>
  </si>
  <si>
    <t>MAHKTECH</t>
  </si>
  <si>
    <t>Mirae Asset Hang Seng TECH ETF</t>
  </si>
  <si>
    <t>Industrial Equipments</t>
  </si>
  <si>
    <t>TEGA</t>
  </si>
  <si>
    <t>Tega Industries Ltd</t>
  </si>
  <si>
    <t>General Insurance</t>
  </si>
  <si>
    <t>STARHEALTH</t>
  </si>
  <si>
    <t>Star Health and Allied Insurance Company Ltd</t>
  </si>
  <si>
    <t>HITECH</t>
  </si>
  <si>
    <t>Hi-Tech Pipes Ltd</t>
  </si>
  <si>
    <t>Consulting Services</t>
  </si>
  <si>
    <t>DMR</t>
  </si>
  <si>
    <t>DMR Hydroengineering &amp; Infrastructures Ltd</t>
  </si>
  <si>
    <t>GOCOLORS</t>
  </si>
  <si>
    <t>Go Fashion (India) Ltd</t>
  </si>
  <si>
    <t>Refineries &amp; Marketing</t>
  </si>
  <si>
    <t>OMNIPOTENT</t>
  </si>
  <si>
    <t>Omnipotent Industries Ltd</t>
  </si>
  <si>
    <t>Medical Equipment &amp; Supplies</t>
  </si>
  <si>
    <t>TARSONS</t>
  </si>
  <si>
    <t>Tarsons Products Ltd</t>
  </si>
  <si>
    <t>LATENTVIEW</t>
  </si>
  <si>
    <t>Latent View Analytics Ltd</t>
  </si>
  <si>
    <t>Restaurants</t>
  </si>
  <si>
    <t>SAPPHIRE</t>
  </si>
  <si>
    <t>Sapphire Foods India Ltd</t>
  </si>
  <si>
    <t>Financial Technology (Fintech)</t>
  </si>
  <si>
    <t>PAYTM</t>
  </si>
  <si>
    <t>One 97 Communications Ltd</t>
  </si>
  <si>
    <t>Civil Construction</t>
  </si>
  <si>
    <t>SGFRL</t>
  </si>
  <si>
    <t>Suyog Gurbaxani Funicular Ropeways Ltd</t>
  </si>
  <si>
    <t>POLICYBZR</t>
  </si>
  <si>
    <t>PB Fintech Ltd</t>
  </si>
  <si>
    <t>SIGACHI</t>
  </si>
  <si>
    <t>Sigachi Industries Ltd</t>
  </si>
  <si>
    <t>DSPNEWETF</t>
  </si>
  <si>
    <t>DSP Nifty 50 Equal Weight ETF</t>
  </si>
  <si>
    <t>SJS</t>
  </si>
  <si>
    <t>S.J.S. Enterprises Ltd</t>
  </si>
  <si>
    <t>Other Bank</t>
  </si>
  <si>
    <t>FINOPB</t>
  </si>
  <si>
    <t>Fino Payments Bank Ltd</t>
  </si>
  <si>
    <t>NHIT</t>
  </si>
  <si>
    <t>National Highways Infra Trust</t>
  </si>
  <si>
    <t>NYKAA</t>
  </si>
  <si>
    <t>FSN E-Commerce Ventures Ltd</t>
  </si>
  <si>
    <t>ICICICONSU</t>
  </si>
  <si>
    <t>ICICI Prudential Consumption ETF</t>
  </si>
  <si>
    <t>Consumer Electronics</t>
  </si>
  <si>
    <t>CWD</t>
  </si>
  <si>
    <t>CWD Ltd</t>
  </si>
  <si>
    <t>ADISHAKTI</t>
  </si>
  <si>
    <t>Adishakti Loha and Ispat Ltd</t>
  </si>
  <si>
    <t>SAMOR</t>
  </si>
  <si>
    <t>Samor Reality Ltd</t>
  </si>
  <si>
    <t>PROMAX</t>
  </si>
  <si>
    <t>Promax Power Ltd</t>
  </si>
  <si>
    <t>Asset Management Company</t>
  </si>
  <si>
    <t>ABSLAMC</t>
  </si>
  <si>
    <t>Aditya Birla Sun Life AMC Ltd</t>
  </si>
  <si>
    <t>SVRL</t>
  </si>
  <si>
    <t>Shri Venkatesh Refineries Ltd</t>
  </si>
  <si>
    <t>Trading - Textile Products</t>
  </si>
  <si>
    <t>GETALONG</t>
  </si>
  <si>
    <t>Getalong Enterprise Ltd</t>
  </si>
  <si>
    <t>PARAS</t>
  </si>
  <si>
    <t>Paras Defence and Space Technologies Ltd</t>
  </si>
  <si>
    <t>SBLI</t>
  </si>
  <si>
    <t>SBL Infratech Ltd</t>
  </si>
  <si>
    <t>MASPTOP50</t>
  </si>
  <si>
    <t>Mirae Asset S&amp;P 500 Top 50 ETF</t>
  </si>
  <si>
    <t>MTCL</t>
  </si>
  <si>
    <t>Markolines Traffic Controls Ltd</t>
  </si>
  <si>
    <t>PREVEST</t>
  </si>
  <si>
    <t>Prevest Denpro Ltd</t>
  </si>
  <si>
    <t>SANSERA</t>
  </si>
  <si>
    <t>Sansera Engineering Ltd</t>
  </si>
  <si>
    <t>AXISCETF</t>
  </si>
  <si>
    <t>AXIS CONSUMPTION ETF</t>
  </si>
  <si>
    <t>POBS</t>
  </si>
  <si>
    <t>PlatinumOne Business Services Ltd</t>
  </si>
  <si>
    <t>NBL</t>
  </si>
  <si>
    <t>Naapbooks Ltd</t>
  </si>
  <si>
    <t>Healthcare Service Provider</t>
  </si>
  <si>
    <t>VIJAYA</t>
  </si>
  <si>
    <t>Vijaya Diagnostic Centre Ltd</t>
  </si>
  <si>
    <t>AMIORG</t>
  </si>
  <si>
    <t>Ami Organics Ltd</t>
  </si>
  <si>
    <t>AXISHETF</t>
  </si>
  <si>
    <t>AXIS HEALTHCARE ETF</t>
  </si>
  <si>
    <t>AXISTECETF</t>
  </si>
  <si>
    <t>AXIS TECHNOLOGY ETF</t>
  </si>
  <si>
    <t>AASHKA</t>
  </si>
  <si>
    <t>Aashka Hospitals Ltd</t>
  </si>
  <si>
    <t>SHARPLINE</t>
  </si>
  <si>
    <t>Sharpline Broadcast Ltd</t>
  </si>
  <si>
    <t>Commodity Chemicals</t>
  </si>
  <si>
    <t>CHEMPLASTS</t>
  </si>
  <si>
    <t>Chemplast Sanmar Ltd</t>
  </si>
  <si>
    <t>Housing Finance Company</t>
  </si>
  <si>
    <t>APTUS</t>
  </si>
  <si>
    <t>Aptus Value Housing Finance India Ltd</t>
  </si>
  <si>
    <t>Cement &amp; Cement Products</t>
  </si>
  <si>
    <t>NUVOCO</t>
  </si>
  <si>
    <t>Nuvoco Vistas Corporation Ltd</t>
  </si>
  <si>
    <t>CARTRADE</t>
  </si>
  <si>
    <t>CarTrade Tech Ltd</t>
  </si>
  <si>
    <t>MFL</t>
  </si>
  <si>
    <t>Meghmani Finechem Ltd</t>
  </si>
  <si>
    <t>Pesticides &amp; Agrochemicals</t>
  </si>
  <si>
    <t>MOL</t>
  </si>
  <si>
    <t>Meghmani Organics Ltd</t>
  </si>
  <si>
    <t>DEVYANI</t>
  </si>
  <si>
    <t>Devyani International Ltd</t>
  </si>
  <si>
    <t>WINDLAS</t>
  </si>
  <si>
    <t>Windlas Biotech Ltd</t>
  </si>
  <si>
    <t>KRSNAA</t>
  </si>
  <si>
    <t>Krsnaa Diagnostics Ltd</t>
  </si>
  <si>
    <t>EXXARO</t>
  </si>
  <si>
    <t>Exxaro Tiles Ltd</t>
  </si>
  <si>
    <t>ICICIFMCG</t>
  </si>
  <si>
    <t>ICICI Prudential FMCG ETF</t>
  </si>
  <si>
    <t>ROLEXRINGS</t>
  </si>
  <si>
    <t>Rolex Rings Ltd</t>
  </si>
  <si>
    <t>Other Capital Market related Services</t>
  </si>
  <si>
    <t>GCSL</t>
  </si>
  <si>
    <t>Gretex Corporate Services Ltd</t>
  </si>
  <si>
    <t>MAFSETF</t>
  </si>
  <si>
    <t>Mirae Asset Nifty Financial Services ETF</t>
  </si>
  <si>
    <t>GLS</t>
  </si>
  <si>
    <t>Glenmark Life Sciences Ltd</t>
  </si>
  <si>
    <t>TATVA</t>
  </si>
  <si>
    <t>Tatva Chintan Pharma Chem Ltd</t>
  </si>
  <si>
    <t>ZOMATO</t>
  </si>
  <si>
    <t>Zomato Ltd</t>
  </si>
  <si>
    <t>AAPLUSTRAD</t>
  </si>
  <si>
    <t>AA Plus Tradelink Ltd</t>
  </si>
  <si>
    <t>CLEAN</t>
  </si>
  <si>
    <t>Clean Science and Technology Ltd</t>
  </si>
  <si>
    <t>GRINFRA</t>
  </si>
  <si>
    <t>G R Infraprojects Ltd</t>
  </si>
  <si>
    <t>FOCUS</t>
  </si>
  <si>
    <t>Focus Business Solution Ltd</t>
  </si>
  <si>
    <t>IPL</t>
  </si>
  <si>
    <t>India Pesticides Ltd</t>
  </si>
  <si>
    <t>TIMESGREEN</t>
  </si>
  <si>
    <t>Times Green Energy (India) Ltd</t>
  </si>
  <si>
    <t>Healthcare Research- Analytics &amp; Technology</t>
  </si>
  <si>
    <t>ADESHWAR</t>
  </si>
  <si>
    <t>Adeshwar Meditex Ltd</t>
  </si>
  <si>
    <t>KIMS</t>
  </si>
  <si>
    <t>Krishna Institute of Medical Sciences Ltd</t>
  </si>
  <si>
    <t>Dairy Products</t>
  </si>
  <si>
    <t>DODLA</t>
  </si>
  <si>
    <t>Dodla Dairy Ltd</t>
  </si>
  <si>
    <t>NAVODAYENT</t>
  </si>
  <si>
    <t>Navoday Enterprises Ltd</t>
  </si>
  <si>
    <t>SONACOMS</t>
  </si>
  <si>
    <t>Sona BLW Precision Forgings Ltd</t>
  </si>
  <si>
    <t>Iron &amp; Steel</t>
  </si>
  <si>
    <t>SHYAMMETL</t>
  </si>
  <si>
    <t>Shyam Metalics and Energy Ltd</t>
  </si>
  <si>
    <t>VINEETLAB</t>
  </si>
  <si>
    <t>Vineet Laboratories Ltd</t>
  </si>
  <si>
    <t>Heavy Electrical Equipment</t>
  </si>
  <si>
    <t>IWEL</t>
  </si>
  <si>
    <t>Inox Wind Energy Ltd</t>
  </si>
  <si>
    <t>ICICIPHARM</t>
  </si>
  <si>
    <t>ICICI Prudential Healthcare ETF</t>
  </si>
  <si>
    <t>MAFANG</t>
  </si>
  <si>
    <t>Mirae Asset NYSE FANG+ ETF</t>
  </si>
  <si>
    <t>Power - Transmission</t>
  </si>
  <si>
    <t>PGINVIT</t>
  </si>
  <si>
    <t>POWERGRID Infrastructure Investment Trust</t>
  </si>
  <si>
    <t>KGES</t>
  </si>
  <si>
    <t>Kuberan Global Edu Solutions Ltd</t>
  </si>
  <si>
    <t>Offshore Support Solution Drilling</t>
  </si>
  <si>
    <t>DEEPIND</t>
  </si>
  <si>
    <t>Deep Industries Ltd</t>
  </si>
  <si>
    <t>LODHA</t>
  </si>
  <si>
    <t>Macrotech Developers Ltd</t>
  </si>
  <si>
    <t>Other Food Products</t>
  </si>
  <si>
    <t>JETMALL</t>
  </si>
  <si>
    <t>Jetmall Spices and Masala Ltd</t>
  </si>
  <si>
    <t>RCAN</t>
  </si>
  <si>
    <t>Rajeshwari Cans Ltd</t>
  </si>
  <si>
    <t>EKI</t>
  </si>
  <si>
    <t>EKI Energy Services Ltd</t>
  </si>
  <si>
    <t>BARBEQUE</t>
  </si>
  <si>
    <t>Barbeque-Nation Hospitality Ltd</t>
  </si>
  <si>
    <t>NIKSTECH</t>
  </si>
  <si>
    <t>Niks Technology Ltd</t>
  </si>
  <si>
    <t>SUVIDHAA</t>
  </si>
  <si>
    <t>Suvidhaa Infoserve Ltd</t>
  </si>
  <si>
    <t>Digital Entertainment</t>
  </si>
  <si>
    <t>NAZARA</t>
  </si>
  <si>
    <t>Nazara Technologies Ltd</t>
  </si>
  <si>
    <t>SURYODAY</t>
  </si>
  <si>
    <t>Suryoday Small Finance Bank Ltd</t>
  </si>
  <si>
    <t>KALYANKJIL</t>
  </si>
  <si>
    <t>Kalyan Jewellers India Ltd</t>
  </si>
  <si>
    <t>LXCHEM</t>
  </si>
  <si>
    <t>Laxmi Organic Industries Ltd</t>
  </si>
  <si>
    <t>CRAFTSMAN</t>
  </si>
  <si>
    <t>Craftsman Automation Ltd</t>
  </si>
  <si>
    <t>ANURAS</t>
  </si>
  <si>
    <t>Anupam Rasayan India Ltd</t>
  </si>
  <si>
    <t>Other Textile Products</t>
  </si>
  <si>
    <t>SUUMAYA</t>
  </si>
  <si>
    <t>Suumaya Corporation Ltd</t>
  </si>
  <si>
    <t>Shipping</t>
  </si>
  <si>
    <t>KMEW</t>
  </si>
  <si>
    <t>Knowledge Marine &amp; Engineering Works Ltd</t>
  </si>
  <si>
    <t>Tour- Travel Related Services</t>
  </si>
  <si>
    <t>EASEMYTRIP</t>
  </si>
  <si>
    <t>Easy Trip Planners Ltd</t>
  </si>
  <si>
    <t>JUBLINGREA</t>
  </si>
  <si>
    <t>Jubilant Ingrevia Ltd</t>
  </si>
  <si>
    <t>MTARTECH</t>
  </si>
  <si>
    <t>MTAR Technologies Ltd</t>
  </si>
  <si>
    <t>ADJIA</t>
  </si>
  <si>
    <t>Adjia Technologies Ltd</t>
  </si>
  <si>
    <t>Sugar</t>
  </si>
  <si>
    <t>DAVANGERE</t>
  </si>
  <si>
    <t>Davangere Sugar Company Ltd</t>
  </si>
  <si>
    <t>HERANBA</t>
  </si>
  <si>
    <t>Heranba Industries Ltd</t>
  </si>
  <si>
    <t>Other Telecom Services</t>
  </si>
  <si>
    <t>RAILTEL</t>
  </si>
  <si>
    <t>RailTel Corporation of India Ltd</t>
  </si>
  <si>
    <t>NURECA</t>
  </si>
  <si>
    <t>Nureca Ltd</t>
  </si>
  <si>
    <t>Stockbroking &amp; Allied</t>
  </si>
  <si>
    <t>SMCGLOBAL*</t>
  </si>
  <si>
    <t>SMC Global Securities Ltd</t>
  </si>
  <si>
    <t>Distributors</t>
  </si>
  <si>
    <t>MRP</t>
  </si>
  <si>
    <t>MRP Agro Ltd</t>
  </si>
  <si>
    <t>Real Estate Investment Trusts (REITs)</t>
  </si>
  <si>
    <t>BIRET</t>
  </si>
  <si>
    <t>Brookfield India Real Estate Trust REIT</t>
  </si>
  <si>
    <t>STOVEKRAFT</t>
  </si>
  <si>
    <t>Stove Kraft Ltd</t>
  </si>
  <si>
    <t>HOMEFIRST</t>
  </si>
  <si>
    <t>Home First Finance Company India Ltd</t>
  </si>
  <si>
    <t>Paints</t>
  </si>
  <si>
    <t>INDIGOPNTS</t>
  </si>
  <si>
    <t>Indigo Paints Ltd</t>
  </si>
  <si>
    <t>Financial Institution</t>
  </si>
  <si>
    <t>IRFC</t>
  </si>
  <si>
    <t>Indian Railway Finance Corporation Ltd</t>
  </si>
  <si>
    <t>Non Banking Financial Company (NBFC)</t>
  </si>
  <si>
    <t>RFLL</t>
  </si>
  <si>
    <t>Rita Finance and Leasing Ltd</t>
  </si>
  <si>
    <t>INFRABEES</t>
  </si>
  <si>
    <t>NIPPON INDIA ETF INFRA BeES</t>
  </si>
  <si>
    <t>Waste Management</t>
  </si>
  <si>
    <t>AWHCL</t>
  </si>
  <si>
    <t>Antony Waste Handling Cell Ltd</t>
  </si>
  <si>
    <t>Packaged Foods</t>
  </si>
  <si>
    <t>BECTORFOOD</t>
  </si>
  <si>
    <t>Mrs. Bectors Food Specialities Ltd</t>
  </si>
  <si>
    <t>FAIRCHEMOR</t>
  </si>
  <si>
    <t>Fairchem Organics Ltd</t>
  </si>
  <si>
    <t>RVHL</t>
  </si>
  <si>
    <t>Ravinder Heights Ltd</t>
  </si>
  <si>
    <t>TARC</t>
  </si>
  <si>
    <t>Tarc Ltd</t>
  </si>
  <si>
    <t>RBA</t>
  </si>
  <si>
    <t>Restaurant Brands Asia Ltd</t>
  </si>
  <si>
    <t>Film Production- Distribution &amp; Exhibition</t>
  </si>
  <si>
    <t>NETPIX</t>
  </si>
  <si>
    <t>Net Pix Shorts Digital Media Ltd</t>
  </si>
  <si>
    <t>MAESGETF</t>
  </si>
  <si>
    <t>Mirae Asset ESG Sector Leaders ETF</t>
  </si>
  <si>
    <t>GLAND</t>
  </si>
  <si>
    <t>Gland Pharma Ltd</t>
  </si>
  <si>
    <t>Castings &amp; Forgings</t>
  </si>
  <si>
    <t>SAMRATFORG</t>
  </si>
  <si>
    <t>Samrat Forgings Ltd</t>
  </si>
  <si>
    <t>HANSUGAR</t>
  </si>
  <si>
    <t>Shree Hanuman Sugar &amp; Industries Ltd</t>
  </si>
  <si>
    <t>Household Products</t>
  </si>
  <si>
    <t>AMBICAAGAR</t>
  </si>
  <si>
    <t>AMBICA AGARBATHIES &amp; AROMA INDUSTRIES LTD</t>
  </si>
  <si>
    <t>LCCINFOTEC</t>
  </si>
  <si>
    <t>LCC INFOTECH LTD</t>
  </si>
  <si>
    <t>Other Electrical Equipment</t>
  </si>
  <si>
    <t>SGNTE</t>
  </si>
  <si>
    <t>SGN TELECOMS LTD</t>
  </si>
  <si>
    <t>GGAUTO</t>
  </si>
  <si>
    <t>G.G.AUTOMOTIVE GEARS LTD</t>
  </si>
  <si>
    <t>SHAMROIN</t>
  </si>
  <si>
    <t>SHAMROCK INDUSTRIAL CO.LTD</t>
  </si>
  <si>
    <t>Petrochemicals</t>
  </si>
  <si>
    <t>AADIIND</t>
  </si>
  <si>
    <t>AADI INDUSTRIES LTD</t>
  </si>
  <si>
    <t>SIDDHEGA</t>
  </si>
  <si>
    <t>SIDDHESWARI GARMENTS LTD</t>
  </si>
  <si>
    <t>KEEPLEARN</t>
  </si>
  <si>
    <t>DSJ keep Learning Ltd</t>
  </si>
  <si>
    <t>EUROLED</t>
  </si>
  <si>
    <t>EURO LEDER FASHION LTD</t>
  </si>
  <si>
    <t>PANJON</t>
  </si>
  <si>
    <t>PANJON LTD</t>
  </si>
  <si>
    <t>Plastic Products - Industrial</t>
  </si>
  <si>
    <t>PETPLST</t>
  </si>
  <si>
    <t>PET PLASTICS LTD</t>
  </si>
  <si>
    <t>UBEINDL</t>
  </si>
  <si>
    <t>UBE INDUSTRIES LTD</t>
  </si>
  <si>
    <t>SHRIGANG</t>
  </si>
  <si>
    <t>SHRI GANG INDUSTRIES AND ALLIED PRODUCTS LTD</t>
  </si>
  <si>
    <t>SURBHIN</t>
  </si>
  <si>
    <t>SURBHI INDUSTRIES LTD</t>
  </si>
  <si>
    <t>ROSEMER</t>
  </si>
  <si>
    <t>ROSE MERC.LTD</t>
  </si>
  <si>
    <t>SAICOM</t>
  </si>
  <si>
    <t>Saianand Commercial Limited</t>
  </si>
  <si>
    <t>ICDSLTD</t>
  </si>
  <si>
    <t>ICDS LTD</t>
  </si>
  <si>
    <t>PREMCAP</t>
  </si>
  <si>
    <t>PREMIER CAPITAL SERVICES LTD</t>
  </si>
  <si>
    <t>UPHOT</t>
  </si>
  <si>
    <t>U.P.HOTELS LTD</t>
  </si>
  <si>
    <t>Printing &amp; Publication</t>
  </si>
  <si>
    <t>INFOMEDIA</t>
  </si>
  <si>
    <t>INFOMEDIA PRESS LTD</t>
  </si>
  <si>
    <t>PBGLOBAL</t>
  </si>
  <si>
    <t>PB Global Ltd</t>
  </si>
  <si>
    <t>INRADIA</t>
  </si>
  <si>
    <t>INDIA RADIATORS LTD</t>
  </si>
  <si>
    <t>MEDIAONE</t>
  </si>
  <si>
    <t>MEDIAONE GLOBAL ENTERTAINMENT LTD</t>
  </si>
  <si>
    <t>BARODARY</t>
  </si>
  <si>
    <t>BARODA RAYON CORPORATION LTD</t>
  </si>
  <si>
    <t>Textiles</t>
  </si>
  <si>
    <t>SHINEFASH</t>
  </si>
  <si>
    <t>Shine Fashions (India) Ltd</t>
  </si>
  <si>
    <t>Banks</t>
  </si>
  <si>
    <t>EQUITASBNK</t>
  </si>
  <si>
    <t>Equitas Small Finance Bank Ltd</t>
  </si>
  <si>
    <t>Realty</t>
  </si>
  <si>
    <t>HEMIPROP</t>
  </si>
  <si>
    <t>Hemisphere Properties India Ltd</t>
  </si>
  <si>
    <t>VGIL</t>
  </si>
  <si>
    <t>Veer Global Infraconstruction Ltd</t>
  </si>
  <si>
    <t>Construction &amp; Engineering</t>
  </si>
  <si>
    <t>LIKHITHA</t>
  </si>
  <si>
    <t>Likhitha Infrastructure Ltd</t>
  </si>
  <si>
    <t>Plastic Products</t>
  </si>
  <si>
    <t>GMPL</t>
  </si>
  <si>
    <t>G M Polyplast Ltd</t>
  </si>
  <si>
    <t>Asset Management Cos.</t>
  </si>
  <si>
    <t>UTIAMC</t>
  </si>
  <si>
    <t>UTI Asset Management Company Ltd</t>
  </si>
  <si>
    <t>Defence</t>
  </si>
  <si>
    <t>MAZDOCK</t>
  </si>
  <si>
    <t>Mazagon Dock Shipbuilders Ltd</t>
  </si>
  <si>
    <t>ATAM</t>
  </si>
  <si>
    <t>Atam Valves Ltd</t>
  </si>
  <si>
    <t>Other Financial Services</t>
  </si>
  <si>
    <t>ANGELBRKG</t>
  </si>
  <si>
    <t>Angel Broking Ltd</t>
  </si>
  <si>
    <t>IT Consulting &amp; Software</t>
  </si>
  <si>
    <t>SECMARK</t>
  </si>
  <si>
    <t>SecMark Consultancy Ltd</t>
  </si>
  <si>
    <t>CHEMCON</t>
  </si>
  <si>
    <t>Chemcon Speciality Chemicals Ltd</t>
  </si>
  <si>
    <t>CAMS</t>
  </si>
  <si>
    <t>Computer Age Management Services Ltd</t>
  </si>
  <si>
    <t>Forest Products</t>
  </si>
  <si>
    <t>ADL</t>
  </si>
  <si>
    <t>Archidply Decor Ltd</t>
  </si>
  <si>
    <t>Other Elect.Equip./ Prod.</t>
  </si>
  <si>
    <t>ADVAIT</t>
  </si>
  <si>
    <t>Advait Infratech Ltd</t>
  </si>
  <si>
    <t>Internet Software &amp; Services</t>
  </si>
  <si>
    <t>ROUTE</t>
  </si>
  <si>
    <t>Route Mobile Ltd</t>
  </si>
  <si>
    <t>HAPPSTMNDS</t>
  </si>
  <si>
    <t>Happiest Minds Technologies Ltd</t>
  </si>
  <si>
    <t>UTIBANKETF</t>
  </si>
  <si>
    <t>UTI Bank Exchange Traded Fund (UTI Bank ETF)</t>
  </si>
  <si>
    <t>TOWERINFRA</t>
  </si>
  <si>
    <t>Tower Infrastructure Trust</t>
  </si>
  <si>
    <t>HBANKETF</t>
  </si>
  <si>
    <t>HDFC Banking ETF</t>
  </si>
  <si>
    <t>Holding Companies</t>
  </si>
  <si>
    <t>MAXINDIA</t>
  </si>
  <si>
    <t>Max India Ltd</t>
  </si>
  <si>
    <t>Transport Related Services</t>
  </si>
  <si>
    <t>HIPPOCABS</t>
  </si>
  <si>
    <t>Trekkingtoes.com Ltd</t>
  </si>
  <si>
    <t>ICICITECH</t>
  </si>
  <si>
    <t>ICICI Prudential IT ETF</t>
  </si>
  <si>
    <t>Healthcare Facilities</t>
  </si>
  <si>
    <t>MAXHEALTH</t>
  </si>
  <si>
    <t>Max Healthcare Institute Ltd</t>
  </si>
  <si>
    <t>ICICIALPLV</t>
  </si>
  <si>
    <t>&amp;#160;ICICI Prudential Alpha Low Vol 30 ETF&amp;#160;</t>
  </si>
  <si>
    <t>SBGLP</t>
  </si>
  <si>
    <t>Suratwwala Business Group Ltd</t>
  </si>
  <si>
    <t>MINDSPACE</t>
  </si>
  <si>
    <t>Mindspace Business Parks REIT</t>
  </si>
  <si>
    <t>Auto Parts &amp; Equipment</t>
  </si>
  <si>
    <t>NDRAUTO</t>
  </si>
  <si>
    <t>NDR Auto Components Ltd</t>
  </si>
  <si>
    <t>ROSSARI</t>
  </si>
  <si>
    <t>Rossari Biotech Ltd</t>
  </si>
  <si>
    <t>BOROLTD</t>
  </si>
  <si>
    <t>Borosil Ltd</t>
  </si>
  <si>
    <t>Other Industrial Products</t>
  </si>
  <si>
    <t>BONLON</t>
  </si>
  <si>
    <t>Bonlon Industries Ltd</t>
  </si>
  <si>
    <t>AARTISURF</t>
  </si>
  <si>
    <t>Aarti Surfactants Ltd</t>
  </si>
  <si>
    <t>Diversified</t>
  </si>
  <si>
    <t>BILLWIN</t>
  </si>
  <si>
    <t>Billwin Industries Ltd</t>
  </si>
  <si>
    <t>Finance (including NBFCs)</t>
  </si>
  <si>
    <t>BHARTIA</t>
  </si>
  <si>
    <t>Bhartia Bachat Ltd</t>
  </si>
  <si>
    <t>Agrochemicals</t>
  </si>
  <si>
    <t>NATURAL</t>
  </si>
  <si>
    <t>Natural Biocon (India) Ltd</t>
  </si>
  <si>
    <t>NIRMITEE</t>
  </si>
  <si>
    <t>Nirmitee Robotics India Ltd</t>
  </si>
  <si>
    <t>Transportation - Logistics</t>
  </si>
  <si>
    <t>DJML</t>
  </si>
  <si>
    <t>DJ Mediaprint &amp; Logistics Ltd</t>
  </si>
  <si>
    <t>POWERINDIA</t>
  </si>
  <si>
    <t>ABB Power Products and Systems India Ltd</t>
  </si>
  <si>
    <t>11DPD</t>
  </si>
  <si>
    <t>NIPPON INDIA EQUITY HYBRID FUND -  SEGREGATED PORTFOLIO 2DIVIDEND PLANDIVIDEND PAYOUT</t>
  </si>
  <si>
    <t>11AQR</t>
  </si>
  <si>
    <t>NIPPON INDIA EQUITY HYBRID FUND -  SEGREGATED PORTFOLIO 2DIRECT QUARTERLY DIVIDEND PLANREINVESTMENT</t>
  </si>
  <si>
    <t>11AQD</t>
  </si>
  <si>
    <t>NIPPON INDIA EQUITY HYBRID FUND -  SEGREGATED PORTFOLIO 2DIRECT QUARTERLY DIVIDEND PLANDIVIDEND PAYOUT</t>
  </si>
  <si>
    <t>11AMR</t>
  </si>
  <si>
    <t>NIPPON INDIA EQUITY HYBRID FUND -  SEGREGATED PORTFOLIO 2DIRECT MONTHLY DIVIDEND PLANREINVESTMENT</t>
  </si>
  <si>
    <t>11AMD</t>
  </si>
  <si>
    <t>NIPPON INDIA EQUITY HYBRID FUND -  SEGREGATED PORTFOLIO 2DIRECT MONTHLY DIVIDEND PLANDIVIDEND PAYOUT</t>
  </si>
  <si>
    <t>11AGG</t>
  </si>
  <si>
    <t>NIPPON INDIA EQUITY HYBRID FUND -  SEGREGATED PORTFOLIO 2DIRECT GROWTH PLAN GROWTH OPTIONGROWTH</t>
  </si>
  <si>
    <t>11ADR</t>
  </si>
  <si>
    <t>NIPPON INDIA EQUITY HYBRID FUND -  SEGREGATED PORTFOLIO 2DIRECT PLAN DIVIDEND PLANDIVIDEND REINVESTMENT</t>
  </si>
  <si>
    <t>11ADD</t>
  </si>
  <si>
    <t>NIPPON INDIA EQUITY HYBRID FUND -  SEGREGATED PORTFOLIO 2DIRECT PLAN DIVIDEND PLANDIVIDEND PAYOUT</t>
  </si>
  <si>
    <t>11QPR</t>
  </si>
  <si>
    <t>NIPPON INDIA EQUITY HYBRID FUND -  SEGREGATED PORTFOLIO 2QUARTERLY DIVIDEND PLANREINVESTMENT</t>
  </si>
  <si>
    <t>11QPD</t>
  </si>
  <si>
    <t>NIPPON INDIA EQUITY HYBRID FUND -  SEGREGATED PORTFOLIO 2QUARTERLY DIVIDEND PLANDIVIDEND PAYOUT</t>
  </si>
  <si>
    <t>11MPR</t>
  </si>
  <si>
    <t>NIPPON INDIA EQUITY HYBRID FUND -  SEGREGATED PORTFOLIO 2MONTHLY DIVIDEND PLANREINVESTMENT</t>
  </si>
  <si>
    <t>11MPD</t>
  </si>
  <si>
    <t>NIPPON INDIA EQUITY HYBRID FUND -  SEGREGATED PORTFOLIO 2MONTHLY DIVIDEND PLANDIVIDEND PAYOUT</t>
  </si>
  <si>
    <t>11GPG</t>
  </si>
  <si>
    <t>NIPPON INDIA EQUITY HYBRID FUND -  SEGREGATED PORTFOLIO 2GROWTH PLAN GROWTH OPTIONGROWTH</t>
  </si>
  <si>
    <t>11DPR</t>
  </si>
  <si>
    <t>NIPPON INDIA EQUITY HYBRID FUND -  SEGREGATED PORTFOLIO 2DIVIDEND PLANDIVIDEND REINVESTMENT</t>
  </si>
  <si>
    <t>COSPOWER</t>
  </si>
  <si>
    <t>Cospower Engineering Ltd</t>
  </si>
  <si>
    <t>Other Apparels &amp; Accessories</t>
  </si>
  <si>
    <t>ROJL</t>
  </si>
  <si>
    <t>RO Jewels Ltd</t>
  </si>
  <si>
    <t>08ADD</t>
  </si>
  <si>
    <t>NIPPON INDIA EQUITY SAVINGS FUND -  SEGREGATED PORTFOLIO 2 - DIRECT DIVIDEND PLAN(Issue Price: 0.01)</t>
  </si>
  <si>
    <t>08DPR</t>
  </si>
  <si>
    <t>NIPPON INDIA EQUITY SAVINGS FUND -  SEGREGATED PORTFOLIO 2 - DIVIDEND PLAN(Issue Price: 0.01)</t>
  </si>
  <si>
    <t>08AQR</t>
  </si>
  <si>
    <t>NIPPON INDIA EQUITY SAVINGS FUND -  SEGREGATED PORTFOLIO 2 - DIRECT QUARTERLY DIVIDEND PLAN(Issue Price: 0.01)</t>
  </si>
  <si>
    <t>08DPD</t>
  </si>
  <si>
    <t>08AQD</t>
  </si>
  <si>
    <t>08QPR</t>
  </si>
  <si>
    <t>NIPPON INDIA EQUITY SAVINGS FUND -  SEGREGATED PORTFOLIO 2 - QUARTERLY DIVIDEND PLAN(Issue Price: 0.01)</t>
  </si>
  <si>
    <t>08AGG</t>
  </si>
  <si>
    <t>NIPPON INDIA EQUITY SAVINGS FUND -  SEGREGATED PORTFOLIO 2 - DIRECT GROWTH PLAN(Issue Price: 0.01)</t>
  </si>
  <si>
    <t>08QPD</t>
  </si>
  <si>
    <t>08ABB</t>
  </si>
  <si>
    <t>NIPPON INDIA EQUITY SAVINGS FUND -  SEGREGATED PORTFOLIO 2 - DIRECT BONUS PLAN(Issue Price: 0.01)</t>
  </si>
  <si>
    <t>08GPG</t>
  </si>
  <si>
    <t>NIPPON INDIA EQUITY SAVINGS FUND -  SEGREGATED PORTFOLIO 2 - GROWTH PLAN(Issue Price: 0.01)</t>
  </si>
  <si>
    <t>08BPB</t>
  </si>
  <si>
    <t>NIPPON INDIA EQUITY SAVINGS FUND -  SEGREGATED PORTFOLIO 2 - BONUS PLAN(Issue Price: 0.01)</t>
  </si>
  <si>
    <t>08AMR</t>
  </si>
  <si>
    <t>NIPPON INDIA EQUITY SAVINGS FUND -  SEGREGATED PORTFOLIO 2 - DIRECT MONTHLY DIVIDEND PLAN(Issue Price: 0.01)</t>
  </si>
  <si>
    <t>08AMD</t>
  </si>
  <si>
    <t>08MPR</t>
  </si>
  <si>
    <t>NIPPON INDIA EQUITY SAVINGS FUND -  SEGREGATED PORTFOLIO 2 - MONTHLY DIVIDEND PLAN(Issue Price: 0.01)</t>
  </si>
  <si>
    <t>08ADR</t>
  </si>
  <si>
    <t>08MPD</t>
  </si>
  <si>
    <t>SBICARD</t>
  </si>
  <si>
    <t>SBI Cards and Payment Services Ltd</t>
  </si>
  <si>
    <t>Other Industrial Goods</t>
  </si>
  <si>
    <t>SMAUTO</t>
  </si>
  <si>
    <t>SM Auto Stamping Ltd</t>
  </si>
  <si>
    <t>SUVENPHAR</t>
  </si>
  <si>
    <t>Suven Pharmaceuticals Ltd</t>
  </si>
  <si>
    <t>Tea &amp; Coffee</t>
  </si>
  <si>
    <t>OCTAVIUSPL</t>
  </si>
  <si>
    <t>Octavius Plantations Ltd</t>
  </si>
  <si>
    <t>ICLORGANIC</t>
  </si>
  <si>
    <t>ICL Organic Dairy Products Ltd</t>
  </si>
  <si>
    <t>CBPL</t>
  </si>
  <si>
    <t>Chandra Bhagat Pharma Ltd</t>
  </si>
  <si>
    <t>Photographic Products</t>
  </si>
  <si>
    <t>UNIVPHOTO</t>
  </si>
  <si>
    <t>Universus Photo Imagings Ltd</t>
  </si>
  <si>
    <t>Auto Tyres &amp; Rubber Products</t>
  </si>
  <si>
    <t>BIRLATYRES</t>
  </si>
  <si>
    <t>Birla Tyres Ltd</t>
  </si>
  <si>
    <t>VARDHANCFL</t>
  </si>
  <si>
    <t>Vardhan Capital &amp; Finance Ltd</t>
  </si>
  <si>
    <t>JANUSCORP</t>
  </si>
  <si>
    <t>Janus Corporation Ltd</t>
  </si>
  <si>
    <t>TRANWAY</t>
  </si>
  <si>
    <t>Tranway Technologies Ltd</t>
  </si>
  <si>
    <t>MANXT50ETF</t>
  </si>
  <si>
    <t>Mirae Asset Nifty Next 50 ETF (MANXT50ETF)</t>
  </si>
  <si>
    <t>ICICIM150</t>
  </si>
  <si>
    <t>ICICI Prudential Midcap 150 ETF</t>
  </si>
  <si>
    <t>SUMICHEM</t>
  </si>
  <si>
    <t>Sumitomo Chemical India Ltd</t>
  </si>
  <si>
    <t>Healthcare Services</t>
  </si>
  <si>
    <t>ARTEMISMED</t>
  </si>
  <si>
    <t>Artemis Medicare Services Ltd</t>
  </si>
  <si>
    <t>GIANLIFE</t>
  </si>
  <si>
    <t>Gian Life Care Ltd</t>
  </si>
  <si>
    <t>ASSAMENT</t>
  </si>
  <si>
    <t>Assam Entrade Ltd</t>
  </si>
  <si>
    <t>Non-alcoholic Beverages</t>
  </si>
  <si>
    <t>VALENCIA</t>
  </si>
  <si>
    <t>Valencia Nutrition Ltd</t>
  </si>
  <si>
    <t>PRINCEPIPE</t>
  </si>
  <si>
    <t>Prince Pipes and Fittings Ltd</t>
  </si>
  <si>
    <t>EASUN</t>
  </si>
  <si>
    <t>Easun Capital Markets Ltd</t>
  </si>
  <si>
    <t>SHIL</t>
  </si>
  <si>
    <t>Somany Home Innovation Ltd</t>
  </si>
  <si>
    <t>UJJIVANSFB</t>
  </si>
  <si>
    <t>Ujjivan Small Finance Bank Ltd</t>
  </si>
  <si>
    <t>CSBBANK</t>
  </si>
  <si>
    <t>CSB Bank Ltd</t>
  </si>
  <si>
    <t>JSGLEASING</t>
  </si>
  <si>
    <t>JSG Leasing Ltd</t>
  </si>
  <si>
    <t>Containers &amp; Packaging</t>
  </si>
  <si>
    <t>ANUROOP</t>
  </si>
  <si>
    <t>Anuroop Packaging Ltd</t>
  </si>
  <si>
    <t>MOUNT</t>
  </si>
  <si>
    <t>Mount Housing and Infrastructure Ltd</t>
  </si>
  <si>
    <t>ABSLBANETF</t>
  </si>
  <si>
    <t>ADITYA BIRLA SUN LIFE BANKING ETF</t>
  </si>
  <si>
    <t>SHAHLON</t>
  </si>
  <si>
    <t>Shahlon Silk Industries Ltd</t>
  </si>
  <si>
    <t>GREENPANEL</t>
  </si>
  <si>
    <t>Greenpanel Industries Ltd</t>
  </si>
  <si>
    <t>VISHWARAJ</t>
  </si>
  <si>
    <t>Vishwaraj Sugar Industries Ltd</t>
  </si>
  <si>
    <t>GENSOL</t>
  </si>
  <si>
    <t>Gensol Engineering Ltd</t>
  </si>
  <si>
    <t>GOBLIN</t>
  </si>
  <si>
    <t>Goblin India Ltd</t>
  </si>
  <si>
    <t>NIESSPN</t>
  </si>
  <si>
    <t>NIPPON INDIA EQUITY SAVINGS FUND - SEGREGATED PORTFOLIO 1 - MONTHLY DIVIDEND PLAN REINVESTMENT</t>
  </si>
  <si>
    <t>NIESSPM</t>
  </si>
  <si>
    <t>NIPPON INDIA EQUITY SAVINGS FUND - SEGREGATED PORTFOLIO 1 - MONTHLY DIVIDEND PLANDIVIDEND PAYOUT</t>
  </si>
  <si>
    <t>NIESSPL</t>
  </si>
  <si>
    <t>NIPPON INDIA EQUITY SAVINGS FUND - SEGREGATED PORTFOLIO 1 - GROWTH PLAN GROWTH</t>
  </si>
  <si>
    <t>NIEHSPL</t>
  </si>
  <si>
    <t>NIPPON INDIA EQUITY HYBRID FUND -&amp;#160;SEGREGATED PORTFOLIO 1 - MONTHLY DIVIDEND PLAN DIVIDEND PAYOUT</t>
  </si>
  <si>
    <t>NIEHSPJ</t>
  </si>
  <si>
    <t>NIPPON INDIA EQUITY HYBRID FUND -&amp;#160;SEGREGATED PORTFOLIO 1 - DIVIDEND PLAN REINVESTMENT</t>
  </si>
  <si>
    <t>NIEHSPH</t>
  </si>
  <si>
    <t>NIPPON INDIA EQUITY HYBRID FUND -&amp;#160;SEGREGATED PORTFOLIO 1 - DIVIDEND PLAN DIVIDEND PAYOUT</t>
  </si>
  <si>
    <t>NIEHSPG</t>
  </si>
  <si>
    <t>NIPPON INDIA EQUITY HYBRID FUND -&amp;#160;SEGREGATED PORTFOLIO 1 - DIRECT GROWTH PLAN GROWTH</t>
  </si>
  <si>
    <t>NIESSPK</t>
  </si>
  <si>
    <t>NIPPON INDIA EQUITY SAVINGS FUND - SEGREGATED PORTFOLIO 1 - DIVIDEND PLAN REINVESTMENT</t>
  </si>
  <si>
    <t>NIEHSPE</t>
  </si>
  <si>
    <t>NIPPON INDIA EQUITY HYBRID FUND -&amp;#160;SEGREGATED PORTFOLIO 1 - QUARTERLY DIVIDEND PLAN DIVIDEND PAYOUT</t>
  </si>
  <si>
    <t>NIESSPH</t>
  </si>
  <si>
    <t>NIPPON INDIA EQUITY SAVINGS FUND - SEGREGATED PORTFOLIO 1 - DIRECT QUARTERLY DIVIDEND PLAN DIVIDEND PAYOUT</t>
  </si>
  <si>
    <t>NIEHSPD</t>
  </si>
  <si>
    <t>NIPPON INDIA EQUITY HYBRID FUND -&amp;#160;SEGREGATED PORTFOLIO 1 - GROWTH PLAN GROWTH</t>
  </si>
  <si>
    <t>NIESSPF</t>
  </si>
  <si>
    <t>NIPPON INDIA EQUITY SAVINGS FUND - SEGREGATED PORTFOLIO 1 - DIRECT MONTHLY DIVIDEND PLAN DIVIDEND PAYOUT</t>
  </si>
  <si>
    <t>NIESSPE</t>
  </si>
  <si>
    <t>NIPPON INDIA EQUITY SAVINGS FUND - SEGREGATED PORTFOLIO 1 - DIRECT GROWTH PLAN GROWTH</t>
  </si>
  <si>
    <t>NIESSPD</t>
  </si>
  <si>
    <t>NIPPON INDIA EQUITY SAVINGS FUND - SEGREGATED PORTFOLIO 1 - DIRECT DIVIDEND PLAN REINVESTMENT</t>
  </si>
  <si>
    <t>Travel Support Services</t>
  </si>
  <si>
    <t>IRCTC</t>
  </si>
  <si>
    <t>Indian Railway Catering and Tourism Corporation Ltd</t>
  </si>
  <si>
    <t>NIEHSPN</t>
  </si>
  <si>
    <t>NIPPON INDIA EQUITY HYBRID FUND -&amp;#160;SEGREGATED PORTFOLIO 1 - MONTHLY DIVIDEND PLAN REINVESTMENT</t>
  </si>
  <si>
    <t>NIEHSPM</t>
  </si>
  <si>
    <t>NIPPON INDIA EQUITY HYBRID FUND -&amp;#160;SEGREGATED PORTFOLIO 1 - DIRECT DIVIDEND PLAN DIVIDEND PAYOUT</t>
  </si>
  <si>
    <t>NIEHSPK</t>
  </si>
  <si>
    <t>NIPPON INDIA EQUITY HYBRID FUND -&amp;#160;SEGREGATED PORTFOLIO 1 - DIRECT QUARTERLY DIVIDEND PLAN REINVESTMENT</t>
  </si>
  <si>
    <t>NIEHSPI</t>
  </si>
  <si>
    <t>NIPPON INDIA EQUITY HYBRID FUND -&amp;#160;SEGREGATED PORTFOLIO 1 - DIRECT QUARTERLY DIVIDEND PLAN DIVIDEND PAYOUT</t>
  </si>
  <si>
    <t>NIEHSPF</t>
  </si>
  <si>
    <t>NIPPON INDIA EQUITY HYBRID FUND -&amp;#160;SEGREGATED PORTFOLIO 1 - QUARTERLY DIVIDEND PLAN REINVESTMENT</t>
  </si>
  <si>
    <t>NIEHSPC</t>
  </si>
  <si>
    <t>NIPPON INDIA EQUITY HYBRID FUND -&amp;#160;SEGREGATED PORTFOLIO 1 - DIRECT MONTHLY DIVIDEND PLAN REINVESTMENT</t>
  </si>
  <si>
    <t>NIEHSPB</t>
  </si>
  <si>
    <t>NIPPON INDIA EQUITY HYBRID FUND -&amp;#160;SEGREGATED PORTFOLIO 1 - DIRECT MONTHLY DIVIDEND PLAN DIVIDEND PAYOUT</t>
  </si>
  <si>
    <t>NIEHSPA</t>
  </si>
  <si>
    <t>NIPPON INDIA EQUITY HYBRID FUND -&amp;#160;SEGREGATED PORTFOLIO 1- DIRECT DIVIDEND PLAN REINVESTMENT</t>
  </si>
  <si>
    <t>FLUOROCHEM</t>
  </si>
  <si>
    <t>Gujarat Fluorochemicals Ltd</t>
  </si>
  <si>
    <t>NIESSPG</t>
  </si>
  <si>
    <t>NIPPON INDIA EQUITY SAVINGS FUND - SEGREGATED PORTFOLIO 1 - DIRECT MONTHLY DIVIDEND PLAN REINVESTMENT</t>
  </si>
  <si>
    <t>NIESSPA</t>
  </si>
  <si>
    <t>NIPPON INDIA EQUITY SAVINGS FUND - SEGREGATED PORTFOLIO 1 - BONUS PLANBONUS</t>
  </si>
  <si>
    <t>NIESSPP</t>
  </si>
  <si>
    <t>NIPPON INDIA EQUITY SAVINGS FUND - SEGREGATED PORTFOLIO 1 - QUARTERLY DIVIDEND PLAN REINVESTMENT</t>
  </si>
  <si>
    <t>NIESSPC</t>
  </si>
  <si>
    <t>NIPPON INDIA EQUITY SAVINGS FUND - SEGREGATED PORTFOLIO 1 - DIRECT DIVIDEND PLAN DIVIDEND PAYOUT</t>
  </si>
  <si>
    <t>NIESSPO</t>
  </si>
  <si>
    <t>NIPPON INDIA EQUITY SAVINGS FUND - SEGREGATED PORTFOLIO 1 - QUARTERLY DIVIDEND PLANDIVIDEND PAYOUT</t>
  </si>
  <si>
    <t>NIESSPB</t>
  </si>
  <si>
    <t>NIPPON INDIA EQUITY SAVINGS FUND - SEGREGATED PORTFOLIO 1 - DIRECT BONUS PLAN BONUS</t>
  </si>
  <si>
    <t>NIESSPI</t>
  </si>
  <si>
    <t>NIPPON INDIA EQUITY SAVINGS FUND - SEGREGATED PORTFOLIO 1 - DIRECT QUARTERLY DIVIDEND PLAN REINVESTMENT</t>
  </si>
  <si>
    <t>NIESSPJ</t>
  </si>
  <si>
    <t>NIPPON INDIA EQUITY SAVINGS FUND - SEGREGATED PORTFOLIO 1 - DIVIDEND PLANDIVIDEND PAYOUT</t>
  </si>
  <si>
    <t>Comm.Trading  &amp; Distribution</t>
  </si>
  <si>
    <t>ELLORATRAD</t>
  </si>
  <si>
    <t>Ellora Trading Ltd</t>
  </si>
  <si>
    <t>GALACTICO</t>
  </si>
  <si>
    <t>Galactico Corporate Services Ltd</t>
  </si>
  <si>
    <t>MISQUITA</t>
  </si>
  <si>
    <t>Misquita Engineering Ltd</t>
  </si>
  <si>
    <t>APMFINVEST</t>
  </si>
  <si>
    <t>APM Finvest Ltd</t>
  </si>
  <si>
    <t>IIFLSEC</t>
  </si>
  <si>
    <t>IIFL Securities Ltd</t>
  </si>
  <si>
    <t>IIFLWAM</t>
  </si>
  <si>
    <t>IIFL Wealth Management Ltd</t>
  </si>
  <si>
    <t>Personal Products</t>
  </si>
  <si>
    <t>NOVATEOR</t>
  </si>
  <si>
    <t>Novateor Research Laboratories Ltd</t>
  </si>
  <si>
    <t>ALPHALOGIC</t>
  </si>
  <si>
    <t>Alphalogic Techsys Ltd</t>
  </si>
  <si>
    <t>Medical Equipment</t>
  </si>
  <si>
    <t>TRANSPACT</t>
  </si>
  <si>
    <t>Transpact Enterprises Ltd</t>
  </si>
  <si>
    <t>SWSOLAR</t>
  </si>
  <si>
    <t>Sterling and Wilson Solar Ltd</t>
  </si>
  <si>
    <t>SPANDANA</t>
  </si>
  <si>
    <t>Spandana Sphoorty Financial Ltd</t>
  </si>
  <si>
    <t>ICICIBANKP</t>
  </si>
  <si>
    <t>ICICI Prudential Private Banks ETF</t>
  </si>
  <si>
    <t>SEACOAST</t>
  </si>
  <si>
    <t>Seacoast Shipping Services Ltd</t>
  </si>
  <si>
    <t>Advertising &amp; Media</t>
  </si>
  <si>
    <t>AFFLE</t>
  </si>
  <si>
    <t>Affle (India) Ltd</t>
  </si>
  <si>
    <t>NETFSNX150</t>
  </si>
  <si>
    <t>NIPPON INDIA ETF SENSEX NEXT 50</t>
  </si>
  <si>
    <t>ICICIBANKN</t>
  </si>
  <si>
    <t>ICICI Prudential Bank ETF</t>
  </si>
  <si>
    <t>DCMNVL</t>
  </si>
  <si>
    <t>DCM Nouvelle Ltd</t>
  </si>
  <si>
    <t>SKIEL</t>
  </si>
  <si>
    <t>SK International Export Ltd</t>
  </si>
  <si>
    <t>Specialty Retail</t>
  </si>
  <si>
    <t>CPML</t>
  </si>
  <si>
    <t>City Pulse Multiplex Ltd</t>
  </si>
  <si>
    <t>INDIAMART</t>
  </si>
  <si>
    <t>IndiaMART InterMESH Ltd</t>
  </si>
  <si>
    <t>SBC</t>
  </si>
  <si>
    <t>SBC Exports Ltd</t>
  </si>
  <si>
    <t>EARUM</t>
  </si>
  <si>
    <t>Earum Pharmaceuticals Ltd</t>
  </si>
  <si>
    <t>ARL</t>
  </si>
  <si>
    <t>Anand Rayons Ltd</t>
  </si>
  <si>
    <t>PARSHVA</t>
  </si>
  <si>
    <t>Parshva Enterprises Ltd</t>
  </si>
  <si>
    <t>INFRATRUST</t>
  </si>
  <si>
    <t>India Infrastructure Trust</t>
  </si>
  <si>
    <t>UTISXN50</t>
  </si>
  <si>
    <t>UTI S&amp;P BSE Sensex Next 50 ETF</t>
  </si>
  <si>
    <t>AXISCCGPG</t>
  </si>
  <si>
    <t>Axis&amp;#160;Capital&amp;#160;Builder&amp;#160;Fund&amp;#160;-&amp;#160;Series&amp;#160;4&amp;#160;(1582&amp;#160;days)&amp;#160;- Regular&amp;#160;Plan&amp;#160;-&amp;#160;Growth&amp;#160;Option</t>
  </si>
  <si>
    <t>AXISCCDPD</t>
  </si>
  <si>
    <t>Axis&amp;#160;Capital&amp;#160;Builder&amp;#160;Fund&amp;#160;-&amp;#160;Series&amp;#160;4&amp;#160;(1582&amp;#160;days)&amp;#160;-Regular&amp;#160;Plan&amp;#160;-&amp;#160;Dividend&amp;#160;Payout&amp;#160;Option</t>
  </si>
  <si>
    <t>AXISCCDGG</t>
  </si>
  <si>
    <t>Axis&amp;#160;Capital&amp;#160;Builder&amp;#160;Fund&amp;#160;-&amp;#160;Series&amp;#160;4&amp;#160;(1582&amp;#160;days)&amp;#160;-Direct&amp;#160;Plan&amp;#160;-&amp;#160;Growth&amp;#160;Option</t>
  </si>
  <si>
    <t>AXISCCDID</t>
  </si>
  <si>
    <t>Axis&amp;#160;Capital&amp;#160;Builder&amp;#160;Fund&amp;#160;-&amp;#160;Series&amp;#160;4&amp;#160;(1582&amp;#160;days)&amp;#160;-</t>
  </si>
  <si>
    <t>ABSLNN50ET</t>
  </si>
  <si>
    <t>Aditya Birla Sun Life Nifty Next 50 ETF</t>
  </si>
  <si>
    <t>IPRU9421</t>
  </si>
  <si>
    <t>ICICI Prudential Bharat Consumption Fund - Series 5 -  Direct Plan - Dividend Payout  Option</t>
  </si>
  <si>
    <t>IPRU9420</t>
  </si>
  <si>
    <t>ICICI Prudential Bharat Consumption Fund - Series 5 -  Direct Plan - Cumulative Option</t>
  </si>
  <si>
    <t>IPRU3219</t>
  </si>
  <si>
    <t>ICICI Prudential Bharat Consumption Fund - Series 5 - Dividend Payout Option</t>
  </si>
  <si>
    <t>IPRU3218</t>
  </si>
  <si>
    <t>ICICI Prudential Bharat Consumption Fund - Series 5 - Cumulative Option</t>
  </si>
  <si>
    <t>MAN50ETF</t>
  </si>
  <si>
    <t>MIRAE ASSET NIFTY 50 ETF (MAN50ETF)</t>
  </si>
  <si>
    <t>NIOSADD</t>
  </si>
  <si>
    <t>NIPPON INDIA MUTUAL FUND  INDIA OPPT FD  SR A DR DVP31JN22</t>
  </si>
  <si>
    <t>NIOSADG</t>
  </si>
  <si>
    <t>NIPPON INDIA MUTUAL FUND  INDIA OPPT FD  SR A DR GWTH31JN22</t>
  </si>
  <si>
    <t>NIOSAD</t>
  </si>
  <si>
    <t>NIPPON INDIA MUTUAL FUND  INDIA OPPT FD  SR A RG DVP31JN22</t>
  </si>
  <si>
    <t>NIOSAG</t>
  </si>
  <si>
    <t>NIPPON INDIA MUTUAL FUND  INDIA OPPT FD  SR A RG GWTH31JN22</t>
  </si>
  <si>
    <t>SETFSN50</t>
  </si>
  <si>
    <t>SBI - ETF - SENSEX NEXT 50</t>
  </si>
  <si>
    <t>KTKIND7DD</t>
  </si>
  <si>
    <t>Kotak India Growth Fund Series 7 - Direct Plan - Dividend Option</t>
  </si>
  <si>
    <t>KTKIND7DG</t>
  </si>
  <si>
    <t>Kotak India Growth Fund Series 7 - Direct Plan - Growth Option</t>
  </si>
  <si>
    <t>KTKIND7RD</t>
  </si>
  <si>
    <t>Kotak India Growth Fund Series 7 - Regular Plan - Dividend Option</t>
  </si>
  <si>
    <t>KTKIND7RG</t>
  </si>
  <si>
    <t>Kotak India Growth Fund Series 7 - Regular Plan - Growth Option</t>
  </si>
  <si>
    <t>ICICINXT50</t>
  </si>
  <si>
    <t>ICICI Prudential Nifty Next 50 ETF</t>
  </si>
  <si>
    <t>IPRU9371</t>
  </si>
  <si>
    <t>ICICI PRU Bharat Consumption Fund - Sr 4 - Direct Plan Dividend Payout</t>
  </si>
  <si>
    <t>IPRU9370</t>
  </si>
  <si>
    <t>ICICI PRU Bharat Consumption Fund - Sr 4 - Direct Plan Cumulative</t>
  </si>
  <si>
    <t>IPRU3169</t>
  </si>
  <si>
    <t>ICICI PRU Bharat Consumption Fund - Sr 4 - Dividend Payout Option</t>
  </si>
  <si>
    <t>IPRU3168</t>
  </si>
  <si>
    <t>ICICI PRU Bharat Consumption Fund - Sr 4 - Cumulative</t>
  </si>
  <si>
    <t>TVF2GZ</t>
  </si>
  <si>
    <t>TATA Value Fund Series  2 - Direct Plan  - Growth Option</t>
  </si>
  <si>
    <t>TVF2G</t>
  </si>
  <si>
    <t>TATA Value Fund Series  2 - Regular  Plan  - Growth Option</t>
  </si>
  <si>
    <t>TVF2DZ</t>
  </si>
  <si>
    <t>TATA Value Fund Series  2 - Direct Plan  - Dividend Payout Option</t>
  </si>
  <si>
    <t>TVF2D</t>
  </si>
  <si>
    <t>TATA Value Fund Series  2 - Regular Plan  - Dividend Payout Option</t>
  </si>
  <si>
    <t>IDFCEOS6DD</t>
  </si>
  <si>
    <t>IDFC Equity Opportunity - Series 6 - Direct Plan - Dividend Payout Option</t>
  </si>
  <si>
    <t>IDFCEOS6DG</t>
  </si>
  <si>
    <t>IDFC Equity Opportunity - Series 6 - Direct Plan - Growth Option</t>
  </si>
  <si>
    <t>IDFCEOS6RD</t>
  </si>
  <si>
    <t>IDFC Equity Opportunity - Series 6 - Regular Plan - Dividend Payout  Option</t>
  </si>
  <si>
    <t>IDFCEOS6RG</t>
  </si>
  <si>
    <t>IDFC Equity Opportunity - Series 6 - Regular Plan - Growth Option</t>
  </si>
  <si>
    <t>TVF1GZ</t>
  </si>
  <si>
    <t>Tata Vaue Fund Series 1 - Direct Plan - Growth Option</t>
  </si>
  <si>
    <t>TVF1G</t>
  </si>
  <si>
    <t>Tata Vaue Fund Series 1 - Regular Plan - Growth Option</t>
  </si>
  <si>
    <t>TVF1DZ</t>
  </si>
  <si>
    <t>Tata Vaue Fund Series 1 - Direct Plan - Dividend Payout Option</t>
  </si>
  <si>
    <t>TVF1D</t>
  </si>
  <si>
    <t>Tata Vaue Fund Series 1 - Regular Plan - Dividend Payout Option</t>
  </si>
  <si>
    <t>IPRU9346</t>
  </si>
  <si>
    <t>ICICI Prudential Bharat Consumption Fund  - Series 3 - Direct Plan - Dividend Payout Option</t>
  </si>
  <si>
    <t>IPRU9345</t>
  </si>
  <si>
    <t>ICICI Prudential Bharat Consumption Fund  - Series 3 -  Direct Plan - Cumulative Option</t>
  </si>
  <si>
    <t>IPRU3144</t>
  </si>
  <si>
    <t>ICICI Prudential Bharat Consumption Fund  - Series 3 - Dividend Payout Option</t>
  </si>
  <si>
    <t>IPRU3143</t>
  </si>
  <si>
    <t>ICICI Prudential Bharat Consumption Fund  - Series 3 - Cumulative Option</t>
  </si>
  <si>
    <t>KTKIND5DD</t>
  </si>
  <si>
    <t>Kotak India Growth Fund Series 5 - Direct Plan - Dividend Option</t>
  </si>
  <si>
    <t>KTKIND5DG</t>
  </si>
  <si>
    <t>Kotak India Growth Fund Series 5 - Direct Plan - Growth Option</t>
  </si>
  <si>
    <t>KTKIND5RD</t>
  </si>
  <si>
    <t>Kotak India Growth Fund Series 5 - Regular Plan - Dividend Option</t>
  </si>
  <si>
    <t>KTKIND5RG</t>
  </si>
  <si>
    <t>Kotak India Growth Fund Series 5 - Regular Plan - Growth Option</t>
  </si>
  <si>
    <t>ICICI500</t>
  </si>
  <si>
    <t>ICICI Prudential S&amp;P BSE 500 ETF</t>
  </si>
  <si>
    <t>IPRU9298</t>
  </si>
  <si>
    <t>ICICI Prudential Bharat Consumption Fund - Series 2 - Direct Plan Dividend Option</t>
  </si>
  <si>
    <t>IPRU9297</t>
  </si>
  <si>
    <t>ICICI Prudential Bharat Consumption Fund - Series 2 - Direct Plan Cumulative Option</t>
  </si>
  <si>
    <t>IPRU3096</t>
  </si>
  <si>
    <t>ICICI Prudential Bharat Consumption Fund - Series 2 - Dividend Option</t>
  </si>
  <si>
    <t>IPRU3095</t>
  </si>
  <si>
    <t>ICICI Prudential Bharat Consumption Fund - Series 2 - Cumulative Option</t>
  </si>
  <si>
    <t>INDINFR</t>
  </si>
  <si>
    <t>IndInfravit Trust</t>
  </si>
  <si>
    <t>ABSLRIF7DD</t>
  </si>
  <si>
    <t>Aditya Birla Sun Life Resurgent India Fund - Series 7 - Direct Plan - Dividend Payout</t>
  </si>
  <si>
    <t>ABSLRIF7DG</t>
  </si>
  <si>
    <t>Aditya Birla Sun Life Resurgent India Fund - Series 7 - Direct Plan - Growth Option</t>
  </si>
  <si>
    <t>ABSLRIF7RD</t>
  </si>
  <si>
    <t>Aditya Birla Sun Life Resurgent India Fund - Series 7 - Regular Plan - Dividend Payout</t>
  </si>
  <si>
    <t>ABSLRIF7RG</t>
  </si>
  <si>
    <t>Aditya Birla Sun Life Resurgent India Fund - Series 7 - Regular Plan - Growth Option</t>
  </si>
  <si>
    <t>ABSLRIF6DD</t>
  </si>
  <si>
    <t>ADITYA BIRLA SUN LIFE RESURGENT INDIA FUND - SERIES 6- DIRECT PLAN- DIVIDEND PAYOUT</t>
  </si>
  <si>
    <t>ABSLRIF6DG</t>
  </si>
  <si>
    <t>ADITYA BIRLA SUN LIFE RESURGENT INDIA FUND - SERIES 6- DIRECT PLAN- GROWTH</t>
  </si>
  <si>
    <t>ABSLRIF6RD</t>
  </si>
  <si>
    <t>ADITYA BIRLA SUN LIFE RESURGENT INDIA FUND - SERIES 6- REGULAR PLAN- DIVIDEND PAYOUT</t>
  </si>
  <si>
    <t>ABSLRIF6RG</t>
  </si>
  <si>
    <t>ADITYA BIRLA SUN LIFE RESURGENT INDIA FUND - SERIES 6- REGULAR PLAN- GROWTH</t>
  </si>
  <si>
    <t>DACE2DDP</t>
  </si>
  <si>
    <t>DSP BlackRock A C E Fund - Series 2 - Direct Plan - Dividend Payout  Option</t>
  </si>
  <si>
    <t>DACE2DG</t>
  </si>
  <si>
    <t>DSP BlackRock A C E Fund - Series 2 - Direct Plan - Growth Option</t>
  </si>
  <si>
    <t>DACE2RDP</t>
  </si>
  <si>
    <t>DSP BlackRock A C E Fund - Series 2 - Regular Plan - Dividend Payout Option</t>
  </si>
  <si>
    <t>DACE2RG</t>
  </si>
  <si>
    <t>DSP BlackRock A C E Fund - Series 2 - Regular Plan - Growth Option</t>
  </si>
  <si>
    <t>AXISCBGPG</t>
  </si>
  <si>
    <t>Axis Capital Builder Fund - Series 1 (1540 Days) - Regular Plan  - Growth</t>
  </si>
  <si>
    <t>AXISCBDPD</t>
  </si>
  <si>
    <t>Axis Capital Builder Fund - Series 1 (1540 Days) - Regular Plan  - Dividend Payout</t>
  </si>
  <si>
    <t>AXISCBDGG</t>
  </si>
  <si>
    <t>Axis Capital Builder Fund - Series 1 (1540 Days) - Direct Plan  - Growth</t>
  </si>
  <si>
    <t>AXISCBD1D</t>
  </si>
  <si>
    <t>Axis Capital Builder Fund - Series 1 (1540 Days) - Direct Plan  - Dividend Payout</t>
  </si>
  <si>
    <t>KTKIND4DG</t>
  </si>
  <si>
    <t>Kotak India Growth Fund   Series 4 - Direct Plan Growth Option</t>
  </si>
  <si>
    <t>KTKIND4DD</t>
  </si>
  <si>
    <t>KOTAK INDIA GROWTH FUND SERIES 4 DIRECT PLAN DIVIDEND OPTION</t>
  </si>
  <si>
    <t>KTKIND4RD</t>
  </si>
  <si>
    <t>Kotak India Growth Fund   Series 4 - Regular Plan Dividend Option</t>
  </si>
  <si>
    <t>KTKIND4RG</t>
  </si>
  <si>
    <t>Kotak India Growth Fund   Series 4 - Regular Plan Growth Option</t>
  </si>
  <si>
    <t>IPRU9237</t>
  </si>
  <si>
    <t>ICICI Prudential Value Fund - Series 20 - Direct Plan Dividend Option</t>
  </si>
  <si>
    <t>IPRU9236</t>
  </si>
  <si>
    <t>ICICI Prudential Value Fund - Series 20 - Direct Plan Cumulative Option</t>
  </si>
  <si>
    <t>IPRU3035</t>
  </si>
  <si>
    <t>ICICI Prudential Value Fund - Series 20 - Dividend Option</t>
  </si>
  <si>
    <t>IPRU3034</t>
  </si>
  <si>
    <t>ICICI Prudential Value Fund - Series 20 - Cumulative Option</t>
  </si>
  <si>
    <t>NCBFIVDD</t>
  </si>
  <si>
    <t>NIPPON INDIA MUTUAL FUND  CAPITAL BUILDER FD IV SRD RG DVP 18JN21</t>
  </si>
  <si>
    <t>NCBFIVDDG</t>
  </si>
  <si>
    <t>NIPPON INDIA MUTUAL FUND  CAPITAL BUILDER FD IV SRD DR GWTH 18JN21</t>
  </si>
  <si>
    <t>NCBFIVDG</t>
  </si>
  <si>
    <t>NIPPON INDIA MUTUAL FUND  CAPITAL BUILDER FD IV SRD RG GWTH 18JN21</t>
  </si>
  <si>
    <t>NCBFIVDDD</t>
  </si>
  <si>
    <t>NIPPON INDIA MUTUAL FUND  CAPITAL BUILDER FD IV SRD DR DVP 18JN21</t>
  </si>
  <si>
    <t>IPRU9221</t>
  </si>
  <si>
    <t>ICICI PRUDENTIAL VALUE FUND - SERIES 19  -DIRECT PLAN DIVIDEND PAYOUT OPTION</t>
  </si>
  <si>
    <t>IPRU9220</t>
  </si>
  <si>
    <t>ICICI PRUDENTIAL VALUE FUND - SERIES 19  - DIRECT PLAN CUMULATIVE OPTION</t>
  </si>
  <si>
    <t>IPRU3019</t>
  </si>
  <si>
    <t>ICICI PRUDENTIAL VALUE FUND - SERIES 19  - DIVIDEND PAYOUT OPTION</t>
  </si>
  <si>
    <t>IPRU3018</t>
  </si>
  <si>
    <t>ICICI PRUDENTIAL VALUE FUND - SERIES 19 - CUMULATIVE OPTION</t>
  </si>
  <si>
    <t>NCBFIVCD</t>
  </si>
  <si>
    <t>NIPPON INDIA MUTUAL FUND  CAPITAL BUILDER FD IV SR C RG DVP 20MR21</t>
  </si>
  <si>
    <t>NCBFIVBCG</t>
  </si>
  <si>
    <t>NIPPON INDIA MUTUAL FUND  CAPITAL BUILDER FD IV SR C DR GWTH 20MR21</t>
  </si>
  <si>
    <t>NCBFIVCG</t>
  </si>
  <si>
    <t>NIPPON INDIA MUTUAL FUND  CAPITAL BUILDER FD IV SR C RG GWTH 20MR21</t>
  </si>
  <si>
    <t>NCBFIVBCD</t>
  </si>
  <si>
    <t>NIPPON INDIA MUTUAL FUND  CAPITAL BUILDER FD IV SR C DR DVP 20MR21</t>
  </si>
  <si>
    <t>DACEFDDP</t>
  </si>
  <si>
    <t>DSP BLACKROCK A.C.E. Fund Series 1 - Direct - Dividend Payout</t>
  </si>
  <si>
    <t>DACEFDG</t>
  </si>
  <si>
    <t>DSP BLACKROCK A.C.E. Fund Series 1 - Direct Growth</t>
  </si>
  <si>
    <t>DACEFRDP</t>
  </si>
  <si>
    <t>DSP BLACKROCK A.C.E. Fund Series 1 - Regular-Dividend Payout</t>
  </si>
  <si>
    <t>DACEFRG</t>
  </si>
  <si>
    <t>DSP BLACKROCK A.C.E. Fund Series 1 - Regular Growth</t>
  </si>
  <si>
    <t>HHOF1140RD</t>
  </si>
  <si>
    <t>HDFC HOF-I-1140D November 2017(1) - Regular  Option - Dividend Payout Option</t>
  </si>
  <si>
    <t>HHOF1140RG</t>
  </si>
  <si>
    <t>HDFC HOF-I-1140D November 2017(1) - Regular Option - Growth Option</t>
  </si>
  <si>
    <t>HHOF1140DD</t>
  </si>
  <si>
    <t>HDFC HOF-I-1140D November 2017(1) - Direct Option - Dividend Payout Option</t>
  </si>
  <si>
    <t>HHOF1140DG</t>
  </si>
  <si>
    <t>HDFC HOF-I-1140D November 2017(1) - Direct Option - Growth Option</t>
  </si>
  <si>
    <t>ICICIB22</t>
  </si>
  <si>
    <t>BHARAT 22 ETF - ICICI Prudential AMC</t>
  </si>
  <si>
    <t>NCBFIVBG</t>
  </si>
  <si>
    <t>NIPPON INDIA MUTUAL FUND  CAPITAL BUILDER FD SR B RG GWTH 06JN21</t>
  </si>
  <si>
    <t>NCBFIVBD</t>
  </si>
  <si>
    <t>NIPPON INDIA MUTUAL FUND  CAPITAL BUILDER FD SR B RG DVP 06JN21</t>
  </si>
  <si>
    <t>NCBFIVBDG</t>
  </si>
  <si>
    <t>NIPPON INDIA MUTUAL FUND  CAPITAL BUILDER FD SR B DR GWTH 06JN21</t>
  </si>
  <si>
    <t>NCBFIVBDD</t>
  </si>
  <si>
    <t>NIPPON INDIA MUTUAL FUND  CAPITAL BUILDER FD SR B DR DVP 06JN21</t>
  </si>
  <si>
    <t>IPRU9216</t>
  </si>
  <si>
    <t>ICICI Prudential Value Fund Series 18 - Direct Plan Dividend Payout Option</t>
  </si>
  <si>
    <t>IPRU9215</t>
  </si>
  <si>
    <t>ICICI Prudential Value Fund Series 18 - Direct Plan Cumulative Option</t>
  </si>
  <si>
    <t>IPRU3014</t>
  </si>
  <si>
    <t>ICICI Prudential Value Fund Series 18 - Dividend Payout Option</t>
  </si>
  <si>
    <t>IPRU3013</t>
  </si>
  <si>
    <t>ICICI Prudential Value Fund Series 18 - Cumulative Option</t>
  </si>
  <si>
    <t>ABSLRIF5DD</t>
  </si>
  <si>
    <t>Aditya Birla Sun Life Resurgent India Fund - Series 5 - Direct Plan Dividend Payout</t>
  </si>
  <si>
    <t>ABSLRIF5DG</t>
  </si>
  <si>
    <t>Aditya Birla Sun Life Resurgent India Fund - Series 5 - Direct Plan Growth</t>
  </si>
  <si>
    <t>ABSLRIF5RD</t>
  </si>
  <si>
    <t>Aditya Birla Sun Life Resurgent India Fund - Series 5 - Regular Plan Dividend Payout</t>
  </si>
  <si>
    <t>ABSLRIF5RG</t>
  </si>
  <si>
    <t>Aditya Birla Sun Life Resurgent India Fund - Series 5 - Regular Plan Growth</t>
  </si>
  <si>
    <t>IPRU9206</t>
  </si>
  <si>
    <t>ICICI PRUDENTIAL VALUE FUND SERIES 17 - DIRECT PLAN DIVIDEND OPTION</t>
  </si>
  <si>
    <t>IPRU9205</t>
  </si>
  <si>
    <t>ICICI PRUDENTIAL VALUE FUND SERIES 17 - DIRECT PLAN CUMULATIVE OPTION</t>
  </si>
  <si>
    <t>IPRU3004</t>
  </si>
  <si>
    <t>ICICI PRUDENTIAL VALUE FUND SERIES 17 - DIVIDEND OPTION</t>
  </si>
  <si>
    <t>IPRU3003</t>
  </si>
  <si>
    <t>ICICI PRUDENTIAL VALUE FUND SERIES 17 - CUMULATIVE OPTION</t>
  </si>
  <si>
    <t>IPRU9194</t>
  </si>
  <si>
    <t>ICICI Prudential Value Fund - Series 16 - Direct Plan Dividend Payout Option</t>
  </si>
  <si>
    <t>IPRU9193</t>
  </si>
  <si>
    <t>ICICI Prudential Value Fund - Series 16 - Direct Plan Cumulative Option</t>
  </si>
  <si>
    <t>IPRU2992</t>
  </si>
  <si>
    <t>ICICI Prudential Value Fund - Series 16 - Dividend Payout Option</t>
  </si>
  <si>
    <t>IPRU2991</t>
  </si>
  <si>
    <t>ICICI Prudential Value Fund - Series 16 - Cumulative Option</t>
  </si>
  <si>
    <t>AXISAHGPG</t>
  </si>
  <si>
    <t>Axis Equity Advantage Fund - Series 2 Regular Plan - Growth</t>
  </si>
  <si>
    <t>AXISAHDGG</t>
  </si>
  <si>
    <t>Axis Equity Advantage Fund - Series 2 Direct Plan - Growth</t>
  </si>
  <si>
    <t>UTINEXT50</t>
  </si>
  <si>
    <t>UTI Nifty Next 50 ETF</t>
  </si>
  <si>
    <t>HEOFRD1100</t>
  </si>
  <si>
    <t>HDFC EQUITY OPPORTUNITIES FUND-II-1100D JUNE 2017(1) SERIES 2-REGULAR OPTION-DIVIDEND PAYOUT OPTION</t>
  </si>
  <si>
    <t>HEOFRG1100</t>
  </si>
  <si>
    <t>HDFC EQUITY OPPORTUNITIES FUND-II-1100D JUNE 2017(1) SERIES 2-REGULAR OPTION-GROWTH OPTION</t>
  </si>
  <si>
    <t>HEOFDD1100</t>
  </si>
  <si>
    <t>HDFC EQUITY OPPORTUNITIES FUND-II-1100D JUNE 2017(1) SERIES 2-DIRECT OPTION-DIVIDEND PAYOUT OPTION</t>
  </si>
  <si>
    <t>HEOFDG1100</t>
  </si>
  <si>
    <t>HDFC EQUITY OPPORTUNITIES FUND-II-1100D JUNE 2017(1) SERIES 2-DIRECT OPTION-GROWTH OPTION</t>
  </si>
  <si>
    <t>IPRU9190</t>
  </si>
  <si>
    <t>ICICI PRUDENTIAL VALUE FUND-SERIES 15-DIRECT PLAN DIVIDEND PAYOUT</t>
  </si>
  <si>
    <t>IPRU9189</t>
  </si>
  <si>
    <t>ICICI PRUDENTIAL VALUE FUND-SERIES 15-DIRECT PLAN CUMULATIVE</t>
  </si>
  <si>
    <t>IPRU2988</t>
  </si>
  <si>
    <t>ICICI PRUDENTIAL VALUE FUND-SERIES 15-DIVIDEND PAYOUT</t>
  </si>
  <si>
    <t>IPRU2987</t>
  </si>
  <si>
    <t>ICICI PRUDENTIAL VALUE FUND-SERIES 15-CUMULATIVE</t>
  </si>
  <si>
    <t>BSLRIFS4DD</t>
  </si>
  <si>
    <t>Aditya Birla Sun Life RESURGENT INDIA FUND â€“ SERIES 4 DIRECT DIVIDEND</t>
  </si>
  <si>
    <t>BSLRIFS4DG</t>
  </si>
  <si>
    <t>Aditya Birla Sun Life RESURGENT INDIA FUND â€“ SERIES 4 DIRECT GROWTH</t>
  </si>
  <si>
    <t>BSLRIFS4RD</t>
  </si>
  <si>
    <t>Aditya Birla Sun Life RESURGENT INDIA FUND â€“ SERIES 4 REGULAR DIVIDEND</t>
  </si>
  <si>
    <t>BSLRIFS4RG</t>
  </si>
  <si>
    <t>Aditya Birla Sun Life RESURGENT INDIA FUND â€“ SERIES 4 REGULAR GROWTH</t>
  </si>
  <si>
    <t>ICICILOVOL</t>
  </si>
  <si>
    <t>ICICI Prudential Nifty Low Vol 30 ETF</t>
  </si>
  <si>
    <t>HEOFRD1126</t>
  </si>
  <si>
    <t>HDFC EOF - II - 1126D May 2017(1)  plan under HDFC Equity Opportunities Fund - Series 2 - Regular</t>
  </si>
  <si>
    <t>HEOFRG1126</t>
  </si>
  <si>
    <t>HDFC EOF- II - 1126D May 2017(1) plan under HDFC Equity Opportunities Fund - Series2 - Regular</t>
  </si>
  <si>
    <t>HEOFDD1126</t>
  </si>
  <si>
    <t>HDFC EOF - II - 1126D May 2017(1)  plan under HDFC Equity Opportunities Fund - Series 2 - Direct</t>
  </si>
  <si>
    <t>HEOFDG1126</t>
  </si>
  <si>
    <t>HDFC EOF- II- 1126D May 2017(1)  plan under HDFC Equity Opportunities Fund- Series 2- Direct</t>
  </si>
  <si>
    <t>IPRU9172</t>
  </si>
  <si>
    <t>ICICI Prudential Value Fund Series 14 - Direct Plan Dividend Payout</t>
  </si>
  <si>
    <t>IPRU9171</t>
  </si>
  <si>
    <t>ICICI Prudential Value Fund Series 14 - Direct Plan Cumulative</t>
  </si>
  <si>
    <t>IPRU2970</t>
  </si>
  <si>
    <t>ICICI Prudential Value Fund Series 14 - Dividend Payout</t>
  </si>
  <si>
    <t>IPRU2969</t>
  </si>
  <si>
    <t>ICICI Prudential Value Fund Series 14 - Cumulative</t>
  </si>
  <si>
    <t>AXISAEGPG</t>
  </si>
  <si>
    <t>Axis Equity Advantage Fund- Series 1 Regular Plan- Growth</t>
  </si>
  <si>
    <t>AXISAEDGG</t>
  </si>
  <si>
    <t>Axis Equity Advantage Fund- Series 1 Direct Plan- Growth</t>
  </si>
  <si>
    <t>IPRU9157</t>
  </si>
  <si>
    <t>ICICI Prudential Value Fund Series- 13- Direct Plan Dividend Payout Option</t>
  </si>
  <si>
    <t>IPRU2955</t>
  </si>
  <si>
    <t>ICICI Prudential Value Fund- Series 13- Dividend Payout Option</t>
  </si>
  <si>
    <t>IPRU9135</t>
  </si>
  <si>
    <t>ICICI Prudential Value Fund Series 12 - Direct Plan Dividend Payout Option</t>
  </si>
  <si>
    <t>IPRU2933</t>
  </si>
  <si>
    <t>ICICI Prudential Value Fund Series 12 - Dividend Payout Option</t>
  </si>
  <si>
    <t>AXISE2GPG</t>
  </si>
  <si>
    <t>Axis Emerging Opportunities Fund-SR 2 (1400 D)-Regular Plan-Growth</t>
  </si>
  <si>
    <t>AXISE2DPD</t>
  </si>
  <si>
    <t>Axis Emerging Opportunities Fund-SR 2 (1400 D)-Regular Plan-Dividend Payout</t>
  </si>
  <si>
    <t>AXISE2DGG</t>
  </si>
  <si>
    <t>Axis Emerging Opportunities Fund-SR 2 (1400 D)-Direct Plan-Growth</t>
  </si>
  <si>
    <t>AXISE2D1D</t>
  </si>
  <si>
    <t>Axis Emerging Opportunities Fund-SR 2 (1400 D)-Direct Plan-Dividend Payout</t>
  </si>
  <si>
    <t>IDFSENSEXE</t>
  </si>
  <si>
    <t>IDFC SENSEX ETF</t>
  </si>
  <si>
    <t>BSLSENETFG</t>
  </si>
  <si>
    <t>BIRLA SUN LIFE SENSEX ETF</t>
  </si>
  <si>
    <t>ICICIMCAP</t>
  </si>
  <si>
    <t>ICICI Prudential Midcap Select ETF</t>
  </si>
  <si>
    <t>ICICINV20</t>
  </si>
  <si>
    <t>ICICI Prudential NV20 ETF</t>
  </si>
  <si>
    <t>LICNFNHGP</t>
  </si>
  <si>
    <t>LIC MF Exchange Traded Fund- NIFTY 100</t>
  </si>
  <si>
    <t>ROXY</t>
  </si>
  <si>
    <t>Roxy Exports Ltd</t>
  </si>
  <si>
    <t>SXETF</t>
  </si>
  <si>
    <t>HDFC Sensex ETF - Open Ended Traded Fund</t>
  </si>
  <si>
    <t>HDFCNIFETF</t>
  </si>
  <si>
    <t>HDFC Nifty ETF</t>
  </si>
  <si>
    <t>LICNETFSEN</t>
  </si>
  <si>
    <t>LIC MF EXCHANGE TRADED FUND- SENSEX</t>
  </si>
  <si>
    <t>LICNETFN50</t>
  </si>
  <si>
    <t>LIC MF EXCHANGE TRADED FUND- NIFTY 50</t>
  </si>
  <si>
    <t>UTINIFTETF</t>
  </si>
  <si>
    <t>UTI NIFTY ETF</t>
  </si>
  <si>
    <t>UTISENSETF</t>
  </si>
  <si>
    <t>UTI- SENSEX ETF</t>
  </si>
  <si>
    <t>BLFL</t>
  </si>
  <si>
    <t>Boston Leasing and Finance Ltd</t>
  </si>
  <si>
    <t>NIFTYEES</t>
  </si>
  <si>
    <t>Edelweiss Mutual Fund - Edelweiss Exchange Traded Scheme - Nifty ( Nifty EES )</t>
  </si>
  <si>
    <t>RAJPUTANA</t>
  </si>
  <si>
    <t>Rajputana Investment and Finance Ltd</t>
  </si>
  <si>
    <t>SETFBSE100</t>
  </si>
  <si>
    <t>SBI Mutual Fund - SBI - ETF BSE 100</t>
  </si>
  <si>
    <t>D3YRCEEDDP</t>
  </si>
  <si>
    <t>DSP BlackRock 3 Years Close Ended Equity Fund-Direct Plan - Dividend Payout</t>
  </si>
  <si>
    <t>D3YRCEEDG</t>
  </si>
  <si>
    <t>DSP BlackRock 3 Years Close Ended Equity Fund- Direct Plan - Growth</t>
  </si>
  <si>
    <t>D3YRCEERDP</t>
  </si>
  <si>
    <t>DSP BlackRock 3 Years Close Ended Equity Fund-Regular- Dividend Payout</t>
  </si>
  <si>
    <t>D3YRCEERG</t>
  </si>
  <si>
    <t>DSP BlackRock 3 Years Close Ended Equity Fund-Regular- Growth</t>
  </si>
  <si>
    <t>IPRU8711</t>
  </si>
  <si>
    <t>ICICI Prudential Growth Fund Series 3 (Direct Plan - Dividend Payout Option)</t>
  </si>
  <si>
    <t>IPRU2511</t>
  </si>
  <si>
    <t>ICICI Prudential Growth Fund Series 3 (Regular Plan - Dividend Payout Option)</t>
  </si>
  <si>
    <t>NETFSENSEX</t>
  </si>
  <si>
    <t>NIPPON INDIA ETF SENSEX</t>
  </si>
  <si>
    <t>QGO</t>
  </si>
  <si>
    <t>QGO Finance Ltd</t>
  </si>
  <si>
    <t>IPRU8628</t>
  </si>
  <si>
    <t>ICICI Prudential Growth Fund Series 2 (Direct Plan - Dividend Payout Option)</t>
  </si>
  <si>
    <t>IPRU2428</t>
  </si>
  <si>
    <t>ICICI Prudential Growth Fund Series 2 (Regular Plan - Dividend Payout Option)</t>
  </si>
  <si>
    <t>IPRU8601</t>
  </si>
  <si>
    <t>ICICI Prudential Growth Fund Series 1 (Direct Dividend Option)</t>
  </si>
  <si>
    <t>IPRU2401</t>
  </si>
  <si>
    <t>ICICI Prudential Growth Fund Series 1 (Regular Dividend Payout)</t>
  </si>
  <si>
    <t>QUASAR</t>
  </si>
  <si>
    <t>Quasar India Ltd</t>
  </si>
  <si>
    <t>IT Software Products</t>
  </si>
  <si>
    <t>RESPONSINF</t>
  </si>
  <si>
    <t>Response Informatics Ltd</t>
  </si>
  <si>
    <t>CPSEETF</t>
  </si>
  <si>
    <t>CPSE ETF</t>
  </si>
  <si>
    <t>KOTAKNIFTY</t>
  </si>
  <si>
    <t>Kotak Mahindra Mutual Fund - Kotak Nifty ETF</t>
  </si>
  <si>
    <t>NETFNIF100</t>
  </si>
  <si>
    <t>NIPPON INDIA ETF NIFTY 100</t>
  </si>
  <si>
    <t>ICICINF100</t>
  </si>
  <si>
    <t>ICICI Prudential Nifty 100 ETF</t>
  </si>
  <si>
    <t>ICICINIFTY</t>
  </si>
  <si>
    <t>ICICI Prudential Nifty ETF</t>
  </si>
  <si>
    <t>M100</t>
  </si>
  <si>
    <t>Motilal Oswal Mutual Fund - Motilal Oswal MOSt Shares Midcap 100 ETF- Growth option</t>
  </si>
  <si>
    <t>SBISENSEX</t>
  </si>
  <si>
    <t>SBI Mutual Fund - SBI Sensex ETF</t>
  </si>
  <si>
    <t>IDBIGOLD</t>
  </si>
  <si>
    <t>IDBI Mutual Fund - IDBI Gold ETF</t>
  </si>
  <si>
    <t>AXISGOLD</t>
  </si>
  <si>
    <t>Axis Mutual Fund - Axis Gold Exchange Traded Fund</t>
  </si>
  <si>
    <t>Edible Oils</t>
  </si>
  <si>
    <t>RAJOIL</t>
  </si>
  <si>
    <t>RAJ OIL MILLS Ltd</t>
  </si>
  <si>
    <t>SMCREDT</t>
  </si>
  <si>
    <t>SMC CREDITS Ltd</t>
  </si>
  <si>
    <t>SERVOTEACH</t>
  </si>
  <si>
    <t>Servoteach Industries Ltd</t>
  </si>
  <si>
    <t>CENTERAC</t>
  </si>
  <si>
    <t>CENTERAC TECHNOLOGIES Ltd</t>
  </si>
  <si>
    <t>Paper &amp; Paper Products</t>
  </si>
  <si>
    <t>SAFFRON</t>
  </si>
  <si>
    <t>Saffron Industries Limited</t>
  </si>
  <si>
    <t>XTGLOBAL</t>
  </si>
  <si>
    <t>Xtglobal Infotech Ltd</t>
  </si>
  <si>
    <t>KANSAFB</t>
  </si>
  <si>
    <t>KANSAL FIBRES Ltd</t>
  </si>
  <si>
    <t>KIRANSY-B</t>
  </si>
  <si>
    <t>KIRAN SYNTEX Ltd</t>
  </si>
  <si>
    <t>SIDDHA</t>
  </si>
  <si>
    <t>SIDDHA VENTURES Ltd</t>
  </si>
  <si>
    <t>PAOS</t>
  </si>
  <si>
    <t>Paos Industries Ltd</t>
  </si>
  <si>
    <t>TEXELIN</t>
  </si>
  <si>
    <t>TEXEL INDUSTRIES Ltd</t>
  </si>
  <si>
    <t>SURJIND</t>
  </si>
  <si>
    <t>SURAJ INDUSTRIES Ltd</t>
  </si>
  <si>
    <t>PHARMAID</t>
  </si>
  <si>
    <t>PHARMAIDS PHARMACEUTICALS Ltd</t>
  </si>
  <si>
    <t>TMTIND-B1</t>
  </si>
  <si>
    <t>TMT (INDIA) Ltd</t>
  </si>
  <si>
    <t>BKV</t>
  </si>
  <si>
    <t>BKV INDUSTRIES Ltd</t>
  </si>
  <si>
    <t>SHINDL</t>
  </si>
  <si>
    <t>SHARAT INDUSTRIES Ltd</t>
  </si>
  <si>
    <t>Computer Hardware</t>
  </si>
  <si>
    <t>VINTRON</t>
  </si>
  <si>
    <t>VINTRON INFORMATICS Ltd</t>
  </si>
  <si>
    <t>SBECSYS</t>
  </si>
  <si>
    <t>SBEC SYSTEMS (INDIA) Ltd</t>
  </si>
  <si>
    <t>S&amp;SPOWER</t>
  </si>
  <si>
    <t>S&amp;S POWER SWITCHGEAR Ltd</t>
  </si>
  <si>
    <t>MODINSU</t>
  </si>
  <si>
    <t>MODERN INSULATORS Ltd</t>
  </si>
  <si>
    <t>SMFIL</t>
  </si>
  <si>
    <t>Smiths &amp; Founders (India) Limited</t>
  </si>
  <si>
    <t>GRANDFONRY</t>
  </si>
  <si>
    <t>GRAND FOUNDRY Ltd</t>
  </si>
  <si>
    <t>GYTRIPA</t>
  </si>
  <si>
    <t>GAYATRI TISSUE &amp; PAPERS Ltd</t>
  </si>
  <si>
    <t>YASTF</t>
  </si>
  <si>
    <t>YASH TRADING &amp; FINANCE Ltd</t>
  </si>
  <si>
    <t>ARAVALIS</t>
  </si>
  <si>
    <t>ARAVALI SECURITIES &amp; FINANCE Ltd</t>
  </si>
  <si>
    <t>SPVGLOBAL</t>
  </si>
  <si>
    <t>SPV Global Trading Ltd</t>
  </si>
  <si>
    <t>TRCFIN</t>
  </si>
  <si>
    <t>TRC FINANCIAL SERVICES Ltd</t>
  </si>
  <si>
    <t>IDINFO</t>
  </si>
  <si>
    <t>ID Info Business Services Ltd</t>
  </si>
  <si>
    <t>NORTHPR</t>
  </si>
  <si>
    <t>NORTHERN PROJECTS Ltd</t>
  </si>
  <si>
    <t>RAJSPTR</t>
  </si>
  <si>
    <t>RAJASTHAN PETRO SYNTHETICS Ltd</t>
  </si>
  <si>
    <t>KKFIN</t>
  </si>
  <si>
    <t>K K Fincorp Limited</t>
  </si>
  <si>
    <t>ZGAEKWAR</t>
  </si>
  <si>
    <t>GAEKWAR MILLS Ltd</t>
  </si>
  <si>
    <t>AMALGAM</t>
  </si>
  <si>
    <t>AMALGAMATED ELECTRICITY CO.Ltd</t>
  </si>
  <si>
    <t>JAYBHCR</t>
  </si>
  <si>
    <t>JAYABHARAT CREDIT Ltd</t>
  </si>
  <si>
    <t>KARTKIN</t>
  </si>
  <si>
    <t>KARTIK INVESTMENTS TRUST Ltd</t>
  </si>
  <si>
    <t>ZGOLDINV</t>
  </si>
  <si>
    <t>GOLD ROCK INVESTMENTS Ltd</t>
  </si>
  <si>
    <t>KORE</t>
  </si>
  <si>
    <t>Kore Foods Ltd</t>
  </si>
  <si>
    <t>INDLEASE</t>
  </si>
  <si>
    <t>INDIA LEASE DEVELOPMENT Ltd</t>
  </si>
  <si>
    <t>ZYLOG</t>
  </si>
  <si>
    <t>ZYLOG SYSTEMS LTD</t>
  </si>
  <si>
    <t>ZYDUSWELL</t>
  </si>
  <si>
    <t>ZYDUS WELLNESS LTD</t>
  </si>
  <si>
    <t>ZUARIGLOB</t>
  </si>
  <si>
    <t>ZUARI GLOBAL LTD</t>
  </si>
  <si>
    <t>ZUARI</t>
  </si>
  <si>
    <t>ZUARI AGRO CHEMICALS LTD</t>
  </si>
  <si>
    <t>SME</t>
  </si>
  <si>
    <t>ZOTA</t>
  </si>
  <si>
    <t>Not Listed</t>
  </si>
  <si>
    <t>ZOTA HEALTH CARE LTD</t>
  </si>
  <si>
    <t>ZODIACVEN</t>
  </si>
  <si>
    <t>Zodiac Ventures LTD</t>
  </si>
  <si>
    <t>ZODJRDMKJ</t>
  </si>
  <si>
    <t>ZODIAC JRD- MKJ LTD</t>
  </si>
  <si>
    <t>ZODIAC ENERGY LTD</t>
  </si>
  <si>
    <t>ZODIACLOTH</t>
  </si>
  <si>
    <t>ZODIAC CLOTHING COMPANY LTD</t>
  </si>
  <si>
    <t>ZIM LABORATORIES LTD</t>
  </si>
  <si>
    <t>Electronic Components</t>
  </si>
  <si>
    <t>ZICOM</t>
  </si>
  <si>
    <t>ZICOM ELECTRONIC SECURITY SYSTEMS LTD</t>
  </si>
  <si>
    <t>ZENSARTECH</t>
  </si>
  <si>
    <t>ZENSAR TECHNOLOGIES LTD</t>
  </si>
  <si>
    <t>ZENOTECH LABORATORIES LTD</t>
  </si>
  <si>
    <t>Misc.Commercial Services</t>
  </si>
  <si>
    <t>ZENLABS ETHICA LTD</t>
  </si>
  <si>
    <t>ZENITH HEALTH CARE LTD</t>
  </si>
  <si>
    <t>ZENITH FIBRES LTD</t>
  </si>
  <si>
    <t>ZENITHEXPO</t>
  </si>
  <si>
    <t>ZENITH EXPORTS LTD</t>
  </si>
  <si>
    <t>ZENITHBIR</t>
  </si>
  <si>
    <t>ZENITH BIRLA INDIA LTD</t>
  </si>
  <si>
    <t>ZENITH BIRLA (INDIA) LTD</t>
  </si>
  <si>
    <t>ZENTEC</t>
  </si>
  <si>
    <t>ZEN TECHNOLOGIES LTD</t>
  </si>
  <si>
    <t>Broadcasting &amp; Cable TV</t>
  </si>
  <si>
    <t>ZEEMEDIA</t>
  </si>
  <si>
    <t>ZEE MEDIA CORPORATION LTD</t>
  </si>
  <si>
    <t>ZEELEARN</t>
  </si>
  <si>
    <t>ZEE LEARN LTD</t>
  </si>
  <si>
    <t>ZEEL</t>
  </si>
  <si>
    <t>ZEE ENTERTAINMENT ENTERPRISES LTD</t>
  </si>
  <si>
    <t>ZEAL AQUA LTD</t>
  </si>
  <si>
    <t>Z F STEERING GEAR INDIA LTD</t>
  </si>
  <si>
    <t>Z F STEERING GEAR (INDIA) LTD</t>
  </si>
  <si>
    <t>YUVRAAJHPL</t>
  </si>
  <si>
    <t>YUVRAAJ HYGIENE PRODUCTS LTD.</t>
  </si>
  <si>
    <t>YURANUS INFRASTRUCTURE LTD</t>
  </si>
  <si>
    <t>YUKEN INDIA LTD</t>
  </si>
  <si>
    <t>YUKEN (INDIA) LTD</t>
  </si>
  <si>
    <t>YUG DECOR LTD</t>
  </si>
  <si>
    <t>YORK EXPORTS LTD</t>
  </si>
  <si>
    <t>YOGYA ENTERPRISES LTD</t>
  </si>
  <si>
    <t>YOGI SUNG-WON INDIA LTD</t>
  </si>
  <si>
    <t>YOGI SUNG-WON (INDIA) LTD</t>
  </si>
  <si>
    <t>YKM INDUSTRIES LTD</t>
  </si>
  <si>
    <t>YESBANK</t>
  </si>
  <si>
    <t>YES BANK LTD</t>
  </si>
  <si>
    <t>YASHRAJ CONTAINEURS LTD</t>
  </si>
  <si>
    <t>YASHO INDUSTRIES LTD</t>
  </si>
  <si>
    <t>YASH PAPERS LTD</t>
  </si>
  <si>
    <t>YASH MANAGEMENT &amp; SATELLITE LTD</t>
  </si>
  <si>
    <t>YASH CHEMEX LTD</t>
  </si>
  <si>
    <t>YARN SYNDICATE LTD</t>
  </si>
  <si>
    <t>Investment Companies</t>
  </si>
  <si>
    <t>YAMINI INVESTMENTS COMPANY LTD</t>
  </si>
  <si>
    <t>XPROINDIA</t>
  </si>
  <si>
    <t>XPRO INDIA LTD</t>
  </si>
  <si>
    <t>XPRO(INDIA)</t>
  </si>
  <si>
    <t>XPRO (INDIA) LTD</t>
  </si>
  <si>
    <t>Telecom Equipment</t>
  </si>
  <si>
    <t>XLENERGY</t>
  </si>
  <si>
    <t>XL ENERGY LTD</t>
  </si>
  <si>
    <t>Internet Software &amp;amp; Services</t>
  </si>
  <si>
    <t>XELPMOC</t>
  </si>
  <si>
    <t>Xelpmoc Design and Tech Ltd</t>
  </si>
  <si>
    <t>BPO/KPO</t>
  </si>
  <si>
    <t>XCHANGING</t>
  </si>
  <si>
    <t>XCHANGING SOLUTIONS LTD</t>
  </si>
  <si>
    <t>WPIL LTD</t>
  </si>
  <si>
    <t>WORTH</t>
  </si>
  <si>
    <t>WORTH PERIPHERALS LTD</t>
  </si>
  <si>
    <t>WORTH INVESTMENT &amp; TRADING CO LTD</t>
  </si>
  <si>
    <t>WORLDWIDE LEATHER EXPORTS LTD</t>
  </si>
  <si>
    <t>Hotels</t>
  </si>
  <si>
    <t>WOODSVILLA LTD</t>
  </si>
  <si>
    <t>Other Leisure Facilities</t>
  </si>
  <si>
    <t>WONDERLA</t>
  </si>
  <si>
    <t>WONDERLA HOLIDAYS LTD</t>
  </si>
  <si>
    <t>WOMENS NEXT LOUNGERIES LTD</t>
  </si>
  <si>
    <t>WOMEN NETWORKS LTD</t>
  </si>
  <si>
    <t>WOCKPHARMA</t>
  </si>
  <si>
    <t>WOCKHARDT LTD</t>
  </si>
  <si>
    <t>WISEC GLOBAL LTD</t>
  </si>
  <si>
    <t>WIRES &amp; FABRIKS SA LTD</t>
  </si>
  <si>
    <t>WIPRO</t>
  </si>
  <si>
    <t>WIPRO LTD</t>
  </si>
  <si>
    <t>WINY COMMERCIAL &amp; FISCAL SERVICES LTD</t>
  </si>
  <si>
    <t>WINTAC LTD</t>
  </si>
  <si>
    <t>WINSOME</t>
  </si>
  <si>
    <t>WINSOME YARNS LTD</t>
  </si>
  <si>
    <t>WINSOME TEXTILE INDUSTRIES LTD</t>
  </si>
  <si>
    <t>Breweries &amp; Distilleries</t>
  </si>
  <si>
    <t>WINSOME BREWERIES LTD</t>
  </si>
  <si>
    <t>WINRO COMMERCIAL INDIA LTD</t>
  </si>
  <si>
    <t>WINRO COMMERCIAL (INDIA) LTD</t>
  </si>
  <si>
    <t>WINDMACHIN</t>
  </si>
  <si>
    <t>WINDSOR MACHINES LTD</t>
  </si>
  <si>
    <t>WIM PLAST LTD</t>
  </si>
  <si>
    <t>WILLAMAGOR</t>
  </si>
  <si>
    <t>WILLIAMSON MAGOR &amp; COMPANY LTD</t>
  </si>
  <si>
    <t>WILLIAMSON FINANCIAL SERVICES LTD</t>
  </si>
  <si>
    <t>Comm.Trading  &amp;amp; Distribution</t>
  </si>
  <si>
    <t>WORL</t>
  </si>
  <si>
    <t>White Organic Retail Ltd</t>
  </si>
  <si>
    <t>WHITE ORGANIC AGRO LTD</t>
  </si>
  <si>
    <t>WHIRLPOOL</t>
  </si>
  <si>
    <t>WHIRLPOOL OF INDIA LTD</t>
  </si>
  <si>
    <t>WHIRLPOOL OF (INDIA) LTD</t>
  </si>
  <si>
    <t>WHEELS</t>
  </si>
  <si>
    <t>WHEELS INDIA LTD</t>
  </si>
  <si>
    <t>WHEELS (INDIA) LTD</t>
  </si>
  <si>
    <t>WESTLIFE DEVELOPMENT LTD</t>
  </si>
  <si>
    <t>Iron &amp; Steel/Interm.Products</t>
  </si>
  <si>
    <t>WESTERN MINISTIL LTD</t>
  </si>
  <si>
    <t>WEST LEISURE RESORTS LTD</t>
  </si>
  <si>
    <t>WSTCSTPAPR</t>
  </si>
  <si>
    <t>WEST COAST PAPER MILLS LTD</t>
  </si>
  <si>
    <t>WEP SOLUTIONS LTD</t>
  </si>
  <si>
    <t>WENDT</t>
  </si>
  <si>
    <t>WENDT INDIA LTD</t>
  </si>
  <si>
    <t>WENDT (INDIA) LTD</t>
  </si>
  <si>
    <t>WELTERMAN INTERNATIONAL LTD</t>
  </si>
  <si>
    <t>WELINV</t>
  </si>
  <si>
    <t>WELSPUN INVESTMENTS AND COMMERCIALS LTD</t>
  </si>
  <si>
    <t>WELSPUNIND</t>
  </si>
  <si>
    <t>WELSPUN INDIA LTD</t>
  </si>
  <si>
    <t>WELENT</t>
  </si>
  <si>
    <t>WELSPUN ENTERPRISES LTD</t>
  </si>
  <si>
    <t>WELCORP</t>
  </si>
  <si>
    <t>WELSPUN CORP LTD</t>
  </si>
  <si>
    <t>WELSPUN (INDIA) LTD</t>
  </si>
  <si>
    <t>WELLNESS NONI LTD</t>
  </si>
  <si>
    <t>WELLESLEY CORPORATION LTD</t>
  </si>
  <si>
    <t>WELCURE DRUGS &amp; PHARMACEUTICALS LTD</t>
  </si>
  <si>
    <t>WELCAST STEELS LTD</t>
  </si>
  <si>
    <t>WEIZMANIND</t>
  </si>
  <si>
    <t>WEIZMANN LTD</t>
  </si>
  <si>
    <t>WEIZFOREX</t>
  </si>
  <si>
    <t>WEIZMANN FOREX LTD</t>
  </si>
  <si>
    <t>WEIZMANN FINCORP LTD</t>
  </si>
  <si>
    <t>WEBELSOLAR</t>
  </si>
  <si>
    <t>WEBSOL ENERGY SYSTEM LTD</t>
  </si>
  <si>
    <t>Others</t>
  </si>
  <si>
    <t>WEB ELEMENT SOLUTIONS LTD</t>
  </si>
  <si>
    <t>WEALTH</t>
  </si>
  <si>
    <t>WEALTH FIRST PORTFOLIO MANAGERS LTD</t>
  </si>
  <si>
    <t>WATERBASE LTD</t>
  </si>
  <si>
    <t>WARREN TEA LTD</t>
  </si>
  <si>
    <t>WARNER MULTIMEDIA LTD</t>
  </si>
  <si>
    <t>WANBURY</t>
  </si>
  <si>
    <t>WANBURY LTD</t>
  </si>
  <si>
    <t>WALLFORT FINANCIAL SERVICES LTD</t>
  </si>
  <si>
    <t>WALL STREET FINANCE LTD</t>
  </si>
  <si>
    <t>WALCHANNAG</t>
  </si>
  <si>
    <t>WALCHANDNAGAR INDUSTRIES LTD</t>
  </si>
  <si>
    <t>WALCHAND PEOPLEFIRST LTD</t>
  </si>
  <si>
    <t>WAGEND INFRA VENTURE LTD</t>
  </si>
  <si>
    <t>WABCOINDIA</t>
  </si>
  <si>
    <t>WABCO INDIA LTD</t>
  </si>
  <si>
    <t>WABCO(INDIA)</t>
  </si>
  <si>
    <t>WABCO (INDIA) LTD</t>
  </si>
  <si>
    <t>WAA SOLAR LTD</t>
  </si>
  <si>
    <t>W W TECHNOLOGY HOLDINGS LTD</t>
  </si>
  <si>
    <t>W S INDUSTRIES INDIA LTD</t>
  </si>
  <si>
    <t>WSI</t>
  </si>
  <si>
    <t>W S INDUSTRIES I LTD</t>
  </si>
  <si>
    <t>W S INDUSTRIES (INDIA) LTD</t>
  </si>
  <si>
    <t>W H BRADY &amp; CO LTD</t>
  </si>
  <si>
    <t>VYAPAR INDUSTRIES LTD</t>
  </si>
  <si>
    <t>VXLINSTR</t>
  </si>
  <si>
    <t>VXL INSTRUMENTS LTD.</t>
  </si>
  <si>
    <t>VTM LTD</t>
  </si>
  <si>
    <t>Cigarettes-Tobacco Products</t>
  </si>
  <si>
    <t>VSTIND</t>
  </si>
  <si>
    <t>VST INDUSTRIES LTD</t>
  </si>
  <si>
    <t>VSF PROJECTS LTD</t>
  </si>
  <si>
    <t>VRLLOG</t>
  </si>
  <si>
    <t>VRL LOGISTICS LTD</t>
  </si>
  <si>
    <t>VORA CONSTRUCTIONS LTD</t>
  </si>
  <si>
    <t>VOLTAS</t>
  </si>
  <si>
    <t>VOLTAS LTD</t>
  </si>
  <si>
    <t>VOLTAMP</t>
  </si>
  <si>
    <t>VOLTAMP TRANSFORMERS LTD</t>
  </si>
  <si>
    <t>VOLTAIRE LEASING &amp; FINANCE LTD</t>
  </si>
  <si>
    <t>VOITH PAPER FABRICS INDIA LTD</t>
  </si>
  <si>
    <t>VOITH PAPER FABRICS (INDIA) LTD</t>
  </si>
  <si>
    <t>Telecom Services</t>
  </si>
  <si>
    <t>IDEA</t>
  </si>
  <si>
    <t>VODAFONE IDEA LTD</t>
  </si>
  <si>
    <t>VMV HOLIDAYS LTD</t>
  </si>
  <si>
    <t>Marine Port &amp; Services</t>
  </si>
  <si>
    <t>VMS INDUSTRIES LTD</t>
  </si>
  <si>
    <t>Department Stores</t>
  </si>
  <si>
    <t>VMART</t>
  </si>
  <si>
    <t>V-MART RETAIL LTD</t>
  </si>
  <si>
    <t>VLSFINANCE</t>
  </si>
  <si>
    <t>VLS FINANCE LTD</t>
  </si>
  <si>
    <t>VKJ INFRADEVELOPERS LTD</t>
  </si>
  <si>
    <t>VJTF EDUSERVICES LTD</t>
  </si>
  <si>
    <t>Biotechnology</t>
  </si>
  <si>
    <t>VIVO BIO TECH LTD</t>
  </si>
  <si>
    <t>VIVIMEDLAB</t>
  </si>
  <si>
    <t>VIVIMED LABS LTD</t>
  </si>
  <si>
    <t>VIVID GLOBAL INDUSTRIES LTD</t>
  </si>
  <si>
    <t>VIVANZA BIOSCIENCES LTD</t>
  </si>
  <si>
    <t>VIVANTA INDUSTRIES LTD</t>
  </si>
  <si>
    <t>VITESSE AGRO LTD</t>
  </si>
  <si>
    <t>VISTAR AMAR LTD</t>
  </si>
  <si>
    <t>VISTA PHARMACEUTICALS LTD</t>
  </si>
  <si>
    <t>Movies &amp; Entertainment</t>
  </si>
  <si>
    <t>VISION CORPORATION LTD</t>
  </si>
  <si>
    <t>VISION CINEMAS LTD</t>
  </si>
  <si>
    <t>VISVEN</t>
  </si>
  <si>
    <t>Vishvprabha Ventures Ltd</t>
  </si>
  <si>
    <t>VISHNU</t>
  </si>
  <si>
    <t>VISHNU CHEMICALS LTD</t>
  </si>
  <si>
    <t>VISHAL FABRICS LTD</t>
  </si>
  <si>
    <t>VISHAL BEARINGS LTD</t>
  </si>
  <si>
    <t>VISESHINFO</t>
  </si>
  <si>
    <t>VISESH INFOTECNICS LTD</t>
  </si>
  <si>
    <t>VISCO TRADE ASSOCIATES LTD</t>
  </si>
  <si>
    <t>VISAKAIND</t>
  </si>
  <si>
    <t>VISAKA INDUSTRIES LTD</t>
  </si>
  <si>
    <t>VIVIDHA</t>
  </si>
  <si>
    <t>VISAGAR POLYTEX LTD</t>
  </si>
  <si>
    <t>VISAGAR FINANCIAL SERVICES LTD</t>
  </si>
  <si>
    <t>VISASTEEL</t>
  </si>
  <si>
    <t>VISA STEEL LTD</t>
  </si>
  <si>
    <t>VIRTUALSOFT SYSTEMS LTD</t>
  </si>
  <si>
    <t>VIRTUAL GLOBAL EDUCATION LTD</t>
  </si>
  <si>
    <t>VIRINCHI LTD</t>
  </si>
  <si>
    <t>VIRGO GLOBAL LTD</t>
  </si>
  <si>
    <t>VIRAT LEASING LTD</t>
  </si>
  <si>
    <t>VIRAT INDUSTRIES LTD</t>
  </si>
  <si>
    <t>VIRAT CRANE INDUSTRIES LTD</t>
  </si>
  <si>
    <t>VIPUL ORGANICS LTD</t>
  </si>
  <si>
    <t>VIPULLTD</t>
  </si>
  <si>
    <t>VIPUL LTD</t>
  </si>
  <si>
    <t>VIPPY SPINPRO LTD</t>
  </si>
  <si>
    <t>VIPIND</t>
  </si>
  <si>
    <t>VIP INDUSTRIES LTD</t>
  </si>
  <si>
    <t>VIPCLOTHNG</t>
  </si>
  <si>
    <t>VIP CLOTHING LTD</t>
  </si>
  <si>
    <t>VINYOFLEX LTD</t>
  </si>
  <si>
    <t>Fibres &amp; Plastics</t>
  </si>
  <si>
    <t>VINYLINDIA</t>
  </si>
  <si>
    <t>VINYL CHEMICALS INDIA LTD</t>
  </si>
  <si>
    <t>VINYL(INDIA)</t>
  </si>
  <si>
    <t>VINYL CHEMICALS (INDIA) LTD</t>
  </si>
  <si>
    <t>VINTAGE SECURITIES LTD</t>
  </si>
  <si>
    <t>VINNY</t>
  </si>
  <si>
    <t>VINNY OVERSEAS LTD</t>
  </si>
  <si>
    <t>Telecom Cables</t>
  </si>
  <si>
    <t>VINDHYATEL</t>
  </si>
  <si>
    <t>VINDHYA TELELINKS LTD</t>
  </si>
  <si>
    <t>VINAYAK POLYCON INTERNATIONAL LTD</t>
  </si>
  <si>
    <t>VINATIORGA</t>
  </si>
  <si>
    <t>VINATI ORGANICS LTD</t>
  </si>
  <si>
    <t>VINADITYA TRADING CO LTD</t>
  </si>
  <si>
    <t>VIMTALABS</t>
  </si>
  <si>
    <t>VIMTA LABS LTD</t>
  </si>
  <si>
    <t>VIMALOIL</t>
  </si>
  <si>
    <t>VIMAL OIL &amp; FOODS LTD</t>
  </si>
  <si>
    <t>VIKSIT ENGINEERING LTD</t>
  </si>
  <si>
    <t>VIKRAM THERMO INDIA LTD</t>
  </si>
  <si>
    <t>VIKRAM THERMO (INDIA) LTD</t>
  </si>
  <si>
    <t>VIKAS WSP LTD</t>
  </si>
  <si>
    <t>VIKAS PROPPANT &amp; GRANITE LTD</t>
  </si>
  <si>
    <t>VIKASMCORP</t>
  </si>
  <si>
    <t>Vikas Multicorp Ltd</t>
  </si>
  <si>
    <t>VIKASECO</t>
  </si>
  <si>
    <t>VIKAS ECOTECH LTD</t>
  </si>
  <si>
    <t>VIKALP SECURITIES LTD</t>
  </si>
  <si>
    <t>VIJIFIN</t>
  </si>
  <si>
    <t>VIJI FINANCE LTD</t>
  </si>
  <si>
    <t>VIJAYABANK</t>
  </si>
  <si>
    <t>VIJAYA BANK</t>
  </si>
  <si>
    <t>VIJAY TEXTILES LTD</t>
  </si>
  <si>
    <t>VIJAY SOLVEX LTD</t>
  </si>
  <si>
    <t>VIJSHAN</t>
  </si>
  <si>
    <t>VIJAY SHANTHI BUILDERS LTD</t>
  </si>
  <si>
    <t>VIDLI RESTAURANTS LTD</t>
  </si>
  <si>
    <t>VIDHIING</t>
  </si>
  <si>
    <t>VIDHI SPECIALTY FOOD INGREDIENTS LTD</t>
  </si>
  <si>
    <t>VIDEOIND</t>
  </si>
  <si>
    <t>VIDEOCON INDUSTRIES LTD</t>
  </si>
  <si>
    <t>VICTORY PAPER &amp; BOARDS INDIA LTD</t>
  </si>
  <si>
    <t>VICTORY PAPER &amp; BOARDS (INDIA) LTD</t>
  </si>
  <si>
    <t>VICTORIA MILLS LTD</t>
  </si>
  <si>
    <t>VICEROY</t>
  </si>
  <si>
    <t>VICEROY HOTELS LTD</t>
  </si>
  <si>
    <t>VIBRANT GLOBAL CAPITAL LTD</t>
  </si>
  <si>
    <t>VIAAN INDUSTRIES LTD</t>
  </si>
  <si>
    <t>VGUARD</t>
  </si>
  <si>
    <t>V-GUARD INDUSTRIES LTD</t>
  </si>
  <si>
    <t>VETO</t>
  </si>
  <si>
    <t>VETO SWITCHGEARS AND CABLES LTD</t>
  </si>
  <si>
    <t>VESUVIUS</t>
  </si>
  <si>
    <t>VESUVIUS INDIA LTD</t>
  </si>
  <si>
    <t>VESUVIUS (INDIA) LTD</t>
  </si>
  <si>
    <t>VERTOZ</t>
  </si>
  <si>
    <t>VERTOZ ADVERTISING LTD</t>
  </si>
  <si>
    <t>Construction Materials</t>
  </si>
  <si>
    <t>VERTICAL INDUSTRIES LTD</t>
  </si>
  <si>
    <t>VERTEX SECURITIES LTD</t>
  </si>
  <si>
    <t>VERONICA PRODUCTION LTD</t>
  </si>
  <si>
    <t>VERITAS INDIA LTD</t>
  </si>
  <si>
    <t>VERITAS (INDIA) LTD</t>
  </si>
  <si>
    <t>VERA</t>
  </si>
  <si>
    <t>VERA SYNTHETIC LTD</t>
  </si>
  <si>
    <t>VENUSREM</t>
  </si>
  <si>
    <t>VENUS REMEDIES LTD</t>
  </si>
  <si>
    <t>VENTURA TEXTILES LTD</t>
  </si>
  <si>
    <t>SHYAM</t>
  </si>
  <si>
    <t>VENTURA GUARANTY LTD.</t>
  </si>
  <si>
    <t>VENLON ENTERPRISES LTD</t>
  </si>
  <si>
    <t>VENKEYS</t>
  </si>
  <si>
    <t>VENKY'S INDIA LTD</t>
  </si>
  <si>
    <t>VENKY'S (INDIA) LTD</t>
  </si>
  <si>
    <t>VELJAN DENISON LTD</t>
  </si>
  <si>
    <t>VELAN HOTELS LTD</t>
  </si>
  <si>
    <t>VEGETABLE PRODUCTS LTD</t>
  </si>
  <si>
    <t>VEERHEALTH CARE LTD</t>
  </si>
  <si>
    <t>VEERAM ORNAMENTS LTD</t>
  </si>
  <si>
    <t>VEERAM INFRA ENGINEERING LTD</t>
  </si>
  <si>
    <t>Electric Utilities</t>
  </si>
  <si>
    <t>VEER ENERGY &amp; INFRASTRUCTURE LTD</t>
  </si>
  <si>
    <t>VEEJAY LAKSHMI ENGINEERING WORKS LTD</t>
  </si>
  <si>
    <t>VEDAVAAG SYSTEMS LTD</t>
  </si>
  <si>
    <t>Zinc</t>
  </si>
  <si>
    <t>VEDL</t>
  </si>
  <si>
    <t>VEDANTA LTD</t>
  </si>
  <si>
    <t>IT Networking Equipment</t>
  </si>
  <si>
    <t>VCU DATA MANAGEMENT LTD</t>
  </si>
  <si>
    <t>VCK CAPITAL MARKET SERVICES LTD</t>
  </si>
  <si>
    <t>VBC FERRO ALLOYS LTD</t>
  </si>
  <si>
    <t>VAX HOUSING FINANCE CORPORATION LTD</t>
  </si>
  <si>
    <t>VASWANI</t>
  </si>
  <si>
    <t>VASWANI INDUSTRIES LTD</t>
  </si>
  <si>
    <t>VASUNDHARA RASAYANS LTD</t>
  </si>
  <si>
    <t>VASCONEQ</t>
  </si>
  <si>
    <t>VASCON ENGINEERS LTD</t>
  </si>
  <si>
    <t>VASA</t>
  </si>
  <si>
    <t>VASA RETAIL AND OVERSEAS LTD</t>
  </si>
  <si>
    <t>VAS INFRASTRUCTURE LTD</t>
  </si>
  <si>
    <t>VARUN MERCANTILE LTD</t>
  </si>
  <si>
    <t>VBL</t>
  </si>
  <si>
    <t>VARUN BEVERAGES LTD</t>
  </si>
  <si>
    <t>VARROC</t>
  </si>
  <si>
    <t>VARROC ENGINEERING LTD</t>
  </si>
  <si>
    <t>VTL</t>
  </si>
  <si>
    <t>VARDHMAN TEXTILES LTD</t>
  </si>
  <si>
    <t>VSSL</t>
  </si>
  <si>
    <t>VARDHMAN SPECIAL STEELS LTD</t>
  </si>
  <si>
    <t>VARDMNPOLY</t>
  </si>
  <si>
    <t>VARDHMAN POLYTEX LTD</t>
  </si>
  <si>
    <t>VARDHMAN INDUSTRIES LTD</t>
  </si>
  <si>
    <t>VHL</t>
  </si>
  <si>
    <t>VARDHMAN HOLDINGS LTD</t>
  </si>
  <si>
    <t>VARDHMAN CONCRETE LTD</t>
  </si>
  <si>
    <t>VARDHACRLC</t>
  </si>
  <si>
    <t>VARDHMAN ACRYLICS LTD</t>
  </si>
  <si>
    <t>VARDHAMAN LABORATORIES LTD</t>
  </si>
  <si>
    <t>VAPI PAPER MILLS LTD</t>
  </si>
  <si>
    <t>VANTAGE KNOWLEDGE ACADEMY LTD</t>
  </si>
  <si>
    <t>VANTA BIOSCIENCE LTD</t>
  </si>
  <si>
    <t>VANI COMMERCIALS LTD</t>
  </si>
  <si>
    <t>VANDANA KNITWEAR LTD</t>
  </si>
  <si>
    <t>VAMSHI RUBBER LTD</t>
  </si>
  <si>
    <t>VAMA INDUSTRIES LTD</t>
  </si>
  <si>
    <t>VALSON INDUSTRIES LTD</t>
  </si>
  <si>
    <t>VALLEY MAGNESITE COMPANY LTD</t>
  </si>
  <si>
    <t>VALLABH STEELS LTD</t>
  </si>
  <si>
    <t>VALLABH POLY-PLAST INTERNATIONAL LTD</t>
  </si>
  <si>
    <t>VALIANT ORGANICS LTD</t>
  </si>
  <si>
    <t>VALIANT COMMUNICATIONS LTD</t>
  </si>
  <si>
    <t>VAKSONS AUTOMOBILES LTD</t>
  </si>
  <si>
    <t>VAKRANGEE</t>
  </si>
  <si>
    <t>VAKRANGEE LTD</t>
  </si>
  <si>
    <t>VAISHALI</t>
  </si>
  <si>
    <t>VAISHALI PHARMA LTD</t>
  </si>
  <si>
    <t>VAIBHAVGBL</t>
  </si>
  <si>
    <t>VAIBHAV GLOBAL LTD</t>
  </si>
  <si>
    <t>VAGHANI TECHNO-BUILD LTD</t>
  </si>
  <si>
    <t>VSCL</t>
  </si>
  <si>
    <t>VADIVARHE SPECIALITY CHEMICALS LTD</t>
  </si>
  <si>
    <t>VADILALIND</t>
  </si>
  <si>
    <t>VADILAL INDUSTRIES LTD</t>
  </si>
  <si>
    <t>VADILAL ENTERPRISES LTD</t>
  </si>
  <si>
    <t>VAARAD VENTURES LTD</t>
  </si>
  <si>
    <t>Utilities:Non-Elec.</t>
  </si>
  <si>
    <t>WABAG</t>
  </si>
  <si>
    <t>VA TECH WABAG LTD</t>
  </si>
  <si>
    <t>V2RETAIL</t>
  </si>
  <si>
    <t>V2 RETAIL LTD</t>
  </si>
  <si>
    <t>Commercial Vehicles</t>
  </si>
  <si>
    <t>VSTTILLERS</t>
  </si>
  <si>
    <t>V S T TILLERS TRACTORS LTD</t>
  </si>
  <si>
    <t>V R WOODART LTD</t>
  </si>
  <si>
    <t>VRFILMS</t>
  </si>
  <si>
    <t>V R Films &amp;amp; Studios Ltd</t>
  </si>
  <si>
    <t>V B INDUSTRIES LTD</t>
  </si>
  <si>
    <t>V B DESAI FINANCIAL SERVICES LTD</t>
  </si>
  <si>
    <t>UVSL</t>
  </si>
  <si>
    <t>UTTAM VALUE STEELS LTD</t>
  </si>
  <si>
    <t>UTTAMSUGAR</t>
  </si>
  <si>
    <t>UTTAM SUGAR MILLS LTD</t>
  </si>
  <si>
    <t>UTTAMSTL</t>
  </si>
  <si>
    <t>UTTAM GALVA STEELS LTD</t>
  </si>
  <si>
    <t>UTL INDUSTRIES LTD</t>
  </si>
  <si>
    <t>GOLDSHARE</t>
  </si>
  <si>
    <t>UTI MUTUAL FUND - UTI GOLD EXCHANGE TRADED FUND</t>
  </si>
  <si>
    <t>USHERAGRO</t>
  </si>
  <si>
    <t>USHER AGRO LTD</t>
  </si>
  <si>
    <t>USHDEV INTERNATIONAL LTD</t>
  </si>
  <si>
    <t>UCL</t>
  </si>
  <si>
    <t>USHANTI COLOUR CHEM LTD</t>
  </si>
  <si>
    <t>USHAKIRAN FINANCE LTD</t>
  </si>
  <si>
    <t>USHAMART</t>
  </si>
  <si>
    <t>USHA MARTIN LTD</t>
  </si>
  <si>
    <t>UMESLTD</t>
  </si>
  <si>
    <t>USHA MARTIN EDUCATION &amp; SOLUTIONS LTD</t>
  </si>
  <si>
    <t>USG TECH SOLUTIONS LTD</t>
  </si>
  <si>
    <t>URJA</t>
  </si>
  <si>
    <t>URJA GLOBAL LTD</t>
  </si>
  <si>
    <t>URAVI</t>
  </si>
  <si>
    <t>URAVI T AND WEDGE LAMPS LTD</t>
  </si>
  <si>
    <t>UPSURGE INVESTMENT &amp; FINANCE LTD</t>
  </si>
  <si>
    <t>UPL</t>
  </si>
  <si>
    <t>UPL LTD</t>
  </si>
  <si>
    <t>UPASANA FINANCE LTD</t>
  </si>
  <si>
    <t>UNJHA FORMULATIONS LTD</t>
  </si>
  <si>
    <t>UNIWORTH SECURITIES LTD</t>
  </si>
  <si>
    <t>UNIWORTH LTD</t>
  </si>
  <si>
    <t>UNIVERSAL STARCH-CHEM ALLIED LTD</t>
  </si>
  <si>
    <t>Aluminium</t>
  </si>
  <si>
    <t>UNIVERSAL PRIME ALUMINIUM LTD</t>
  </si>
  <si>
    <t>UNIVERSAL OFFICE AUTOMATION LTD</t>
  </si>
  <si>
    <t>UNIVERSAL CREDIT &amp; SECURITIES LTD</t>
  </si>
  <si>
    <t>UNIVCABLES</t>
  </si>
  <si>
    <t>UNIVERSAL CABLES LTD</t>
  </si>
  <si>
    <t>UNIVERSAL AUTOFOUNDRY LTD</t>
  </si>
  <si>
    <t>UNIVERSAL ARTS LTD</t>
  </si>
  <si>
    <t>UNIVASTU</t>
  </si>
  <si>
    <t>UNIVASTU INDIA LTD</t>
  </si>
  <si>
    <t>UNIVASTU (INDIA) LTD</t>
  </si>
  <si>
    <t>UNITY</t>
  </si>
  <si>
    <t>UNITY INFRAPROJECTS LTD</t>
  </si>
  <si>
    <t>UNITED VAN DER HORST LTD</t>
  </si>
  <si>
    <t>UNITED TEXTILES LTD</t>
  </si>
  <si>
    <t>MCDOWELL-N</t>
  </si>
  <si>
    <t>UNITED SPIRITS LTD</t>
  </si>
  <si>
    <t>UNITEDPOLY</t>
  </si>
  <si>
    <t>UNITED POLYFAB GUJARAT LTD</t>
  </si>
  <si>
    <t>UNITED LEASING &amp; INDUSTRIES LTD</t>
  </si>
  <si>
    <t>UNITED INTERACTIVE LTD</t>
  </si>
  <si>
    <t>UNITED DRILLING TOOLS LTD</t>
  </si>
  <si>
    <t>UNITED CREDIT LTD</t>
  </si>
  <si>
    <t>UBL</t>
  </si>
  <si>
    <t>UNITED BREWERIES LTD</t>
  </si>
  <si>
    <t>UNITEDBNK</t>
  </si>
  <si>
    <t>UNITED BANK OF INDIA</t>
  </si>
  <si>
    <t>UNITECH</t>
  </si>
  <si>
    <t>UNITECH LTD</t>
  </si>
  <si>
    <t>UNITECH INTERNATIONAL LTD</t>
  </si>
  <si>
    <t xml:space="preserve">Housing Finance </t>
  </si>
  <si>
    <t>UNISYS SOFTWARES &amp; HOLDING INDUSTRIES LTD</t>
  </si>
  <si>
    <t>UNISTAR MULTIMEDIA LTD</t>
  </si>
  <si>
    <t>UNISON METALS LTD</t>
  </si>
  <si>
    <t>UNISHIRE URBAN INFRA LTD</t>
  </si>
  <si>
    <t>UNIROYAL MARINE EXPORTS LTD</t>
  </si>
  <si>
    <t>UNIROYAL INDUSTRIES LTD</t>
  </si>
  <si>
    <t>UNIQUE ORGANICS LTD</t>
  </si>
  <si>
    <t>UNIPLY</t>
  </si>
  <si>
    <t>UNIPLY INDUSTRIES LTD</t>
  </si>
  <si>
    <t>UNIPLY DECOR LTD</t>
  </si>
  <si>
    <t>UNIENTER</t>
  </si>
  <si>
    <t>UNIPHOS ENTERPRISES LTD</t>
  </si>
  <si>
    <t>UNION QUALITY PLASTICS LTD</t>
  </si>
  <si>
    <t>UNIONBANK</t>
  </si>
  <si>
    <t>UNION BANK OF INDIA</t>
  </si>
  <si>
    <t>Other Apparels &amp;amp; Accessories</t>
  </si>
  <si>
    <t>UNIMOVR</t>
  </si>
  <si>
    <t>UNIMODE OVERSEAS LTD.</t>
  </si>
  <si>
    <t>UNIJOLLY INVESTMENTS CO LTD</t>
  </si>
  <si>
    <t>UNIINFO</t>
  </si>
  <si>
    <t>UNIINFO TELECOM SERVICES LTD</t>
  </si>
  <si>
    <t>Comm.Printing/Stationery</t>
  </si>
  <si>
    <t>UNICK FIX-A-FORM AND PRINTERS LTD</t>
  </si>
  <si>
    <t>UNICHEMLAB</t>
  </si>
  <si>
    <t>UNICHEM LABORATORIES LTD</t>
  </si>
  <si>
    <t>UNI ABEX ALLOY PRODUCTS LTD</t>
  </si>
  <si>
    <t>UMIYA TUBES LTD</t>
  </si>
  <si>
    <t>UMANGDAIRY</t>
  </si>
  <si>
    <t>UMANG DAIRIES LTD</t>
  </si>
  <si>
    <t>ULTRACEMCO</t>
  </si>
  <si>
    <t>ULTRATECH CEMENT LTD</t>
  </si>
  <si>
    <t>ULTRAMARINE &amp; PIGMENTS LTD</t>
  </si>
  <si>
    <t>ULTRACAB INDIA LTD</t>
  </si>
  <si>
    <t>ULTRACAB (INDIA) LTD</t>
  </si>
  <si>
    <t>UWCSL</t>
  </si>
  <si>
    <t>ULTRA WIRING CONNECTIVITY SYSTEM LTD</t>
  </si>
  <si>
    <t>UJJIVAN</t>
  </si>
  <si>
    <t>UJJIVAN FINANCIAL SERVICES LTD</t>
  </si>
  <si>
    <t>UJAAS</t>
  </si>
  <si>
    <t>UJAAS ENERGY LTD</t>
  </si>
  <si>
    <t>UGRO CAPITAL LTD</t>
  </si>
  <si>
    <t>UFO</t>
  </si>
  <si>
    <t>UFO MOVIEZ INDIA LTD</t>
  </si>
  <si>
    <t>UFO MOVIEZ (INDIA) LTD</t>
  </si>
  <si>
    <t>UFLEX</t>
  </si>
  <si>
    <t>UFLEX LTD</t>
  </si>
  <si>
    <t>UDAY JEWELLERY INDUSTRIES LTD</t>
  </si>
  <si>
    <t>UDAIPUR CEMENT WORKS LTD</t>
  </si>
  <si>
    <t>UCOBANK</t>
  </si>
  <si>
    <t>UCO BANK</t>
  </si>
  <si>
    <t>UCALFUEL</t>
  </si>
  <si>
    <t>UCAL FUEL SYSTEMS LTD</t>
  </si>
  <si>
    <t>U  H  ZAVERI LTD</t>
  </si>
  <si>
    <t>TYROON TEA CO LTD</t>
  </si>
  <si>
    <t>TYPHOON HOLDINGS LTD</t>
  </si>
  <si>
    <t>TYPHOON FINANCIAL SERVICES LTD</t>
  </si>
  <si>
    <t>TYCHE INDUSTRIES LTD</t>
  </si>
  <si>
    <t>TWINSTAR INDUSTRIES LTD</t>
  </si>
  <si>
    <t>TWIN ROSES TRADES &amp; AGENCIES LTD</t>
  </si>
  <si>
    <t>TVSSRICHAK</t>
  </si>
  <si>
    <t>TVS SRICHAKRA LTD</t>
  </si>
  <si>
    <t>2/3 Wheelers</t>
  </si>
  <si>
    <t>TVSMOTOR</t>
  </si>
  <si>
    <t>TVS MOTOR COMPANY LTD</t>
  </si>
  <si>
    <t>Storage Media &amp; Peripherals</t>
  </si>
  <si>
    <t>TVSELECT</t>
  </si>
  <si>
    <t>TVS ELECTRONICS LTD</t>
  </si>
  <si>
    <t>TV18BRDCST</t>
  </si>
  <si>
    <t>TV18 BROADCAST LTD</t>
  </si>
  <si>
    <t>TVVISION</t>
  </si>
  <si>
    <t>TV VISION LTD</t>
  </si>
  <si>
    <t>TVTODAY</t>
  </si>
  <si>
    <t>TV TODAY NETWORK LTD</t>
  </si>
  <si>
    <t>TUTICORIN ALKALI CHEMICALS &amp; FERTILISERS LTD</t>
  </si>
  <si>
    <t>TUNI TEXTILE MILLS LTD</t>
  </si>
  <si>
    <t>TUMUS ELECTRIC CORPORATION LTD</t>
  </si>
  <si>
    <t>TULSI</t>
  </si>
  <si>
    <t>TULSI EXTRUSIONS LTD</t>
  </si>
  <si>
    <t>TULIVE DEVELOPERS LTD</t>
  </si>
  <si>
    <t>TULIP STAR HOTELS LTD</t>
  </si>
  <si>
    <t>TULASEE BIO-ETHANOL LTD</t>
  </si>
  <si>
    <t>TIINDIA</t>
  </si>
  <si>
    <t>TUBE INVESTMENTS OF INDIA LTD</t>
  </si>
  <si>
    <t>TI(INDIA)</t>
  </si>
  <si>
    <t>TUBE INVESTMENTS OF (INDIA) LTD</t>
  </si>
  <si>
    <t>TTLEL</t>
  </si>
  <si>
    <t>TTL Enterprises Ltd</t>
  </si>
  <si>
    <t>TTKPRESTIG</t>
  </si>
  <si>
    <t>TTK PRESTIGE LTD</t>
  </si>
  <si>
    <t>TTKHLTCARE</t>
  </si>
  <si>
    <t>TTK HEALTHCARE LTD</t>
  </si>
  <si>
    <t>TTI ENTERPRISE LTD</t>
  </si>
  <si>
    <t>TROMBO EXTRACTIONS LTD</t>
  </si>
  <si>
    <t>TRIVIKRAMA INDUSTRIES LTD</t>
  </si>
  <si>
    <t>TRITURBINE</t>
  </si>
  <si>
    <t>TRIVENI TURBINE LTD</t>
  </si>
  <si>
    <t>TRIVENI GLASS LTD</t>
  </si>
  <si>
    <t>TRIVENIENT</t>
  </si>
  <si>
    <t>Triveni Enterprises Ltd</t>
  </si>
  <si>
    <t>TRIVENI</t>
  </si>
  <si>
    <t>TRIVENI ENGINEERING &amp; INDUSTRIES LTD</t>
  </si>
  <si>
    <t>TRITON VALVES LTD</t>
  </si>
  <si>
    <t>TRITON CORP LTD</t>
  </si>
  <si>
    <t>TRISHAKTI ELECTRONICS &amp; INDUSTRIES LTD</t>
  </si>
  <si>
    <t>TRIOCHEM PRODUCTS LTD</t>
  </si>
  <si>
    <t>TRIOMERC</t>
  </si>
  <si>
    <t>TRIO MERCANTILE &amp;amp; TRADING LTD.</t>
  </si>
  <si>
    <t>TRINITY LEAGUE INDIA LTD</t>
  </si>
  <si>
    <t>TRINITY LEAGUE (INDIA) LTD</t>
  </si>
  <si>
    <t>Food &amp; Drugs Retailing</t>
  </si>
  <si>
    <t>TRIMURTHI LTD</t>
  </si>
  <si>
    <t>TRIJAL INDUSTRIES LTD</t>
  </si>
  <si>
    <t>TRIGYN</t>
  </si>
  <si>
    <t>TRIGYN TECHNOLOGIES LTD</t>
  </si>
  <si>
    <t>TRIDENT TOOLS LTD</t>
  </si>
  <si>
    <t>TRIDENT TEXOFAB LTD</t>
  </si>
  <si>
    <t>TRIDENT</t>
  </si>
  <si>
    <t>TRIDENT LTD</t>
  </si>
  <si>
    <t>TRICOM FRUIT PRODUCTS LTD</t>
  </si>
  <si>
    <t>TBZ</t>
  </si>
  <si>
    <t>TRIBHOVANDAS BHIMJI ZAVERI LTD</t>
  </si>
  <si>
    <t>TRF</t>
  </si>
  <si>
    <t>TRF LTD</t>
  </si>
  <si>
    <t>TRESCON LTD</t>
  </si>
  <si>
    <t>TRENT</t>
  </si>
  <si>
    <t>TRENT LTD</t>
  </si>
  <si>
    <t>IT Consulting &amp;amp; Software</t>
  </si>
  <si>
    <t>TREJHARA</t>
  </si>
  <si>
    <t>Trejhara Solutions Ltd</t>
  </si>
  <si>
    <t>TREEHOUSE</t>
  </si>
  <si>
    <t>TREE HOUSE EDUCATION &amp; ACCESSORIES LTD</t>
  </si>
  <si>
    <t>TRANSWIND</t>
  </si>
  <si>
    <t>TRANSWIND INFRASTRUCTURES LTD</t>
  </si>
  <si>
    <t>TFL</t>
  </si>
  <si>
    <t>TRANSWARRANTY FINANCE LTD</t>
  </si>
  <si>
    <t>Surface Transportation</t>
  </si>
  <si>
    <t>TCI</t>
  </si>
  <si>
    <t>TRANSPORT CORPORATION OF INDIA LTD</t>
  </si>
  <si>
    <t>TRANSPORT CORPORATION OF (INDIA) LTD</t>
  </si>
  <si>
    <t>TRANSPEK INDUSTRY LTD</t>
  </si>
  <si>
    <t>TRANSOCEANIC PROPERTIES LTD</t>
  </si>
  <si>
    <t>TRANSGLOBE FOODS LTD</t>
  </si>
  <si>
    <t>TRANSGENE BIOTEK LTD</t>
  </si>
  <si>
    <t>TRANS-FREIGHT CONTAINERS LTD</t>
  </si>
  <si>
    <t>TRIL</t>
  </si>
  <si>
    <t>TRANSFORMERS AND RECTIFIERS INDIA LTD</t>
  </si>
  <si>
    <t>TRANSFORMERS AND RECTIFIERS (INDIA) LTD</t>
  </si>
  <si>
    <t>TRANSCORP INTERNATIONAL LTD</t>
  </si>
  <si>
    <t>TRANSCHEM LTD</t>
  </si>
  <si>
    <t>TRANSFIN</t>
  </si>
  <si>
    <t>TRANS FINANCIAL RESOURCES LTD.</t>
  </si>
  <si>
    <t>TRANS ASIA CORPORATION LTD</t>
  </si>
  <si>
    <t>TRADE WINGS LTD</t>
  </si>
  <si>
    <t>TPLPLASTEH</t>
  </si>
  <si>
    <t>TPL PLASTECH LTD</t>
  </si>
  <si>
    <t>TPI INDIA LTD</t>
  </si>
  <si>
    <t>TPI (INDIA) LTD</t>
  </si>
  <si>
    <t>TOYAM INDUSTRIES LTD</t>
  </si>
  <si>
    <t>TOWA SOKKI LTD</t>
  </si>
  <si>
    <t>Financial Institutions</t>
  </si>
  <si>
    <t>TFCILTD</t>
  </si>
  <si>
    <t>TOURISM FINANCE CORPORATION OF INDIA LTD</t>
  </si>
  <si>
    <t>TOURISM FINANCE CORPORATION OF (INDIA) LTD</t>
  </si>
  <si>
    <t>TOUCHWOOD</t>
  </si>
  <si>
    <t>TOUCHWOOD ENTERTAINMENT LTD</t>
  </si>
  <si>
    <t>TOTAL</t>
  </si>
  <si>
    <t>TOTAL TRANSPORT SYSTEMS LTD</t>
  </si>
  <si>
    <t>TOTAL EXPORTS LTD</t>
  </si>
  <si>
    <t>TORNTPOWER</t>
  </si>
  <si>
    <t>TORRENT POWER LTD</t>
  </si>
  <si>
    <t>TORNTPHARM</t>
  </si>
  <si>
    <t>TORRENT PHARMACEUTICALS LTD</t>
  </si>
  <si>
    <t>TOKYOPLAST</t>
  </si>
  <si>
    <t>TOKYO PLAST INTERNATIONAL LTD</t>
  </si>
  <si>
    <t>TOKYO FINANCE LTD</t>
  </si>
  <si>
    <t>Non-Durable Household Prod.</t>
  </si>
  <si>
    <t>TODAYS</t>
  </si>
  <si>
    <t>TODAYS WRITING INSTRUMENTS LTD</t>
  </si>
  <si>
    <t>TIVOLI CONSTRUCTION LTD</t>
  </si>
  <si>
    <t>TITAN SECURITIES LTD</t>
  </si>
  <si>
    <t>TITAN</t>
  </si>
  <si>
    <t>TITAN COMPANY LTD</t>
  </si>
  <si>
    <t>TITAN BIOTECH LTD</t>
  </si>
  <si>
    <t>TWL</t>
  </si>
  <si>
    <t>TITAGARH WAGONS LTD</t>
  </si>
  <si>
    <t>TITAANIUM TEN ENTERPRISE LTD</t>
  </si>
  <si>
    <t>TIRUPATI TYRES LTD</t>
  </si>
  <si>
    <t>TIRUPATI STARCH &amp; CHEMICALS LTD</t>
  </si>
  <si>
    <t>TIRUPATI SARJAN LTD</t>
  </si>
  <si>
    <t>TIRUPATI INDUSTRIES INDIA LTD</t>
  </si>
  <si>
    <t>TIRUPATI INDUSTRIES (INDIA) LTD</t>
  </si>
  <si>
    <t>TIRUPATIFL</t>
  </si>
  <si>
    <t>TIRUPATI FORGE LTD</t>
  </si>
  <si>
    <t>Furniture-Furnishing-Paints</t>
  </si>
  <si>
    <t>TIRUPATI FOAM LTD</t>
  </si>
  <si>
    <t>TIRUPATI FINLEASE LTD</t>
  </si>
  <si>
    <t>TIPSINDLTD</t>
  </si>
  <si>
    <t>TIPS INDUSTRIES LTD</t>
  </si>
  <si>
    <t>TINNA TRADE LTD</t>
  </si>
  <si>
    <t>TINNA RUBBER AND INFRASTRUCTURE LTD</t>
  </si>
  <si>
    <t>TIMKEN</t>
  </si>
  <si>
    <t>TIMKEN INDIA LTD</t>
  </si>
  <si>
    <t>TIMKEN (INDIA) LTD</t>
  </si>
  <si>
    <t>TIMEX GROUP INDIA LTD</t>
  </si>
  <si>
    <t>TIMEX GROUP (INDIA) LTD</t>
  </si>
  <si>
    <t>TIMESGTY</t>
  </si>
  <si>
    <t>TIMES GUARANTY LTD</t>
  </si>
  <si>
    <t>TIMETECHNO</t>
  </si>
  <si>
    <t>TIME TECHNOPLAST LTD</t>
  </si>
  <si>
    <t>TI</t>
  </si>
  <si>
    <t>TILAKNAGAR INDUSTRIES LTD</t>
  </si>
  <si>
    <t>TILAK</t>
  </si>
  <si>
    <t>Tilak Ventures Ltd</t>
  </si>
  <si>
    <t>TIL</t>
  </si>
  <si>
    <t>TIL LTD</t>
  </si>
  <si>
    <t>TIJARIA</t>
  </si>
  <si>
    <t>TIJARIA POLYPIPES LTD</t>
  </si>
  <si>
    <t>TIGER LOGISTICS INDIA LTD</t>
  </si>
  <si>
    <t>TIGER LOGISTICS (INDIA) LTD</t>
  </si>
  <si>
    <t>Oil Marketing &amp; Distribution</t>
  </si>
  <si>
    <t>TIDEWATER</t>
  </si>
  <si>
    <t>TIDE WATER OIL COMPANY INDIA LTD</t>
  </si>
  <si>
    <t>TIDE WATER OIL COMPANY (INDIA) LTD</t>
  </si>
  <si>
    <t>TIAAN AYURVEDIC &amp; HERBS LTD</t>
  </si>
  <si>
    <t>TIFIN</t>
  </si>
  <si>
    <t>TI FINANCIAL HOLDINGS LTD</t>
  </si>
  <si>
    <t>THYROCARE</t>
  </si>
  <si>
    <t>THYROCARE TECHNOLOGIES LTD</t>
  </si>
  <si>
    <t>THOMASCOTT</t>
  </si>
  <si>
    <t>THOMAS SCOTT INDIA LTD</t>
  </si>
  <si>
    <t>THOMAS SCOTT (INDIA) LTD</t>
  </si>
  <si>
    <t>THOMASCOOK</t>
  </si>
  <si>
    <t>THOMAS COOK INDIA LTD</t>
  </si>
  <si>
    <t>THOMAS COOK (INDIA) LTD</t>
  </si>
  <si>
    <t>TIRUMALCHM</t>
  </si>
  <si>
    <t>THIRUMALAI CHEMICALS LTD</t>
  </si>
  <si>
    <t>THIRUSUGAR</t>
  </si>
  <si>
    <t>THIRU AROORAN SUGARS LTD</t>
  </si>
  <si>
    <t>THIRDWAVE FINANCIAL INTERMEDIARIES LTD</t>
  </si>
  <si>
    <t>THIRANI PROJECTS LTD</t>
  </si>
  <si>
    <t>THINK INK STUDIO LTD</t>
  </si>
  <si>
    <t>THERMAX</t>
  </si>
  <si>
    <t>THERMAX LTD</t>
  </si>
  <si>
    <t>THEMISMED</t>
  </si>
  <si>
    <t>THEMIS MEDICARE LTD</t>
  </si>
  <si>
    <t>THEJO</t>
  </si>
  <si>
    <t>THEJO ENGINEERING LTD</t>
  </si>
  <si>
    <t>THE YAMUNA SYNDICATE LTD</t>
  </si>
  <si>
    <t>WIPL</t>
  </si>
  <si>
    <t>THE WESTERN INDIA PLYWOODS LTD</t>
  </si>
  <si>
    <t>UNITEDTEA</t>
  </si>
  <si>
    <t>THE UNITED NILGIRI TEA ESTATES COMPANY LTD</t>
  </si>
  <si>
    <t>UGARSUGAR</t>
  </si>
  <si>
    <t>THE UGAR SUGAR WORKS LTD</t>
  </si>
  <si>
    <t>TINPLATE</t>
  </si>
  <si>
    <t>THE TINPLATE COMPANY OF INDIA LTD</t>
  </si>
  <si>
    <t>THE TINPLATE COMPANY OF (INDIA) LTD</t>
  </si>
  <si>
    <t>STCINDIA</t>
  </si>
  <si>
    <t>THE STATE TRADING CORPORATION OF INDIA LTD</t>
  </si>
  <si>
    <t>STC(INDIA)</t>
  </si>
  <si>
    <t>THE STATE TRADING CORPORATION OF (INDIA) LTD</t>
  </si>
  <si>
    <t>SOUTHBANK</t>
  </si>
  <si>
    <t>THE SOUTH INDIAN BANK LTD</t>
  </si>
  <si>
    <t>Publishing</t>
  </si>
  <si>
    <t>SANDESH</t>
  </si>
  <si>
    <t>THE SANDESH LTD</t>
  </si>
  <si>
    <t>RUBYMILLS</t>
  </si>
  <si>
    <t>THE RUBY MILLS LTD</t>
  </si>
  <si>
    <t>RAMCOCEM</t>
  </si>
  <si>
    <t>THE RAMCO CEMENTS LTD</t>
  </si>
  <si>
    <t>THE PHOSPHATE COMPANY LTD</t>
  </si>
  <si>
    <t>PHOENIXLTD</t>
  </si>
  <si>
    <t>THE PHOENIX MILLS LTD</t>
  </si>
  <si>
    <t>PKTEA</t>
  </si>
  <si>
    <t>THE PERIA KARAMALAI TEA &amp; PRODUCE COMPANY LTD</t>
  </si>
  <si>
    <t>Mining</t>
  </si>
  <si>
    <t>ORISSAMINE</t>
  </si>
  <si>
    <t>THE ORISSA MINERALS DEVELOPMENT COMPANY LTD</t>
  </si>
  <si>
    <t>NIACL</t>
  </si>
  <si>
    <t>THE NEW INDIA ASSURANCE COMPANY LTD</t>
  </si>
  <si>
    <t>MOTOGENFIN</t>
  </si>
  <si>
    <t>THE MOTOR &amp; GENERAL FINANCE LTD</t>
  </si>
  <si>
    <t>TMRVL</t>
  </si>
  <si>
    <t>THE MANDHANA RETAIL VENTURES LTD</t>
  </si>
  <si>
    <t>KTKBANK</t>
  </si>
  <si>
    <t>THE KARNATAKA BANK LTD</t>
  </si>
  <si>
    <t>J&amp;KBANK</t>
  </si>
  <si>
    <t>THE JAMMU &amp; KASHMIR BANK LTD</t>
  </si>
  <si>
    <t>THEINVEST</t>
  </si>
  <si>
    <t>THE INVESTMENT TRUST OF INDIA LTD</t>
  </si>
  <si>
    <t>THE INVESTMENT TRUST OF (INDIA) LTD</t>
  </si>
  <si>
    <t>THE INDIAN WOOD PRODUCTS COMPANY LTD</t>
  </si>
  <si>
    <t>INDHOTEL</t>
  </si>
  <si>
    <t>THE INDIAN HOTELS COMPANY LTD</t>
  </si>
  <si>
    <t>INDIACEM</t>
  </si>
  <si>
    <t>THE INDIA CEMENTS LTD</t>
  </si>
  <si>
    <t>HITECHGEAR</t>
  </si>
  <si>
    <t>THE HI-TECH GEARS LTD</t>
  </si>
  <si>
    <t>GROBTEA</t>
  </si>
  <si>
    <t>THE GROB TEA COMPANY LTD</t>
  </si>
  <si>
    <t>GESHIP</t>
  </si>
  <si>
    <t>THE GREAT EASTERN SHIPPING COMPANY LTD</t>
  </si>
  <si>
    <t>FEDERALBNK</t>
  </si>
  <si>
    <t>THE FEDERAL BANK LTD</t>
  </si>
  <si>
    <t>BYKE</t>
  </si>
  <si>
    <t>THE BYKE HOSPITALITY LTD</t>
  </si>
  <si>
    <t>ANUP</t>
  </si>
  <si>
    <t>The Anup Engineering Ltd</t>
  </si>
  <si>
    <t>ANDHRSUGAR</t>
  </si>
  <si>
    <t>THE ANDHRA SUGARS LTD</t>
  </si>
  <si>
    <t>THANGAMAYL</t>
  </si>
  <si>
    <t>THANGAMAYIL JEWELLERY LTD</t>
  </si>
  <si>
    <t>THAMBBI MODERN SPINNING MILLS LTD</t>
  </si>
  <si>
    <t>THAKRAL SERVICES INDIA LTD</t>
  </si>
  <si>
    <t>THAKRAL SERVICES (INDIA) LTD</t>
  </si>
  <si>
    <t>THAKKERS DEVELOPERS LTD</t>
  </si>
  <si>
    <t>THACKER &amp; CO LTD</t>
  </si>
  <si>
    <t>TGV SRAAC LTD</t>
  </si>
  <si>
    <t>TGBHOTELS</t>
  </si>
  <si>
    <t>TGB BANQUETS AND HOTELS LTD</t>
  </si>
  <si>
    <t>TEXMOPIPES</t>
  </si>
  <si>
    <t>TEXMO PIPES AND PRODUCTS LTD</t>
  </si>
  <si>
    <t>TEXRAIL</t>
  </si>
  <si>
    <t>TEXMACO RAIL &amp; ENGINEERING LTD</t>
  </si>
  <si>
    <t>TEXINFRA</t>
  </si>
  <si>
    <t>TEXMACO INFRASTRUCTURE &amp; HOLDINGS LTD</t>
  </si>
  <si>
    <t>TERRAFORM REALSTATE LTD</t>
  </si>
  <si>
    <t>TERRAFORM MAGNUM LTD</t>
  </si>
  <si>
    <t>TERAI TEA CO LTD</t>
  </si>
  <si>
    <t>TERASOFT</t>
  </si>
  <si>
    <t>TERA SOFTWARE LTD</t>
  </si>
  <si>
    <t>TELECANOR GLOBAL LTD</t>
  </si>
  <si>
    <t>TEJNAKSH HEALTHCARE LTD</t>
  </si>
  <si>
    <t>TEJASNET</t>
  </si>
  <si>
    <t>TEJAS NETWORKS LTD</t>
  </si>
  <si>
    <t>TEESTA AGRO INDUSTRIES LTD</t>
  </si>
  <si>
    <t>TECHNVISION VENTURES LTD</t>
  </si>
  <si>
    <t>TECHNOJET CONSULTANTS LTD</t>
  </si>
  <si>
    <t>TECHNOFAB</t>
  </si>
  <si>
    <t>TECHNOFAB ENGINEERING LTD</t>
  </si>
  <si>
    <t>TIIL</t>
  </si>
  <si>
    <t>TECHNOCRAFT INDUSTRIES INDIA LTD</t>
  </si>
  <si>
    <t>TECHNOCRAFT INDUSTRIES (INDIA) LTD</t>
  </si>
  <si>
    <t>TECHNOE</t>
  </si>
  <si>
    <t>TECHNO ELECTRIC &amp; ENGINEERING COMPANY LTD</t>
  </si>
  <si>
    <t>TECHIN</t>
  </si>
  <si>
    <t>TECHINDIA NIRMAN LTD</t>
  </si>
  <si>
    <t>TECHM</t>
  </si>
  <si>
    <t>TECH MAHINDRA LTD</t>
  </si>
  <si>
    <t>Sp.Consumer Services</t>
  </si>
  <si>
    <t>TEAMLEASE</t>
  </si>
  <si>
    <t>TEAMLEASE SERVICES LTD</t>
  </si>
  <si>
    <t>TEA TIME LTD</t>
  </si>
  <si>
    <t>TDPOWERSYS</t>
  </si>
  <si>
    <t>TD POWER SYSTEMS LTD</t>
  </si>
  <si>
    <t>TCPLPACK</t>
  </si>
  <si>
    <t>TCPL PACKAGING LTD</t>
  </si>
  <si>
    <t>TCNSBRANDS</t>
  </si>
  <si>
    <t>TCNS CLOTHING CO LTD</t>
  </si>
  <si>
    <t>TCM LTD</t>
  </si>
  <si>
    <t>TCI INDUSTRIES LTD</t>
  </si>
  <si>
    <t>TCIFINANCE</t>
  </si>
  <si>
    <t>TCI FINANCE LTD</t>
  </si>
  <si>
    <t>TCIEXP</t>
  </si>
  <si>
    <t>TCI EXPRESS LTD</t>
  </si>
  <si>
    <t>TCIDEVELOP</t>
  </si>
  <si>
    <t>TCI DEVELOPERS LTD</t>
  </si>
  <si>
    <t>TCFC FINANCE LTD</t>
  </si>
  <si>
    <t>TAYO ROLLS LTD</t>
  </si>
  <si>
    <t>TAYLORMADE RENEWABLES LTD</t>
  </si>
  <si>
    <t>TAVERNIER RESOURCES LTD</t>
  </si>
  <si>
    <t>TATIA GLOBAL VENNTURE LTD</t>
  </si>
  <si>
    <t>TTML</t>
  </si>
  <si>
    <t>TATA TELESERVICES MAHARASHTRA LTD</t>
  </si>
  <si>
    <t>TATASTEEL</t>
  </si>
  <si>
    <t>TATA STEEL LTD</t>
  </si>
  <si>
    <t>TATASTLBSL</t>
  </si>
  <si>
    <t>Tata Steel Bsl LTD</t>
  </si>
  <si>
    <t>TATASPONGE</t>
  </si>
  <si>
    <t>TATA SPONGE IRON LTD</t>
  </si>
  <si>
    <t>TATAPOWER</t>
  </si>
  <si>
    <t>TATA POWER COMPANY LTD</t>
  </si>
  <si>
    <t>TATAMTRDVR</t>
  </si>
  <si>
    <t>TATA MOTORS LTD</t>
  </si>
  <si>
    <t>TATAMOTORS</t>
  </si>
  <si>
    <t>TATAMETALI</t>
  </si>
  <si>
    <t>TATA METALIKS LTD</t>
  </si>
  <si>
    <t>TATAINVEST</t>
  </si>
  <si>
    <t>TATA INVESTMENT CORPORATION LTD</t>
  </si>
  <si>
    <t>TATAGLOBAL</t>
  </si>
  <si>
    <t>TATA GLOBAL BEVERAGES LTD</t>
  </si>
  <si>
    <t>TATAELXSI</t>
  </si>
  <si>
    <t>TATA ELXSI LTD</t>
  </si>
  <si>
    <t>TCS</t>
  </si>
  <si>
    <t>TATA CONSULTANCY SERVICES LTD</t>
  </si>
  <si>
    <t>Telecom - Alternate Carriers</t>
  </si>
  <si>
    <t>TATACOMM</t>
  </si>
  <si>
    <t>TATA COMMUNICATIONS LTD</t>
  </si>
  <si>
    <t>TATACOFFEE</t>
  </si>
  <si>
    <t>TATA COFFEE LTD</t>
  </si>
  <si>
    <t>TATACHEM</t>
  </si>
  <si>
    <t>TATA CHEMICALS LTD</t>
  </si>
  <si>
    <t>TASTY DAIRY SPECIALITIES LTD</t>
  </si>
  <si>
    <t>TASTYBITE</t>
  </si>
  <si>
    <t>TASTY BITE EATABLES LTD</t>
  </si>
  <si>
    <t>TASHI INDIA LTD</t>
  </si>
  <si>
    <t>TASHI (INDIA) LTD</t>
  </si>
  <si>
    <t>TARMAT</t>
  </si>
  <si>
    <t>TARMAT LTD</t>
  </si>
  <si>
    <t>TARINI INTERNATIONAL LTD</t>
  </si>
  <si>
    <t>TARAPUR</t>
  </si>
  <si>
    <t>TARAPUR TRANSFORMERS LTD</t>
  </si>
  <si>
    <t>TARAI FOODS LTD</t>
  </si>
  <si>
    <t>TARAJEWELS</t>
  </si>
  <si>
    <t>TARA JEWELS LTD</t>
  </si>
  <si>
    <t>TARACHAND</t>
  </si>
  <si>
    <t>TARA CHAND LOGISTIC SOLUTIONS LTD</t>
  </si>
  <si>
    <t>TAPARIA TOOLS LTD</t>
  </si>
  <si>
    <t>TANVI FOODS INDIA LTD</t>
  </si>
  <si>
    <t>TANVI FOODS (INDIA) LTD</t>
  </si>
  <si>
    <t>TANTIACONS</t>
  </si>
  <si>
    <t>TANTIA CONSTRUCTIONS LTD</t>
  </si>
  <si>
    <t>TANLA</t>
  </si>
  <si>
    <t>TANLA SOLUTIONS LTD</t>
  </si>
  <si>
    <t>TANFAC INDUSTRIES LTD</t>
  </si>
  <si>
    <t>Aerospace</t>
  </si>
  <si>
    <t>TANEJA AEROSPACE &amp; AVIATION LTD</t>
  </si>
  <si>
    <t>TNTELE</t>
  </si>
  <si>
    <t>TAMILNADU TELECOMMUNICATION LTD</t>
  </si>
  <si>
    <t>TAMILNADU STEEL TUBES LTD</t>
  </si>
  <si>
    <t>TNPETRO</t>
  </si>
  <si>
    <t>TAMILNADU PETROPRODUCTS LTD</t>
  </si>
  <si>
    <t>TAMILNADU JAIBHARAT MILLS LTD</t>
  </si>
  <si>
    <t>TNPL</t>
  </si>
  <si>
    <t>TAMIL NADU NEWSPRINT &amp; PAPERS LTD</t>
  </si>
  <si>
    <t>TAMBOLI CAPITAL LTD</t>
  </si>
  <si>
    <t>TALWGYM</t>
  </si>
  <si>
    <t>TALWALKARS LIFESTYLES LTD</t>
  </si>
  <si>
    <t>TALWALKARS</t>
  </si>
  <si>
    <t>TALWALKARS BETTER VALUE FITNESS LTD</t>
  </si>
  <si>
    <t>TALBROS ENGINEERING LTD</t>
  </si>
  <si>
    <t>TALBROAUTO</t>
  </si>
  <si>
    <t>TALBROS AUTOMOTIVE COMPONENTS LTD</t>
  </si>
  <si>
    <t>TAKE</t>
  </si>
  <si>
    <t>TAKE SOLUTIONS LTD</t>
  </si>
  <si>
    <t>TAJGVK</t>
  </si>
  <si>
    <t>TAJ GVK HOTELS &amp; RESORTS LTD</t>
  </si>
  <si>
    <t>TAINWALCHM</t>
  </si>
  <si>
    <t>TAINWALA CHEMICAL AND PLASTIC I LTD</t>
  </si>
  <si>
    <t>TAI INDUSTRIES LTD</t>
  </si>
  <si>
    <t>TAAZA INTERNATIONAL LTD</t>
  </si>
  <si>
    <t>Airlines</t>
  </si>
  <si>
    <t>TAAL ENTERPRISES LTD</t>
  </si>
  <si>
    <t>TTL</t>
  </si>
  <si>
    <t>T T LTD</t>
  </si>
  <si>
    <t>T SPIRITUAL WORLD LTD</t>
  </si>
  <si>
    <t>T D POWER SYSTEMS LTD</t>
  </si>
  <si>
    <t>T &amp; I GLOBAL LTD</t>
  </si>
  <si>
    <t>SYSTEMATIX SECURITIES LTD</t>
  </si>
  <si>
    <t>SYSTEMATIX CORPORATE SERVICES LTD</t>
  </si>
  <si>
    <t>SYSCO INDUSTRIES LTD</t>
  </si>
  <si>
    <t>SYSCHEM INDIA LTD</t>
  </si>
  <si>
    <t>SYSCHEM (INDIA) LTD</t>
  </si>
  <si>
    <t>SYNTHIKO FOILS LTD</t>
  </si>
  <si>
    <t>SYNGENE</t>
  </si>
  <si>
    <t>SYNGENE INTERNATIONAL LTD</t>
  </si>
  <si>
    <t>SYNERGY GREEN INDUSTRIES LTD</t>
  </si>
  <si>
    <t>SYNDIBANK</t>
  </si>
  <si>
    <t>SYNDICATE BANK</t>
  </si>
  <si>
    <t>SYNCOM</t>
  </si>
  <si>
    <t>SYNCOM HEALTHCARE LTD</t>
  </si>
  <si>
    <t>SYNCOM FORMULATIONS INDIA LTD</t>
  </si>
  <si>
    <t>SYNCOM FORMULATIONS (INDIA) LTD</t>
  </si>
  <si>
    <t>SYMPHONY</t>
  </si>
  <si>
    <t>SYMPHONY LTD</t>
  </si>
  <si>
    <t>SYMBIOX INVESTMENT &amp; TRADING COMPANY LTD</t>
  </si>
  <si>
    <t>SYLPH TECHNOLOGIES LTD</t>
  </si>
  <si>
    <t>SYLPH EDUCATION SOLUTIONS LTD</t>
  </si>
  <si>
    <t>SYBLY INDUSTRIES LTD</t>
  </si>
  <si>
    <t>SWORD-EDGE COMMERCIALS LTD</t>
  </si>
  <si>
    <t>SWORD &amp; SHIELD PHARMA LTD</t>
  </si>
  <si>
    <t>SWITCHING TECHNOLOGIES GUNTHER LTD</t>
  </si>
  <si>
    <t>SWISS GLASCOAT EQUIPMENTS LTD</t>
  </si>
  <si>
    <t>SWELECTES</t>
  </si>
  <si>
    <t>SWELECT ENERGY SYSTEMS LTD</t>
  </si>
  <si>
    <t>SWASTIKA INVESTMART LTD</t>
  </si>
  <si>
    <t>SWASTIK SAFE DEPOSIT &amp; INVESTMENTS LTD</t>
  </si>
  <si>
    <t>SWASTI VINAYAKA SYNTHETICS LTD</t>
  </si>
  <si>
    <t>SWASTI VINAYAKA ART AND HERITAGE CORPORATION LTD</t>
  </si>
  <si>
    <t>SWARNSARITA GEMS LTD</t>
  </si>
  <si>
    <t>SWARNA SECURITIES LTD</t>
  </si>
  <si>
    <t>SWARAJENG</t>
  </si>
  <si>
    <t>SWARAJ ENGINES LTD</t>
  </si>
  <si>
    <t>SWARAJ AUTOMOTIVES LTD</t>
  </si>
  <si>
    <t>SWANENERGY</t>
  </si>
  <si>
    <t>SWAN ENERGY LTD</t>
  </si>
  <si>
    <t>SWAGTAM TRADING &amp; SERVICES LTD</t>
  </si>
  <si>
    <t>SWAGRUHA INFRASTRUCTURE LTD</t>
  </si>
  <si>
    <t>SWADESHI POLYTEX LTD</t>
  </si>
  <si>
    <t>SWADESHI INDUSTRIES LEASING CO LTD</t>
  </si>
  <si>
    <t>SW INVESTMENTS LTD</t>
  </si>
  <si>
    <t>SVP HOUSING LTD</t>
  </si>
  <si>
    <t>SVP GLOBAL VENTURES LTD</t>
  </si>
  <si>
    <t>SVC RESOURCES LTD</t>
  </si>
  <si>
    <t>SVCIND</t>
  </si>
  <si>
    <t>SVC INDUSTRIES Ltd</t>
  </si>
  <si>
    <t>SVARNIM TRADE UDYOG LTD</t>
  </si>
  <si>
    <t>SVARAJ TRADING &amp; AGENCIES LTD</t>
  </si>
  <si>
    <t>SVAM SOFTWARE LTD</t>
  </si>
  <si>
    <t>SVA INDIA LTD</t>
  </si>
  <si>
    <t>SVA (INDIA) LTD</t>
  </si>
  <si>
    <t>SUZLON</t>
  </si>
  <si>
    <t>SUZLON ENERGY LTD</t>
  </si>
  <si>
    <t>SUYOG TELEMATICS LTD</t>
  </si>
  <si>
    <t>SUVIDHA INFRAESTATE CORPORATION LTD</t>
  </si>
  <si>
    <t>SUVEN</t>
  </si>
  <si>
    <t>SUVEN LIFE SCIENCES LTD</t>
  </si>
  <si>
    <t>SUULD</t>
  </si>
  <si>
    <t>SUUMAYA LIFESTYLE LTD</t>
  </si>
  <si>
    <t>SUTLEJTEX</t>
  </si>
  <si>
    <t>SUTLEJ TEXTILES AND INDUSTRIES LTD</t>
  </si>
  <si>
    <t>SURFI</t>
  </si>
  <si>
    <t>SURYO FOODS &amp;amp; INDUSTRIES LTD.</t>
  </si>
  <si>
    <t>SURYAVANSHI SPINNING MILLS LTD</t>
  </si>
  <si>
    <t>SURYALATA SPINNING MILLS LTD</t>
  </si>
  <si>
    <t>SURYALAXMI</t>
  </si>
  <si>
    <t>SURYALAKSHMI COTTON MILLS LTD</t>
  </si>
  <si>
    <t>SURYAKRIPA FINANCE LTD</t>
  </si>
  <si>
    <t>SURYACHAKRA POWER CORPORATION LTD</t>
  </si>
  <si>
    <t>SURYAAMBA SPINNING MILLS LTD</t>
  </si>
  <si>
    <t>SURYAROSNI</t>
  </si>
  <si>
    <t>SURYA ROSHNI LTD</t>
  </si>
  <si>
    <t>SURYA INDIA LTD</t>
  </si>
  <si>
    <t>SURYA (INDIA) LTD</t>
  </si>
  <si>
    <t>SUREVIN</t>
  </si>
  <si>
    <t>SUREVIN BPO SERVICES LTD</t>
  </si>
  <si>
    <t>SURAT TEXTILE MILLS LTD</t>
  </si>
  <si>
    <t>SURANAT&amp;P</t>
  </si>
  <si>
    <t>SURANA TELECOM AND POWER LTD</t>
  </si>
  <si>
    <t>SURANASOL</t>
  </si>
  <si>
    <t>SURANA SOLAR LTD</t>
  </si>
  <si>
    <t>SURAJ PRODUCTS LTD</t>
  </si>
  <si>
    <t>SURAJ LTD</t>
  </si>
  <si>
    <t>SUPREMEX SHINE STEELS LTD</t>
  </si>
  <si>
    <t>SUPPETRO</t>
  </si>
  <si>
    <t>SUPREME PETROCHEM LTD</t>
  </si>
  <si>
    <t>SUPREMEINF</t>
  </si>
  <si>
    <t>SUPREME INFRASTRUCTURE INDIA LTD</t>
  </si>
  <si>
    <t>SUPREME INFRASTRUCTURE (INDIA) LTD</t>
  </si>
  <si>
    <t>SUPREMEIND</t>
  </si>
  <si>
    <t>SUPREME INDUSTRIES LTD</t>
  </si>
  <si>
    <t>SIIL</t>
  </si>
  <si>
    <t>SUPREME INDIA IMPEX LTD</t>
  </si>
  <si>
    <t>SUPREME HOLDINGS &amp; HOSPITALITY INDIA LTD</t>
  </si>
  <si>
    <t>SUPREME HOLDINGS &amp; HOSPITALITY (INDIA) LTD</t>
  </si>
  <si>
    <t>SUPREMEENG</t>
  </si>
  <si>
    <t>SUPREME ENGINEERING LTD</t>
  </si>
  <si>
    <t>SUPRAJIT</t>
  </si>
  <si>
    <t>SUPRAJIT ENGINEERING LTD</t>
  </si>
  <si>
    <t>SUPRA TRENDS LTD</t>
  </si>
  <si>
    <t>SUPRA PACIFIC MANAGEMENT CONSULTANCY LTD</t>
  </si>
  <si>
    <t>SUPERTEX INDUSTRIES LTD</t>
  </si>
  <si>
    <t>SUPERSHAKTI METALIKS LTD</t>
  </si>
  <si>
    <t>SUPERNOVA ADVERTISING LTD</t>
  </si>
  <si>
    <t>SIEL</t>
  </si>
  <si>
    <t>Superior Industrial Enterprises LTD</t>
  </si>
  <si>
    <t>SUPERIOR FINLEASE LTD</t>
  </si>
  <si>
    <t>SUPERHOUSE</t>
  </si>
  <si>
    <t>SUPERHOUSE LTD</t>
  </si>
  <si>
    <t>SUPERB PAPERS LTD</t>
  </si>
  <si>
    <t>SUPER TANNERY LTD</t>
  </si>
  <si>
    <t>SUPERSPIN</t>
  </si>
  <si>
    <t>SUPER SPINNING MILLS LTD</t>
  </si>
  <si>
    <t>SUPER SALES INDIA LTD</t>
  </si>
  <si>
    <t>SUPER SALES (INDIA) LTD</t>
  </si>
  <si>
    <t>SUPER FINE KNITTERS LTD</t>
  </si>
  <si>
    <t>SUPER DOMESTIC MACHINES LTD</t>
  </si>
  <si>
    <t>SUPER CROP SAFE LTD</t>
  </si>
  <si>
    <t>SUPER BAKERS INDIA LTD</t>
  </si>
  <si>
    <t>SUPER BAKERS (INDIA) LTD</t>
  </si>
  <si>
    <t>SUNTECK</t>
  </si>
  <si>
    <t>SUNTECK REALTY LTD</t>
  </si>
  <si>
    <t>SUNSTAR REALTY DEVELOPMENT LTD</t>
  </si>
  <si>
    <t>SUNSHINE CAPITAL LTD</t>
  </si>
  <si>
    <t>SUNSHIELD CHEMICALS LTD</t>
  </si>
  <si>
    <t>SUNRISE INDUSTRIAL TRADERS LTD</t>
  </si>
  <si>
    <t>SUNRAJDI</t>
  </si>
  <si>
    <t>SUNRAJ DIAMOND EXPORTS LTD.</t>
  </si>
  <si>
    <t>SUNIL INDUSTRIES LTD</t>
  </si>
  <si>
    <t>SUNILHITEC</t>
  </si>
  <si>
    <t>SUNIL HITECH ENGINEERS LTD</t>
  </si>
  <si>
    <t>SUNIL HEALTHCARE LTD</t>
  </si>
  <si>
    <t>SUNIL AGRO FOODS LTD</t>
  </si>
  <si>
    <t>SUNGOLD MEDIA AND ENTERTAINMENT LTD</t>
  </si>
  <si>
    <t>SUNGOLD CAPITAL LTD</t>
  </si>
  <si>
    <t>SUNFLAG</t>
  </si>
  <si>
    <t>SUNFLAG IRON AND STEEL COMPANY LTD</t>
  </si>
  <si>
    <t>SUNDRMFAST</t>
  </si>
  <si>
    <t>SUNDRAM FASTENERS LTD</t>
  </si>
  <si>
    <t>SUNDARAM</t>
  </si>
  <si>
    <t>SUNDARAM MULTI PAP LTD</t>
  </si>
  <si>
    <t>SUNDARMFIN</t>
  </si>
  <si>
    <t>SUNDARAM FINANCE LTD</t>
  </si>
  <si>
    <t>SUNDARMHLD</t>
  </si>
  <si>
    <t>SUNDARAM FINANCE HOLDINGS LTD</t>
  </si>
  <si>
    <t>SUNCLAYLTD</t>
  </si>
  <si>
    <t>SUNDARAM CLAYTON LTD</t>
  </si>
  <si>
    <t>SUNDRMBRAK</t>
  </si>
  <si>
    <t>SUNDARAM BRAKE LININGS LTD</t>
  </si>
  <si>
    <t>SUNCITY SYNTHETICS LTD</t>
  </si>
  <si>
    <t>SUNCARE TRADERS LTD</t>
  </si>
  <si>
    <t>SUNTV</t>
  </si>
  <si>
    <t>SUN TV NETWORK LTD</t>
  </si>
  <si>
    <t>SUN TECHNO OVERSEAS LTD</t>
  </si>
  <si>
    <t>SUN SOURCE INDIA LTD</t>
  </si>
  <si>
    <t>SUN SOURCE (INDIA) LTD</t>
  </si>
  <si>
    <t>SUN RETAIL LTD</t>
  </si>
  <si>
    <t>SUNPHARMA</t>
  </si>
  <si>
    <t>SUN PHARMACEUTICAL INDUSTRIES LTD</t>
  </si>
  <si>
    <t>SPARC</t>
  </si>
  <si>
    <t>SUN PHARMA ADVANCED RESEARCH COMPANY LTD</t>
  </si>
  <si>
    <t>SUN AND SHINE WORLDWIDE LTD</t>
  </si>
  <si>
    <t>SUMMITSEC</t>
  </si>
  <si>
    <t>SUMMIT SECURITIES LTD</t>
  </si>
  <si>
    <t>SUMIT</t>
  </si>
  <si>
    <t>SUMIT WOODS LTD</t>
  </si>
  <si>
    <t>SUMERU INDUSTRIES LTD</t>
  </si>
  <si>
    <t>SUMEETINDS</t>
  </si>
  <si>
    <t>SUMEET INDUSTRIES LTD</t>
  </si>
  <si>
    <t>SUMEDHA FISCAL SERVICES LTD</t>
  </si>
  <si>
    <t>SULABH ENGINEERS &amp; SERVICES LTD</t>
  </si>
  <si>
    <t>SUKHJIT STARCH &amp; CHEMICALS LTD</t>
  </si>
  <si>
    <t>SUJANAUNI</t>
  </si>
  <si>
    <t>SUJANA UNIVERSAL INDUSTRIES LTD</t>
  </si>
  <si>
    <t>SUJALA TRADING &amp; HOLDINGS LTD</t>
  </si>
  <si>
    <t>SUICH</t>
  </si>
  <si>
    <t>Suich Industries Ltd</t>
  </si>
  <si>
    <t>SUGAL &amp; DAMANI SHARE BROKERS LTD</t>
  </si>
  <si>
    <t>SUERYAA KNITWEAR LTD</t>
  </si>
  <si>
    <t>SUDITI INDUSTRIES LTD</t>
  </si>
  <si>
    <t>SUDARSCHEM</t>
  </si>
  <si>
    <t>SUDARSHAN CHEMICAL INDUSTRIES LTD</t>
  </si>
  <si>
    <t>SUDAL INDUSTRIES LTD</t>
  </si>
  <si>
    <t>SUCHITRA FINANCE &amp; TRADING COMPANY LTD</t>
  </si>
  <si>
    <t>SUBWAY FINANCE &amp; INVESTMENT CO LTD</t>
  </si>
  <si>
    <t>SUBROS</t>
  </si>
  <si>
    <t>SUBROS LTD</t>
  </si>
  <si>
    <t>SUBHASH SILK MILLS LTD</t>
  </si>
  <si>
    <t>SUBEX LTD</t>
  </si>
  <si>
    <t>SUBEX</t>
  </si>
  <si>
    <t>Subex LTD</t>
  </si>
  <si>
    <t>STYLAM INDUSTRIES LTD</t>
  </si>
  <si>
    <t>STURDY INDUSTRIES LTD</t>
  </si>
  <si>
    <t>STAR</t>
  </si>
  <si>
    <t>STRIDES PHARMA SCIENCE LTD</t>
  </si>
  <si>
    <t>STRATMONT INDUSTRIES LTD</t>
  </si>
  <si>
    <t>STOVEC INDUSTRIES LTD</t>
  </si>
  <si>
    <t>SGL</t>
  </si>
  <si>
    <t>STL GLOBAL LTD</t>
  </si>
  <si>
    <t>STINDIA</t>
  </si>
  <si>
    <t>STI INDIA LTD</t>
  </si>
  <si>
    <t>ST(INDIA)</t>
  </si>
  <si>
    <t>STI (INDIA) LTD</t>
  </si>
  <si>
    <t>STRTECH</t>
  </si>
  <si>
    <t>STERLITE TECHNOLOGIES LTD</t>
  </si>
  <si>
    <t>STERTOOLS</t>
  </si>
  <si>
    <t>STERLING TOOLS LTD</t>
  </si>
  <si>
    <t>STERLING SPINNERS LTD</t>
  </si>
  <si>
    <t>STRLGUA</t>
  </si>
  <si>
    <t>STERLING GUARANTY &amp;amp; FINANCE LTD.</t>
  </si>
  <si>
    <t>STERLING GREEN WOODS LTD</t>
  </si>
  <si>
    <t>STEP TWO CORPORATION LTD</t>
  </si>
  <si>
    <t>STELLAR CAPITAL SERVICES LTD</t>
  </si>
  <si>
    <t>STELLANT SECURITIES INDIA LTD</t>
  </si>
  <si>
    <t>STELLANT SECURITIES (INDIA) LTD</t>
  </si>
  <si>
    <t>STEL</t>
  </si>
  <si>
    <t>STEL HOLDINGS LTD</t>
  </si>
  <si>
    <t>STEELCO GUJARAT LTD</t>
  </si>
  <si>
    <t>STEELCAST LTD</t>
  </si>
  <si>
    <t>SSWL</t>
  </si>
  <si>
    <t>STEEL STRIPS WHEELS LTD</t>
  </si>
  <si>
    <t>Iron &amp;amp; Steel/Interm.Products</t>
  </si>
  <si>
    <t>STRIPMT</t>
  </si>
  <si>
    <t>STEEL STRIPS LTD.</t>
  </si>
  <si>
    <t>STEEL STRIPS INFRASTRUCTURES LTD</t>
  </si>
  <si>
    <t>STEELXIND</t>
  </si>
  <si>
    <t>STEEL EXCHANGE INDIA LTD</t>
  </si>
  <si>
    <t>STEEL EXCHANGE (INDIA) LTD</t>
  </si>
  <si>
    <t>STEELCITY</t>
  </si>
  <si>
    <t>STEEL CITY SECURITIES LTD</t>
  </si>
  <si>
    <t>SAIL</t>
  </si>
  <si>
    <t>STEEL AUTHORITY OF INDIA LTD</t>
  </si>
  <si>
    <t>STEEL AUTHORITY OF (INDIA) LTD</t>
  </si>
  <si>
    <t>SBIN</t>
  </si>
  <si>
    <t>STATE BANK OF INDIA</t>
  </si>
  <si>
    <t>STARLOG ENTERPRISES LTD</t>
  </si>
  <si>
    <t>STARLITE COMPONENTS LTD</t>
  </si>
  <si>
    <t>Other Non-Ferrous Metals</t>
  </si>
  <si>
    <t>STARLIT POWER SYSTEMS LTD</t>
  </si>
  <si>
    <t>STARCOM INFORMATION TECHNOLOGY LTD</t>
  </si>
  <si>
    <t>STARPAPER</t>
  </si>
  <si>
    <t>STAR PAPER MILLS LTD</t>
  </si>
  <si>
    <t>STAR DELTA TRANSFORMERS LTD</t>
  </si>
  <si>
    <t>STARCEMENT</t>
  </si>
  <si>
    <t>STAR CEMENT LTD</t>
  </si>
  <si>
    <t>STANROSE MAFATLAL INVESTMENTS AND FINANCE LTD</t>
  </si>
  <si>
    <t>STANPACKS INDIA LTD</t>
  </si>
  <si>
    <t>STANPACKS (INDIA) LTD</t>
  </si>
  <si>
    <t>STANDARD SURFACTANTS LTD</t>
  </si>
  <si>
    <t>STANDARD SHOE SOLE AND MOULD INDIA LTD</t>
  </si>
  <si>
    <t>STANDARD SHOE SOLE AND MOULD (INDIA) LTD</t>
  </si>
  <si>
    <t>SIL</t>
  </si>
  <si>
    <t>STANDARD INDUSTRIES LTD</t>
  </si>
  <si>
    <t>STANDARD CHARTERED PLC</t>
  </si>
  <si>
    <t>STANDARD CAPITAL MARKETS LTD</t>
  </si>
  <si>
    <t>STANDARD BATTERIES LTD</t>
  </si>
  <si>
    <t>SCAPDVR</t>
  </si>
  <si>
    <t>STAMPEDE CAPITAL LTD</t>
  </si>
  <si>
    <t>STAMPEDE</t>
  </si>
  <si>
    <t>SSPN FINANCE LTD</t>
  </si>
  <si>
    <t>SSPDL LTD</t>
  </si>
  <si>
    <t>SS ORGANICS LTD</t>
  </si>
  <si>
    <t>SRU STEELS LTD</t>
  </si>
  <si>
    <t>SRSLTD</t>
  </si>
  <si>
    <t>SRS LTD</t>
  </si>
  <si>
    <t>SRS FINANCE LTD</t>
  </si>
  <si>
    <t>SRM ENERGY LTD</t>
  </si>
  <si>
    <t>SRIPIPES</t>
  </si>
  <si>
    <t>SRIKALAHASTHI PIPES LTD</t>
  </si>
  <si>
    <t>SRI VAJRA GRANITES LTD</t>
  </si>
  <si>
    <t>SRI RAMAKRISHNA MILLS COIMBATORE LTD</t>
  </si>
  <si>
    <t>SRI NACHAMMAI COTTON MILLS LTD</t>
  </si>
  <si>
    <t>SRI LAKSHMI SARASWATHI TEXTILES ARNI LTD</t>
  </si>
  <si>
    <t>SKML</t>
  </si>
  <si>
    <t>SRI KRISHNA METCOM LTD</t>
  </si>
  <si>
    <t>SRI KRISHNA CONSTRUCTIONS INDIA LTD</t>
  </si>
  <si>
    <t>SRI KRISHNA CONSTRUCTIONS (INDIA) LTD</t>
  </si>
  <si>
    <t>SRI KPR INDUSTRIES LTD</t>
  </si>
  <si>
    <t>HAVISHA</t>
  </si>
  <si>
    <t>SRI HAVISHA HOSPITALITY AND INFRASTRUCTURE LTD</t>
  </si>
  <si>
    <t>SRI AMARNATH FINANCE LTD</t>
  </si>
  <si>
    <t>SABTN</t>
  </si>
  <si>
    <t>SRI ADHIKARI BROTHERS TELEVISION NETWORK LTD</t>
  </si>
  <si>
    <t>SRG HOUSING FINANCE LTD</t>
  </si>
  <si>
    <t>SRF</t>
  </si>
  <si>
    <t>SRF LTD</t>
  </si>
  <si>
    <t>SRESTHA FINVEST LTD</t>
  </si>
  <si>
    <t>SREINFRA</t>
  </si>
  <si>
    <t>SREI INFRASTRUCTURE FINANCE LTD</t>
  </si>
  <si>
    <t>SREEL</t>
  </si>
  <si>
    <t>SREELEATHERS LTD</t>
  </si>
  <si>
    <t>SREECHEM RESINS LTD</t>
  </si>
  <si>
    <t>SRHHYPOLTD</t>
  </si>
  <si>
    <t>SREE RAYALASEEMA HI-STRENGTH HYPO LTD</t>
  </si>
  <si>
    <t>SREE JAYALAKSHMI AUTOSPIN LTD</t>
  </si>
  <si>
    <t>SQUARE FOUR PROJECTS INDIA LTD</t>
  </si>
  <si>
    <t>SQUARE FOUR PROJECTS (INDIA) LTD</t>
  </si>
  <si>
    <t>SQSBFSI</t>
  </si>
  <si>
    <t>SQS INDIA BFSI LTD</t>
  </si>
  <si>
    <t>SPS INTERNATIONAL LTD</t>
  </si>
  <si>
    <t>SPS FINQUEST LTD</t>
  </si>
  <si>
    <t>Construction &amp;amp; Engineering</t>
  </si>
  <si>
    <t>SFIVL</t>
  </si>
  <si>
    <t>Spring Fields Infraventure Ltd</t>
  </si>
  <si>
    <t>SPRAYKING AGRO EQUIPMENT LTD</t>
  </si>
  <si>
    <t>SPORTKING INDIA LTD</t>
  </si>
  <si>
    <t>SPORTKING (INDIA) LTD</t>
  </si>
  <si>
    <t>SPMLINFRA</t>
  </si>
  <si>
    <t>SPML INFRA LTD</t>
  </si>
  <si>
    <t>SMPL</t>
  </si>
  <si>
    <t>SPLENDID METAL PRODUCTS LTD</t>
  </si>
  <si>
    <t>SPLIL</t>
  </si>
  <si>
    <t>SPL INDUSTRIES LTD</t>
  </si>
  <si>
    <t>SPICY ENTERTAINMENT AND MEDIA LTD</t>
  </si>
  <si>
    <t>SPICEJET LTD</t>
  </si>
  <si>
    <t>SPICEMOBI</t>
  </si>
  <si>
    <t>SPICE MOBILITY LTD</t>
  </si>
  <si>
    <t>SPICE ISLANDS APPARELS LTD</t>
  </si>
  <si>
    <t>SPENTEX</t>
  </si>
  <si>
    <t>SPENTEX INDUSTRIES LTD</t>
  </si>
  <si>
    <t>SPENTA INTERNATIONAL LTD</t>
  </si>
  <si>
    <t>SPENCERS</t>
  </si>
  <si>
    <t>Spencer's Retail LTD</t>
  </si>
  <si>
    <t>SPENCER</t>
  </si>
  <si>
    <t>Spencers Retail Ltd</t>
  </si>
  <si>
    <t>SPEL SEMICONDUCTOR LTD</t>
  </si>
  <si>
    <t>SPEEDAGE COMMERCIALS LTD</t>
  </si>
  <si>
    <t>SPECULAR MARKETING &amp; FINANCING LTD</t>
  </si>
  <si>
    <t>SPECTRUM FOODS LTD</t>
  </si>
  <si>
    <t>SPECTRUM</t>
  </si>
  <si>
    <t>SPECTRUM ELECTRICAL INDUSTRIES LTD</t>
  </si>
  <si>
    <t>SPECTRA INDUSTRIES LTD</t>
  </si>
  <si>
    <t>SPECIALITY</t>
  </si>
  <si>
    <t>SPECIALITY RESTAURANTS LTD</t>
  </si>
  <si>
    <t>SPARKLING INDIA FINSHARES LTD</t>
  </si>
  <si>
    <t>SPARC SYSTEMS LTD</t>
  </si>
  <si>
    <t>SPAN DIVERGENT LTD</t>
  </si>
  <si>
    <t>SPCENET</t>
  </si>
  <si>
    <t>SPACENET ENTERPRISES INDIA LTD</t>
  </si>
  <si>
    <t>SPACENET ENTERPRISES (INDIA) LTD</t>
  </si>
  <si>
    <t>SPACEAGE PRODUCTS LTD</t>
  </si>
  <si>
    <t>SPACE INCUBATRICS TECHNOLOGIES LTD</t>
  </si>
  <si>
    <t>SPACAPS</t>
  </si>
  <si>
    <t>SPA Capital Services Ltd</t>
  </si>
  <si>
    <t>SP CAPITAL FINANCING LTD</t>
  </si>
  <si>
    <t>SOWBHAGYA MEDIA LTD</t>
  </si>
  <si>
    <t>SOVEREIGN DIAMONDS LTD</t>
  </si>
  <si>
    <t>SPIC</t>
  </si>
  <si>
    <t>SOUTHERN PETROCHEMICALS INDUSTRIES CORPORATION LTD</t>
  </si>
  <si>
    <t>SOUTHERN ONLINE BIO TECHNOLOGIES LTD</t>
  </si>
  <si>
    <t>SOUTHERN MAGNESIUM &amp; CHEMICALS LTD</t>
  </si>
  <si>
    <t>SOUTHERN LATEX LTD</t>
  </si>
  <si>
    <t>SOUTHERN INFOSYS LTD</t>
  </si>
  <si>
    <t>SOUTHERN GAS LTD</t>
  </si>
  <si>
    <t>SOUTHWEST</t>
  </si>
  <si>
    <t>SOUTH WEST PINNACLE EXPLORATION LTD</t>
  </si>
  <si>
    <t>SOUTH INDIA PROJECTS LTD</t>
  </si>
  <si>
    <t>SOUTH INDIA PAPER MILLS LTD</t>
  </si>
  <si>
    <t>SOUTH ASIAN ENTERPRISES LTD</t>
  </si>
  <si>
    <t>SOURCE NATURAL FOODS &amp; HERBAL SUPPL LTD</t>
  </si>
  <si>
    <t>SOURCE INDUSTRIES INDIA LTD</t>
  </si>
  <si>
    <t>SOURCE INDUSTRIES (INDIA) LTD</t>
  </si>
  <si>
    <t>SORILINFRA</t>
  </si>
  <si>
    <t>SORIL INFRA RESOURCES LTD</t>
  </si>
  <si>
    <t>SOPHIA TRAEXPO LTD</t>
  </si>
  <si>
    <t>SONISOYA</t>
  </si>
  <si>
    <t>SONI SOYA PRODUCTS LTD</t>
  </si>
  <si>
    <t>SONI MEDICARE LTD</t>
  </si>
  <si>
    <t>SONATSOFTW</t>
  </si>
  <si>
    <t>SONATA SOFTWARE LTD</t>
  </si>
  <si>
    <t>SONAMCLOCK</t>
  </si>
  <si>
    <t>SONAM CLOCK LTD</t>
  </si>
  <si>
    <t>SONAL MERCANTILE LTD</t>
  </si>
  <si>
    <t>SONAL ADHESIVES LTD</t>
  </si>
  <si>
    <t>SOMICONVEY</t>
  </si>
  <si>
    <t>SOMI CONVEYOR BELTINGS LTD</t>
  </si>
  <si>
    <t>SOMANYCERA</t>
  </si>
  <si>
    <t>SOMANY CERAMICS LTD</t>
  </si>
  <si>
    <t>SOMATEX</t>
  </si>
  <si>
    <t>SOMA TEXTILES &amp; INDUSTRIES LTD</t>
  </si>
  <si>
    <t>SDBL</t>
  </si>
  <si>
    <t>SOM DISTILLERIES &amp; BREWERIES LTD</t>
  </si>
  <si>
    <t>SOM DATT FINANCE CORPORATION LTD</t>
  </si>
  <si>
    <t>SOLITAIRE MACHINE TOOLS LTD</t>
  </si>
  <si>
    <t>SOLIS MARKETING LTD</t>
  </si>
  <si>
    <t>SOLID STONE COMPANY LTD</t>
  </si>
  <si>
    <t>SOLID CONTAINERS LTD</t>
  </si>
  <si>
    <t>SOLID CARBIDE TOOLS LTD</t>
  </si>
  <si>
    <t>SOLEX</t>
  </si>
  <si>
    <t>SOLEX ENERGY LTD</t>
  </si>
  <si>
    <t>SOLARA</t>
  </si>
  <si>
    <t>SOLARA ACTIVE PHARMA SCIENCES LTD</t>
  </si>
  <si>
    <t>SOLARINDS</t>
  </si>
  <si>
    <t>SOLAR INDUSTRIES INDIA LTD</t>
  </si>
  <si>
    <t>SOLAR INDUSTRIES (INDIA) LTD</t>
  </si>
  <si>
    <t>SOFTTECH ENGINEERS LTD</t>
  </si>
  <si>
    <t>SOFTSOL INDIA LTD</t>
  </si>
  <si>
    <t>SOFTSOL (INDIA) LTD</t>
  </si>
  <si>
    <t>SOFTBPO GLOBAL SERVICES LTD</t>
  </si>
  <si>
    <t>SOFCOM SYSTEMS LTD</t>
  </si>
  <si>
    <t>SOBHAGYA MERCHANTILE LTD</t>
  </si>
  <si>
    <t>SOBHA</t>
  </si>
  <si>
    <t>SOBHA LTD</t>
  </si>
  <si>
    <t>SNOWMAN</t>
  </si>
  <si>
    <t>SNOWMAN LOGISTICS LTD</t>
  </si>
  <si>
    <t>SNL BEARINGS LTD</t>
  </si>
  <si>
    <t>SMVD</t>
  </si>
  <si>
    <t>SMVD POLY PACK LTD</t>
  </si>
  <si>
    <t>SMSPHARMA</t>
  </si>
  <si>
    <t>SMS PHARMACEUTICALS LTD</t>
  </si>
  <si>
    <t>SMSLIFE</t>
  </si>
  <si>
    <t>SMS LIFESCIENCES INDIA LTD</t>
  </si>
  <si>
    <t>SMS LIFESCIENCES (INDIA) LTD</t>
  </si>
  <si>
    <t>SMRUTHI ORGANICS LTD</t>
  </si>
  <si>
    <t>SMLISUZU</t>
  </si>
  <si>
    <t>SML ISUZU LTD</t>
  </si>
  <si>
    <t>SMIFS CAPITAL MARKETS LTD</t>
  </si>
  <si>
    <t>SMARTLINK</t>
  </si>
  <si>
    <t>SMARTLINK HOLDINGS LTD</t>
  </si>
  <si>
    <t>SMART FINSEC LTD</t>
  </si>
  <si>
    <t>SKYLINE VENTURES INDIA LTD</t>
  </si>
  <si>
    <t>SKYLINE VENTURES (INDIA) LTD</t>
  </si>
  <si>
    <t>SKYLINE MILLARS LTD</t>
  </si>
  <si>
    <t>SKY INDUSTRIES LTD</t>
  </si>
  <si>
    <t>SKY GOLD LTD</t>
  </si>
  <si>
    <t>SKSTEXTILE</t>
  </si>
  <si>
    <t>SKS TEXTILES LTD</t>
  </si>
  <si>
    <t>SKP SECURITIES LTD</t>
  </si>
  <si>
    <t>SKMEGGPROD</t>
  </si>
  <si>
    <t>SKM EGG PRODUCTS EXPORT INDIA LTD</t>
  </si>
  <si>
    <t>SKM EGG PRODUCTS EXPORT (INDIA) LTD</t>
  </si>
  <si>
    <t>SKIPPER</t>
  </si>
  <si>
    <t>SKIPPER LTD</t>
  </si>
  <si>
    <t>SKIL</t>
  </si>
  <si>
    <t>SKIL INFRASTRUCTURE LTD</t>
  </si>
  <si>
    <t>SKFINDIA</t>
  </si>
  <si>
    <t>SKF INDIA LTD</t>
  </si>
  <si>
    <t>SKF(INDIA)</t>
  </si>
  <si>
    <t>SKF (INDIA) LTD</t>
  </si>
  <si>
    <t>SJVN</t>
  </si>
  <si>
    <t>SJVN LTD</t>
  </si>
  <si>
    <t>SJ CORPORATION LTD</t>
  </si>
  <si>
    <t>SIYSIL</t>
  </si>
  <si>
    <t>SIYARAM SILK MILLS LTD</t>
  </si>
  <si>
    <t>SITINET</t>
  </si>
  <si>
    <t>SITI NETWORKS LTD</t>
  </si>
  <si>
    <t>SITASHREE</t>
  </si>
  <si>
    <t>SITA SHREE FOOD PRODUCTS LTD</t>
  </si>
  <si>
    <t>SITA ENTERPRISES LTD</t>
  </si>
  <si>
    <t>SIROHIA &amp; SONS LTD</t>
  </si>
  <si>
    <t>SIRCA</t>
  </si>
  <si>
    <t>SIRCA PAINTS INDIA LTD</t>
  </si>
  <si>
    <t>SIRCA PAINTS (INDIA) LTD</t>
  </si>
  <si>
    <t>SIR SHADI LAL ENTERPRISES LTD</t>
  </si>
  <si>
    <t>SIP INDUSTRIES LTD</t>
  </si>
  <si>
    <t>SPTL</t>
  </si>
  <si>
    <t>SINTEX PLASTICS TECHNOLOGY LTD</t>
  </si>
  <si>
    <t>SINTEX</t>
  </si>
  <si>
    <t>SINTEX INDUSTRIES LTD</t>
  </si>
  <si>
    <t>SINTERCOM</t>
  </si>
  <si>
    <t>SINTERCOM INDIA LTD</t>
  </si>
  <si>
    <t>SINTERCOM (INDIA) LTD</t>
  </si>
  <si>
    <t>SINNER ENERGY INDIA LTD</t>
  </si>
  <si>
    <t>SINNER ENERGY (INDIA) LTD</t>
  </si>
  <si>
    <t>SINNAR BIDI UDYOG LTD</t>
  </si>
  <si>
    <t>SINGER INDIA LTD</t>
  </si>
  <si>
    <t>SINGER (INDIA) LTD</t>
  </si>
  <si>
    <t>SINDU VALLEY TECHNOLOGIES LTD</t>
  </si>
  <si>
    <t>SINDHU TRADE LINKS LTD</t>
  </si>
  <si>
    <t>SINCLAIRS HOTELS LTD</t>
  </si>
  <si>
    <t>SIMRAN FARMS LTD</t>
  </si>
  <si>
    <t>SIMPLEX REALTY LTD</t>
  </si>
  <si>
    <t>SIMPLEX PAPERS LTD</t>
  </si>
  <si>
    <t>SIMPLEX MILLS COMPANY LTD</t>
  </si>
  <si>
    <t>SIMPLEXINF</t>
  </si>
  <si>
    <t>SIMPLEX INFRASTRUCTURES LTD</t>
  </si>
  <si>
    <t>SIMPLEX CASTINGS LTD</t>
  </si>
  <si>
    <t>SIMMONDS MARSHALL LTD</t>
  </si>
  <si>
    <t>SIMBHALS</t>
  </si>
  <si>
    <t>SIMBHAOLI SUGARS LTD</t>
  </si>
  <si>
    <t>SILVERPOINT INFRATECH LTD</t>
  </si>
  <si>
    <t>SILVER TOUCH TECHNOLOGIES LTD</t>
  </si>
  <si>
    <t>SILVER OAK INDIA LTD</t>
  </si>
  <si>
    <t>SILVER OAK COMMERCIAL LTD</t>
  </si>
  <si>
    <t>SILVER OAK (INDIA) LTD</t>
  </si>
  <si>
    <t>SILLYMONKS</t>
  </si>
  <si>
    <t>SILLY MONKS ENTERTAINMENT LTD</t>
  </si>
  <si>
    <t>SILGO</t>
  </si>
  <si>
    <t>SILGO RETAIL LTD</t>
  </si>
  <si>
    <t>SILINV</t>
  </si>
  <si>
    <t>SIL INVESTMENTS LTD</t>
  </si>
  <si>
    <t>SIKOZY REALTORS LTD</t>
  </si>
  <si>
    <t>SIKKO</t>
  </si>
  <si>
    <t>SIKKO INDUSTRIES LTD</t>
  </si>
  <si>
    <t>SIKA INTERPLANT SYSTEMS LTD</t>
  </si>
  <si>
    <t>SIGIND</t>
  </si>
  <si>
    <t>SIGNET INDUSTRIES LTD</t>
  </si>
  <si>
    <t>SIEMENS</t>
  </si>
  <si>
    <t>SIEMENS LTD</t>
  </si>
  <si>
    <t>SIEL FINANCIAL SERVICES LTD</t>
  </si>
  <si>
    <t>SIDH AUTOMOBILES LTD</t>
  </si>
  <si>
    <t>SIDDHARTH EDUCATION SERVICES LTD</t>
  </si>
  <si>
    <t>SICAL</t>
  </si>
  <si>
    <t>SICAL LOGISTICS LTD</t>
  </si>
  <si>
    <t>SICAGEN</t>
  </si>
  <si>
    <t>SICAGEN INDIA LTD</t>
  </si>
  <si>
    <t>SICAGEN (INDIA) LTD</t>
  </si>
  <si>
    <t>SIBAR AUTO PARTS LTD</t>
  </si>
  <si>
    <t>SI CAPITAL &amp; FINANCIAL SERVICES LTD</t>
  </si>
  <si>
    <t>SHYAMKAMAL INVESTMENTS LTD</t>
  </si>
  <si>
    <t>SHYAMA INFOSYS LTD</t>
  </si>
  <si>
    <t>SHYAMTEL</t>
  </si>
  <si>
    <t>SHYAM TELECOM LTD</t>
  </si>
  <si>
    <t>SHYAMCENT</t>
  </si>
  <si>
    <t>SHYAM CENTURY FERROUS LTD</t>
  </si>
  <si>
    <t>SHUKRA PHARMACEUTICALS LTD</t>
  </si>
  <si>
    <t>SHUKRA JEWELLERS LTD</t>
  </si>
  <si>
    <t>SKRABUL</t>
  </si>
  <si>
    <t>SHUKRA BULLIONS LTD.</t>
  </si>
  <si>
    <t>SHUBHLAXMI</t>
  </si>
  <si>
    <t>SHUBHLAXMI JEWEL ART LTD</t>
  </si>
  <si>
    <t>SHUBHAM POLYSPIN LTD</t>
  </si>
  <si>
    <t>SHRISTI INFRASTRUCTURE DEVELOPMENT CORPORATION LTD</t>
  </si>
  <si>
    <t>SRTRANSFIN</t>
  </si>
  <si>
    <t>SHRIRAM TRANSPORT FINANCE COMPANY LTD</t>
  </si>
  <si>
    <t>SHRIPISTON</t>
  </si>
  <si>
    <t>SHRIRAM PISTONS &amp; RINGS LTD</t>
  </si>
  <si>
    <t>SHRIRAMEPC</t>
  </si>
  <si>
    <t>SHRIRAM EPC LTD</t>
  </si>
  <si>
    <t>SHRIRAMCIT</t>
  </si>
  <si>
    <t>SHRIRAM CITY UNION FINANCE LTD</t>
  </si>
  <si>
    <t>SHRIRAM ASSET MANAGEMENT CO LTD</t>
  </si>
  <si>
    <t>SHRICON INDUSTRIES LTD</t>
  </si>
  <si>
    <t>SRIRAM</t>
  </si>
  <si>
    <t>SHRI RAM SWITCHGEARS LTD</t>
  </si>
  <si>
    <t>SHRI NIWAS LEASING AND FINANCE LTD</t>
  </si>
  <si>
    <t>SHRI KRISHNA DEVCON LTD</t>
  </si>
  <si>
    <t>SHRI KESHAV CEMENTS AND INFRA LTD</t>
  </si>
  <si>
    <t>SHRI KALYAN HOLDINGS LTD</t>
  </si>
  <si>
    <t>SHRI JAGDAMBA POLYMERS LTD</t>
  </si>
  <si>
    <t>SHRI DINESH MILLS LTD</t>
  </si>
  <si>
    <t>SHRI BHOLANATH CARPETS LTD</t>
  </si>
  <si>
    <t>SHRI BAJRANG ALLOYS LTD</t>
  </si>
  <si>
    <t>SHREYAS</t>
  </si>
  <si>
    <t>SHREYAS SHIPPING &amp; LOGISTICS LTD</t>
  </si>
  <si>
    <t>SHREYAS INTERMEDIATES LTD</t>
  </si>
  <si>
    <t>SHREYANIND</t>
  </si>
  <si>
    <t>SHREYANS INDUSTRIES LTD</t>
  </si>
  <si>
    <t>SHRENIK</t>
  </si>
  <si>
    <t>SHRENIK LTD</t>
  </si>
  <si>
    <t>SHREEVATSAA FINANCE &amp; LEASING LTD</t>
  </si>
  <si>
    <t>SHREESHAY ENGINEERS LTD</t>
  </si>
  <si>
    <t>OSWALSEEDS</t>
  </si>
  <si>
    <t>SHREEOSWAL SEEDS AND CHEMICALS LTD</t>
  </si>
  <si>
    <t>SHREENATH INVESTMENTS CO LTD</t>
  </si>
  <si>
    <t>SHREEJI TRANSLOGISTICS LTD</t>
  </si>
  <si>
    <t>SHREE WORSTEX LTD</t>
  </si>
  <si>
    <t>SVLL</t>
  </si>
  <si>
    <t>SHREE VASU LOGISTICS LTD</t>
  </si>
  <si>
    <t>SHREE TULSI ONLINE COM LTD</t>
  </si>
  <si>
    <t>TIRUPATI</t>
  </si>
  <si>
    <t>SHREE TIRUPATI BALAJEE FIBC LTD</t>
  </si>
  <si>
    <t>SHREE SURGOVIND TRADELINK LTD</t>
  </si>
  <si>
    <t>SHREE STEEL WIRE ROPES LTD</t>
  </si>
  <si>
    <t>SHREE SECURITIES LTD</t>
  </si>
  <si>
    <t>SHREE SALASAR INVESTMENT LTD</t>
  </si>
  <si>
    <t>RENUKA</t>
  </si>
  <si>
    <t>SHREE RENUKA SUGARS LTD</t>
  </si>
  <si>
    <t>RAMANEWS</t>
  </si>
  <si>
    <t>SHREE RAMA NEWSPRINT LTD</t>
  </si>
  <si>
    <t>SHREERAMA</t>
  </si>
  <si>
    <t>SHREE RAMA MULTI-TECH LTD</t>
  </si>
  <si>
    <t>SRPL</t>
  </si>
  <si>
    <t>SHREE RAM PROTEINS LTD</t>
  </si>
  <si>
    <t>SHREE RAJESHWARANAND PAPER MILLS LTD</t>
  </si>
  <si>
    <t>SHREE RAJASTHAN SYNTEX LTD</t>
  </si>
  <si>
    <t>SHREEPUSHK</t>
  </si>
  <si>
    <t>SHREE PUSHKAR CHEMICALS &amp; FERTILISERS LTD</t>
  </si>
  <si>
    <t>SHREE PRECOATED STEELS LTD</t>
  </si>
  <si>
    <t>Healthcare Supplies</t>
  </si>
  <si>
    <t>SHREE PACETRONIX LTD</t>
  </si>
  <si>
    <t>SHREE OM TRADES LTD</t>
  </si>
  <si>
    <t>SHREE NIDHI TRADING CO  LTD</t>
  </si>
  <si>
    <t>SHREE METALLOYS LTD</t>
  </si>
  <si>
    <t>SHREE MANUFACTURING CO LTD</t>
  </si>
  <si>
    <t>SHREE KRISHNA PAPER MILLS &amp; INDUSTRIES LTD</t>
  </si>
  <si>
    <t>SHREE KRISHNA INFRASTRUCTURE LTD</t>
  </si>
  <si>
    <t>SHREE KARTHIK PAPERS LTD</t>
  </si>
  <si>
    <t>SHREE HARI CHEMICALS EXPORT LTD</t>
  </si>
  <si>
    <t>SHREE GLOBAL TRADEFIN LTD</t>
  </si>
  <si>
    <t>SHREE GANESH REMEDIES LTD</t>
  </si>
  <si>
    <t>SGFL</t>
  </si>
  <si>
    <t>SHREE GANESH FORGINGS LTD</t>
  </si>
  <si>
    <t>SHREE GANESH ELASTOPLAST LTD</t>
  </si>
  <si>
    <t>SHREE GANESH BIOTECH INDIA LTD</t>
  </si>
  <si>
    <t>SHREE GANESH BIOTECH (INDIA) LTD</t>
  </si>
  <si>
    <t>SHREE DIGVIJAY CEMENT CO LTD</t>
  </si>
  <si>
    <t>SHREECEM</t>
  </si>
  <si>
    <t>SHREE CEMENT LTD</t>
  </si>
  <si>
    <t>SHREE BHAWANI PAPER MILLS LTD</t>
  </si>
  <si>
    <t>SHREE BHAVYA FABRICS LTD</t>
  </si>
  <si>
    <t>SHREE AJIT PULP AND PAPER LTD</t>
  </si>
  <si>
    <t>SHRADHA</t>
  </si>
  <si>
    <t>SHRADHA INFRAPROJECTS NAGPUR LTD</t>
  </si>
  <si>
    <t>SHOPERSTOP</t>
  </si>
  <si>
    <t>SHOPPERS STOP LTD</t>
  </si>
  <si>
    <t>SHIVOM INVESTMENT &amp; CONSULTANCY LTD</t>
  </si>
  <si>
    <t>SHIVKAMAL IMPEX LTD</t>
  </si>
  <si>
    <t>SHIVANSH FINSERVE LTD</t>
  </si>
  <si>
    <t>SHIVAMAUTO</t>
  </si>
  <si>
    <t>SHIVAM AUTOTECH LTD</t>
  </si>
  <si>
    <t>SHIVALIK RASAYAN LTD</t>
  </si>
  <si>
    <t>SHIVALIK BIMETAL CONTROLS LTD</t>
  </si>
  <si>
    <t>SHIVAGRICO IMPLEMENTS LTD</t>
  </si>
  <si>
    <t>SHIVATEX</t>
  </si>
  <si>
    <t>SHIVA TEXYARN LTD</t>
  </si>
  <si>
    <t>SHIVA SUITINGS LTD</t>
  </si>
  <si>
    <t>SHIVAMILLS</t>
  </si>
  <si>
    <t>SHIVA MILLS LTD</t>
  </si>
  <si>
    <t>SHIVMED</t>
  </si>
  <si>
    <t>SHIVA MEDICARE LTD.</t>
  </si>
  <si>
    <t>SHIVA GRANITO EXPORT LTD</t>
  </si>
  <si>
    <t>SHIVA GLOBAL AGRO INDUSTRIES LTD</t>
  </si>
  <si>
    <t>SHIVA CEMENT LTD</t>
  </si>
  <si>
    <t>SHISH INDUSTRIES LTD</t>
  </si>
  <si>
    <t>SHIRPUR-G</t>
  </si>
  <si>
    <t>SHIRPUR GOLD REFINERY LTD</t>
  </si>
  <si>
    <t>SCI</t>
  </si>
  <si>
    <t>SHIPPING CORPORATION OF INDIA LTD</t>
  </si>
  <si>
    <t>SHIPPING CORPORATION OF (INDIA) LTD</t>
  </si>
  <si>
    <t>SHILPI</t>
  </si>
  <si>
    <t>SHILPI CABLE TECHNOLOGIES LTD</t>
  </si>
  <si>
    <t>SHILPAMED</t>
  </si>
  <si>
    <t>SHILPA MEDICARE LTD</t>
  </si>
  <si>
    <t>SHILP GRAVURES LTD</t>
  </si>
  <si>
    <t>SHILCHAR TECHNOLOGIES LTD</t>
  </si>
  <si>
    <t>SHIKHAR LEASING &amp; TRADING LTD</t>
  </si>
  <si>
    <t>SHETRON LTD</t>
  </si>
  <si>
    <t>SHESHADRI INDUSTRIES LTD</t>
  </si>
  <si>
    <t>SHERVANI INDUSTRIAL SYNDICATE LTD</t>
  </si>
  <si>
    <t>SHERATON PROPERTIES &amp; FINANCE LTD</t>
  </si>
  <si>
    <t>SHEMAROO</t>
  </si>
  <si>
    <t>SHEMAROO ENTERTAINMENT LTD</t>
  </si>
  <si>
    <t>SHELTER INFRA PROJECTS LTD</t>
  </si>
  <si>
    <t>SPYL</t>
  </si>
  <si>
    <t>SHEKHAWATI POLY-YARN LTD</t>
  </si>
  <si>
    <t>SHEETAL DIAMONDS LTD</t>
  </si>
  <si>
    <t>SHEETAL COOL PRODUCTS LTD</t>
  </si>
  <si>
    <t>SFL</t>
  </si>
  <si>
    <t>SHEELA FOAM LTD</t>
  </si>
  <si>
    <t>SHASHIJIT INFRAPROJECTS LTD</t>
  </si>
  <si>
    <t>SHASHANK TRADERS LTD</t>
  </si>
  <si>
    <t>SHARP INVESTMENTS LTD</t>
  </si>
  <si>
    <t>SHARP INDIA LTD</t>
  </si>
  <si>
    <t>SHARP (INDIA) LTD</t>
  </si>
  <si>
    <t>SHARONBIO</t>
  </si>
  <si>
    <t>SHARON BIO-MEDICINE LTD</t>
  </si>
  <si>
    <t>SHARIKA ENTERPRISES LTD</t>
  </si>
  <si>
    <t>SHARE INDIA SECURITIES LTD</t>
  </si>
  <si>
    <t>SHARDUL SECURITIES LTD</t>
  </si>
  <si>
    <t>SHARDAMOTR</t>
  </si>
  <si>
    <t>SHARDA MOTOR INDUSTRIES LTD</t>
  </si>
  <si>
    <t>SHARDA ISPAT LTD</t>
  </si>
  <si>
    <t>SHARDACROP</t>
  </si>
  <si>
    <t>SHARDA CROPCHEM LTD</t>
  </si>
  <si>
    <t>SHARANAM INFRAPROJECT AND TRADING LTD</t>
  </si>
  <si>
    <t>SHARAD FIBRES &amp; YARN PROCESSORS LTD</t>
  </si>
  <si>
    <t>SHANTI</t>
  </si>
  <si>
    <t>SHANTI OVERSEAS INDIA LTD</t>
  </si>
  <si>
    <t>SHANTI OVERSEAS (INDIA) LTD</t>
  </si>
  <si>
    <t>SHANTI EDUCATIONAL INITIATIVES LTD</t>
  </si>
  <si>
    <t>SHANTIGEAR</t>
  </si>
  <si>
    <t>SHANTHI GEARS LTD</t>
  </si>
  <si>
    <t>SHANTANU SHEOREY AQUAKULT LTD</t>
  </si>
  <si>
    <t>SHANTAI INDUSTRIES LTD</t>
  </si>
  <si>
    <t>SHANKARA</t>
  </si>
  <si>
    <t>SHANKARA BUILDING PRODUCTS LTD</t>
  </si>
  <si>
    <t>SRD</t>
  </si>
  <si>
    <t>Shankar Lal Rampal Dye-Chem Ltd</t>
  </si>
  <si>
    <t>SHANGAR DECOR LTD</t>
  </si>
  <si>
    <t>Copper</t>
  </si>
  <si>
    <t>SHALIMAR WIRES INDUSTRIES LTD</t>
  </si>
  <si>
    <t>SHALIMAR PRODUCTIONS LTD</t>
  </si>
  <si>
    <t>SHALPAINTS</t>
  </si>
  <si>
    <t>SHALIMAR PAINTS LTD</t>
  </si>
  <si>
    <t>SHALIMAR AGENCIES LTD</t>
  </si>
  <si>
    <t>SHALIBHADRA FINANCE LTD</t>
  </si>
  <si>
    <t>SHALBY</t>
  </si>
  <si>
    <t>SHALBY LTD</t>
  </si>
  <si>
    <t>SHAKTIPUMP</t>
  </si>
  <si>
    <t>SHAKTI PUMPS INDIA LTD</t>
  </si>
  <si>
    <t>SHAKTI PUMPS (INDIA) LTD</t>
  </si>
  <si>
    <t>SHAIVAL</t>
  </si>
  <si>
    <t>SHAIVAL REALITY LTD</t>
  </si>
  <si>
    <t>SHAILY ENGINEERING PLASTICS LTD</t>
  </si>
  <si>
    <t>SHAILJA COMMERCIAL TRADE FRENZY LTD</t>
  </si>
  <si>
    <t>SHAHI SHIPPING LTD</t>
  </si>
  <si>
    <t>SHAH FOODS LTD</t>
  </si>
  <si>
    <t>SHAH CONSTRUCTION CO LTD</t>
  </si>
  <si>
    <t>SHAHALLOYS</t>
  </si>
  <si>
    <t>SHAH ALLOYS LTD</t>
  </si>
  <si>
    <t>SHABA CHEMICALS LTD</t>
  </si>
  <si>
    <t>SFL INTERNATIONAL LTD</t>
  </si>
  <si>
    <t>SEZAL</t>
  </si>
  <si>
    <t>SEZAL GLASS LTD</t>
  </si>
  <si>
    <t>SEYA INDUSTRIES LTD</t>
  </si>
  <si>
    <t>SEVEN HILL INDUSTRIES LTD</t>
  </si>
  <si>
    <t>SETCO</t>
  </si>
  <si>
    <t>SETCO AUTOMOTIVE LTD</t>
  </si>
  <si>
    <t>SESHAPAPER</t>
  </si>
  <si>
    <t>SESHASAYEE PAPER AND BOARDS LTD</t>
  </si>
  <si>
    <t>SERVOTECH</t>
  </si>
  <si>
    <t>SERVOTECH POWER SYSTEMS LTD</t>
  </si>
  <si>
    <t>SEQUENT</t>
  </si>
  <si>
    <t>SEQUENT SCIENTIFIC LTD</t>
  </si>
  <si>
    <t>SENTHIL INFOTEK LTD</t>
  </si>
  <si>
    <t>SENBO INDUSTRIES LTD</t>
  </si>
  <si>
    <t>SELLWIN TRADERS LTD</t>
  </si>
  <si>
    <t>Exploration &amp; Production</t>
  </si>
  <si>
    <t>SELAN</t>
  </si>
  <si>
    <t>SELAN EXPLORATION TECHNOLOGY LTD</t>
  </si>
  <si>
    <t>SELMCL</t>
  </si>
  <si>
    <t>SEL MANUFACTURING COMPANY LTD</t>
  </si>
  <si>
    <t>SIS</t>
  </si>
  <si>
    <t>SECURITY AND INTELLIGENCE SERVICES INDIA LTD</t>
  </si>
  <si>
    <t>SECURITY AND INTELLIGENCE SERVICES (INDIA) LTD</t>
  </si>
  <si>
    <t>SECURCRED</t>
  </si>
  <si>
    <t>SECUR CREDENTIALS LTD</t>
  </si>
  <si>
    <t>SEASONS TEXTILES LTD</t>
  </si>
  <si>
    <t>SEASONS FURNISHINGS LTD</t>
  </si>
  <si>
    <t>SEAMECLTD</t>
  </si>
  <si>
    <t>SEAMEC LTD</t>
  </si>
  <si>
    <t>SEA TV NETWORK LTD</t>
  </si>
  <si>
    <t>SEA GOLD AQUA FARMS LTD</t>
  </si>
  <si>
    <t>SCOOTERS INDIA LTD</t>
  </si>
  <si>
    <t>SCOOTERS (INDIA) LTD</t>
  </si>
  <si>
    <t>SCINTILLA COMMERCIAL &amp; CREDIT LTD</t>
  </si>
  <si>
    <t>SCHNEIDER</t>
  </si>
  <si>
    <t>SCHNEIDER ELECTRIC INFRASTRUCTURE LTD</t>
  </si>
  <si>
    <t>SCHAEFFLER</t>
  </si>
  <si>
    <t>SCHAEFFLER INDIA LTD</t>
  </si>
  <si>
    <t>SCHAEFFLER (INDIA) LTD</t>
  </si>
  <si>
    <t>SCHABLONA INDIA LTD</t>
  </si>
  <si>
    <t>SCHABLONA (INDIA) LTD</t>
  </si>
  <si>
    <t>SCANPOINT GEOMATICS LTD</t>
  </si>
  <si>
    <t>SCANDENT</t>
  </si>
  <si>
    <t>Scandent Imaging LTD</t>
  </si>
  <si>
    <t>SCAN STEELS LTD</t>
  </si>
  <si>
    <t>SCAN PROJECTS LTD</t>
  </si>
  <si>
    <t>SCAGRO</t>
  </si>
  <si>
    <t>SC Agrotech Ltd</t>
  </si>
  <si>
    <t>SBIGETS</t>
  </si>
  <si>
    <t>SBI MUTUAL FUND - SBI GOLD EXCHANGE TRADED SCHEME - GROWTH OPTION</t>
  </si>
  <si>
    <t>SBILIFE</t>
  </si>
  <si>
    <t>SBI LIFE INSURANCE COMPANY LTD</t>
  </si>
  <si>
    <t>SBEC SUGAR LTD</t>
  </si>
  <si>
    <t>SAYAJI INDUSTRIES LTD</t>
  </si>
  <si>
    <t>SAYAJI HOTELS LTD</t>
  </si>
  <si>
    <t>SAWACA BUSINESS MACHINES LTD</t>
  </si>
  <si>
    <t>Refineries/ Petro-Products</t>
  </si>
  <si>
    <t>SOTL</t>
  </si>
  <si>
    <t>SAVITA OIL TECHNOLOGIES LTD</t>
  </si>
  <si>
    <t>SAVERA INDUSTRIES LTD</t>
  </si>
  <si>
    <t>SAVEN TECHNOLOGIES LTD</t>
  </si>
  <si>
    <t>SAVANT INFOCOMM LTD</t>
  </si>
  <si>
    <t>SAVANI FINANCIALS LTD</t>
  </si>
  <si>
    <t>SAURASHTRA CEMENT LTD</t>
  </si>
  <si>
    <t>SAUMYA CONSULTANTS LTD</t>
  </si>
  <si>
    <t>SATYAM SILK MILLS LTD</t>
  </si>
  <si>
    <t>SATRAPROP</t>
  </si>
  <si>
    <t>SATRA PROPERTIES (INDIA) LTD.</t>
  </si>
  <si>
    <t>SATKAR FINLEASE LTD</t>
  </si>
  <si>
    <t>SATIN</t>
  </si>
  <si>
    <t>SATIN CREDITCARE NETWORK LTD</t>
  </si>
  <si>
    <t>SATIA INDUSTRIES LTD</t>
  </si>
  <si>
    <t>SATHAISPAT</t>
  </si>
  <si>
    <t>SATHAVAHANA ISPAT LTD</t>
  </si>
  <si>
    <t>SAT INDUSTRIES LTD</t>
  </si>
  <si>
    <t>SASTASUNDR</t>
  </si>
  <si>
    <t>SASTASUNDAR VENTURES LTD</t>
  </si>
  <si>
    <t>SASKEN</t>
  </si>
  <si>
    <t>SASKEN TECHNOLOGIES LTD</t>
  </si>
  <si>
    <t>SASHWAT TECHNOCRATS LTD</t>
  </si>
  <si>
    <t>SARVOTTAM FINVEST LTD</t>
  </si>
  <si>
    <t>SARVESHWAR</t>
  </si>
  <si>
    <t>SARVESHWAR FOODS LTD</t>
  </si>
  <si>
    <t>SARVAMANGAL MERCANTILE CO LTD</t>
  </si>
  <si>
    <t>SARUP INDUSTRIES LTD</t>
  </si>
  <si>
    <t>SARTHAK METALS LTD</t>
  </si>
  <si>
    <t>SARTHAK INDUSTRIES LTD</t>
  </si>
  <si>
    <t>SARTHAK GLOBAL LTD</t>
  </si>
  <si>
    <t>SARLAPOLY</t>
  </si>
  <si>
    <t>SARLA PERFORMANCE FIBERS LTD</t>
  </si>
  <si>
    <t>SAREGAMA</t>
  </si>
  <si>
    <t>SAREGAMA INDIA LTD</t>
  </si>
  <si>
    <t>SAREGAMA (INDIA) LTD</t>
  </si>
  <si>
    <t>SARDA PROTEINS LTD</t>
  </si>
  <si>
    <t>SARDA PLYWOOD INDUSTRIES LTD</t>
  </si>
  <si>
    <t>SARDA PAPERS LTD</t>
  </si>
  <si>
    <t>SARDAEN</t>
  </si>
  <si>
    <t>SARDA ENERGY &amp; MINERALS LTD</t>
  </si>
  <si>
    <t>SARASWATI COMMERCIAL INDIA LTD</t>
  </si>
  <si>
    <t>SARASWATI COMMERCIAL (INDIA) LTD</t>
  </si>
  <si>
    <t>SAR AUTO PRODUCTS LTD</t>
  </si>
  <si>
    <t>SAPTARISHI AGRO INDUSTRIES LTD</t>
  </si>
  <si>
    <t>SAPTAK CHEM AND BUSINESS LTD</t>
  </si>
  <si>
    <t>SANWARIA</t>
  </si>
  <si>
    <t>SANWARIA CONSUMER LTD</t>
  </si>
  <si>
    <t>SANTOSH INDUSTRIES LTD</t>
  </si>
  <si>
    <t>SANTOSH FINE-FAB LTD</t>
  </si>
  <si>
    <t>SANRHEA TECHNICAL TEXTILES LTD</t>
  </si>
  <si>
    <t>SANOFI</t>
  </si>
  <si>
    <t>SANOFI INDIA LTD</t>
  </si>
  <si>
    <t>SANOFI (INDIA) LTD</t>
  </si>
  <si>
    <t>SANMITRA COMMERCIAL LTD</t>
  </si>
  <si>
    <t>SANMIT INFRA LTD</t>
  </si>
  <si>
    <t>SANKHYA INFOTECH LTD</t>
  </si>
  <si>
    <t>SANJIVANI PARANTERAL LTD</t>
  </si>
  <si>
    <t>SANGUINE MEDIA LTD</t>
  </si>
  <si>
    <t>SANGINITA</t>
  </si>
  <si>
    <t>SANGINITA CHEMICALS LTD</t>
  </si>
  <si>
    <t>SANGHVIMOV</t>
  </si>
  <si>
    <t>SANGHVI MOVERS LTD</t>
  </si>
  <si>
    <t>SANGHVIFOR</t>
  </si>
  <si>
    <t>SANGHVI FORGING AND ENGINEERING LTD</t>
  </si>
  <si>
    <t>SANGHVI BRANDS LTD</t>
  </si>
  <si>
    <t>SANGHIIND</t>
  </si>
  <si>
    <t>SANGHI INDUSTRIES LTD</t>
  </si>
  <si>
    <t>SANGHI CORPORATE SERVICES LTD</t>
  </si>
  <si>
    <t>SANGAM RENEWABLES LTD</t>
  </si>
  <si>
    <t>SANGAMIND</t>
  </si>
  <si>
    <t>SANGAM INDIA LTD</t>
  </si>
  <si>
    <t>SANGAM (INDIA) LTD</t>
  </si>
  <si>
    <t>SANGAL PAPERS LTD</t>
  </si>
  <si>
    <t>SANG FROID LABS INDIA LTD</t>
  </si>
  <si>
    <t>SANG FROID LABS (INDIA) LTD</t>
  </si>
  <si>
    <t>SANDUR MANGANESE &amp; IRON ORES LTD</t>
  </si>
  <si>
    <t>SANDU PHARMACEUTICALS LTD</t>
  </si>
  <si>
    <t>SANDHAR</t>
  </si>
  <si>
    <t>SANDHAR TECHNOLOGIES LTD</t>
  </si>
  <si>
    <t>SANCO TRANS LTD</t>
  </si>
  <si>
    <t>SANCO</t>
  </si>
  <si>
    <t>SANCO INDUSTRIES LTD</t>
  </si>
  <si>
    <t>SANBLUE CORPORATION LTD</t>
  </si>
  <si>
    <t>SANATHNAGAR ENTERPRISES LTD</t>
  </si>
  <si>
    <t>SANASA TECH FEB LTD</t>
  </si>
  <si>
    <t>SAMYAK INTERNATIONAL LTD</t>
  </si>
  <si>
    <t>SAMTEX FASHIONS LTD</t>
  </si>
  <si>
    <t>SAMTEL INDIA LTD</t>
  </si>
  <si>
    <t>SAMTEL (INDIA) LTD</t>
  </si>
  <si>
    <t>SAMRAT PHARMACHEM LTD</t>
  </si>
  <si>
    <t>SAMPRE NUTRITIONS LTD</t>
  </si>
  <si>
    <t>SAMKRG PISTONS &amp; RINGS LTD</t>
  </si>
  <si>
    <t>SAMBHAAV</t>
  </si>
  <si>
    <t>SAMBHAAV MEDIA LTD</t>
  </si>
  <si>
    <t>SAMBANDAM SPINNING MILLS LTD</t>
  </si>
  <si>
    <t>SAM INDUSTRIES LTD</t>
  </si>
  <si>
    <t>SALZERELEC</t>
  </si>
  <si>
    <t>SALZER ELECTRONICS LTD</t>
  </si>
  <si>
    <t>SALORAINTL</t>
  </si>
  <si>
    <t>SALORA INTERNATIONAL LTD</t>
  </si>
  <si>
    <t>SALONA</t>
  </si>
  <si>
    <t>SALONA COTSPIN LTD</t>
  </si>
  <si>
    <t>SALGUTI INDUSTRIES LTD</t>
  </si>
  <si>
    <t>SALEM ERODE INVESTMENTS LTD</t>
  </si>
  <si>
    <t>SALASAR</t>
  </si>
  <si>
    <t>SALASAR TECHNO ENGINEERING LTD</t>
  </si>
  <si>
    <t>SAKUMA</t>
  </si>
  <si>
    <t>SAKUMA EXPORTS LTD</t>
  </si>
  <si>
    <t>SAKHTISUG</t>
  </si>
  <si>
    <t>SAKTHI SUGARS LTD</t>
  </si>
  <si>
    <t>SAKTHI FINANCE LTD</t>
  </si>
  <si>
    <t>SAKSOFT</t>
  </si>
  <si>
    <t>SAKSOFT LTD</t>
  </si>
  <si>
    <t>SAKETH</t>
  </si>
  <si>
    <t>SAKETH EXIM LTD</t>
  </si>
  <si>
    <t>SAKAR</t>
  </si>
  <si>
    <t>SAKAR HEALTHCARE LTD</t>
  </si>
  <si>
    <t>SAINT-GOBAIN SEKURIT INDIA LTD</t>
  </si>
  <si>
    <t>SAINT-GOBAIN SEKURIT (INDIA) LTD</t>
  </si>
  <si>
    <t>SAINIK FINANCE &amp; INDUSTRIES LTD</t>
  </si>
  <si>
    <t>SAI MOH AUTO LINKS LTD</t>
  </si>
  <si>
    <t>SAI INDUSTRIES LTD</t>
  </si>
  <si>
    <t>SAI CAPITAL LTD</t>
  </si>
  <si>
    <t>SAI BABA INVESTMENT AND COMMERCIAL ENTERPRISES LTD</t>
  </si>
  <si>
    <t>SAHYOG MULTIBASE LTD</t>
  </si>
  <si>
    <t>SAHYADRI INDUSTRIES LTD</t>
  </si>
  <si>
    <t>SAHARA ONE MEDIA &amp; ENTERTAINMENT LTD</t>
  </si>
  <si>
    <t>SAHARA HOUSINGFINA CORPORATION LTD</t>
  </si>
  <si>
    <t>SAGARSOFT INDIA LTD</t>
  </si>
  <si>
    <t>SAGARSOFT (INDIA) LTD</t>
  </si>
  <si>
    <t>SAGARDEEP</t>
  </si>
  <si>
    <t>SAGARDEEP ALLOYS LTD</t>
  </si>
  <si>
    <t>SAGAR TOURIST RESORTS LTD</t>
  </si>
  <si>
    <t>SAGAR SYSTECH LTD</t>
  </si>
  <si>
    <t>SAGAR SOYA PRODUCTS LTD</t>
  </si>
  <si>
    <t>SAGAR PRODUCTIONS LTD</t>
  </si>
  <si>
    <t>SAGAR DIAMONDS LTD</t>
  </si>
  <si>
    <t>SAGCEM</t>
  </si>
  <si>
    <t>SAGAR CEMENTS LTD</t>
  </si>
  <si>
    <t>SAFARI INDUSTRIES INDIA LTD</t>
  </si>
  <si>
    <t>SAFARI INDUSTRIES (INDIA) LTD</t>
  </si>
  <si>
    <t>SAFAL SECURITIES LTD</t>
  </si>
  <si>
    <t>SAFAL HERBS LTD</t>
  </si>
  <si>
    <t>SADHNA BROADCAST LTD</t>
  </si>
  <si>
    <t>SADHANA NITROCHEM LTD</t>
  </si>
  <si>
    <t>Roads &amp; Highways</t>
  </si>
  <si>
    <t>SADBHIN</t>
  </si>
  <si>
    <t>SADBHAV INFRASTRUCTURE PROJECT LTD</t>
  </si>
  <si>
    <t>SADBHAV</t>
  </si>
  <si>
    <t>SADBHAV ENGINEERING LTD</t>
  </si>
  <si>
    <t>SACHETA METALS LTD</t>
  </si>
  <si>
    <t>SABRIMALA INDUSTRIES INDIA LTD</t>
  </si>
  <si>
    <t>SABRIMALA INDUSTRIES (INDIA) LTD</t>
  </si>
  <si>
    <t>SABOO SODIUM CHLORO LTD</t>
  </si>
  <si>
    <t>SABOO BROTHERS LTD</t>
  </si>
  <si>
    <t>SAB INDUSTRIES LTD</t>
  </si>
  <si>
    <t>SABEVENTS</t>
  </si>
  <si>
    <t>SAB EVENTS &amp; GOVERNANCE NOW MEDIA LTD</t>
  </si>
  <si>
    <t>S&amp;T CORPORATION LTD</t>
  </si>
  <si>
    <t>S V TRADING &amp; AGENCIES LTD</t>
  </si>
  <si>
    <t>S V GLOBAL MILL LTD</t>
  </si>
  <si>
    <t>S T SERVICES LTD</t>
  </si>
  <si>
    <t>SSINFRA</t>
  </si>
  <si>
    <t>S S INFRASTRUCTURE DEVELOPMENT CONSULTANTS LTD</t>
  </si>
  <si>
    <t>S R K INDUSTRIES LTD</t>
  </si>
  <si>
    <t>S R INDUSTRIES LTD</t>
  </si>
  <si>
    <t>S R G SECURITIES FINANCE LTD</t>
  </si>
  <si>
    <t>SPAL</t>
  </si>
  <si>
    <t>S P APPARELS LTD</t>
  </si>
  <si>
    <t>SKUMAR</t>
  </si>
  <si>
    <t>S KUMARS.COM LTD.</t>
  </si>
  <si>
    <t>SHK</t>
  </si>
  <si>
    <t>S H KELKAR AND COMPANY LTD</t>
  </si>
  <si>
    <t>SEPOWER</t>
  </si>
  <si>
    <t>S E POWER LTD</t>
  </si>
  <si>
    <t>SCHAND</t>
  </si>
  <si>
    <t>S CHAND AND COMPANY LTD</t>
  </si>
  <si>
    <t>SALSTEEL</t>
  </si>
  <si>
    <t>S A L STEEL LTD</t>
  </si>
  <si>
    <t>S  M  GOLD LTD</t>
  </si>
  <si>
    <t>RUTTONSHA INTERNATIONAL RECTIFIER LTD</t>
  </si>
  <si>
    <t>RUTRON INTERNATIONAL LTD</t>
  </si>
  <si>
    <t>RUSHIL</t>
  </si>
  <si>
    <t>RUSHIL DECOR LTD</t>
  </si>
  <si>
    <t>RUPA</t>
  </si>
  <si>
    <t>RUPA &amp; COMPANY LTD</t>
  </si>
  <si>
    <t>RUNGTA IRRIGATION LTD</t>
  </si>
  <si>
    <t>RUIA AQUACULTURE FARMS LTD</t>
  </si>
  <si>
    <t>REPL</t>
  </si>
  <si>
    <t>RUDRABHISHEK ENTERPRISES LTD</t>
  </si>
  <si>
    <t>RUDRA GLOBAL INFRA PRODUCTS LTD</t>
  </si>
  <si>
    <t>RUCHIRA</t>
  </si>
  <si>
    <t>RUCHIRA PAPERS LTD</t>
  </si>
  <si>
    <t>RUCHIKA INDUSTRIES INDIA LTD</t>
  </si>
  <si>
    <t>RUCHIKA INDUSTRIES (INDIA) LTD</t>
  </si>
  <si>
    <t>RUCHISOYA</t>
  </si>
  <si>
    <t>RUCHI SOYA INDUSTRIES LTD</t>
  </si>
  <si>
    <t>RUCHINFRA</t>
  </si>
  <si>
    <t>RUCHI INFRASTRUCTURE LTD</t>
  </si>
  <si>
    <t>RUBRA MEDICAMENTS LTD</t>
  </si>
  <si>
    <t>RUBFILA INTERNATIONAL LTD</t>
  </si>
  <si>
    <t>RTS POWER CORPORATION LTD</t>
  </si>
  <si>
    <t>RSWM</t>
  </si>
  <si>
    <t>RSWM LTD</t>
  </si>
  <si>
    <t>RSD FINANCE LTD</t>
  </si>
  <si>
    <t>RSC INTERNATIONAL LTD</t>
  </si>
  <si>
    <t>RR FINANCIAL CONSULTANTS LTD</t>
  </si>
  <si>
    <t>RPGLIFE</t>
  </si>
  <si>
    <t>RPG LIFE SCIENCES LTD</t>
  </si>
  <si>
    <t>ROYALE MANOR HOTELS &amp; INDUSTRIES LTD</t>
  </si>
  <si>
    <t>ROHLTD</t>
  </si>
  <si>
    <t>ROYAL ORCHID HOTELS LTD</t>
  </si>
  <si>
    <t>ROYAL INDIA CORPORATION LTD</t>
  </si>
  <si>
    <t>ROYAL CUSHION VINYL PRODUCTS LTD</t>
  </si>
  <si>
    <t>ROTOGRAPHICS INDIA LTD</t>
  </si>
  <si>
    <t>ROTOGRAPHICS (INDIA) LTD</t>
  </si>
  <si>
    <t>ROTO PUMPS LTD</t>
  </si>
  <si>
    <t>ROSSELLIND</t>
  </si>
  <si>
    <t>ROSSELL INDIA LTD</t>
  </si>
  <si>
    <t>ROSSELL (INDIA) LTD</t>
  </si>
  <si>
    <t>ROSELABS FINANCE LTD</t>
  </si>
  <si>
    <t>ROOPSHRI</t>
  </si>
  <si>
    <t>Roopshri Resorts Ltd</t>
  </si>
  <si>
    <t>ROOPA INDUSTRIES LTD</t>
  </si>
  <si>
    <t>RONI HOUSEHOLDS LTD</t>
  </si>
  <si>
    <t>ROLTA</t>
  </si>
  <si>
    <t>ROLTA INDIA LTD</t>
  </si>
  <si>
    <t>ROLTA (INDIA) LTD</t>
  </si>
  <si>
    <t>ROLLT</t>
  </si>
  <si>
    <t>ROLLATAINERS LTD</t>
  </si>
  <si>
    <t>ROLCON ENGINEERING CO LTD</t>
  </si>
  <si>
    <t>ROHITFERRO</t>
  </si>
  <si>
    <t>ROHIT FERRO-TECH LTD</t>
  </si>
  <si>
    <t>RODIUM REALTY LTD</t>
  </si>
  <si>
    <t>ROCKON ENTERPRISES LTD</t>
  </si>
  <si>
    <t>RMG ALLOY STEEL LTD</t>
  </si>
  <si>
    <t>RMC SWITCHGEARS LTD</t>
  </si>
  <si>
    <t>RLF LTD</t>
  </si>
  <si>
    <t>RKEC</t>
  </si>
  <si>
    <t>RKEC PROJECTS LTD</t>
  </si>
  <si>
    <t>RITHWIK FACILITY MANAGEMENT SERVICES LTD</t>
  </si>
  <si>
    <t>RITESH PROPERTIES &amp; INDUSTRIES LTD</t>
  </si>
  <si>
    <t>RITESH INTERNATIONAL LTD</t>
  </si>
  <si>
    <t>RITES</t>
  </si>
  <si>
    <t>RITES LTD</t>
  </si>
  <si>
    <t>RITCO</t>
  </si>
  <si>
    <t>Ritco Logistics Ltd</t>
  </si>
  <si>
    <t>RISHIROOP LTD</t>
  </si>
  <si>
    <t>RISHI TECHTEX LTD</t>
  </si>
  <si>
    <t>RISHI LASER LTD</t>
  </si>
  <si>
    <t>RISHABH DIGHA STEEL &amp; ALLIED PRODUCTS LTD</t>
  </si>
  <si>
    <t>RISHAB SPECIAL YARNS LTD</t>
  </si>
  <si>
    <t>RISA INTERNATIONAL LTD</t>
  </si>
  <si>
    <t>RIGA SUGAR COMPANY LTD</t>
  </si>
  <si>
    <t>RIDINGS CONSULTING ENGINEERS INDIA LTD</t>
  </si>
  <si>
    <t>RIDINGS CONSULTING ENGINEERS (INDIA) LTD</t>
  </si>
  <si>
    <t>RIDHI SYNTHETICS LTD</t>
  </si>
  <si>
    <t>RIDDHI STEEL AND TUBE LTD</t>
  </si>
  <si>
    <t>RIDDHI SIDDHI GLUCO BIOLS LTD</t>
  </si>
  <si>
    <t>RIDDHI CORPORATE SERVICES LTD</t>
  </si>
  <si>
    <t>RICOAUTO</t>
  </si>
  <si>
    <t>RICO AUTO INDUSTRIES LTD</t>
  </si>
  <si>
    <t>RICHIRICH INVENTURES LTD</t>
  </si>
  <si>
    <t>RICHFIELD FINANCIAL SERVICES LTD</t>
  </si>
  <si>
    <t>RICHA INDUSTRIES LTD</t>
  </si>
  <si>
    <t>RICH UNIVERSE NETWORK LTD</t>
  </si>
  <si>
    <t>RIBA TEXTILES LTD</t>
  </si>
  <si>
    <t>RGF CAPITAL MARKETS LTD</t>
  </si>
  <si>
    <t>REXNORD ELECTRONICS &amp; CONTROLS LTD</t>
  </si>
  <si>
    <t>REVATHI</t>
  </si>
  <si>
    <t>REVATHI EQUIPMENT LTD</t>
  </si>
  <si>
    <t>Tea &amp;amp; Coffee</t>
  </si>
  <si>
    <t>RGRL</t>
  </si>
  <si>
    <t>Retro Green Revolution Ltd</t>
  </si>
  <si>
    <t>RESTILE CERAMICS LTD</t>
  </si>
  <si>
    <t>RESPONIND</t>
  </si>
  <si>
    <t>RESPONSIVE INDUSTRIES LTD</t>
  </si>
  <si>
    <t>RESONANCE SPECIALTIES LTD</t>
  </si>
  <si>
    <t>REPRO</t>
  </si>
  <si>
    <t>REPRO INDIA LTD</t>
  </si>
  <si>
    <t>REPRO (INDIA) LTD</t>
  </si>
  <si>
    <t>REPCOHOME</t>
  </si>
  <si>
    <t>REPCO HOME FINANCE LTD</t>
  </si>
  <si>
    <t>RJL</t>
  </si>
  <si>
    <t>RENAISSANCE JEWELLERY LTD</t>
  </si>
  <si>
    <t>Auto Parts &amp;amp; Equipment</t>
  </si>
  <si>
    <t>RGL</t>
  </si>
  <si>
    <t>Renaissance Global LTD</t>
  </si>
  <si>
    <t>REMSONSIND</t>
  </si>
  <si>
    <t>REMSONS INDUSTRIES LTD.</t>
  </si>
  <si>
    <t>REMI SECURITIES LTD</t>
  </si>
  <si>
    <t>REMI SALES &amp; ENGINEERING LTD</t>
  </si>
  <si>
    <t>REMI PROCESS PLANT &amp; MACHINERY LTD</t>
  </si>
  <si>
    <t>REMI ELEKTROTECHNIK LTD</t>
  </si>
  <si>
    <t>REMI EDELSTAHL TUBULARS LTD</t>
  </si>
  <si>
    <t>RELSTRUCT BUILDCON LTD</t>
  </si>
  <si>
    <t>RELIGARE</t>
  </si>
  <si>
    <t>RELIGARE ENTERPRISES LTD</t>
  </si>
  <si>
    <t>RELICAB CABLE MANUFACTURING LTD</t>
  </si>
  <si>
    <t>RELIC TECHNOLOGIES LTD</t>
  </si>
  <si>
    <t>RPOWER</t>
  </si>
  <si>
    <t>RELIANCE POWER LTD</t>
  </si>
  <si>
    <t>RNAM</t>
  </si>
  <si>
    <t>RELIANCE NIPPON LIFE ASSET MANAGEMENT LTD</t>
  </si>
  <si>
    <t>RNAVAL</t>
  </si>
  <si>
    <t>RELIANCE NAVAL AND ENGINEERING LTD</t>
  </si>
  <si>
    <t>RELINFRA</t>
  </si>
  <si>
    <t>RELIANCE INFRASTRUCTURE LTD</t>
  </si>
  <si>
    <t>Integrated Oil &amp; Gas</t>
  </si>
  <si>
    <t>RELIANCE</t>
  </si>
  <si>
    <t>RELIANCE INDUSTRIES LTD</t>
  </si>
  <si>
    <t>RIIL</t>
  </si>
  <si>
    <t>RELIANCE INDUSTRIAL INFRASTRUCTURE LTD</t>
  </si>
  <si>
    <t>RHFL</t>
  </si>
  <si>
    <t>RELIANCE HOME FINANCE LTD</t>
  </si>
  <si>
    <t>SHARIABEES</t>
  </si>
  <si>
    <t>Reliance ETF Shariah BeES</t>
  </si>
  <si>
    <t>PSUBNKBEES</t>
  </si>
  <si>
    <t>Reliance ETF PSU Bank BeES</t>
  </si>
  <si>
    <t>NIFTYBEES</t>
  </si>
  <si>
    <t>Reliance ETF Nifty BeES</t>
  </si>
  <si>
    <t>JUNIORBEES</t>
  </si>
  <si>
    <t>Reliance ETF Junior BeES</t>
  </si>
  <si>
    <t>HNGSNGBEES</t>
  </si>
  <si>
    <t>Reliance ETF Hang Seng BeES</t>
  </si>
  <si>
    <t>GOLDBEES</t>
  </si>
  <si>
    <t>Reliance ETF Gold BeES</t>
  </si>
  <si>
    <t>BANKBEES</t>
  </si>
  <si>
    <t>Reliance ETF Bank BeES</t>
  </si>
  <si>
    <t>RCOM</t>
  </si>
  <si>
    <t>RELIANCE COMMUNICATIONS LTD</t>
  </si>
  <si>
    <t>RELIANCE CHEMOTEX INDUSTRIES LTD</t>
  </si>
  <si>
    <t>RELCAPITAL</t>
  </si>
  <si>
    <t>RELIANCE CAPITAL LTD</t>
  </si>
  <si>
    <t>RELIABLE VENTURES INDIA LTD</t>
  </si>
  <si>
    <t>RELIABLE VENTURES (INDIA) LTD</t>
  </si>
  <si>
    <t>RELIABLE</t>
  </si>
  <si>
    <t>RELIABLE DATA SERVICES LTD</t>
  </si>
  <si>
    <t>RELAXO</t>
  </si>
  <si>
    <t>RELAXO FOOTWEARS LTD</t>
  </si>
  <si>
    <t>REKVINA LABORATORIES LTD</t>
  </si>
  <si>
    <t>REIL ELECTRICALS INDIA LTD</t>
  </si>
  <si>
    <t>REIL ELECTRICALS (INDIA) LTD</t>
  </si>
  <si>
    <t>REGENT ENTERPRISES LTD</t>
  </si>
  <si>
    <t>REGENCY TRUST LTD</t>
  </si>
  <si>
    <t>REGENCY INVESTMENTS LTD</t>
  </si>
  <si>
    <t>REGENCERAM</t>
  </si>
  <si>
    <t>REGENCY CERAMICS LTD</t>
  </si>
  <si>
    <t>REGALIAA REALTY LTD</t>
  </si>
  <si>
    <t>REGAL ENTERTAINMENT &amp; CONSULTANTS LTD</t>
  </si>
  <si>
    <t>REFNOL RESINS &amp; CHEMICALS LTD</t>
  </si>
  <si>
    <t>Industrial Gases</t>
  </si>
  <si>
    <t>REFEX</t>
  </si>
  <si>
    <t>REFEX INDUSTRIES LTD</t>
  </si>
  <si>
    <t>REDINGTON</t>
  </si>
  <si>
    <t>REDINGTON INDIA LTD</t>
  </si>
  <si>
    <t>REDINGTON (INDIA) LTD</t>
  </si>
  <si>
    <t>REDEX PROTECH LTD</t>
  </si>
  <si>
    <t>RECLTD</t>
  </si>
  <si>
    <t>REC LTD</t>
  </si>
  <si>
    <t>REAL TOUCH FINANCE LTD</t>
  </si>
  <si>
    <t>REAL STRIPS LTD</t>
  </si>
  <si>
    <t>REAL NEWS &amp; VIEWS LTD</t>
  </si>
  <si>
    <t>REAL GROWTH COMMERCIAL ENTERPRISES LTD</t>
  </si>
  <si>
    <t>RDB REALTY &amp; INFRASTRUCTURE LTD</t>
  </si>
  <si>
    <t>RDB RASAYANS LTD</t>
  </si>
  <si>
    <t>RCL RETAIL LTD</t>
  </si>
  <si>
    <t>RCI INDUSTRIES &amp; TECHNOLOGIES LTD</t>
  </si>
  <si>
    <t>RCC CEMENTS LTD</t>
  </si>
  <si>
    <t>RBLBANK</t>
  </si>
  <si>
    <t>RBL BANK LTD</t>
  </si>
  <si>
    <t>RAYMOND</t>
  </si>
  <si>
    <t>RAYMOND LTD</t>
  </si>
  <si>
    <t>RAYMED LABS LTD</t>
  </si>
  <si>
    <t>RAW EDGE INDUSTRIAL SOLUTIONS LTD</t>
  </si>
  <si>
    <t>RAVINDRA ENERGY LTD</t>
  </si>
  <si>
    <t>RAVILEELA GRANITES LTD</t>
  </si>
  <si>
    <t>RKDL</t>
  </si>
  <si>
    <t>RAVI KUMAR DISTILLERIES LTD</t>
  </si>
  <si>
    <t>RAVALGAON SUGAR FARM LTD</t>
  </si>
  <si>
    <t>RAUNAQ EPC INTERNATIONAL LTD</t>
  </si>
  <si>
    <t>RTNPOWER</t>
  </si>
  <si>
    <t>RATTANINDIA POWER LTD</t>
  </si>
  <si>
    <t>RTNINFRA</t>
  </si>
  <si>
    <t>RATTANINDIA INFRASTRUCTURE LTD</t>
  </si>
  <si>
    <t>RATNAMANI</t>
  </si>
  <si>
    <t>RATNAMANI METALS &amp; TUBES LTD</t>
  </si>
  <si>
    <t>RATNABHUMI DEVELOPERS LTD</t>
  </si>
  <si>
    <t>RATHI GRAPHIC TECHNOLOGIES LTD</t>
  </si>
  <si>
    <t>RATHI BARS LTD</t>
  </si>
  <si>
    <t>RASOI LTD</t>
  </si>
  <si>
    <t>RASI ELECTRODES LTD</t>
  </si>
  <si>
    <t>RCF</t>
  </si>
  <si>
    <t>RASHTRIYA CHEMICALS AND FERTILIZERS LTD</t>
  </si>
  <si>
    <t>RASANDIK ENGINEERING INDUSTRIES INDIA LTD</t>
  </si>
  <si>
    <t>RASANDIK ENGINEERING INDUSTRIES (INDIA) LTD</t>
  </si>
  <si>
    <t>RAS RESORTS &amp; APART HOTELS LTD</t>
  </si>
  <si>
    <t>RAPID INVESTMENTS LTD</t>
  </si>
  <si>
    <t>RAPICUT CARBIDES LTD</t>
  </si>
  <si>
    <t>RAP MEDIA LTD</t>
  </si>
  <si>
    <t>RANJEET MECHATRONICS LTD</t>
  </si>
  <si>
    <t>RML</t>
  </si>
  <si>
    <t>RANE MADRAS LTD</t>
  </si>
  <si>
    <t>RANEHOLDIN</t>
  </si>
  <si>
    <t>RANE HOLDINGS LTD</t>
  </si>
  <si>
    <t>RANEENGINE</t>
  </si>
  <si>
    <t>RANE ENGINE VALVE LTD</t>
  </si>
  <si>
    <t>RBL</t>
  </si>
  <si>
    <t>RANE BRAKE LINING LTD</t>
  </si>
  <si>
    <t>RANDER CORPORATION LTD</t>
  </si>
  <si>
    <t>RANASUG</t>
  </si>
  <si>
    <t>RANA SUGARS LTD</t>
  </si>
  <si>
    <t>RAMSONS PROJECTS LTD</t>
  </si>
  <si>
    <t>RAMSARUP</t>
  </si>
  <si>
    <t>RAMSARUP INDUSTRIES LTD</t>
  </si>
  <si>
    <t>RAMKY</t>
  </si>
  <si>
    <t>RAMKY INFRASTRUCTURE LTD</t>
  </si>
  <si>
    <t>RKFORGE</t>
  </si>
  <si>
    <t>RAMKRISHNA FORGINGS LTD</t>
  </si>
  <si>
    <t>RAMINFO LTD</t>
  </si>
  <si>
    <t>RAMGOPOLY</t>
  </si>
  <si>
    <t>RAMGOPAL POLYTEX LTD</t>
  </si>
  <si>
    <t>RAMCOSYS</t>
  </si>
  <si>
    <t>RAMCO SYSTEMS LTD</t>
  </si>
  <si>
    <t>RAMCOIND</t>
  </si>
  <si>
    <t>RAMCO INDUSTRIES LTD</t>
  </si>
  <si>
    <t>RAMCHANDRA LEASING &amp; FINANCE LTD</t>
  </si>
  <si>
    <t>RAMASIGNS INDUSTRIES LTD</t>
  </si>
  <si>
    <t>RAMA VISION LTD</t>
  </si>
  <si>
    <t>RAMASTEEL</t>
  </si>
  <si>
    <t>RAMA STEEL TUBES LTD</t>
  </si>
  <si>
    <t>RAMA PULP &amp; PAPERS LTD</t>
  </si>
  <si>
    <t>RAMA PHOSPHATES LTD</t>
  </si>
  <si>
    <t>RAMA PETROCHEMICALS LTD</t>
  </si>
  <si>
    <t>RAMA PAPER MILLS LTD</t>
  </si>
  <si>
    <t>RAM RATNA WIRES LTD</t>
  </si>
  <si>
    <t>RAM MINERALS AND CHEMICALS LTD</t>
  </si>
  <si>
    <t>RALLIS</t>
  </si>
  <si>
    <t>RALLIS INDIA LTD</t>
  </si>
  <si>
    <t>RALLIS (INDIA) LTD</t>
  </si>
  <si>
    <t>RAJVIR</t>
  </si>
  <si>
    <t>RAJVIR INDUSTRIES LTD</t>
  </si>
  <si>
    <t>RAJSREESUG</t>
  </si>
  <si>
    <t>RAJSHREE SUGARS &amp; CHEMICALS LTD</t>
  </si>
  <si>
    <t>RPPL</t>
  </si>
  <si>
    <t>RAJSHREE POLYPACK LTD</t>
  </si>
  <si>
    <t>RAJSANKET REALTY LTD</t>
  </si>
  <si>
    <t>RAJRATAN GLOBAL WIRE LTD</t>
  </si>
  <si>
    <t>RAJOO ENGINEERS LTD</t>
  </si>
  <si>
    <t>RAJNISH WELLNESS LTD</t>
  </si>
  <si>
    <t>RAJMET</t>
  </si>
  <si>
    <t>RAJNANDINI METAL LTD</t>
  </si>
  <si>
    <t>RAJKUMAR FORGE LTD</t>
  </si>
  <si>
    <t>RAJKOT INVESTMENT TRUST LTD</t>
  </si>
  <si>
    <t>RAJKAMAL SYNTHETICS LTD</t>
  </si>
  <si>
    <t>RAJESWARI INFRASTRUCTURE LTD</t>
  </si>
  <si>
    <t>RAJESHEXPO</t>
  </si>
  <si>
    <t>RAJESH EXPORTS LTD</t>
  </si>
  <si>
    <t>ARENTERP</t>
  </si>
  <si>
    <t>RAJDARSHAN INDUSTRIES LTD</t>
  </si>
  <si>
    <t>RAJATH FINANCE LTD</t>
  </si>
  <si>
    <t>RAJASTHAN TUBE MANUFACTURING CO LTD</t>
  </si>
  <si>
    <t>RAJASTHAN GASES LTD</t>
  </si>
  <si>
    <t>RAJASTHAN CYLINDERS &amp; CONTAINERS LTD</t>
  </si>
  <si>
    <t>RAJAPALAYAM MILLS LTD</t>
  </si>
  <si>
    <t>RAJA BAHADUR INTERNATIONAL LTD</t>
  </si>
  <si>
    <t>RAJTV</t>
  </si>
  <si>
    <t>RAJ TELEVISION NETWORK LTD</t>
  </si>
  <si>
    <t>RAJRAYON</t>
  </si>
  <si>
    <t>RAJ RAYON INDUSTRIES LTD</t>
  </si>
  <si>
    <t>RAJ PACKAGING INDUSTRIES LTD</t>
  </si>
  <si>
    <t>RAINBOWPAP</t>
  </si>
  <si>
    <t>RAINBOW PAPERS LTD</t>
  </si>
  <si>
    <t>RAINBOW FOUNDATIONS LTD</t>
  </si>
  <si>
    <t>RAINBOW DENIM LTD</t>
  </si>
  <si>
    <t>RAIN</t>
  </si>
  <si>
    <t>RAIN INDUSTRIES LTD</t>
  </si>
  <si>
    <t>RVNL</t>
  </si>
  <si>
    <t>Rail Vikas Nigam Ltd</t>
  </si>
  <si>
    <t>RAIDEEP INDUSTRIES LTD</t>
  </si>
  <si>
    <t>RAHUL MERCHANDISING LTD</t>
  </si>
  <si>
    <t>RAGHUVIR SYNTHETICS LTD</t>
  </si>
  <si>
    <t>RAGHUVANSH AGROFARMS LTD</t>
  </si>
  <si>
    <t>RAGHUNATH TOBACCO CO LTD</t>
  </si>
  <si>
    <t>RAGHUNATH INTERNATIONAL LTD</t>
  </si>
  <si>
    <t>RAGHAV PRODUCTIVITY ENHANCERS LTD</t>
  </si>
  <si>
    <t>RADIX INDUSTRIES INDIA LTD</t>
  </si>
  <si>
    <t>RADIX INDUSTRIES (INDIA) LTD</t>
  </si>
  <si>
    <t>RADICO</t>
  </si>
  <si>
    <t>RADICO KHAITAN LTD</t>
  </si>
  <si>
    <t>RADHIKA JEWELTECH LTD</t>
  </si>
  <si>
    <t>RADHEY TRADE HOLDING LTD</t>
  </si>
  <si>
    <t>RADHE DEVELOPERS INDIA LTD</t>
  </si>
  <si>
    <t>RADHE DEVELOPERS (INDIA) LTD</t>
  </si>
  <si>
    <t>RADHAGOBIND COMMERCIAL LTD</t>
  </si>
  <si>
    <t>RMCL</t>
  </si>
  <si>
    <t>RADHA MADHAV CORPORATION LTD</t>
  </si>
  <si>
    <t>RADAAN</t>
  </si>
  <si>
    <t>RADAAN MEDIAWORKS INDIA LTD</t>
  </si>
  <si>
    <t>RADAAN MEDIAWORKS (INDIA) LTD</t>
  </si>
  <si>
    <t>RACL GEARTECH LTD</t>
  </si>
  <si>
    <t>RAASI REFRACTORIES LTD</t>
  </si>
  <si>
    <t>RAAJ MEDISAFE INDIA LTD</t>
  </si>
  <si>
    <t>RAAJ MEDISAFE (INDIA) LTD</t>
  </si>
  <si>
    <t>R&amp;B DENIMS LTD</t>
  </si>
  <si>
    <t>R T EXPORTS LTD</t>
  </si>
  <si>
    <t>RSYSTEMS</t>
  </si>
  <si>
    <t>R SYSTEMS INTERNATIONAL LTD</t>
  </si>
  <si>
    <t>RSSOFTWARE</t>
  </si>
  <si>
    <t>R S SOFTWARE INDIA LTD</t>
  </si>
  <si>
    <t>R S SOFTWARE (INDIA) LTD</t>
  </si>
  <si>
    <t>R R SECURITIES LTD</t>
  </si>
  <si>
    <t>RPPINFRA</t>
  </si>
  <si>
    <t>R P P INFRA PROJECTS LTD</t>
  </si>
  <si>
    <t>RMDRIP</t>
  </si>
  <si>
    <t>R M DRIP AND SPRINKLERS SYSTEMS LTD</t>
  </si>
  <si>
    <t>R J SHAH &amp; CO LTD</t>
  </si>
  <si>
    <t>R J BIO-TECH LTD</t>
  </si>
  <si>
    <t>R B GUPTA FINANCIALS LTD</t>
  </si>
  <si>
    <t>QUINTEGRA</t>
  </si>
  <si>
    <t>QUINTEGRA SOLUTIONS LTD</t>
  </si>
  <si>
    <t>QUICKHEAL</t>
  </si>
  <si>
    <t>QUICK HEAL TECHNOLOGIES LTD</t>
  </si>
  <si>
    <t>QUEST SOFTECH INDIA LTD</t>
  </si>
  <si>
    <t>QUEST SOFTECH (INDIA) LTD</t>
  </si>
  <si>
    <t>QUEST FINANCIAL SERVICES LTD</t>
  </si>
  <si>
    <t>QUESS</t>
  </si>
  <si>
    <t>QUESS CORP LTD</t>
  </si>
  <si>
    <t>QNIFTY</t>
  </si>
  <si>
    <t>QUANTUM MUTUAL FUND - QUANTUM INDEX FUND ETF</t>
  </si>
  <si>
    <t>QGOLDHALF</t>
  </si>
  <si>
    <t>QUANTUM GOLD FUND - EXCHANGE TRADED FUND (ETF)</t>
  </si>
  <si>
    <t>QUANTUM DIGITAL VISION INDIA LTD</t>
  </si>
  <si>
    <t>QUANTUM DIGITAL VISION (INDIA) LTD</t>
  </si>
  <si>
    <t>QUANTUM BUILD-TECH LTD</t>
  </si>
  <si>
    <t>QUADRANT TELEVENTURES LTD</t>
  </si>
  <si>
    <t>PYXIS FINVEST LTD</t>
  </si>
  <si>
    <t>PVV INFRA LTD</t>
  </si>
  <si>
    <t>PVR</t>
  </si>
  <si>
    <t>PVR LTD</t>
  </si>
  <si>
    <t>PVP</t>
  </si>
  <si>
    <t>PVP VENTURES LTD</t>
  </si>
  <si>
    <t>PUSHPSONS INDUSTRIES LTD</t>
  </si>
  <si>
    <t>PUSHPREALM</t>
  </si>
  <si>
    <t>PUSHPANJALI REALMS AND INFRATECH LTD</t>
  </si>
  <si>
    <t>PURSHOTTAM INVESTOFIN LTD</t>
  </si>
  <si>
    <t>PURPLE ENTERTAINMENT LTD</t>
  </si>
  <si>
    <t>PUROHIT CONSTRUCTION LTD</t>
  </si>
  <si>
    <t>PURITY FLEX PACK LTD</t>
  </si>
  <si>
    <t>PURE GIFTCARAT LTD</t>
  </si>
  <si>
    <t>PURVA</t>
  </si>
  <si>
    <t>PURAVANKARA LTD</t>
  </si>
  <si>
    <t>PNB</t>
  </si>
  <si>
    <t>PUNJAB NATIONAL BANK</t>
  </si>
  <si>
    <t>PUNJAB COMMUNICATIONS LTD</t>
  </si>
  <si>
    <t>PUNJABCHEM</t>
  </si>
  <si>
    <t>PUNJAB CHEMICALS &amp; CROP PROTECTION LTD</t>
  </si>
  <si>
    <t>PUNJAB ALKALIES &amp; CHEMICALS LTD</t>
  </si>
  <si>
    <t>PSB</t>
  </si>
  <si>
    <t>PUNJAB &amp; SIND BANK</t>
  </si>
  <si>
    <t>PUNJLLOYD</t>
  </si>
  <si>
    <t>PUNJ LLOYD LTD</t>
  </si>
  <si>
    <t>PUNIT COMMERCIALS LTD</t>
  </si>
  <si>
    <t>PUNCTUAL TRADING LTD</t>
  </si>
  <si>
    <t>PULZ</t>
  </si>
  <si>
    <t>PULZ ELECTRONICS LTD</t>
  </si>
  <si>
    <t>PULSAR INTERNATIONAL LTD</t>
  </si>
  <si>
    <t>PDMJEPAPER</t>
  </si>
  <si>
    <t>PUDUMJEE PAPER PRODUCTS LTD</t>
  </si>
  <si>
    <t>PTL</t>
  </si>
  <si>
    <t>PTL ENTERPRISES LTD</t>
  </si>
  <si>
    <t>PTC INDUSTRIES LTD</t>
  </si>
  <si>
    <t>PTC</t>
  </si>
  <si>
    <t>PTC INDIA LTD</t>
  </si>
  <si>
    <t>PFS</t>
  </si>
  <si>
    <t>PTC INDIA FINANCIAL SERVICES LTD</t>
  </si>
  <si>
    <t>PTC (INDIA) LTD</t>
  </si>
  <si>
    <t>PSPPROJECT</t>
  </si>
  <si>
    <t>PSP PROJECTS LTD</t>
  </si>
  <si>
    <t>PSL</t>
  </si>
  <si>
    <t>PSL LTD</t>
  </si>
  <si>
    <t>PS IT INFRASTRUCTURE &amp; SERVICES LTD</t>
  </si>
  <si>
    <t>PROZONINTU</t>
  </si>
  <si>
    <t>PROZONE INTU PROPERTIES LTD</t>
  </si>
  <si>
    <t>PROVOGE</t>
  </si>
  <si>
    <t>PROVOGUE INDIA LTD</t>
  </si>
  <si>
    <t>PROVOGUE (INDIA) LTD</t>
  </si>
  <si>
    <t>PROVESTMENT SERVICES LTD</t>
  </si>
  <si>
    <t>PROSEED</t>
  </si>
  <si>
    <t>PROSEED INDIA LTD</t>
  </si>
  <si>
    <t>PROSEED (INDIA) LTD</t>
  </si>
  <si>
    <t>PROMACT IMPEX LTD</t>
  </si>
  <si>
    <t>PROLIFE</t>
  </si>
  <si>
    <t>PROLIFE INDUSTRIES LTD</t>
  </si>
  <si>
    <t>PROGRESSIVE EXTRACTIONS &amp; EXPORTS LTD</t>
  </si>
  <si>
    <t>PGHH</t>
  </si>
  <si>
    <t>PROCTER &amp; GAMBLE HYGIENE AND HEALTH CARE LTD</t>
  </si>
  <si>
    <t>PGHL</t>
  </si>
  <si>
    <t>Procter &amp; Gamble Health LTD</t>
  </si>
  <si>
    <t>PROCAL ELECTRONICS INDIA LTD</t>
  </si>
  <si>
    <t>PROCAL ELECTRONICS (INDIA) LTD</t>
  </si>
  <si>
    <t>PROAIM ENTERPRISES LTD</t>
  </si>
  <si>
    <t>PRO FIN CAPITAL SERVICES LTD</t>
  </si>
  <si>
    <t>PRIYA LTD</t>
  </si>
  <si>
    <t>PNC</t>
  </si>
  <si>
    <t>PRITISH NANDY COMMUNICATIONS LTD</t>
  </si>
  <si>
    <t>PRITIKA AUTO INDUSTRIES LTD</t>
  </si>
  <si>
    <t>PRITI</t>
  </si>
  <si>
    <t>PRITI INTERNATIONAL LTD</t>
  </si>
  <si>
    <t>PRITHVI EXCHANGE INDIA LTD</t>
  </si>
  <si>
    <t>PRITHVI EXCHANGE (INDIA) LTD</t>
  </si>
  <si>
    <t>PRISM MEDICO AND PHARMACY LTD</t>
  </si>
  <si>
    <t>PRSMJOHNSN</t>
  </si>
  <si>
    <t>PRISM JOHNSON LTD</t>
  </si>
  <si>
    <t>PRISM FINANCE LTD</t>
  </si>
  <si>
    <t>PRIME URBAN DEVELOPMENT INDIA LTD</t>
  </si>
  <si>
    <t>PRIME URBAN DEVELOPMENT (INDIA) LTD</t>
  </si>
  <si>
    <t>PRIMESECU</t>
  </si>
  <si>
    <t>PRIME SECURITIES LTD</t>
  </si>
  <si>
    <t>PRIME PROPERTY DEVELOPMENT CORPORATION LTD</t>
  </si>
  <si>
    <t>PRIME INDUSTRIES LTD</t>
  </si>
  <si>
    <t>PFOCUS</t>
  </si>
  <si>
    <t>PRIME FOCUS LTD</t>
  </si>
  <si>
    <t>PRIME CUSTOMER SERVICES LTD</t>
  </si>
  <si>
    <t>PRIME CAPITAL MARKET LTD</t>
  </si>
  <si>
    <t>PRIMA PLASTICS LTD</t>
  </si>
  <si>
    <t>PRIMA INDUSTRIES LTD</t>
  </si>
  <si>
    <t>PRIMA AGRO LTD</t>
  </si>
  <si>
    <t>PRICOLLTD</t>
  </si>
  <si>
    <t>PRICOL LTD</t>
  </si>
  <si>
    <t>PRESTIGE</t>
  </si>
  <si>
    <t>PRESTIGE ESTATES PROJECTS LTD</t>
  </si>
  <si>
    <t>PRESSMN</t>
  </si>
  <si>
    <t>PRESSMAN ADVERTISING LTD</t>
  </si>
  <si>
    <t>PRERNA INFRABUILD LTD</t>
  </si>
  <si>
    <t>PREMIER SYNTHETICS LTD</t>
  </si>
  <si>
    <t>PREMIERPOL</t>
  </si>
  <si>
    <t>PREMIER POLYFILM LTD</t>
  </si>
  <si>
    <t>PREMIER PIPES LTD</t>
  </si>
  <si>
    <t>PREMIER</t>
  </si>
  <si>
    <t>PREMIER LTD</t>
  </si>
  <si>
    <t>PREMEXPLN</t>
  </si>
  <si>
    <t>PREMIER EXPLOSIVES LTD</t>
  </si>
  <si>
    <t>PREMIER CHENNAI PROPERTIES LTD</t>
  </si>
  <si>
    <t>PREMCO GLOBAL LTD</t>
  </si>
  <si>
    <t>PREM SOMANI FINANCIAL SERVICES LTD</t>
  </si>
  <si>
    <t>PRECOT</t>
  </si>
  <si>
    <t>PRECOT MERIDIAN LTD</t>
  </si>
  <si>
    <t>PRECWIRE</t>
  </si>
  <si>
    <t>PRECISION WIRES INDIA LTD</t>
  </si>
  <si>
    <t>PRECISION WIRES (INDIA) LTD</t>
  </si>
  <si>
    <t>PRECISION ELECTRONICS LTD</t>
  </si>
  <si>
    <t>PRECISION CONTAINEURS LTD</t>
  </si>
  <si>
    <t>PRECAM</t>
  </si>
  <si>
    <t>PRECISION CAMSHAFTS LTD</t>
  </si>
  <si>
    <t>PRECIOUS TRADING &amp; INVESTMENTS LTD</t>
  </si>
  <si>
    <t>PRAXIS</t>
  </si>
  <si>
    <t>PRAXIS HOME RETAIL LTD</t>
  </si>
  <si>
    <t>PRATIKSHA CHEMICALS LTD</t>
  </si>
  <si>
    <t>PRATIK PANELS LTD</t>
  </si>
  <si>
    <t>DIAMONDYD</t>
  </si>
  <si>
    <t>PRATAAP SNACKS LTD</t>
  </si>
  <si>
    <t>PRASHANT INDIA LTD</t>
  </si>
  <si>
    <t>PRASHANT (INDIA) LTD</t>
  </si>
  <si>
    <t>PRANAVADITYA SPINNING MILLS LTD</t>
  </si>
  <si>
    <t>PRAKASH WOOLLEN &amp; SYNTHETIC MILLS LTD</t>
  </si>
  <si>
    <t>PRAKASHSTL</t>
  </si>
  <si>
    <t>PRAKASH STEELAGE LTD</t>
  </si>
  <si>
    <t>PPL</t>
  </si>
  <si>
    <t>Prakash Pipes Ltd</t>
  </si>
  <si>
    <t>PRAKASH</t>
  </si>
  <si>
    <t>PRAKASH INDUSTRIES LTD</t>
  </si>
  <si>
    <t>PRAKASHCON</t>
  </si>
  <si>
    <t>PRAKASH CONSTROWELL LTD</t>
  </si>
  <si>
    <t>PRAENG</t>
  </si>
  <si>
    <t>PRAJAY ENGINEERS SYNDICATE LTD</t>
  </si>
  <si>
    <t>PRAJIND</t>
  </si>
  <si>
    <t>PRAJ INDUSTRIES LTD</t>
  </si>
  <si>
    <t>PRAG BOSIMI SYNTHETICS LTD</t>
  </si>
  <si>
    <t>PRADIP</t>
  </si>
  <si>
    <t>PRADIP OVERSEAS LTD</t>
  </si>
  <si>
    <t>PRADHIN LTD</t>
  </si>
  <si>
    <t>PRADEEP METALS LTD</t>
  </si>
  <si>
    <t>PRABHU STEEL INDUSTRIES LTD</t>
  </si>
  <si>
    <t>PRABHAV INDUSTRIES LTD</t>
  </si>
  <si>
    <t>PRABHAT TELECOMS INDIA LTD</t>
  </si>
  <si>
    <t>PRABHAT TELECOMS (INDIA) LTD</t>
  </si>
  <si>
    <t>PRABHAT</t>
  </si>
  <si>
    <t>PRABHAT DAIRY LTD</t>
  </si>
  <si>
    <t>PPAP</t>
  </si>
  <si>
    <t>PPAP AUTOMOTIVE LTD</t>
  </si>
  <si>
    <t>POWERHOUSE GYM &amp; WELLNESS LTD</t>
  </si>
  <si>
    <t>POWERFUL</t>
  </si>
  <si>
    <t>POWERFUL TECHNOLOGIES LTD</t>
  </si>
  <si>
    <t>POWERMECH</t>
  </si>
  <si>
    <t>POWER MECH PROJECTS LTD</t>
  </si>
  <si>
    <t>POWERGRID</t>
  </si>
  <si>
    <t>POWER GRID CORPORATION OF INDIA LTD</t>
  </si>
  <si>
    <t>POWER GRID CORPORATION OF (INDIA) LTD</t>
  </si>
  <si>
    <t>PFC</t>
  </si>
  <si>
    <t>POWER FINANCE CORPORATION LTD</t>
  </si>
  <si>
    <t>PIGL</t>
  </si>
  <si>
    <t>POWER &amp; INSTRUMENTATION GUJARAT LTD</t>
  </si>
  <si>
    <t>PORWAL AUTO COMPONENTS LTD</t>
  </si>
  <si>
    <t>POPULAR ESTATE MANAGEMENT LTD</t>
  </si>
  <si>
    <t>POONA DAL &amp; OIL INDUSTRIES LTD</t>
  </si>
  <si>
    <t>POOJAWESTERN METALIKS LTD</t>
  </si>
  <si>
    <t>POOJA ENTERTAINMENT AND FILMS LTD</t>
  </si>
  <si>
    <t>PONNIERODE</t>
  </si>
  <si>
    <t>PONNI SUGARS ERODE LTD</t>
  </si>
  <si>
    <t>PONDY OXIDES &amp; CHEMICALS LTD</t>
  </si>
  <si>
    <t>POLYTEX INDIA LTD</t>
  </si>
  <si>
    <t>POLYTEX (INDIA) LTD</t>
  </si>
  <si>
    <t>POLYSPIN EXPORTS LTD</t>
  </si>
  <si>
    <t>POLYPLEX</t>
  </si>
  <si>
    <t>POLYPLEX CORPORATION LTD</t>
  </si>
  <si>
    <t>POLYMECHPLAST MACHINES LTD</t>
  </si>
  <si>
    <t>POLYMAC THERMOFORMERS LTD</t>
  </si>
  <si>
    <t>POLYLINK POLYMERS INDIA LTD</t>
  </si>
  <si>
    <t>POLYLINK POLYMERS (INDIA) LTD</t>
  </si>
  <si>
    <t>POLYGENTA TECHNOLOGIES LTD</t>
  </si>
  <si>
    <t>POLYCON INTERNATIONAL LTD</t>
  </si>
  <si>
    <t>POLYCHEM LTD</t>
  </si>
  <si>
    <t>POLYCAB</t>
  </si>
  <si>
    <t>Polycab India Ltd</t>
  </si>
  <si>
    <t>POLYMED</t>
  </si>
  <si>
    <t>POLY MEDICURE LTD</t>
  </si>
  <si>
    <t>POLSON LTD</t>
  </si>
  <si>
    <t>POLO QUEEN INDUSTRIAL AND FINTECH LTD</t>
  </si>
  <si>
    <t>POLO HOTELS LTD</t>
  </si>
  <si>
    <t>POKARNA</t>
  </si>
  <si>
    <t>POKARNA LTD</t>
  </si>
  <si>
    <t>PODDARMENT</t>
  </si>
  <si>
    <t>PODDAR PIGMENTS LTD</t>
  </si>
  <si>
    <t>PODDARHOUS</t>
  </si>
  <si>
    <t>PODDAR HOUSING AND DEVELOPMENT LTD</t>
  </si>
  <si>
    <t>POCL ENTERPRISES LTD</t>
  </si>
  <si>
    <t>POCHIRAJU</t>
  </si>
  <si>
    <t>POCHIRAJU INDUSTRIES LTD</t>
  </si>
  <si>
    <t>PNCINFRA</t>
  </si>
  <si>
    <t>PNC INFRATECH LTD</t>
  </si>
  <si>
    <t>PNBHOUSING</t>
  </si>
  <si>
    <t>PNB HOUSING FINANCE LTD</t>
  </si>
  <si>
    <t>PNBGILTS</t>
  </si>
  <si>
    <t>PNB GILTS LTD</t>
  </si>
  <si>
    <t>PMC FINCORP LTD</t>
  </si>
  <si>
    <t>PLASTIBLEN</t>
  </si>
  <si>
    <t>PLASTIBLENDS INDIA LTD</t>
  </si>
  <si>
    <t>PLASTIBLENDS (INDIA) LTD</t>
  </si>
  <si>
    <t>PLANTER POLYSACKS LTD</t>
  </si>
  <si>
    <t>PIX TRANSMISSIONS LTD</t>
  </si>
  <si>
    <t>PITTIENG</t>
  </si>
  <si>
    <t>PITTI ENGINEERING LTD</t>
  </si>
  <si>
    <t>PITHAMPUR POLY PRODUCTS LTD</t>
  </si>
  <si>
    <t>PIRPHYTO</t>
  </si>
  <si>
    <t>PIRAMAL PHYTOCARE LTD</t>
  </si>
  <si>
    <t>PEL</t>
  </si>
  <si>
    <t>PIRAMAL ENTERPRISES LTD</t>
  </si>
  <si>
    <t>PIONEER INVESTCORP LTD</t>
  </si>
  <si>
    <t>PIONEEREMB</t>
  </si>
  <si>
    <t>PIONEER EMBROIDERIES LTD</t>
  </si>
  <si>
    <t>PIONDIST</t>
  </si>
  <si>
    <t>PIONEER DISTILLERIES LTD</t>
  </si>
  <si>
    <t>PIONEER AGRO EXTRACTS LTD</t>
  </si>
  <si>
    <t>PILANIINVS</t>
  </si>
  <si>
    <t>PILANI INVESTMENT AND INDUSTRIES CORPORATION LTD</t>
  </si>
  <si>
    <t>PILITA</t>
  </si>
  <si>
    <t>PIL ITALICA LIFESTYLE LTD</t>
  </si>
  <si>
    <t>PIDILITIND</t>
  </si>
  <si>
    <t>PIDILITE INDUSTRIES LTD</t>
  </si>
  <si>
    <t>PICTUREHOUSE MEDIA LTD</t>
  </si>
  <si>
    <t>PICCADILY SUGAR &amp; ALLIED INDUSTRIES LTD</t>
  </si>
  <si>
    <t>PICCADILY AGRO INDUSTRIES LTD</t>
  </si>
  <si>
    <t>PIIND</t>
  </si>
  <si>
    <t>PI INDUSTRIES LTD</t>
  </si>
  <si>
    <t>PHYTO CHEM INDIA LTD</t>
  </si>
  <si>
    <t>PHYTO CHEM (INDIA) LTD</t>
  </si>
  <si>
    <t>PHOTOQUIP INDIA LTD</t>
  </si>
  <si>
    <t>PHOTOQUIP (INDIA) LTD</t>
  </si>
  <si>
    <t>PHOTON CAPITAL ADVISORS LTD</t>
  </si>
  <si>
    <t>PHOENIX TOWNSHIP LTD</t>
  </si>
  <si>
    <t>PHOENIX INTERNATIONAL LTD</t>
  </si>
  <si>
    <t>Carbon Black</t>
  </si>
  <si>
    <t>PHILIPCARB</t>
  </si>
  <si>
    <t>PHILLIPS CARBON BLACK LTD</t>
  </si>
  <si>
    <t>PHAARMASIA LTD</t>
  </si>
  <si>
    <t>PH TRADING LTD</t>
  </si>
  <si>
    <t>PH CAPITAL LTD</t>
  </si>
  <si>
    <t>PG INDUSTRY LTD</t>
  </si>
  <si>
    <t>PG FOILS LTD</t>
  </si>
  <si>
    <t>PGEL</t>
  </si>
  <si>
    <t>PG ELECTROPLAST LTD</t>
  </si>
  <si>
    <t>PFL INFOTECH LTD</t>
  </si>
  <si>
    <t>PFIZER</t>
  </si>
  <si>
    <t>PFIZER LTD</t>
  </si>
  <si>
    <t>PETRONET</t>
  </si>
  <si>
    <t>PETRONET LNG LTD</t>
  </si>
  <si>
    <t>PETRONENGG</t>
  </si>
  <si>
    <t>PETRON ENGINEERING CONSTRUCTION LTD</t>
  </si>
  <si>
    <t>PERVASIVE COMMODITIES LTD</t>
  </si>
  <si>
    <t>PERSISTENT</t>
  </si>
  <si>
    <t>PERSISTENT SYSTEMS LTD</t>
  </si>
  <si>
    <t>PERMANENT MAGNETS LTD</t>
  </si>
  <si>
    <t>PERFECTPAC LTD</t>
  </si>
  <si>
    <t>PERFECT-OCTAVE MEDIA PROJECTS LTD</t>
  </si>
  <si>
    <t>PERFECT</t>
  </si>
  <si>
    <t>PERFECT INFRAENGINEERS LTD</t>
  </si>
  <si>
    <t>PEOPLES INVESTMENTS LTD</t>
  </si>
  <si>
    <t>PENTOKEY ORGANY INDIA LTD</t>
  </si>
  <si>
    <t>PENTOKEY ORGANY (INDIA) LTD</t>
  </si>
  <si>
    <t>PENTAMEDIA GRAPHICS LTD</t>
  </si>
  <si>
    <t>PENTAGOLD</t>
  </si>
  <si>
    <t>PENTA GOLD LTD</t>
  </si>
  <si>
    <t>PENIND</t>
  </si>
  <si>
    <t>PENNAR INDUSTRIES LTD</t>
  </si>
  <si>
    <t>PENPEBS</t>
  </si>
  <si>
    <t>PENNAR ENGINEERED BUILDING SYSTEMS LTD</t>
  </si>
  <si>
    <t>PENINLAND</t>
  </si>
  <si>
    <t>PENINSULA LAND LTD</t>
  </si>
  <si>
    <t>PEETI SECURITIES LTD</t>
  </si>
  <si>
    <t>PEE CEE COSMA SOPE LTD</t>
  </si>
  <si>
    <t>PECOS HOTELS AND PUBS LTD</t>
  </si>
  <si>
    <t>PEARLPOLY</t>
  </si>
  <si>
    <t>PEARL POLYMERS LTD</t>
  </si>
  <si>
    <t>PGIL</t>
  </si>
  <si>
    <t>PEARL GLOBAL INDUSTRIES LTD</t>
  </si>
  <si>
    <t>PDSMFL</t>
  </si>
  <si>
    <t>PDS MULTINATIONAL FASHIONS LTD</t>
  </si>
  <si>
    <t>PCS TECHNOLOGY LTD</t>
  </si>
  <si>
    <t>PCJEWELLER</t>
  </si>
  <si>
    <t>PC JEWELLER LTD</t>
  </si>
  <si>
    <t>PBM POLYTEX LTD</t>
  </si>
  <si>
    <t>PBAINFRA</t>
  </si>
  <si>
    <t>PBA INFRASTRUCTURE LTD</t>
  </si>
  <si>
    <t>PAWANSUT HOLDINGS LTD</t>
  </si>
  <si>
    <t>PAUSHAK LTD</t>
  </si>
  <si>
    <t>PAUL MERCHANTS LTD</t>
  </si>
  <si>
    <t>PATSPINLTD</t>
  </si>
  <si>
    <t>PATSPIN INDIA LTD</t>
  </si>
  <si>
    <t>PATSPIN (INDIA) LTD</t>
  </si>
  <si>
    <t>PATIDAR BUILDCON LTD</t>
  </si>
  <si>
    <t>PATELS AIRTEMP INDIA LTD</t>
  </si>
  <si>
    <t>PATELS AIRTEMP (INDIA) LTD</t>
  </si>
  <si>
    <t>PATINTLOG</t>
  </si>
  <si>
    <t>PATEL INTEGRATED LOGISTICS LTD</t>
  </si>
  <si>
    <t>PATELENG</t>
  </si>
  <si>
    <t>PATEL ENGINEERING LTD</t>
  </si>
  <si>
    <t>PATDIAM JEWELLERY LTD</t>
  </si>
  <si>
    <t>PASUPATI SPG &amp; WVG MILLS LTD</t>
  </si>
  <si>
    <t>PASUPATI FINCAP LTD</t>
  </si>
  <si>
    <t>PASUPATI ACRYLON LTD</t>
  </si>
  <si>
    <t>PASHUPATI</t>
  </si>
  <si>
    <t>PASHUPATI COTSPIN LTD</t>
  </si>
  <si>
    <t>PASARI SPINNING MILLS LTD</t>
  </si>
  <si>
    <t>PARVATI SWEETNERS AND POWER LTD</t>
  </si>
  <si>
    <t>PARTH INDUSTRIES LTD</t>
  </si>
  <si>
    <t>PARSVNATH</t>
  </si>
  <si>
    <t>PARSVNATH DEVELOPERS LTD</t>
  </si>
  <si>
    <t>PARSHWANATH CORPORATION LTD</t>
  </si>
  <si>
    <t>PARSHARTI INVESTMENT LTD</t>
  </si>
  <si>
    <t>PARNAX LAB LTD</t>
  </si>
  <si>
    <t>PARNAV SPORTS ACADEMY LTD</t>
  </si>
  <si>
    <t>PARMESHWARI SILK MILLS LTD</t>
  </si>
  <si>
    <t>PARMAX PHARMA LTD</t>
  </si>
  <si>
    <t>PARLE SOFTWARE LTD</t>
  </si>
  <si>
    <t>PARKER AGROCHEM EXPORTS LTD</t>
  </si>
  <si>
    <t>PARIN</t>
  </si>
  <si>
    <t>PARIN FURNITURE LTD</t>
  </si>
  <si>
    <t>PARIKSHA FIN- INVEST- LEASE LTD</t>
  </si>
  <si>
    <t>PDPL</t>
  </si>
  <si>
    <t>PARENTERAL DRUGS INDIA LTD</t>
  </si>
  <si>
    <t>PARENTERAL DRUGS (INDIA) LTD</t>
  </si>
  <si>
    <t>PARAMOUNT COSMETICS INDIA LTD</t>
  </si>
  <si>
    <t>PARAMOUNT COSMETICS (INDIA) LTD</t>
  </si>
  <si>
    <t>PARACABLES</t>
  </si>
  <si>
    <t>PARAMOUNT COMMUNICATIONS LTD</t>
  </si>
  <si>
    <t>PARAGON FINANCE LTD</t>
  </si>
  <si>
    <t>PARAGMILK</t>
  </si>
  <si>
    <t>PARAG MILK FOODS LTD</t>
  </si>
  <si>
    <t>PARABDRUGS</t>
  </si>
  <si>
    <t>PARABOLIC DRUGS LTD</t>
  </si>
  <si>
    <t>PARINFRA</t>
  </si>
  <si>
    <t>Parab Infra Ltd</t>
  </si>
  <si>
    <t>PANYAM CEMENTS &amp; MINERAL INDUSTRIES LTD</t>
  </si>
  <si>
    <t>PANTH INFINITY LTD</t>
  </si>
  <si>
    <t>PANSARI</t>
  </si>
  <si>
    <t>PANSARI DEVELOPERS LTD</t>
  </si>
  <si>
    <t>PANKAJ POLYPACK LTD</t>
  </si>
  <si>
    <t>PANKAJ POLYMERS LTD</t>
  </si>
  <si>
    <t>PANKAJ PIYUSH TRADE &amp; INVESTMENT LTD</t>
  </si>
  <si>
    <t>PANCHSHEEL ORGANICS LTD</t>
  </si>
  <si>
    <t>PANCHMAHAL STEEL LTD</t>
  </si>
  <si>
    <t>PANASONIC ENERGY INDIA COMPANY LTD</t>
  </si>
  <si>
    <t>PANASONIC CARBON INDIA CO LTD</t>
  </si>
  <si>
    <t>PANAMAPET</t>
  </si>
  <si>
    <t>PANAMA PETROCHEM LTD</t>
  </si>
  <si>
    <t>PANAFIC INDUSTRIALS LTD</t>
  </si>
  <si>
    <t>PANACHE INNOVATIONS LTD</t>
  </si>
  <si>
    <t>PANACHE</t>
  </si>
  <si>
    <t>PANACHE DIGILIFE LTD</t>
  </si>
  <si>
    <t>PANACEABIO</t>
  </si>
  <si>
    <t>PANACEA BIOTEC LTD</t>
  </si>
  <si>
    <t>PAN INDIA CORPORATION LTD</t>
  </si>
  <si>
    <t>PAN ELECTRONICS INDIA LTD</t>
  </si>
  <si>
    <t>PAN ELECTRONICS (INDIA) LTD</t>
  </si>
  <si>
    <t>PALSOFT INFOSYSTEMS LTD</t>
  </si>
  <si>
    <t>PALREDTEC</t>
  </si>
  <si>
    <t>PALRED TECHNOLOGIES LTD</t>
  </si>
  <si>
    <t>PALM JEWELS LTD</t>
  </si>
  <si>
    <t>PALCO METALS LTD</t>
  </si>
  <si>
    <t>PALASHSECU</t>
  </si>
  <si>
    <t>PALASH SECURITIES LTD</t>
  </si>
  <si>
    <t>PAISALO</t>
  </si>
  <si>
    <t>PAISALO DIGITAL LTD</t>
  </si>
  <si>
    <t>PAGEIND</t>
  </si>
  <si>
    <t>PAGE INDUSTRIES LTD</t>
  </si>
  <si>
    <t>PAEL</t>
  </si>
  <si>
    <t>PAE LTD</t>
  </si>
  <si>
    <t>PADMANABH INDUSTRIES LTD</t>
  </si>
  <si>
    <t>PADMALAYA TELEFILMS LTD</t>
  </si>
  <si>
    <t>PADAM COTTON YARNS LTD</t>
  </si>
  <si>
    <t>PACT INDUSTRIES LTD</t>
  </si>
  <si>
    <t>PACIFIC INDUSTRIES LTD</t>
  </si>
  <si>
    <t>PACHELI INDUSTRIAL FINANCE LTD</t>
  </si>
  <si>
    <t>P M TELELINNKS LTD</t>
  </si>
  <si>
    <t>P  B  FILMS LTD</t>
  </si>
  <si>
    <t>OZONE WORLD LTD</t>
  </si>
  <si>
    <t>OVOBEL FOODS LTD</t>
  </si>
  <si>
    <t>OVERSEAS SYNTHETICS LTD</t>
  </si>
  <si>
    <t>OTCO INTERNATIONAL LTD</t>
  </si>
  <si>
    <t>OSWAL YARNS LTD</t>
  </si>
  <si>
    <t>OSWAL OVERSEAS LTD</t>
  </si>
  <si>
    <t>OSWAL LEASING LTD</t>
  </si>
  <si>
    <t>BINDALAGRO</t>
  </si>
  <si>
    <t>OSWAL CHEMICALS &amp; FERTILIZERS LTD</t>
  </si>
  <si>
    <t>OSWALAGRO</t>
  </si>
  <si>
    <t>OSWAL AGRO MILLS LTD</t>
  </si>
  <si>
    <t>OSIAJEE TEXFAB LTD</t>
  </si>
  <si>
    <t>OSEASPRE CONSULTANTS LTD</t>
  </si>
  <si>
    <t>OSCAR INVESTMENTS LTD</t>
  </si>
  <si>
    <t>OSCAR GLOBAL LTD</t>
  </si>
  <si>
    <t>ORTINLABSS</t>
  </si>
  <si>
    <t>ORTIN LABORATORIES LTD</t>
  </si>
  <si>
    <t>ORTEL</t>
  </si>
  <si>
    <t>ORTEL COMMUNICATIONS LTD</t>
  </si>
  <si>
    <t>OROSIL SMITHS INDIA LTD</t>
  </si>
  <si>
    <t>OROSIL SMITHS (INDIA) LTD</t>
  </si>
  <si>
    <t>ORISSA BENGAL CARRIER LTD</t>
  </si>
  <si>
    <t>ORIENTAL VENEER PRODUCTS LTD</t>
  </si>
  <si>
    <t>ORIENTALTL</t>
  </si>
  <si>
    <t>ORIENTAL TRIMEX LTD</t>
  </si>
  <si>
    <t>ORIENTHOT</t>
  </si>
  <si>
    <t>ORIENTAL HOTELS LTD</t>
  </si>
  <si>
    <t>OCCL</t>
  </si>
  <si>
    <t>ORIENTAL CARBON &amp; CHEMICALS LTD</t>
  </si>
  <si>
    <t>ORIENTBANK</t>
  </si>
  <si>
    <t>ORIENTAL BANK OF COMMERCE</t>
  </si>
  <si>
    <t>ORIENTAL AROMATICS LTD</t>
  </si>
  <si>
    <t>ORIENT TRADELINK LTD</t>
  </si>
  <si>
    <t>ORIENTREF</t>
  </si>
  <si>
    <t>ORIENT REFRACTORIES LTD</t>
  </si>
  <si>
    <t>ORIENTLTD</t>
  </si>
  <si>
    <t>ORIENT PRESS LTD</t>
  </si>
  <si>
    <t>ORIENTPPR</t>
  </si>
  <si>
    <t>ORIENT PAPER &amp; INDUSTRIES LTD</t>
  </si>
  <si>
    <t>GREENPOWER</t>
  </si>
  <si>
    <t>ORIENT GREEN POWER COMPANY LTD</t>
  </si>
  <si>
    <t>ORIENTELEC</t>
  </si>
  <si>
    <t>ORIENT ELECTRIC LTD</t>
  </si>
  <si>
    <t>ORIENTCEM</t>
  </si>
  <si>
    <t>ORIENT CEMENT LTD</t>
  </si>
  <si>
    <t>ORIENT BEVERAGES LTD</t>
  </si>
  <si>
    <t>ORIENTBELL</t>
  </si>
  <si>
    <t>ORIENT BELL LTD</t>
  </si>
  <si>
    <t>ORIENTABRA</t>
  </si>
  <si>
    <t>ORIENT ABRASIVES LTD</t>
  </si>
  <si>
    <t>ORICONENT</t>
  </si>
  <si>
    <t>ORICON ENTERPRISES LTD</t>
  </si>
  <si>
    <t>ORGANIC COATINGS LTD</t>
  </si>
  <si>
    <t>ORCHIDPHAR</t>
  </si>
  <si>
    <t>ORCHID PHARMA LTD</t>
  </si>
  <si>
    <t>ORBTEXP</t>
  </si>
  <si>
    <t>ORBIT EXPORTS LTD</t>
  </si>
  <si>
    <t>OFSS</t>
  </si>
  <si>
    <t>ORACLE FINANCIAL SERVICES SOFTWARE LTD</t>
  </si>
  <si>
    <t>ORACLE CREDIT LTD</t>
  </si>
  <si>
    <t>OPTOCIRCUI</t>
  </si>
  <si>
    <t>OPTO CIRCUITS INDIA LTD</t>
  </si>
  <si>
    <t>OPTO CIRCUITS (INDIA) LTD</t>
  </si>
  <si>
    <t>OPTIMUS FINANCE LTD</t>
  </si>
  <si>
    <t>OPTIEMUS</t>
  </si>
  <si>
    <t>OPTIEMUS INFRACOM LTD</t>
  </si>
  <si>
    <t>OPAL</t>
  </si>
  <si>
    <t>OPAL LUXURY TIME PRODUCTS LTD</t>
  </si>
  <si>
    <t>ONWARDTEC</t>
  </si>
  <si>
    <t>ONWARD TECHNOLOGIES LTD</t>
  </si>
  <si>
    <t>ONTIC FINSERVE LTD</t>
  </si>
  <si>
    <t>ONMOBILE</t>
  </si>
  <si>
    <t>ONMOBILE GLOBAL LTD</t>
  </si>
  <si>
    <t>ONESOURCE TECHMEDIA LTD</t>
  </si>
  <si>
    <t>ONESOURCE IDEAS VENTURE LTD</t>
  </si>
  <si>
    <t>ONELIFECAP</t>
  </si>
  <si>
    <t>ONELIFE CAPITAL ADVISORS LTD</t>
  </si>
  <si>
    <t>ONEPOINT</t>
  </si>
  <si>
    <t>ONE POINT ONE SOLUTIONS LTD</t>
  </si>
  <si>
    <t>OMNITEX INDUSTRIES INDIA LTD</t>
  </si>
  <si>
    <t>OMNITEX INDUSTRIES (INDIA) LTD</t>
  </si>
  <si>
    <t>OMNI AXS SOFTWARE LTD</t>
  </si>
  <si>
    <t>OMKARCHEM</t>
  </si>
  <si>
    <t>OMKAR SPECIALITY CHEMICALS LTD</t>
  </si>
  <si>
    <t>OMKAR PHARMACHEM LTD</t>
  </si>
  <si>
    <t>OMKAR OVERSEAS LTD</t>
  </si>
  <si>
    <t>OMFURN</t>
  </si>
  <si>
    <t>OMFURN INDIA LTD</t>
  </si>
  <si>
    <t>OMFURN (INDIA) LTD</t>
  </si>
  <si>
    <t>OMAXE</t>
  </si>
  <si>
    <t>OMAXE LTD</t>
  </si>
  <si>
    <t>OMAXAUTO</t>
  </si>
  <si>
    <t>OMAX AUTOS LTD</t>
  </si>
  <si>
    <t>OMANSH ENTERPRISES LTD</t>
  </si>
  <si>
    <t>OMMETALS</t>
  </si>
  <si>
    <t>OM METALS INFRAPROJECTS LTD</t>
  </si>
  <si>
    <t>OLYMPIC OIL INDUSTRIES LTD</t>
  </si>
  <si>
    <t xml:space="preserve">Gift Articles-Toys &amp; Cards </t>
  </si>
  <si>
    <t>OLYMPIC CARDS LTD</t>
  </si>
  <si>
    <t>Internet &amp; Catalogue Retail</t>
  </si>
  <si>
    <t>OLYMPIA INDUSTRIES LTD</t>
  </si>
  <si>
    <t>OLECTRA</t>
  </si>
  <si>
    <t>OLECTRA GREENTECH LTD</t>
  </si>
  <si>
    <t>OK PLAY INDIA LTD</t>
  </si>
  <si>
    <t>OK PLAY (INDIA) LTD</t>
  </si>
  <si>
    <t>OIL</t>
  </si>
  <si>
    <t>OIL INDIA LTD</t>
  </si>
  <si>
    <t>Oil Equipment &amp; Services</t>
  </si>
  <si>
    <t>OILCOUNTUB</t>
  </si>
  <si>
    <t>OIL COUNTRY TUBULAR LTD</t>
  </si>
  <si>
    <t>OIL (INDIA) LTD</t>
  </si>
  <si>
    <t>ONGC</t>
  </si>
  <si>
    <t>OIL &amp; NATURAL GAS CORPORATION LTD</t>
  </si>
  <si>
    <t>OFS TECHNOLOGIES LTD</t>
  </si>
  <si>
    <t>ODYSSEY TECHNOLOGIES LTD</t>
  </si>
  <si>
    <t>ODYSSEY CORPORATION LTD</t>
  </si>
  <si>
    <t>OCTAWARE TECHNOLOGIES LTD</t>
  </si>
  <si>
    <t>OCTAL CREDIT CAPITAL LTD</t>
  </si>
  <si>
    <t>OISL</t>
  </si>
  <si>
    <t>OCL IRON AND STEEL LTD</t>
  </si>
  <si>
    <t>OCEANIC FOODS LTD</t>
  </si>
  <si>
    <t>OCEANAA BIOTEK INDUSTRIES LTD</t>
  </si>
  <si>
    <t>OCEAN AGRO INDIA LTD</t>
  </si>
  <si>
    <t>OCEAN AGRO (INDIA) LTD</t>
  </si>
  <si>
    <t>OBJECTONE INFORMATION SYSTEMS LTD</t>
  </si>
  <si>
    <t>OBEROIRLTY</t>
  </si>
  <si>
    <t>OBEROI REALTY LTD</t>
  </si>
  <si>
    <t>OASIS TRADELINK LTD</t>
  </si>
  <si>
    <t>OASIS SECURITIES LTD</t>
  </si>
  <si>
    <t>O  P  CHAINS LTD</t>
  </si>
  <si>
    <t>NYSSA CORPORATION LTD</t>
  </si>
  <si>
    <t>NUWAY ORGANIC NATURALS INDIA LTD</t>
  </si>
  <si>
    <t>NUWAY ORGANIC NATURALS (INDIA) LTD</t>
  </si>
  <si>
    <t>NUTRICIRCLE LTD</t>
  </si>
  <si>
    <t>NUTRAPLUS INDIA LTD</t>
  </si>
  <si>
    <t>NUTRAPLUS (INDIA) LTD</t>
  </si>
  <si>
    <t>NUTECH GLOBAL LTD</t>
  </si>
  <si>
    <t>NUCLEUS</t>
  </si>
  <si>
    <t>NUCLEUS SOFTWARE EXPORTS LTD</t>
  </si>
  <si>
    <t>NUTEK</t>
  </si>
  <si>
    <t>NU TEK INDIA LTD</t>
  </si>
  <si>
    <t>NU TEK (INDIA) LTD</t>
  </si>
  <si>
    <t>NTPC</t>
  </si>
  <si>
    <t>NTPC LTD</t>
  </si>
  <si>
    <t>NTC INDUSTRIES LTD</t>
  </si>
  <si>
    <t>NIBL</t>
  </si>
  <si>
    <t>NRB INDUSTRIAL BEARINGS LTD</t>
  </si>
  <si>
    <t>NRBBEARING</t>
  </si>
  <si>
    <t>NRB BEARING LTD</t>
  </si>
  <si>
    <t>NPR FINANCE LTD</t>
  </si>
  <si>
    <t>NOVARTIS INDIA LTD</t>
  </si>
  <si>
    <t>NOVARTIS (INDIA) LTD</t>
  </si>
  <si>
    <t>NOVA PUBLICATIONS INDIA LTD</t>
  </si>
  <si>
    <t>NOVA PUBLICATIONS (INDIA) LTD</t>
  </si>
  <si>
    <t>NOVA IRON &amp; STEEL LTD</t>
  </si>
  <si>
    <t>NOUVEAU GLOBAL VENTURES LTD</t>
  </si>
  <si>
    <t>NOURITRANS EXIM LTD</t>
  </si>
  <si>
    <t>NORTHLINK FISCAL AND CAPITAL SERVICES LTD</t>
  </si>
  <si>
    <t>NSL</t>
  </si>
  <si>
    <t>Northern Spirits Ltd</t>
  </si>
  <si>
    <t>NECCLTD</t>
  </si>
  <si>
    <t>NORTH EASTERN CARRYING CORPORATION LTD</t>
  </si>
  <si>
    <t>NORRIS MEDICINES LTD</t>
  </si>
  <si>
    <t>NORBTEAEXP</t>
  </si>
  <si>
    <t>NORBEN TEA &amp; EXPORTS LTD</t>
  </si>
  <si>
    <t>NOIDATOLL</t>
  </si>
  <si>
    <t>NOIDA TOLL BRIDGE COMPANY LTD</t>
  </si>
  <si>
    <t>NOCIL</t>
  </si>
  <si>
    <t>NOCIL LTD</t>
  </si>
  <si>
    <t>NMDC</t>
  </si>
  <si>
    <t>NMDC LTD</t>
  </si>
  <si>
    <t>NLCINDIA</t>
  </si>
  <si>
    <t>NLC INDIA LTD</t>
  </si>
  <si>
    <t>NLC(INDIA)</t>
  </si>
  <si>
    <t>NLC (INDIA) LTD</t>
  </si>
  <si>
    <t>NKIND</t>
  </si>
  <si>
    <t>NK INDUSTRIES LTD</t>
  </si>
  <si>
    <t>NIYOGIN FINTECH LTD</t>
  </si>
  <si>
    <t>NIVI TRADING LTD</t>
  </si>
  <si>
    <t>NIVEDITA MERCANTILE &amp; FINANCING LTD</t>
  </si>
  <si>
    <t>NITTA GELATIN INDIA LTD</t>
  </si>
  <si>
    <t>NITTA GELATIN (INDIA) LTD</t>
  </si>
  <si>
    <t>NITIRAJ</t>
  </si>
  <si>
    <t>NITIRAJ ENGINEERS LTD</t>
  </si>
  <si>
    <t>NITINSPIN</t>
  </si>
  <si>
    <t>NITIN SPINNERS LTD</t>
  </si>
  <si>
    <t>NITINFIRE</t>
  </si>
  <si>
    <t>NITIN FIRE PROTECTION INDUSTRIES LTD</t>
  </si>
  <si>
    <t>NITIN CASTINGS LTD</t>
  </si>
  <si>
    <t>NITESHEST</t>
  </si>
  <si>
    <t>NITESH ESTATES LTD</t>
  </si>
  <si>
    <t>NITCO</t>
  </si>
  <si>
    <t>NITCO LTD</t>
  </si>
  <si>
    <t>NISHTHA FINANCE AND INVESTMENT INDIA LTD</t>
  </si>
  <si>
    <t>NISHTHA FINANCE AND INVESTMENT (INDIA) LTD</t>
  </si>
  <si>
    <t>NIRLON LTD</t>
  </si>
  <si>
    <t>NIRAV COMMERCIALS LTD</t>
  </si>
  <si>
    <t>NIRAJISPAT</t>
  </si>
  <si>
    <t>NIRAJ ISPAT INDUSTRIES LTD</t>
  </si>
  <si>
    <t>NIRAJ CEMENT STRUCTURALS LTD</t>
  </si>
  <si>
    <t>NINTEC SYSTEMS LTD</t>
  </si>
  <si>
    <t>NIMBUS PROJECTS LTD</t>
  </si>
  <si>
    <t>NIMBUS INDUSTRIES LTD</t>
  </si>
  <si>
    <t>NIMBUS FOODS INDUSTRIES LTD</t>
  </si>
  <si>
    <t>NILKANTH ENGINEERING LTD</t>
  </si>
  <si>
    <t>NILKAMAL</t>
  </si>
  <si>
    <t>NILKAMAL LTD</t>
  </si>
  <si>
    <t>NILE LTD</t>
  </si>
  <si>
    <t>NILACHAL REFRACTORIES LTD</t>
  </si>
  <si>
    <t>NILASPACES</t>
  </si>
  <si>
    <t>Nila Spaces Ltd</t>
  </si>
  <si>
    <t>NILAINFRA</t>
  </si>
  <si>
    <t>NILA INFRASTRUCTURES LTD</t>
  </si>
  <si>
    <t>NIKKI GLOBAL FINANCE LTD</t>
  </si>
  <si>
    <t>NIKHIL ADHESIVES LTD</t>
  </si>
  <si>
    <t>NIITTECH</t>
  </si>
  <si>
    <t>NIIT TECHNOLOGIES LTD</t>
  </si>
  <si>
    <t>IT Training Services</t>
  </si>
  <si>
    <t>NIITLTD</t>
  </si>
  <si>
    <t>NIIT LTD</t>
  </si>
  <si>
    <t>NIHAR INFO GLOBAL LTD</t>
  </si>
  <si>
    <t>NIDHI GRANITES LTD</t>
  </si>
  <si>
    <t>NICCO UCO ALLIANCE CREDIT LTD</t>
  </si>
  <si>
    <t>NICCO PARKS &amp; RESORTS LTD</t>
  </si>
  <si>
    <t>NHPC</t>
  </si>
  <si>
    <t>NHPC LTD</t>
  </si>
  <si>
    <t>NHC FOODS LTD</t>
  </si>
  <si>
    <t>NGL FINE-CHEM LTD</t>
  </si>
  <si>
    <t>NEXUS COMMODITIES AND TECHNOLOGIES LTD</t>
  </si>
  <si>
    <t>NEXTMEDIA</t>
  </si>
  <si>
    <t>NEXT MEDIAWORKS LTD</t>
  </si>
  <si>
    <t>NEWGEN</t>
  </si>
  <si>
    <t>NEWGEN SOFTWARE TECHNOLOGIES LTD</t>
  </si>
  <si>
    <t>NEWEVER TRADE WINGS LTD</t>
  </si>
  <si>
    <t>NEW SAGAR TRADING CO LTD</t>
  </si>
  <si>
    <t>NEW MARKETS ADVISORY LTD</t>
  </si>
  <si>
    <t>NEW LIGHT APPARELS LTD</t>
  </si>
  <si>
    <t>NDTV</t>
  </si>
  <si>
    <t>NEW DELHI TELEVISION LTD</t>
  </si>
  <si>
    <t>NEULANDLAB</t>
  </si>
  <si>
    <t>NEULAND LABORATORIES LTD</t>
  </si>
  <si>
    <t>NTL</t>
  </si>
  <si>
    <t>NEUEON TOWERS LTD</t>
  </si>
  <si>
    <t>NETWORK18</t>
  </si>
  <si>
    <t>NETWORK18 MEDIA &amp; INVESTMENTS LTD</t>
  </si>
  <si>
    <t>NETWORK LTD</t>
  </si>
  <si>
    <t>NETTLINX LTD</t>
  </si>
  <si>
    <t>NETRIPPLES SOFTWARE LTD</t>
  </si>
  <si>
    <t>NETLINK SOLUTIONS INDIA LTD</t>
  </si>
  <si>
    <t>NETLINK SOLUTIONS (INDIA) LTD</t>
  </si>
  <si>
    <t>NESTLEIND</t>
  </si>
  <si>
    <t>NESTLE INDIA LTD</t>
  </si>
  <si>
    <t>NESTLE (INDIA) LTD</t>
  </si>
  <si>
    <t>NESCO</t>
  </si>
  <si>
    <t>NESCO LTD</t>
  </si>
  <si>
    <t>NEPTUNE EXPORTS LTD</t>
  </si>
  <si>
    <t>NEOGEN</t>
  </si>
  <si>
    <t>Neogen Chemicals Ltd</t>
  </si>
  <si>
    <t>NEOGEM INDIA LTD</t>
  </si>
  <si>
    <t>NEOGEM (INDIA) LTD</t>
  </si>
  <si>
    <t>NEO INFRACON LTD</t>
  </si>
  <si>
    <t>NELCO</t>
  </si>
  <si>
    <t>NELCO LTD</t>
  </si>
  <si>
    <t>NELCAST</t>
  </si>
  <si>
    <t>NELCAST LTD</t>
  </si>
  <si>
    <t>NEIL INDUSTRIES LTD</t>
  </si>
  <si>
    <t>NEHA INTERNATIONAL LTD</t>
  </si>
  <si>
    <t>NEGOTIUM INTERNATIONAL TRADE LTD</t>
  </si>
  <si>
    <t>NEERAJ PAPER MARKETING LTD</t>
  </si>
  <si>
    <t>NEELKANTH ROCKMINERALS LTD</t>
  </si>
  <si>
    <t>NEELAMALAI AGRO INDUSTRIES LTD</t>
  </si>
  <si>
    <t>NECLIFE</t>
  </si>
  <si>
    <t>NECTAR LIFESCIENCES LTD</t>
  </si>
  <si>
    <t>NDA SECURITIES LTD</t>
  </si>
  <si>
    <t>NCL RESEARCH &amp; FINANCIAL SERVICES LTD</t>
  </si>
  <si>
    <t>NCLIND</t>
  </si>
  <si>
    <t>NCL INDUSTRIES LTD</t>
  </si>
  <si>
    <t>NCC</t>
  </si>
  <si>
    <t>NCC LTD</t>
  </si>
  <si>
    <t>NCC FINANCE LTD</t>
  </si>
  <si>
    <t>NCC BLUE WATER PRODUCTS LTD</t>
  </si>
  <si>
    <t>NBCC</t>
  </si>
  <si>
    <t>NBCC INDIA LTD</t>
  </si>
  <si>
    <t>NBCC (INDIA) LTD</t>
  </si>
  <si>
    <t>NB FOOTWEAR LTD</t>
  </si>
  <si>
    <t>NAYSAA SECURITIES LTD</t>
  </si>
  <si>
    <t>NAVNETEDUL</t>
  </si>
  <si>
    <t>NAVNEET EDUCATION LTD</t>
  </si>
  <si>
    <t>NAVKETAN MERCHANTS LTD</t>
  </si>
  <si>
    <t>NAVKARCORP</t>
  </si>
  <si>
    <t>NAVKAR CORPORATION LTD</t>
  </si>
  <si>
    <t>NAVKAR BUILDERS LTD</t>
  </si>
  <si>
    <t>NAVINFLUOR</t>
  </si>
  <si>
    <t>NAVIN FLUORINE INTERNATIONAL LTD</t>
  </si>
  <si>
    <t>NAVIGANT CORPORATE ADVISORS LTD</t>
  </si>
  <si>
    <t>NBVENTURES</t>
  </si>
  <si>
    <t>NAVA BHARAT VENTURES LTD</t>
  </si>
  <si>
    <t>NATURITE AGRO PRODUCTS LTD</t>
  </si>
  <si>
    <t>NATURAL CAPSULES LTD</t>
  </si>
  <si>
    <t>NATURA HUE CHEM LTD</t>
  </si>
  <si>
    <t>NATRAJ PROTEINS LTD</t>
  </si>
  <si>
    <t>NATNLSTEEL</t>
  </si>
  <si>
    <t>NATIONAL STEEL AND AGRO INDUSTRIES LTD</t>
  </si>
  <si>
    <t>NATIONAL STANDARD INDIA LTD</t>
  </si>
  <si>
    <t>NATIONAL STANDARD (INDIA) LTD</t>
  </si>
  <si>
    <t>NATIONAL PLYWOOD INDUSTRIES LTD</t>
  </si>
  <si>
    <t>NATIONAL PLASTIC TECHNOLOGIES LTD</t>
  </si>
  <si>
    <t>NATIONAL PLASTIC INDUSTRIES LTD</t>
  </si>
  <si>
    <t>NATIONAL PEROXIDE LTD</t>
  </si>
  <si>
    <t>NATIONAL OXYGEN LTD</t>
  </si>
  <si>
    <t>NATIONAL GENERAL INDUSTRIES LTD</t>
  </si>
  <si>
    <t>NATIONAL FITTINGS LTD</t>
  </si>
  <si>
    <t>NFL</t>
  </si>
  <si>
    <t>NATIONAL FERTILIZERS LTD</t>
  </si>
  <si>
    <t>NATIONALUM</t>
  </si>
  <si>
    <t>NATIONAL ALUMINIUM COMPANY LTD</t>
  </si>
  <si>
    <t>NATH PULP &amp; PAPER MILLS LTD</t>
  </si>
  <si>
    <t>NATHBIOGEN</t>
  </si>
  <si>
    <t>NATH BIO-GENES INDIA LTD</t>
  </si>
  <si>
    <t>NATH BIO-GENES (INDIA) LTD</t>
  </si>
  <si>
    <t>NATCOPHARM</t>
  </si>
  <si>
    <t>NATCO PHARMA LTD</t>
  </si>
  <si>
    <t>NATCO ECONOMICALS LTD</t>
  </si>
  <si>
    <t>NARMP</t>
  </si>
  <si>
    <t>NARMADA MACPLAST DRIP IRRIGATION SYSTEMS LTD.</t>
  </si>
  <si>
    <t>NARMADA GELATINES LTD</t>
  </si>
  <si>
    <t>NARMADA</t>
  </si>
  <si>
    <t>NARMADA AGROBASE LTD</t>
  </si>
  <si>
    <t>NARENDRA PROPERTIES LTD</t>
  </si>
  <si>
    <t>NIDL</t>
  </si>
  <si>
    <t>Narendra Investments (Delhi) Ltd</t>
  </si>
  <si>
    <t>NARBADA GEMS AND JEWELLERY LTD</t>
  </si>
  <si>
    <t>NARAYANI STEELS LTD</t>
  </si>
  <si>
    <t>NH</t>
  </si>
  <si>
    <t>NARAYANA HRUDAYALAYA LTD</t>
  </si>
  <si>
    <t>NANDANI</t>
  </si>
  <si>
    <t>NANDANI CREATION LTD</t>
  </si>
  <si>
    <t>NDL</t>
  </si>
  <si>
    <t>NANDAN DENIM LTD</t>
  </si>
  <si>
    <t>NAM SECURITIES LTD</t>
  </si>
  <si>
    <t>NSIL</t>
  </si>
  <si>
    <t>NALWA SONS INVESTMENTS LTD</t>
  </si>
  <si>
    <t>NALIN LEASE FINANCE LTD</t>
  </si>
  <si>
    <t>NAKODA GROUP OF INDUSTRIES LTD</t>
  </si>
  <si>
    <t>NAHARSPING</t>
  </si>
  <si>
    <t>NAHAR SPINNING MILLS LTD</t>
  </si>
  <si>
    <t>NAHARPOLY</t>
  </si>
  <si>
    <t>NAHAR POLY FILMS LTD</t>
  </si>
  <si>
    <t>NAHARINDUS</t>
  </si>
  <si>
    <t>NAHAR INDUSTRIAL ENTERPRISES LTD</t>
  </si>
  <si>
    <t>NAHARCAP</t>
  </si>
  <si>
    <t>NAHAR CAPITAL AND FINANCIAL SERVICES LTD</t>
  </si>
  <si>
    <t>NAGREEKEXP</t>
  </si>
  <si>
    <t>NAGREEKA EXPORTS LTD</t>
  </si>
  <si>
    <t>NAGREEKCAP</t>
  </si>
  <si>
    <t>NAGREEKA CAPITAL &amp; INFRASTRUCTURE LTD</t>
  </si>
  <si>
    <t>NAGPUR POWER &amp; INDUSTRIES LTD</t>
  </si>
  <si>
    <t>NAGAROIL</t>
  </si>
  <si>
    <t>NAGARJUNA OIL REFINERY LTD</t>
  </si>
  <si>
    <t>NAGAFERT</t>
  </si>
  <si>
    <t>NAGARJUNA FERTILIZERS AND CHEMICALS LTD</t>
  </si>
  <si>
    <t>NAGARJUNA AGRI TECH LTD</t>
  </si>
  <si>
    <t>NDGL</t>
  </si>
  <si>
    <t>NAGA DHUNSERI GROUP LTD</t>
  </si>
  <si>
    <t>NACLIND</t>
  </si>
  <si>
    <t>NACL INDUSTRIES LTD</t>
  </si>
  <si>
    <t>N2N TECHNOLOGIES LTD</t>
  </si>
  <si>
    <t>N R INTERNATIONAL LTD</t>
  </si>
  <si>
    <t>NRAIL</t>
  </si>
  <si>
    <t>N R AGARWAL INDUSTRIES LTD</t>
  </si>
  <si>
    <t>N G INDUSTRIES LTD</t>
  </si>
  <si>
    <t>N D METAL INDUSTRIES LTD</t>
  </si>
  <si>
    <t>NBIFIN</t>
  </si>
  <si>
    <t>N B I INDUSTRIAL FINANCE COMPANY LTD</t>
  </si>
  <si>
    <t>MYSTIC ELECTRONICS LTD</t>
  </si>
  <si>
    <t>MYSORE PETRO CHEMICALS LTD</t>
  </si>
  <si>
    <t>MY MONEY SECURITIES LTD</t>
  </si>
  <si>
    <t>MVL</t>
  </si>
  <si>
    <t>MVL LTD</t>
  </si>
  <si>
    <t>MUTHOOTFIN</t>
  </si>
  <si>
    <t>MUTHOOT FINANCE LTD</t>
  </si>
  <si>
    <t>MUTHOOTCAP</t>
  </si>
  <si>
    <t>MUTHOOT CAPITAL SERVICES LTD</t>
  </si>
  <si>
    <t>RADIOCITY</t>
  </si>
  <si>
    <t>MUSIC BROADCAST LTD</t>
  </si>
  <si>
    <t>MURUDCERA</t>
  </si>
  <si>
    <t>MURUDESHWAR CERAMICS LTD</t>
  </si>
  <si>
    <t>MUNOTH FINANCIAL SERVICES LTD</t>
  </si>
  <si>
    <t>MCLTD</t>
  </si>
  <si>
    <t>Munoth Communication Ltd</t>
  </si>
  <si>
    <t>MUNOTH CAPITAL MARKET LTD</t>
  </si>
  <si>
    <t>MUNJALSHOW</t>
  </si>
  <si>
    <t>MUNJAL SHOWA LTD</t>
  </si>
  <si>
    <t>MUNJALAU</t>
  </si>
  <si>
    <t>MUNJAL AUTO INDUSTRIES LTD</t>
  </si>
  <si>
    <t>MULTIPURPOSE TRADING &amp; AGENCIES LTD</t>
  </si>
  <si>
    <t>MULTIPLUS HOLDINGS LTD</t>
  </si>
  <si>
    <t>MULTIBASE INDIA LTD</t>
  </si>
  <si>
    <t>MULTIBASE (INDIA) LTD</t>
  </si>
  <si>
    <t>MCX</t>
  </si>
  <si>
    <t>MULTI COMMODITY EXCHANGE OF INDIA LTD</t>
  </si>
  <si>
    <t>MULTI COMMODITY EXCHANGE OF (INDIA) LTD</t>
  </si>
  <si>
    <t>MULLER &amp; PHIPPS INDIA LTD</t>
  </si>
  <si>
    <t>MULLER &amp; PHIPPS (INDIA) LTD</t>
  </si>
  <si>
    <t>MUKTAARTS</t>
  </si>
  <si>
    <t>MUKTA ARTS LTD</t>
  </si>
  <si>
    <t>MUKTA AGRICULTURE LTD</t>
  </si>
  <si>
    <t>MUKESH BABU FINANCIAL SERVICES LTD</t>
  </si>
  <si>
    <t>Iron &amp;amp; Steel Products</t>
  </si>
  <si>
    <t>MUKATPIP</t>
  </si>
  <si>
    <t>MUKAT PIPES LTD.-$</t>
  </si>
  <si>
    <t>MUKANDLTD</t>
  </si>
  <si>
    <t>MUKAND LTD</t>
  </si>
  <si>
    <t>MUKANDENGG</t>
  </si>
  <si>
    <t>MUKAND ENGINEERS LTD</t>
  </si>
  <si>
    <t>MUDUNURU LTD</t>
  </si>
  <si>
    <t>MUDRA FINANCIAL SERVICES LTD</t>
  </si>
  <si>
    <t>MUDIT FINLEASE LTD</t>
  </si>
  <si>
    <t>MTEDUCARE</t>
  </si>
  <si>
    <t>MT EDUCARE LTD</t>
  </si>
  <si>
    <t>MSTC</t>
  </si>
  <si>
    <t>MSTC Ltd</t>
  </si>
  <si>
    <t>MSTCLTD</t>
  </si>
  <si>
    <t>Mstc LTD</t>
  </si>
  <si>
    <t>MSR INDIA LTD</t>
  </si>
  <si>
    <t>MSR (INDIA) LTD</t>
  </si>
  <si>
    <t>MSPL</t>
  </si>
  <si>
    <t>MSP STEEL &amp; POWER LTD</t>
  </si>
  <si>
    <t>MRUGESH TRADING LTD</t>
  </si>
  <si>
    <t>MRO-TEK</t>
  </si>
  <si>
    <t>MRO-TEK REALTY LTD</t>
  </si>
  <si>
    <t>MRF</t>
  </si>
  <si>
    <t>MRF LTD</t>
  </si>
  <si>
    <t>MRC EXIM LTD</t>
  </si>
  <si>
    <t>MPSLTD</t>
  </si>
  <si>
    <t>MPS LTD</t>
  </si>
  <si>
    <t>MPL PLASTICS LTD</t>
  </si>
  <si>
    <t>MPIL CORPORATION LTD</t>
  </si>
  <si>
    <t>MPHASIS</t>
  </si>
  <si>
    <t>MPHASIS LTD</t>
  </si>
  <si>
    <t>MOUNT SHIVALIK INDUSTRIES LTD</t>
  </si>
  <si>
    <t>N100</t>
  </si>
  <si>
    <t>Motilal Oswal MOSt Shares NASDAQ-100 ETF</t>
  </si>
  <si>
    <t>M50</t>
  </si>
  <si>
    <t>Motilal Oswal MOSt Shares M50 ETF</t>
  </si>
  <si>
    <t>MOTILALOFS</t>
  </si>
  <si>
    <t>MOTILAL OSWAL FINANCIAL SERVICES LTD</t>
  </si>
  <si>
    <t>MOTHERSUMI</t>
  </si>
  <si>
    <t>MOTHERSON SUMI SYSTEMS LTD</t>
  </si>
  <si>
    <t>MOSERBAER</t>
  </si>
  <si>
    <t>MOSER-BAER I LTD</t>
  </si>
  <si>
    <t>MOSCHIP SEMICONDUCTOR TECHNOLOGY LTD</t>
  </si>
  <si>
    <t>MORYOIND</t>
  </si>
  <si>
    <t>MORYO INDUSTRIES LTD.</t>
  </si>
  <si>
    <t>MORGANITE CRUCIBLE INDIA LTD</t>
  </si>
  <si>
    <t>MORGANITE CRUCIBLE (INDIA) LTD</t>
  </si>
  <si>
    <t>MORGAN VENTURES LTD</t>
  </si>
  <si>
    <t>MOREPENLAB</t>
  </si>
  <si>
    <t>MOREPEN LABORATORIES LTD</t>
  </si>
  <si>
    <t>MORARKA FINANCE LTD</t>
  </si>
  <si>
    <t>MORARJEE</t>
  </si>
  <si>
    <t>MORARJEE TEXTILES LTD</t>
  </si>
  <si>
    <t>MOONGIPA SECURITIES LTD</t>
  </si>
  <si>
    <t>MOONGIPA CAPITAL FINANCE LTD</t>
  </si>
  <si>
    <t>MONTECARLO</t>
  </si>
  <si>
    <t>MONTE CARLO FASHIONS LTD</t>
  </si>
  <si>
    <t>MONSANTO</t>
  </si>
  <si>
    <t>MONSANTO INDIA LTD</t>
  </si>
  <si>
    <t>MONSANTO (INDIA) LTD</t>
  </si>
  <si>
    <t>MONOTYPE INDIA LTD</t>
  </si>
  <si>
    <t>MONOTYPE (INDIA) LTD</t>
  </si>
  <si>
    <t>MONNET PROJECT DEVELOPERS LTD</t>
  </si>
  <si>
    <t>AIONJSW</t>
  </si>
  <si>
    <t>MONNET ISPAT &amp; ENERGY LTD</t>
  </si>
  <si>
    <t>MONNET INDUSTRIES LTD</t>
  </si>
  <si>
    <t>MONEY MASTERS LEASING &amp; FINANCE LTD</t>
  </si>
  <si>
    <t>MONARCH NETWORTH CAPITAL LTD</t>
  </si>
  <si>
    <t>MOLDTECH</t>
  </si>
  <si>
    <t>MOLD-TEK TECHNOLOGIES LTD</t>
  </si>
  <si>
    <t>MOLDTKPAC</t>
  </si>
  <si>
    <t>MOLD-TEK PACKAGING LTD</t>
  </si>
  <si>
    <t>MOKSH</t>
  </si>
  <si>
    <t>MOKSH ORNAMENTS LTD</t>
  </si>
  <si>
    <t>MOIL</t>
  </si>
  <si>
    <t>MOIL LTD</t>
  </si>
  <si>
    <t>MOHOTAIND</t>
  </si>
  <si>
    <t>MOHOTA INDUSTRIES LTD</t>
  </si>
  <si>
    <t>MOHITE INDUSTRIES LTD</t>
  </si>
  <si>
    <t>MOHIT PAPER MILLS LTD</t>
  </si>
  <si>
    <t>MOHITIND</t>
  </si>
  <si>
    <t>MOHIT INDUSTRIES LTD</t>
  </si>
  <si>
    <t>MHHL</t>
  </si>
  <si>
    <t>MOHINI HEALTH &amp; HYGIENE LTD</t>
  </si>
  <si>
    <t>MODISON METALS LTD</t>
  </si>
  <si>
    <t>MODIPON LTD</t>
  </si>
  <si>
    <t>MODIRUBBER</t>
  </si>
  <si>
    <t>MODI RUBBER LTD</t>
  </si>
  <si>
    <t>MODI NATURALS LTD</t>
  </si>
  <si>
    <t>MODEX INTERNATIONAL SECURITIES LTD</t>
  </si>
  <si>
    <t>MDRNSTL</t>
  </si>
  <si>
    <t>MODERN STEELS LTD.-$</t>
  </si>
  <si>
    <t>MODERN SHARES &amp; STOCKBROKERS LTD</t>
  </si>
  <si>
    <t>MODERN INDIA LTD</t>
  </si>
  <si>
    <t>MODERN DAIRIES LTD</t>
  </si>
  <si>
    <t>MODERN CONVERTERS LTD</t>
  </si>
  <si>
    <t>MODERN (INDIA) LTD</t>
  </si>
  <si>
    <t>MODELLA WOOLLENS LTD</t>
  </si>
  <si>
    <t>MMTC</t>
  </si>
  <si>
    <t>MMTC LTD</t>
  </si>
  <si>
    <t>MMP</t>
  </si>
  <si>
    <t>MMP INDUSTRIES LTD</t>
  </si>
  <si>
    <t>Auto Tyres &amp;amp; Rubber Products</t>
  </si>
  <si>
    <t>MMRUBBR-B</t>
  </si>
  <si>
    <t>MM RUBBER COMPANY LTD.</t>
  </si>
  <si>
    <t>MMFL</t>
  </si>
  <si>
    <t>MM FORGINGS LTD</t>
  </si>
  <si>
    <t>MIVENMACH</t>
  </si>
  <si>
    <t>MIVEN MACHINE TOOLS LTD.</t>
  </si>
  <si>
    <t>MITTAL</t>
  </si>
  <si>
    <t>MITTAL LIFE STYLE LTD</t>
  </si>
  <si>
    <t>MITSU CHEM PLAST LTD</t>
  </si>
  <si>
    <t>MITSHI INDIA LTD</t>
  </si>
  <si>
    <t>MITSHI (INDIA) LTD</t>
  </si>
  <si>
    <t>MITCON</t>
  </si>
  <si>
    <t>MITCON CONSULTANCY &amp; ENGINEERING SERVICES LTD</t>
  </si>
  <si>
    <t>MISHTANN FOODS LTD</t>
  </si>
  <si>
    <t>MIDHANI</t>
  </si>
  <si>
    <t>MISHRA DHATU NIGAM LTD</t>
  </si>
  <si>
    <t>MISHKA EXIM LTD</t>
  </si>
  <si>
    <t>MIRZAINT</t>
  </si>
  <si>
    <t>MIRZA INTERNATIONAL LTD</t>
  </si>
  <si>
    <t>MIRCH TECHNOLOGIES INDIA LTD</t>
  </si>
  <si>
    <t>MIRCH TECHNOLOGIES (INDIA) LTD</t>
  </si>
  <si>
    <t>MIRCELECTR</t>
  </si>
  <si>
    <t>MIRC ELECTRONICS LTD</t>
  </si>
  <si>
    <t>MIPCO SEAMLESS RINGS GUJARAT LTD</t>
  </si>
  <si>
    <t>MINOLTA FINANCE LTD</t>
  </si>
  <si>
    <t>MINI DIAMONDS INDIA LTD</t>
  </si>
  <si>
    <t>MINI DIAMONDS (INDIA) LTD</t>
  </si>
  <si>
    <t>MINDTREE</t>
  </si>
  <si>
    <t>MINDTREE LTD</t>
  </si>
  <si>
    <t>MINDTECK</t>
  </si>
  <si>
    <t>MINDTECK INDIA LTD</t>
  </si>
  <si>
    <t>MINDTECK (INDIA) LTD</t>
  </si>
  <si>
    <t>MINDAIND</t>
  </si>
  <si>
    <t>MINDA INDUSTRIES LTD</t>
  </si>
  <si>
    <t>MINDA FINANCE LTD</t>
  </si>
  <si>
    <t>MINDACORP</t>
  </si>
  <si>
    <t>MINDA CORPORATION LTD</t>
  </si>
  <si>
    <t>MINAXI TEXTILES LTD</t>
  </si>
  <si>
    <t>MILTON</t>
  </si>
  <si>
    <t>MILTON INDUSTRIES LTD</t>
  </si>
  <si>
    <t>MILLENNIUM ONLINE SOLUTIONS  INDIA  LTD</t>
  </si>
  <si>
    <t>MILKFOOD LTD</t>
  </si>
  <si>
    <t>MILGREY FINANCE &amp; INVESTMENTS LTD</t>
  </si>
  <si>
    <t>MILESTONE GLOBAL LTD</t>
  </si>
  <si>
    <t>MILESTONE FURNITURE LTD</t>
  </si>
  <si>
    <t>MIHIKA INDUSTRIES LTD</t>
  </si>
  <si>
    <t>MIDWEST GOLD LTD</t>
  </si>
  <si>
    <t>Movies &amp;amp; Entertainment</t>
  </si>
  <si>
    <t>MIDVAL</t>
  </si>
  <si>
    <t>MIDVALLEY ENTERTAINMENT LTD.</t>
  </si>
  <si>
    <t>MIDEAST INTEGRATED STEELS LTD</t>
  </si>
  <si>
    <t>MIDAS INFRA TRADE LTD</t>
  </si>
  <si>
    <t>MID INDIA INDUSTRIES LTD</t>
  </si>
  <si>
    <t>MID EAST PORTFOLIO MANAGEMENT LTD</t>
  </si>
  <si>
    <t>MICROSE INDIA LTD</t>
  </si>
  <si>
    <t>MICROSE (INDIA) LTD</t>
  </si>
  <si>
    <t>MIC</t>
  </si>
  <si>
    <t>MIC ELECTRONICS LTD</t>
  </si>
  <si>
    <t>MFS INTERCORP LTD</t>
  </si>
  <si>
    <t>MFL INDIA LTD</t>
  </si>
  <si>
    <t>MFL (INDIA) LTD</t>
  </si>
  <si>
    <t>MAL</t>
  </si>
  <si>
    <t>Meyer Apparel Ltd</t>
  </si>
  <si>
    <t>MEWAT ZINC LTD</t>
  </si>
  <si>
    <t>MEWAR HI-TECH ENGINEERING LTD</t>
  </si>
  <si>
    <t>METROPOLIS</t>
  </si>
  <si>
    <t>Metropolis Healthcare Ltd</t>
  </si>
  <si>
    <t>METROGLOBAL LTD</t>
  </si>
  <si>
    <t>METKORE</t>
  </si>
  <si>
    <t>METKORE ALLOYS &amp; INDUSTRIES LTD</t>
  </si>
  <si>
    <t>METALFORGE</t>
  </si>
  <si>
    <t>METALYST FORGINGS LTD</t>
  </si>
  <si>
    <t>METAL COATINGS INDIA LTD</t>
  </si>
  <si>
    <t>METAL COATINGS (INDIA) LTD</t>
  </si>
  <si>
    <t>MESCO PHARMACEUTICALS LTD</t>
  </si>
  <si>
    <t>MERCURY TRADE LINKS LTD</t>
  </si>
  <si>
    <t>MERCURY METALS LTD</t>
  </si>
  <si>
    <t>MERCURY LABORATORIES LTD</t>
  </si>
  <si>
    <t>MERCK</t>
  </si>
  <si>
    <t>MERCK LTD</t>
  </si>
  <si>
    <t>MERCATOR</t>
  </si>
  <si>
    <t>MERCATOR LTD</t>
  </si>
  <si>
    <t>MERCANTILE VENTURES LTD</t>
  </si>
  <si>
    <t>MEP</t>
  </si>
  <si>
    <t>MEP INFRASTRUCTURE DEVELOPERS LTD</t>
  </si>
  <si>
    <t>MENON PISTONS LTD</t>
  </si>
  <si>
    <t>MENONBE</t>
  </si>
  <si>
    <t>MENON BEARINGS LTD</t>
  </si>
  <si>
    <t>MENA MANI INDUSTRIES LTD</t>
  </si>
  <si>
    <t>MELSTAR</t>
  </si>
  <si>
    <t>MELSTAR INFORMATION TECHNOLOGIES LTD</t>
  </si>
  <si>
    <t>MEHTA SECURITIES LTD</t>
  </si>
  <si>
    <t>MEHTA INTEGRATED FINANCE LTD</t>
  </si>
  <si>
    <t>MEHTA HOUSING FINANCE LTD</t>
  </si>
  <si>
    <t>MEHAI TECHNOLOGY LTD</t>
  </si>
  <si>
    <t>MEGRI SOFT LTD</t>
  </si>
  <si>
    <t>MEGLON INFRA-REAL INDIA LTD</t>
  </si>
  <si>
    <t>MEGLON INFRA-REAL (INDIA) LTD</t>
  </si>
  <si>
    <t>MEGH</t>
  </si>
  <si>
    <t>MEGHMANI ORGANICS LTD</t>
  </si>
  <si>
    <t>MEGASTAR FOODS LTD</t>
  </si>
  <si>
    <t>MEGASOFT</t>
  </si>
  <si>
    <t>MEGASOFT LTD</t>
  </si>
  <si>
    <t>MEGA NIRMAN AND INDUSTRIES LTD</t>
  </si>
  <si>
    <t>MEGA FIN INDIA LTD</t>
  </si>
  <si>
    <t>MEGA FIN (INDIA) LTD</t>
  </si>
  <si>
    <t>MEGA CORPORATION LTD</t>
  </si>
  <si>
    <t>MEFCOM CAPITAL MARKETS LTD</t>
  </si>
  <si>
    <t>MEFCOM AGRO INDUSTRIES LTD</t>
  </si>
  <si>
    <t>MEERA INDUSTRIES LTD</t>
  </si>
  <si>
    <t>MEENAKSHI STEEL INDUSTRIES LTD</t>
  </si>
  <si>
    <t>MEENAKSHI ENTERPRISES LTD</t>
  </si>
  <si>
    <t>MEDINOVA DIAGNOSTIC SERVICES LTD</t>
  </si>
  <si>
    <t>MEDICO REMEDIES LTD</t>
  </si>
  <si>
    <t>MIL</t>
  </si>
  <si>
    <t>Medico Intercontinental Ltd</t>
  </si>
  <si>
    <t>MEDI-CAPS LTD</t>
  </si>
  <si>
    <t>MEDICAMEN BIOTECH LTD</t>
  </si>
  <si>
    <t>MEDIA MATRIX WORLDWIDE LTD</t>
  </si>
  <si>
    <t>MBECL</t>
  </si>
  <si>
    <t>MCNALLY BHARAT ENGINEERING COMPANY LTD</t>
  </si>
  <si>
    <t>MCLEODRUSS</t>
  </si>
  <si>
    <t>MCLEOD RUSSEL INDIA LTD</t>
  </si>
  <si>
    <t>MCLEOD RUSSEL (INDIA) LTD</t>
  </si>
  <si>
    <t>MCDHOLDING</t>
  </si>
  <si>
    <t>MCDOWELL HOLDINGS LTD</t>
  </si>
  <si>
    <t>MBLINFRA</t>
  </si>
  <si>
    <t>MBL INFRASTRUCTURES LTD</t>
  </si>
  <si>
    <t>MAZDA</t>
  </si>
  <si>
    <t>MAZDA LTD</t>
  </si>
  <si>
    <t>MAYURUNIQ</t>
  </si>
  <si>
    <t>MAYUR UNIQUOTERS LTD</t>
  </si>
  <si>
    <t>MAYUR LEATHER PRODUCTS LTD</t>
  </si>
  <si>
    <t>MAYUR FLOORINGS LTD</t>
  </si>
  <si>
    <t>MAYUKH DEALTRADE LTD</t>
  </si>
  <si>
    <t>MAXIMUS INTERNATIONAL LTD</t>
  </si>
  <si>
    <t>MAXIMAA SYSTEMS LTD</t>
  </si>
  <si>
    <t>MAXHEIGHTS INFRASTRUCTURE LTD</t>
  </si>
  <si>
    <t>MAXVIL</t>
  </si>
  <si>
    <t>MAX VENTURES AND INDUSTRIES LTD</t>
  </si>
  <si>
    <t>MAX INDIA LTD</t>
  </si>
  <si>
    <t>MFSL</t>
  </si>
  <si>
    <t>MAX FINANCIAL SERVICES LTD</t>
  </si>
  <si>
    <t>MASL</t>
  </si>
  <si>
    <t>MAX ALERT SYSTEMS LTD.</t>
  </si>
  <si>
    <t>MAX(INDIA)</t>
  </si>
  <si>
    <t>MAX (INDIA) LTD</t>
  </si>
  <si>
    <t>MAWANASUG</t>
  </si>
  <si>
    <t>MAWANA SUGARS LTD</t>
  </si>
  <si>
    <t>MAVI INDUSTRIES LTD</t>
  </si>
  <si>
    <t>MAURIA UDYOG LTD</t>
  </si>
  <si>
    <t>MATRIMONY</t>
  </si>
  <si>
    <t>MATRIMONY COM LTD</t>
  </si>
  <si>
    <t>MATHEW EASOW RESEARCH SECURITIES LTD</t>
  </si>
  <si>
    <t>MASTER TRUST LTD</t>
  </si>
  <si>
    <t>MASTER CHEMICALS LTD</t>
  </si>
  <si>
    <t>MASTEK</t>
  </si>
  <si>
    <t>MASTEK LTD</t>
  </si>
  <si>
    <t>MASKINVEST</t>
  </si>
  <si>
    <t>MASK INVESTMENTS LTD</t>
  </si>
  <si>
    <t>MASFIN</t>
  </si>
  <si>
    <t>MAS FINANCIAL SERVICES LTD</t>
  </si>
  <si>
    <t>MDL</t>
  </si>
  <si>
    <t>MARVEL DECOR LTD</t>
  </si>
  <si>
    <t>Cars &amp; Utility Vehicles</t>
  </si>
  <si>
    <t>MARUTI</t>
  </si>
  <si>
    <t>MARUTI SUZUKI INDIA LTD</t>
  </si>
  <si>
    <t>MARUTI SUZUKI (INDIA) LTD</t>
  </si>
  <si>
    <t>MARUTI SECURITIES LTD</t>
  </si>
  <si>
    <t>MARUTI INFRASTRUCTURE LTD</t>
  </si>
  <si>
    <t>MARTIN BURN LTD</t>
  </si>
  <si>
    <t>MARSONS LTD</t>
  </si>
  <si>
    <t>MARSHALL</t>
  </si>
  <si>
    <t>MARSHALL MACHINES LTD</t>
  </si>
  <si>
    <t>MARKSANS</t>
  </si>
  <si>
    <t>MARKSANS PHARMA LTD</t>
  </si>
  <si>
    <t>MARKET CREATORS LTD</t>
  </si>
  <si>
    <t>MARIS SPINNERS LTD</t>
  </si>
  <si>
    <t>MARINE</t>
  </si>
  <si>
    <t>MARINE ELECTRICALS INDIA LTD</t>
  </si>
  <si>
    <t>MARINE ELECTRICALS (INDIA) LTD</t>
  </si>
  <si>
    <t>MARICO</t>
  </si>
  <si>
    <t>MARICO LTD</t>
  </si>
  <si>
    <t>MARGO FINANCE LTD</t>
  </si>
  <si>
    <t>MARG TECHNO PROJECTS LTD</t>
  </si>
  <si>
    <t>MARG LTD</t>
  </si>
  <si>
    <t>MARDIA SAMYOUNG CAPILLARY TUBES COMPANY LTD</t>
  </si>
  <si>
    <t>MARATHWADA REFRACTORIES LTD</t>
  </si>
  <si>
    <t>MARATHON</t>
  </si>
  <si>
    <t>MARATHON NEXTGEN REALTY LTD</t>
  </si>
  <si>
    <t>MARALOVER</t>
  </si>
  <si>
    <t>MARAL OVERSEAS LTD</t>
  </si>
  <si>
    <t>MANVIJAY DEVELOPMENT COMPANY LTD</t>
  </si>
  <si>
    <t>MANUGRAPH</t>
  </si>
  <si>
    <t>MANUGRAPH INDIA LTD</t>
  </si>
  <si>
    <t>MANUGRAPH (INDIA) LTD</t>
  </si>
  <si>
    <t>MANSOON TRADING CO LTD</t>
  </si>
  <si>
    <t>MANSI FINANCE CHENNAI LTD</t>
  </si>
  <si>
    <t>MANRAJ HOUSING FINANCE LTD</t>
  </si>
  <si>
    <t>MANPASAND</t>
  </si>
  <si>
    <t>MANPASAND BEVERAGES LTD</t>
  </si>
  <si>
    <t>MANORAMA INDUSTRIES LTD</t>
  </si>
  <si>
    <t>MANOMAY TEX INDIA LTD</t>
  </si>
  <si>
    <t>MANOMAY TEX (INDIA) LTD</t>
  </si>
  <si>
    <t>MANJEERA CONSTRUCTIONS LTD</t>
  </si>
  <si>
    <t>MANIPAL FINANCE CORPORATION LTD</t>
  </si>
  <si>
    <t>MANGALYA SOFT-TECH LTD</t>
  </si>
  <si>
    <t>MRPL</t>
  </si>
  <si>
    <t>MANGALORE REFINERY AND PETROCHEMICALS LTD</t>
  </si>
  <si>
    <t>MANGCHEFER</t>
  </si>
  <si>
    <t>MANGALORE CHEMICALS &amp; FERTILIZERS LTD</t>
  </si>
  <si>
    <t>MANGTIMBER</t>
  </si>
  <si>
    <t>MANGALAM TIMBER PRODUCTS LTD</t>
  </si>
  <si>
    <t>MANGALAM SEEDS LTD</t>
  </si>
  <si>
    <t>MANGALAM ORGANICS LTD</t>
  </si>
  <si>
    <t>MANGALAM INDUSTRIAL FINANCE LTD</t>
  </si>
  <si>
    <t>MANGALAM</t>
  </si>
  <si>
    <t>MANGALAM DRUGS AND ORGANICS LTD</t>
  </si>
  <si>
    <t>MANGLMCEM</t>
  </si>
  <si>
    <t>MANGALAM CEMENT LTD</t>
  </si>
  <si>
    <t>MANCREDIT</t>
  </si>
  <si>
    <t>MANGAL CREDIT AND FINCORP LTD.</t>
  </si>
  <si>
    <t>MANDHANA</t>
  </si>
  <si>
    <t>MANDHANA INDUSTRIES LTD</t>
  </si>
  <si>
    <t>MANAV</t>
  </si>
  <si>
    <t>MANAV INFRA PROJECTS LTD</t>
  </si>
  <si>
    <t>MANAS PROPERTIES LTD</t>
  </si>
  <si>
    <t>MANAPPURAM</t>
  </si>
  <si>
    <t>MANAPPURAM FINANCE LTD</t>
  </si>
  <si>
    <t>MANALIPETC</t>
  </si>
  <si>
    <t>MANALI PETROCHEMICALS LTD</t>
  </si>
  <si>
    <t>MANAKSTEEL</t>
  </si>
  <si>
    <t>MANAKSIA STEELS LTD</t>
  </si>
  <si>
    <t>MANAKSIA</t>
  </si>
  <si>
    <t>MANAKSIA LTD</t>
  </si>
  <si>
    <t>MANAKCOAT</t>
  </si>
  <si>
    <t>MANAKSIA COATED METALS &amp; INDUSTRIES LTD</t>
  </si>
  <si>
    <t>MANAKALUCO</t>
  </si>
  <si>
    <t>MANAKSIA ALUMINIUM COMPANY LTD</t>
  </si>
  <si>
    <t>MANINFRA</t>
  </si>
  <si>
    <t>MAN INFRACONSTRUCTION LTD</t>
  </si>
  <si>
    <t>MANINDS</t>
  </si>
  <si>
    <t>MAN INDUSTRIES INDIA LTD</t>
  </si>
  <si>
    <t>MAN INDUSTRIES (INDIA) LTD</t>
  </si>
  <si>
    <t>MALUPAPER</t>
  </si>
  <si>
    <t>MALU PAPER MILLS LTD</t>
  </si>
  <si>
    <t>MALLCOM INDIA LTD</t>
  </si>
  <si>
    <t>MALLCOM (INDIA) LTD</t>
  </si>
  <si>
    <t>MAKERS LABORATORIES LTD</t>
  </si>
  <si>
    <t>MAJESTIC RESEARCH SERVICES AND SOLUTIONS LTD</t>
  </si>
  <si>
    <t>MAJESTIC AUTO LTD</t>
  </si>
  <si>
    <t>MAJESCO</t>
  </si>
  <si>
    <t>MAJESCO LTD</t>
  </si>
  <si>
    <t>MAITRI ENTERPRISES LTD</t>
  </si>
  <si>
    <t>MAITHANALL</t>
  </si>
  <si>
    <t>MAITHAN ALLOYS LTD</t>
  </si>
  <si>
    <t>Containers &amp;amp; Packaging</t>
  </si>
  <si>
    <t>MAHIP</t>
  </si>
  <si>
    <t>Mahip Industries Ltd</t>
  </si>
  <si>
    <t>MAHLOG</t>
  </si>
  <si>
    <t>MAHINDRA LOGISTICS LTD</t>
  </si>
  <si>
    <t>MAHLIFE</t>
  </si>
  <si>
    <t>MAHINDRA LIFESPACE DEVELOPERS LTD</t>
  </si>
  <si>
    <t>MHRIL</t>
  </si>
  <si>
    <t>MAHINDRA HOLIDAYS &amp; RESORTS INDIA LTD</t>
  </si>
  <si>
    <t>MAHINDRA HOLIDAYS &amp; RESORTS (INDIA) LTD</t>
  </si>
  <si>
    <t>MAHINDCIE</t>
  </si>
  <si>
    <t>MAHINDRA CIE AUTOMOTIVE LTD</t>
  </si>
  <si>
    <t>M&amp;M</t>
  </si>
  <si>
    <t>MAHINDRA &amp; MAHINDRA LTD</t>
  </si>
  <si>
    <t>M&amp;MFIN</t>
  </si>
  <si>
    <t>MAHINDRA &amp; MAHINDRA FINANCIAL SERVICES LTD</t>
  </si>
  <si>
    <t>MAHICKRA</t>
  </si>
  <si>
    <t>MAHICKRA CHEMICALS LTD</t>
  </si>
  <si>
    <t>MAHESHWARI</t>
  </si>
  <si>
    <t>MAHESHWARI LOGISTICS LTD</t>
  </si>
  <si>
    <t>MAHESH</t>
  </si>
  <si>
    <t>Mahesh Developers Ltd</t>
  </si>
  <si>
    <t>MAHAVIR INDUSTRIES LTD</t>
  </si>
  <si>
    <t>MAHAVEER INFOWAY LTD</t>
  </si>
  <si>
    <t>MAHASHREE TRADING LTD</t>
  </si>
  <si>
    <t>MAHASAGAR TRAVELS LTD</t>
  </si>
  <si>
    <t>MAHSEAMLES</t>
  </si>
  <si>
    <t>MAHARASHTRA SEAMLESS LTD</t>
  </si>
  <si>
    <t>MAHSCOOTER</t>
  </si>
  <si>
    <t>MAHARASHTRA SCOOTERS LTD</t>
  </si>
  <si>
    <t>MAHARASHTRA CORPORATION LTD</t>
  </si>
  <si>
    <t>MAHANIVESH INDIA LTD</t>
  </si>
  <si>
    <t>MAHANIVESH (INDIA) LTD</t>
  </si>
  <si>
    <t>MTNL</t>
  </si>
  <si>
    <t>MAHANAGAR TELEPHONE NIGAM LTD</t>
  </si>
  <si>
    <t>MGL</t>
  </si>
  <si>
    <t>MAHANAGAR GAS LTD</t>
  </si>
  <si>
    <t>MAHAN INDUSTRIES LTD</t>
  </si>
  <si>
    <t>MAHASTEEL</t>
  </si>
  <si>
    <t>MAHAMAYA STEEL INDUSTRIES LTD</t>
  </si>
  <si>
    <t>MAHALAXMI SEAMLESS LTD</t>
  </si>
  <si>
    <t>MAHALAXMI RUBTECH LTD</t>
  </si>
  <si>
    <t>MAHAAN FOODS LTD</t>
  </si>
  <si>
    <t>MAHAPEXLTD</t>
  </si>
  <si>
    <t>MAHA RASHTRA APEX CORPORATION LTD</t>
  </si>
  <si>
    <t>MAGNUM</t>
  </si>
  <si>
    <t>MAGNUM VENTURES LTD</t>
  </si>
  <si>
    <t>MAGNANIMOUS TRADE &amp; FINANCE LTD</t>
  </si>
  <si>
    <t>MAGNA ELECTRO CASTINGS LTD</t>
  </si>
  <si>
    <t>MAGMA</t>
  </si>
  <si>
    <t>MAGMA FINCORP LTD</t>
  </si>
  <si>
    <t>MAGADSUGAR</t>
  </si>
  <si>
    <t>MAGADH SUGAR &amp; ENERGY LTD</t>
  </si>
  <si>
    <t>MAFATLAL INDUSTRIES LTD</t>
  </si>
  <si>
    <t>MAESTROS ELECTRONICS &amp; TELECOMMUNICATIONS SYSTEMS LTD</t>
  </si>
  <si>
    <t>MADRASFERT</t>
  </si>
  <si>
    <t>MADRAS FERTILIZERS LTD</t>
  </si>
  <si>
    <t>MPTODAY</t>
  </si>
  <si>
    <t>MADHYA PRADESH TODAY MEDIA LTD</t>
  </si>
  <si>
    <t>MBAPL</t>
  </si>
  <si>
    <t>MADHYA BHARAT AGRO PRODUCTS LTD</t>
  </si>
  <si>
    <t>MADHUVEER COM 18 NETWORK LTD</t>
  </si>
  <si>
    <t>MADHUSUDAN SECURITIES LTD</t>
  </si>
  <si>
    <t>MADHUSUDAN INDUSTRIES LTD</t>
  </si>
  <si>
    <t>MADHUR INDUSTRIES LTD</t>
  </si>
  <si>
    <t>MADHUCON</t>
  </si>
  <si>
    <t>MADHUCON PROJECTS LTD</t>
  </si>
  <si>
    <t>MADHUBAN CONSTRUCTIONS LTD</t>
  </si>
  <si>
    <t>MADHAV</t>
  </si>
  <si>
    <t>MADHAV MARBLES AND GRANITES LTD</t>
  </si>
  <si>
    <t>MADHAV INFRA PROJECTS LTD</t>
  </si>
  <si>
    <t>MCL</t>
  </si>
  <si>
    <t>MADHAV COPPER LTD</t>
  </si>
  <si>
    <t>MACRO INTERNATIONAL EXPORTS LTD</t>
  </si>
  <si>
    <t>MACPOWER</t>
  </si>
  <si>
    <t>MACPOWER CNC MACHINES LTD</t>
  </si>
  <si>
    <t>MACK TRADING CO LTD</t>
  </si>
  <si>
    <t>MACHINO PLASTICS LTD</t>
  </si>
  <si>
    <t>MAC HOTELS LTD</t>
  </si>
  <si>
    <t>MAC CHARLES INDIA LTD</t>
  </si>
  <si>
    <t>MAC CHARLES (INDIA) LTD</t>
  </si>
  <si>
    <t>MAANALU</t>
  </si>
  <si>
    <t>MAAN ALUMINIUM LTD</t>
  </si>
  <si>
    <t>M P AGRO INDUSTRIES LTD</t>
  </si>
  <si>
    <t>MKPL</t>
  </si>
  <si>
    <t>M K PROTEINS LTD</t>
  </si>
  <si>
    <t>M K  EXIM INDIA LTD</t>
  </si>
  <si>
    <t>M K  EXIM (INDIA) LTD</t>
  </si>
  <si>
    <t>M B PARIKH FINSTOCKS LTD</t>
  </si>
  <si>
    <t>LYPSAGEMS</t>
  </si>
  <si>
    <t>LYPSA GEMS &amp; JEWELLERY LTD</t>
  </si>
  <si>
    <t>LYNX MACHINERY &amp; COMMERCIALS LTD</t>
  </si>
  <si>
    <t>LYKIS LTD</t>
  </si>
  <si>
    <t>LYKALABS</t>
  </si>
  <si>
    <t>LYKA LABS LTD</t>
  </si>
  <si>
    <t>LWS KNITWEAR LTD</t>
  </si>
  <si>
    <t>LUXIND</t>
  </si>
  <si>
    <t>LUX INDUSTRIES LTD</t>
  </si>
  <si>
    <t>LUPIN</t>
  </si>
  <si>
    <t>LUPIN LTD</t>
  </si>
  <si>
    <t>LUMAXIND</t>
  </si>
  <si>
    <t>LUMAX INDUSTRIES LTD</t>
  </si>
  <si>
    <t>LUMAXTECH</t>
  </si>
  <si>
    <t>LUMAX AUTO TECHNOLOGIES LTD</t>
  </si>
  <si>
    <t>LUHARUKA MEDIA &amp; INFRA LTD</t>
  </si>
  <si>
    <t>Jute &amp; Jute Products</t>
  </si>
  <si>
    <t>LUDLOW JUTE &amp; SPECIALITIES LTD</t>
  </si>
  <si>
    <t>DAAWAT</t>
  </si>
  <si>
    <t>LT FOODS LTD</t>
  </si>
  <si>
    <t>LOYAL TEXTILE MILLS LTD</t>
  </si>
  <si>
    <t>LOYAL EQUIPMENTS LTD</t>
  </si>
  <si>
    <t>LOVABLE</t>
  </si>
  <si>
    <t>LOVABLE LINGERIE LTD</t>
  </si>
  <si>
    <t>LOTUSEYE</t>
  </si>
  <si>
    <t>LOTUS EYE HOSPITAL AND INSTITUTE LTD</t>
  </si>
  <si>
    <t>LOTUS CHOCOLATE CO LTD</t>
  </si>
  <si>
    <t>LORENZINI APPARELS LTD</t>
  </si>
  <si>
    <t>LORDS ISHWAR HOTELS LTD</t>
  </si>
  <si>
    <t>LORDS CHLORO ALKALI LTD</t>
  </si>
  <si>
    <t>LOOKS HEALTH SERVICES LTD</t>
  </si>
  <si>
    <t>LONGVIEW TEA COMPANY LTD</t>
  </si>
  <si>
    <t>LOKESHMACH</t>
  </si>
  <si>
    <t>LOKESH MACHINES LTD</t>
  </si>
  <si>
    <t>LOHIA SECURITIES LTD</t>
  </si>
  <si>
    <t>LSIL</t>
  </si>
  <si>
    <t>LLOYDS STEELS INDUSTRIES LTD</t>
  </si>
  <si>
    <t>LLOYDS METALS AND ENERGY LTD</t>
  </si>
  <si>
    <t>LKP SECURITIES LTD</t>
  </si>
  <si>
    <t>LKP FINANCE LTD</t>
  </si>
  <si>
    <t>LIPPI SYSTEMS LTD</t>
  </si>
  <si>
    <t>LINK PHARMA CHEM LTD</t>
  </si>
  <si>
    <t>LINDEINDIA</t>
  </si>
  <si>
    <t>LINDE INDIA LTD</t>
  </si>
  <si>
    <t>LINDE(INDIA)</t>
  </si>
  <si>
    <t>LINDE (INDIA) LTD</t>
  </si>
  <si>
    <t>LINCOLN</t>
  </si>
  <si>
    <t>LINCOLN PHARMACEUTICALS LTD</t>
  </si>
  <si>
    <t>LINCPEN</t>
  </si>
  <si>
    <t>LINC PEN &amp; PLASTICS LTD</t>
  </si>
  <si>
    <t>LINAKS</t>
  </si>
  <si>
    <t>LINAKS MICROELECTRONICS LTD.</t>
  </si>
  <si>
    <t>LIME CHEMICALS LTD</t>
  </si>
  <si>
    <t>LIKHAMI CONSULTING LTD</t>
  </si>
  <si>
    <t>LICHSGFIN</t>
  </si>
  <si>
    <t>LIC HOUSING FINANCE LTD</t>
  </si>
  <si>
    <t>LIBORD SECURITIES LTD</t>
  </si>
  <si>
    <t>LIBORD FINANCE LTD</t>
  </si>
  <si>
    <t>LIBERTSHOE</t>
  </si>
  <si>
    <t>LIBERTY SHOES LTD</t>
  </si>
  <si>
    <t>LIBAS</t>
  </si>
  <si>
    <t>LIBAS DESIGNS LTD</t>
  </si>
  <si>
    <t>LGBFORGE</t>
  </si>
  <si>
    <t>LGB FORGE LTD.</t>
  </si>
  <si>
    <t>LGBBROSLTD</t>
  </si>
  <si>
    <t>LG BALAKRISHNAN &amp; BROS LTD</t>
  </si>
  <si>
    <t>LEXUS</t>
  </si>
  <si>
    <t>LEXUS GRANITO INDIA LTD</t>
  </si>
  <si>
    <t>LEXUS GRANITO (INDIA) LTD</t>
  </si>
  <si>
    <t>LEX NIMBLE SOLUTIONS LTD</t>
  </si>
  <si>
    <t>LESHA INDUSTRIES LTD</t>
  </si>
  <si>
    <t>LEMONTREE</t>
  </si>
  <si>
    <t>LEMON TREE HOTELS LTD</t>
  </si>
  <si>
    <t>LEGACY MERCANTILE LTD</t>
  </si>
  <si>
    <t>LEENA CONSULTANCY LTD</t>
  </si>
  <si>
    <t>LEEL</t>
  </si>
  <si>
    <t>LEEL ELECTRICALS LTD</t>
  </si>
  <si>
    <t>LEE &amp; NEE SOFTWARES EXPORTS LTD</t>
  </si>
  <si>
    <t>LEDO TEA CO LTD</t>
  </si>
  <si>
    <t>LEADING LEASING FINANCE AND INVESTMENT COMPANY LTD</t>
  </si>
  <si>
    <t>LEAD FINANCIAL SERVICES LTD</t>
  </si>
  <si>
    <t>LAXMICOT</t>
  </si>
  <si>
    <t>LAXMI COTSPIN LTD</t>
  </si>
  <si>
    <t>LAWRESHWAR POLYMERS LTD</t>
  </si>
  <si>
    <t>LAURUSLABS</t>
  </si>
  <si>
    <t>LAURUS LABS LTD</t>
  </si>
  <si>
    <t>LATTEYS</t>
  </si>
  <si>
    <t>LATTEYS INDUSTRIES LTD</t>
  </si>
  <si>
    <t>LATENT LIGHT FINANCE LTD</t>
  </si>
  <si>
    <t>LASER DIAMONDS LTD</t>
  </si>
  <si>
    <t>LASA</t>
  </si>
  <si>
    <t>LASA SUPERGENERICS LTD</t>
  </si>
  <si>
    <t>LT</t>
  </si>
  <si>
    <t>LARSEN &amp; TOUBRO LTD</t>
  </si>
  <si>
    <t>LTI</t>
  </si>
  <si>
    <t>LARSEN &amp; TOUBRO INFOTECH LTD</t>
  </si>
  <si>
    <t>LPDC</t>
  </si>
  <si>
    <t>LANDMARK PROPERTY DEVELOPMENT COMPANY LTD</t>
  </si>
  <si>
    <t>LANDMARC LEISURE CORPORATION LTD</t>
  </si>
  <si>
    <t>LANCOR HOLDINGS LTD</t>
  </si>
  <si>
    <t>LANCER CONTAINER LINES LTD</t>
  </si>
  <si>
    <t>LAMBODHARA</t>
  </si>
  <si>
    <t>LAMBODHARA TEXTILES LTD</t>
  </si>
  <si>
    <t>LAKSHVILAS</t>
  </si>
  <si>
    <t>LAKSHMI VILAS BANK LTD</t>
  </si>
  <si>
    <t>LAKPRE</t>
  </si>
  <si>
    <t>LAKSHMI PRECISION SCREWS LTD</t>
  </si>
  <si>
    <t>LAKSHMI MILLS COMPANY LTD</t>
  </si>
  <si>
    <t>LAXMIMACH</t>
  </si>
  <si>
    <t>LAKSHMI MACHINE WORKS LTD</t>
  </si>
  <si>
    <t>LFIC</t>
  </si>
  <si>
    <t>LAKSHMI FINANCE &amp; INDUSTRIAL CORPORATION LTD</t>
  </si>
  <si>
    <t>LAKSHMI ELECTRICAL CONTROL SYSTEMS LTD</t>
  </si>
  <si>
    <t>LAKSHMI AUTOMATIC LOOM WORKS LTD</t>
  </si>
  <si>
    <t>LAKHOTIA POLYESTERS INDIA LTD</t>
  </si>
  <si>
    <t>LAKHOTIA POLYESTERS (INDIA) LTD</t>
  </si>
  <si>
    <t>LAHOTI OVERSEAS LTD</t>
  </si>
  <si>
    <t>LAGNAM</t>
  </si>
  <si>
    <t>LAGNAM SPINTEX LTD</t>
  </si>
  <si>
    <t>LAFFANS PETROCHEMICALS LTD</t>
  </si>
  <si>
    <t>LADDERUP FINANCE LTD</t>
  </si>
  <si>
    <t>LADAM AFFORDABLE HOUSING LTD</t>
  </si>
  <si>
    <t>LACTOSE INDIA LTD</t>
  </si>
  <si>
    <t>LACTOSE (INDIA) LTD</t>
  </si>
  <si>
    <t>LATIMMETAL</t>
  </si>
  <si>
    <t>La Tim Metal &amp;amp; Industries Ltd</t>
  </si>
  <si>
    <t>LAOPALA</t>
  </si>
  <si>
    <t>LA OPALA RG LTD</t>
  </si>
  <si>
    <t>LTTS</t>
  </si>
  <si>
    <t>L&amp;T TECHNOLOGY SERVICES LTD</t>
  </si>
  <si>
    <t>L&amp;TFH</t>
  </si>
  <si>
    <t>L&amp;T FINANCE HOLDINGS LTD</t>
  </si>
  <si>
    <t>L  P  NAVAL AND ENGINEERING LTD</t>
  </si>
  <si>
    <t>KWALITY PHARMACEUTICALS LTD</t>
  </si>
  <si>
    <t>KWALITY</t>
  </si>
  <si>
    <t>KWALITY LTD</t>
  </si>
  <si>
    <t>KWALITY CREDIT &amp; LEASING LTD</t>
  </si>
  <si>
    <t>KUWER INDUSTRIES LTD</t>
  </si>
  <si>
    <t>KUSHAL LTD</t>
  </si>
  <si>
    <t>KUSH INDUSTRIES LTD</t>
  </si>
  <si>
    <t>KUSAM ELECTRICAL INDUSTRIES LTD</t>
  </si>
  <si>
    <t>KUNSTSTOFFE INDUSTRIES LTD</t>
  </si>
  <si>
    <t>KUMAR WIRE CLOTH MANUFACTURING COMPANY LTD</t>
  </si>
  <si>
    <t>KULKARNI POWER &amp; TOOLS LTD</t>
  </si>
  <si>
    <t>KUBER UDYOG LTD</t>
  </si>
  <si>
    <t>KUANTUM PAPERS LTD</t>
  </si>
  <si>
    <t>KSERASERA</t>
  </si>
  <si>
    <t>KSS LTD</t>
  </si>
  <si>
    <t>KSL AND INDUSTRIES LTD</t>
  </si>
  <si>
    <t>KSK</t>
  </si>
  <si>
    <t>KSK ENERGY VENTURES LTD</t>
  </si>
  <si>
    <t>KSHITIZ INVESTMENT LTD</t>
  </si>
  <si>
    <t>KSHITIJPOL</t>
  </si>
  <si>
    <t>KSHITIJ POLYLINE LTD</t>
  </si>
  <si>
    <t>KSE LTD</t>
  </si>
  <si>
    <t>KSB</t>
  </si>
  <si>
    <t>KSB LTD</t>
  </si>
  <si>
    <t>KRYPTON INDUSTRIES LTD</t>
  </si>
  <si>
    <t>KRITIKA</t>
  </si>
  <si>
    <t>KRITIKA WIRES LTD</t>
  </si>
  <si>
    <t>KRITI NUTRIENTS LTD</t>
  </si>
  <si>
    <t>KRITI INDUSTRIES INDIA LTD</t>
  </si>
  <si>
    <t>KRITI INDUSTRIES (INDIA) LTD</t>
  </si>
  <si>
    <t>KRISHNA VENTURES LTD</t>
  </si>
  <si>
    <t>KRISHNA CAPITAL AND SECURITIES LTD</t>
  </si>
  <si>
    <t>KRISHANA</t>
  </si>
  <si>
    <t>KRISHANA PHOSCHEM LTD</t>
  </si>
  <si>
    <t>KRIDHANINF</t>
  </si>
  <si>
    <t>KRIDHAN INFRA LTD</t>
  </si>
  <si>
    <t>KRETTO SYSCON LTD</t>
  </si>
  <si>
    <t>KREON FINNANCIAL SERVICES LTD</t>
  </si>
  <si>
    <t>KREBSBIO</t>
  </si>
  <si>
    <t>KREBS BIOCHEMICALS AND INDUSTRIES LTD</t>
  </si>
  <si>
    <t>KRBL</t>
  </si>
  <si>
    <t>KRBL LTD</t>
  </si>
  <si>
    <t>KRATOS ENERGY &amp; INFRASTRUCTURE LTD</t>
  </si>
  <si>
    <t>KRANTI</t>
  </si>
  <si>
    <t>Kranti Industries Ltd</t>
  </si>
  <si>
    <t>KPITTECH</t>
  </si>
  <si>
    <t>KPIT Technologies Ltd</t>
  </si>
  <si>
    <t>KPIT</t>
  </si>
  <si>
    <t>KPIT TECHNOLOGIES LTD</t>
  </si>
  <si>
    <t>KOVILPATTI LAKSHMI ROLLER FLOUR MILLS LTD</t>
  </si>
  <si>
    <t>KOVALAM INVESTMENT &amp; TRADING CO LTD</t>
  </si>
  <si>
    <t>KOVAI MEDICAL CENTER &amp; HOSPITAL LTD</t>
  </si>
  <si>
    <t>KOTIA ENTERPRISES LTD</t>
  </si>
  <si>
    <t>KOTHARI WORLD FINANCE LTD</t>
  </si>
  <si>
    <t>KOTARISUG</t>
  </si>
  <si>
    <t>KOTHARI SUGARS AND CHEMICALS LTD</t>
  </si>
  <si>
    <t>KOTHARIPRO</t>
  </si>
  <si>
    <t>KOTHARI PRODUCTS LTD</t>
  </si>
  <si>
    <t>KOTHARIPET</t>
  </si>
  <si>
    <t>KOTHARI PETROCHEMICALS LTD</t>
  </si>
  <si>
    <t>KOTHARI FERMENTATION &amp; BIOCHEM LTD</t>
  </si>
  <si>
    <t>KTKSENSEX</t>
  </si>
  <si>
    <t>KOTAK SENSEX ETF</t>
  </si>
  <si>
    <t>KOTAKPSUBK</t>
  </si>
  <si>
    <t>KOTAK MAHINDRA MUTUAL FUND - KOTAK PSU BANK ETF</t>
  </si>
  <si>
    <t>KOTAKGOLD</t>
  </si>
  <si>
    <t>KOTAK MAHINDRA MUTUAL FUND - KOTAK GOLD EXCHANGE TRADED FUND</t>
  </si>
  <si>
    <t>KOTAKBANK</t>
  </si>
  <si>
    <t>KOTAK MAHINDRA BANK LTD</t>
  </si>
  <si>
    <t>KOPRAN</t>
  </si>
  <si>
    <t>KOPRAN LTD</t>
  </si>
  <si>
    <t>KONARK SYNTHETIC LTD</t>
  </si>
  <si>
    <t>KOME-ON COMMUNICATION LTD</t>
  </si>
  <si>
    <t>KOLTEPATIL</t>
  </si>
  <si>
    <t>KOLTE - PATIL DEVELOPERS LTD</t>
  </si>
  <si>
    <t>KOKUYOCMLN</t>
  </si>
  <si>
    <t>KOKUYO CAMLIN LTD</t>
  </si>
  <si>
    <t>KOHINOOR</t>
  </si>
  <si>
    <t>KOHINOOR FOODS LTD</t>
  </si>
  <si>
    <t>KNRCON</t>
  </si>
  <si>
    <t>KNR CONSTRUCTIONS LTD</t>
  </si>
  <si>
    <t>KMS MEDISURGI LTD</t>
  </si>
  <si>
    <t>KMG MILK FOOD LTD</t>
  </si>
  <si>
    <t>KMF BUILDERS &amp; DEVELOPERS LTD</t>
  </si>
  <si>
    <t>KMC SPECIALITY HOSPITALS INDIA LTD</t>
  </si>
  <si>
    <t>KMC SPECIALITY HOSPITALS (INDIA) LTD</t>
  </si>
  <si>
    <t>KLKELEC</t>
  </si>
  <si>
    <t>KLK Electrical Ltd</t>
  </si>
  <si>
    <t>K-LIFESTYLE &amp; INDUSTRIES LTD</t>
  </si>
  <si>
    <t>KLG CAPITAL SERVICES LTD</t>
  </si>
  <si>
    <t>KKVAPOW</t>
  </si>
  <si>
    <t>KKV AGRO POWERS LTD</t>
  </si>
  <si>
    <t>KKRRAFTON DEVELOPERS LTD</t>
  </si>
  <si>
    <t>KKALPANA PLASTICK LTD</t>
  </si>
  <si>
    <t>KKALPANA INDUSTRIES INDIA LTD</t>
  </si>
  <si>
    <t>KKALPANA INDUSTRIES (INDIA) LTD</t>
  </si>
  <si>
    <t>KJMC FINANCIAL SERVICES LTD</t>
  </si>
  <si>
    <t>KJMC CORPORATE ADVISORS INDIA LTD</t>
  </si>
  <si>
    <t>KJMC CORPORATE ADVISORS (INDIA) LTD</t>
  </si>
  <si>
    <t>KITEX</t>
  </si>
  <si>
    <t>KITEX GARMENTS LTD</t>
  </si>
  <si>
    <t>KISAN MOULDINGS LTD</t>
  </si>
  <si>
    <t>KIRLOSKAR PNEUMATIC CO LTD</t>
  </si>
  <si>
    <t>KIRLOSENG</t>
  </si>
  <si>
    <t>KIRLOSKAR OIL ENGINES LTD</t>
  </si>
  <si>
    <t>KIRLOSIND</t>
  </si>
  <si>
    <t>KIRLOSKAR INDUSTRIES LTD</t>
  </si>
  <si>
    <t>KIRLOSKAR FERROUS INDUSTRIES LTD</t>
  </si>
  <si>
    <t>KECL</t>
  </si>
  <si>
    <t>KIRLOSKAR ELECTRIC COMPANY LTD</t>
  </si>
  <si>
    <t>KIRLOSBROS</t>
  </si>
  <si>
    <t>KIRLOSKAR BROTHERS LTD</t>
  </si>
  <si>
    <t>KIRIINDUS</t>
  </si>
  <si>
    <t>KIRI INDUSTRIES LTD</t>
  </si>
  <si>
    <t>KIRAN VYAPAR LTD</t>
  </si>
  <si>
    <t>KIRAN PRINT-PACK LTD</t>
  </si>
  <si>
    <t>KIOCL</t>
  </si>
  <si>
    <t>KIOCL LTD</t>
  </si>
  <si>
    <t>KINTECH RENEWABLES LTD</t>
  </si>
  <si>
    <t>KINGS INFRA VENTURES LTD</t>
  </si>
  <si>
    <t>KINGFA</t>
  </si>
  <si>
    <t>KINGFA SCIENCE &amp; TECHNOLOGY INDIA LTD</t>
  </si>
  <si>
    <t>KINGFA SCIENCE &amp; TECHNOLOGY (INDIA) LTD</t>
  </si>
  <si>
    <t>KINETIC TRUST LTD</t>
  </si>
  <si>
    <t>KINETIC ENGINEERING LTD</t>
  </si>
  <si>
    <t>KIMIABL</t>
  </si>
  <si>
    <t>Kimia Biosciences Ltd</t>
  </si>
  <si>
    <t>KILPEST INDIA LTD</t>
  </si>
  <si>
    <t>KILPEST (INDIA) LTD</t>
  </si>
  <si>
    <t>KILITCH</t>
  </si>
  <si>
    <t>KILITCH DRUGS INDIA LTD</t>
  </si>
  <si>
    <t>KILITCH DRUGS (INDIA) LTD</t>
  </si>
  <si>
    <t>KILBURN</t>
  </si>
  <si>
    <t>KILBURN OFFICE AUTOMATION LTD.</t>
  </si>
  <si>
    <t>KILBURN ENGINEERING LTD</t>
  </si>
  <si>
    <t>KILBURN CHEMICALS LTD</t>
  </si>
  <si>
    <t>KIFS FINANCIAL SERVICES LTD</t>
  </si>
  <si>
    <t>KIDUJA INDIA LTD</t>
  </si>
  <si>
    <t>KIDUJA (INDIA) LTD</t>
  </si>
  <si>
    <t>KIDS MEDICAL SYSTEMS LTD</t>
  </si>
  <si>
    <t>KIC METALIKS LTD</t>
  </si>
  <si>
    <t>KHYATI MULTIMEDIA-ENTERTAINMENT LTD</t>
  </si>
  <si>
    <t>KHOOBSURAT LTD</t>
  </si>
  <si>
    <t>KHODAY INDIA LTD</t>
  </si>
  <si>
    <t>KHODAY (INDIA) LTD</t>
  </si>
  <si>
    <t>KHEMANI DISTRIBUTORS &amp; MARKETING LTD</t>
  </si>
  <si>
    <t>KHATOR FIBRE &amp; FABRICS LTD</t>
  </si>
  <si>
    <t>KHATAU EXIM LTD</t>
  </si>
  <si>
    <t>KHANDSE</t>
  </si>
  <si>
    <t>KHANDWALA SECURITIES LTD</t>
  </si>
  <si>
    <t>KHANDELWAL EXTRACTION LTD</t>
  </si>
  <si>
    <t>KHAITANLTD</t>
  </si>
  <si>
    <t>KHAITAN INDIA LTD</t>
  </si>
  <si>
    <t>KHAITANELE</t>
  </si>
  <si>
    <t>KHAITAN ELECTRICALS LTD.</t>
  </si>
  <si>
    <t>KHAITAN CHEMICALS &amp; FERTILIZERS LTD</t>
  </si>
  <si>
    <t>KHAITAN (INDIA) LTD</t>
  </si>
  <si>
    <t>KHADIM</t>
  </si>
  <si>
    <t>KHADIM INDIA LTD</t>
  </si>
  <si>
    <t>KHADIM (INDIA) LTD</t>
  </si>
  <si>
    <t>KG PETROCHEM LTD</t>
  </si>
  <si>
    <t>KG DENIM LTD</t>
  </si>
  <si>
    <t>KEYFINSERV</t>
  </si>
  <si>
    <t>Keynote Financial Services LTD</t>
  </si>
  <si>
    <t>KEYCORPSER</t>
  </si>
  <si>
    <t>KEYNOTE CORPORATE SERVICES LTD</t>
  </si>
  <si>
    <t>KEY CORP LTD</t>
  </si>
  <si>
    <t>KKCL</t>
  </si>
  <si>
    <t>KEWAL KIRAN CLOTHING LTD</t>
  </si>
  <si>
    <t>KESORAMIND</t>
  </si>
  <si>
    <t>KESORAM INDUSTRIES LTD</t>
  </si>
  <si>
    <t>KTIL</t>
  </si>
  <si>
    <t>KESAR TERMINALS &amp; INFRASTRUCTURE LTD</t>
  </si>
  <si>
    <t>KESAR PETROPRODUCTS LTD</t>
  </si>
  <si>
    <t>KESARENT</t>
  </si>
  <si>
    <t>KESAR ENTERPRISES LTD</t>
  </si>
  <si>
    <t>KERNEX</t>
  </si>
  <si>
    <t>KERNEX MICROSYSTEMS INDIA LTD</t>
  </si>
  <si>
    <t>KERNEX MICROSYSTEMS (INDIA) LTD</t>
  </si>
  <si>
    <t>KERALA AYURVEDA LTD</t>
  </si>
  <si>
    <t>KENVI JEWELS LTD</t>
  </si>
  <si>
    <t>KENNAMETAL INDIA LTD</t>
  </si>
  <si>
    <t>KENNAMETAL (INDIA) LTD</t>
  </si>
  <si>
    <t>KEMP &amp; COMPANY LTD</t>
  </si>
  <si>
    <t>KEMISTAR</t>
  </si>
  <si>
    <t>Kemistar Corporation LTD</t>
  </si>
  <si>
    <t>KELTECH ENERGIES LTD</t>
  </si>
  <si>
    <t>KELLTONTEC</t>
  </si>
  <si>
    <t>KELLTON TECH SOLUTIONS LTD</t>
  </si>
  <si>
    <t>KEI</t>
  </si>
  <si>
    <t>KEI INDUSTRIES LTD</t>
  </si>
  <si>
    <t>KEERTI</t>
  </si>
  <si>
    <t>KEERTI KNOWLEDGE AND SKILLS LTD</t>
  </si>
  <si>
    <t>KEERTHI INDUSTRIES LTD</t>
  </si>
  <si>
    <t>KEDIA CONSTRUCTION CO LTD</t>
  </si>
  <si>
    <t>KEC</t>
  </si>
  <si>
    <t>KEC INTERNATIONAL LTD</t>
  </si>
  <si>
    <t>KDDL</t>
  </si>
  <si>
    <t>KDDL LTD</t>
  </si>
  <si>
    <t>KD LEISURES LTD</t>
  </si>
  <si>
    <t>KCPSUGIND</t>
  </si>
  <si>
    <t>KCP SUGAR AND INDUSTRIES CORPORATION LTD</t>
  </si>
  <si>
    <t>KCP</t>
  </si>
  <si>
    <t>KCP LTD</t>
  </si>
  <si>
    <t>KCL INFRA PROJECTS LTD</t>
  </si>
  <si>
    <t>KCCL PLASTIC LTD</t>
  </si>
  <si>
    <t>KBS INDIA LTD</t>
  </si>
  <si>
    <t>KBS (INDIA) LTD</t>
  </si>
  <si>
    <t>KAYEL SECURITIES LTD</t>
  </si>
  <si>
    <t>KAYCEE INDUSTRIES LTD</t>
  </si>
  <si>
    <t>KAYA</t>
  </si>
  <si>
    <t>KAYA LTD</t>
  </si>
  <si>
    <t>KAY POWER AND PAPER LTD</t>
  </si>
  <si>
    <t>KAVVERITEL</t>
  </si>
  <si>
    <t>KAVVERI TELECOM PRODUCTS LTD</t>
  </si>
  <si>
    <t>KAVITA FABRICS LTD</t>
  </si>
  <si>
    <t>KAVIT INDUSTRIES LTD</t>
  </si>
  <si>
    <t>KSCL</t>
  </si>
  <si>
    <t>KAVERI SEED COMPANY LTD</t>
  </si>
  <si>
    <t>KAUSHALYA</t>
  </si>
  <si>
    <t>KAUSHALYA INFRASTRUCTURE DEVELOPMENT CORPORATION LTD</t>
  </si>
  <si>
    <t>KATARE SPINNING MILLS LTD</t>
  </si>
  <si>
    <t>KASHIRAM JAIN AND COMPANY LTD</t>
  </si>
  <si>
    <t>KGL</t>
  </si>
  <si>
    <t>KARUTURI GLOBAL LTD</t>
  </si>
  <si>
    <t>KARURVYSYA</t>
  </si>
  <si>
    <t>KARUR VYSYA BANK LTD</t>
  </si>
  <si>
    <t>KARNIMATA COLD STORAGE LTD</t>
  </si>
  <si>
    <t>KARNAVATI FINANCE LTD</t>
  </si>
  <si>
    <t>KARMAENG</t>
  </si>
  <si>
    <t>KARMA ENERGY LTD</t>
  </si>
  <si>
    <t>KARDA</t>
  </si>
  <si>
    <t>KARDA CONSTRUCTIONS LTD</t>
  </si>
  <si>
    <t>KARAN WOO-SIN LTD</t>
  </si>
  <si>
    <t>KAPSTON</t>
  </si>
  <si>
    <t>KAPSTON FACILITIES MANAGEMENT LTD</t>
  </si>
  <si>
    <t>KAPIL RAJ FINANCE LTD</t>
  </si>
  <si>
    <t>KAPIL COTEX LTD</t>
  </si>
  <si>
    <t>KAPASHI COMMERCIALS LTD</t>
  </si>
  <si>
    <t>KANUNGO FINANCIERS LTD</t>
  </si>
  <si>
    <t>KANSAINER</t>
  </si>
  <si>
    <t>KANSAI NEROLAC PAINTS LTD</t>
  </si>
  <si>
    <t>KANPUR PLASTIPACK LTD</t>
  </si>
  <si>
    <t>KANORICHEM</t>
  </si>
  <si>
    <t>KANORIA CHEMICALS &amp; INDUSTRIES LTD</t>
  </si>
  <si>
    <t>KANISHK STEEL INDUSTRIES LTD</t>
  </si>
  <si>
    <t>KANELIND</t>
  </si>
  <si>
    <t>Kanel Industries LTD</t>
  </si>
  <si>
    <t>KANDAGIRI SPINNING MILLS LTD</t>
  </si>
  <si>
    <t>KANCO TEA &amp; INDUSTRIES LTD</t>
  </si>
  <si>
    <t>KANCHI KARPOORAM LTD</t>
  </si>
  <si>
    <t>KANANIIND</t>
  </si>
  <si>
    <t>KANANI INDUSTRIES LTD</t>
  </si>
  <si>
    <t>KANAK KRISHI IMPLEMENTS LTD</t>
  </si>
  <si>
    <t>KAMRON LABORATORIES LTD</t>
  </si>
  <si>
    <t>KAMDHENU</t>
  </si>
  <si>
    <t>KAMDHENU LTD</t>
  </si>
  <si>
    <t>KAMATHOTEL</t>
  </si>
  <si>
    <t>KAMAT HOTELS I LTD</t>
  </si>
  <si>
    <t>KAMANWALA HOUSING CONSTRUCTION LTD</t>
  </si>
  <si>
    <t>KAMADGIRI FASHION LTD</t>
  </si>
  <si>
    <t>KAMA HOLDINGS LTD</t>
  </si>
  <si>
    <t>KSL</t>
  </si>
  <si>
    <t>KALYANI STEELS LTD</t>
  </si>
  <si>
    <t>KICL</t>
  </si>
  <si>
    <t>KALYANI INVESTMENT COMPANY LTD</t>
  </si>
  <si>
    <t>KALYANIFRG</t>
  </si>
  <si>
    <t>KALYANI FORGE LTD</t>
  </si>
  <si>
    <t>KALYANI</t>
  </si>
  <si>
    <t>KALYANI COMMERCIALS LTD</t>
  </si>
  <si>
    <t>KALPATPOWR</t>
  </si>
  <si>
    <t>KALPATARU POWER TRANSMISSION LTD</t>
  </si>
  <si>
    <t>KALPA COMMERCIAL LTD</t>
  </si>
  <si>
    <t>KALLAM TEXTILES LTD</t>
  </si>
  <si>
    <t>KAKATIYA TEXTILES LTD</t>
  </si>
  <si>
    <t>KAKATCEM</t>
  </si>
  <si>
    <t>KAKATIYA CEMENT SUGAR &amp; INDUSTRIES LTD</t>
  </si>
  <si>
    <t>KAJARIACER</t>
  </si>
  <si>
    <t>KAJARIA CERAMICS LTD</t>
  </si>
  <si>
    <t>KAISER CORPORATION LTD</t>
  </si>
  <si>
    <t>KAIRA CAN CO LTD</t>
  </si>
  <si>
    <t>KACHCHH MINERALS LTD</t>
  </si>
  <si>
    <t>KABSONS INDUSTRIES LTD</t>
  </si>
  <si>
    <t>KABRAEXTRU</t>
  </si>
  <si>
    <t>KABRA EXTRUSION TECHNIK LTD</t>
  </si>
  <si>
    <t>KABRA DRUGS LTD</t>
  </si>
  <si>
    <t>Coal</t>
  </si>
  <si>
    <t>KABRA COMMERCIAL LTD</t>
  </si>
  <si>
    <t>KAARYA FACILITIES AND SERVICES LTD</t>
  </si>
  <si>
    <t>KPIGLOBAL</t>
  </si>
  <si>
    <t>K.P.I. Global Infrastructure Ltd</t>
  </si>
  <si>
    <t>K&amp;R RAIL ENGINEERING LTD</t>
  </si>
  <si>
    <t>K Z LEASING &amp; FINANCE LTD</t>
  </si>
  <si>
    <t>KPRMILL</t>
  </si>
  <si>
    <t>K P R MILL LTD</t>
  </si>
  <si>
    <t>K P  ENERGY LTD</t>
  </si>
  <si>
    <t>KMSUGAR</t>
  </si>
  <si>
    <t>K M SUGAR MILLS LTD</t>
  </si>
  <si>
    <t>JYOTIRGAMYA ENTERPRISES LTD</t>
  </si>
  <si>
    <t>JYOTISTRUC</t>
  </si>
  <si>
    <t>JYOTI STRUCTURES LTD</t>
  </si>
  <si>
    <t>JYOTI RESINS &amp; ADHESIVES LTD</t>
  </si>
  <si>
    <t>JYOTI LTD</t>
  </si>
  <si>
    <t>JYOTHYLAB</t>
  </si>
  <si>
    <t>JYOTHY LABORATORIES LTD</t>
  </si>
  <si>
    <t>JYOTIN</t>
  </si>
  <si>
    <t>Jyot International Marketing Ltd</t>
  </si>
  <si>
    <t>JVLAGRO</t>
  </si>
  <si>
    <t>JVL AGRO INDUSTRIES LTD</t>
  </si>
  <si>
    <t>JUSTRIDE ENTERPRISES LTD</t>
  </si>
  <si>
    <t>JUSTDIAL</t>
  </si>
  <si>
    <t>JUST DIAL LTD</t>
  </si>
  <si>
    <t>JUPITER INFOMEDIA LTD</t>
  </si>
  <si>
    <t>JUPITER INDUSTRIES &amp; LEASING LTD</t>
  </si>
  <si>
    <t>JUNCTION FABRICS AND APPARELS LTD</t>
  </si>
  <si>
    <t>JUMBO FINANCE LTD</t>
  </si>
  <si>
    <t>JUMBO BAG LTD</t>
  </si>
  <si>
    <t>JMA</t>
  </si>
  <si>
    <t>JULLUNDUR MOTOR AGENCY DELHI LTD</t>
  </si>
  <si>
    <t>JUBILANT</t>
  </si>
  <si>
    <t>JUBILANT LIFE SCIENCES LTD</t>
  </si>
  <si>
    <t>JUBLINDS</t>
  </si>
  <si>
    <t>JUBILANT INDUSTRIES LTD</t>
  </si>
  <si>
    <t>JUBLFOOD</t>
  </si>
  <si>
    <t>JUBILANT FOODWORKS LTD</t>
  </si>
  <si>
    <t>JTL INFRA LTD</t>
  </si>
  <si>
    <t>JTEKTINDIA</t>
  </si>
  <si>
    <t>JTEKT INDIA LTD</t>
  </si>
  <si>
    <t>JTEKT(INDIA)</t>
  </si>
  <si>
    <t>JTEKT (INDIA) LTD</t>
  </si>
  <si>
    <t>JSWSTEEL</t>
  </si>
  <si>
    <t>JSW STEEL LTD</t>
  </si>
  <si>
    <t>JSWHL</t>
  </si>
  <si>
    <t>JSW HOLDINGS LTD</t>
  </si>
  <si>
    <t>JSWENERGY</t>
  </si>
  <si>
    <t>JSW ENERGY LTD</t>
  </si>
  <si>
    <t>JSL INDUSTRIES LTD</t>
  </si>
  <si>
    <t>JRI INDUSTRIES &amp; INFRASTRUCTURE LTD</t>
  </si>
  <si>
    <t>JPT SECURITIES LTD</t>
  </si>
  <si>
    <t>JOY REALTY LTD</t>
  </si>
  <si>
    <t>JOST'S ENGINEERING CO LTD</t>
  </si>
  <si>
    <t>JOONKTOLLEE TEA &amp; INDUSTRIES LTD</t>
  </si>
  <si>
    <t>JONJUA</t>
  </si>
  <si>
    <t>Jonjua Overseas Ltd</t>
  </si>
  <si>
    <t>JOINTECA EDUCATION SOLUTIONS LTD</t>
  </si>
  <si>
    <t>JOINDRE CAPITAL SERVICES LTD</t>
  </si>
  <si>
    <t>JCHAC</t>
  </si>
  <si>
    <t>JOHNSON CONTROLS – HITACHI AIR CONDITIONING INDIA LTD</t>
  </si>
  <si>
    <t>JOHNSON CONTROLS – HITACHI AIR CONDITIONING (INDIA) LTD</t>
  </si>
  <si>
    <t>JOCIL</t>
  </si>
  <si>
    <t>JOCIL LTD</t>
  </si>
  <si>
    <t>JMTAUTOLTD</t>
  </si>
  <si>
    <t>JMT AUTO LTD</t>
  </si>
  <si>
    <t>JMG CORPORATION LTD</t>
  </si>
  <si>
    <t>JMD VENTURES LTD</t>
  </si>
  <si>
    <t>JMCPROJECT</t>
  </si>
  <si>
    <t>JMC PROJECTS INDIA LTD</t>
  </si>
  <si>
    <t>JMC PROJECTS (INDIA) LTD</t>
  </si>
  <si>
    <t>JMFINANCIL</t>
  </si>
  <si>
    <t>JM FINANCIAL LTD</t>
  </si>
  <si>
    <t>JLA INFRAVILLE SHOPPERS LTD</t>
  </si>
  <si>
    <t>JKTYRE</t>
  </si>
  <si>
    <t>JK TYRE &amp; INDUSTRIES LTD</t>
  </si>
  <si>
    <t>JKPAPER</t>
  </si>
  <si>
    <t>JK PAPER LTD</t>
  </si>
  <si>
    <t>JKLAKSHMI</t>
  </si>
  <si>
    <t>JK LAKSHMI CEMENT LTD</t>
  </si>
  <si>
    <t>JKCEMENT</t>
  </si>
  <si>
    <t>JK CEMENT LTD</t>
  </si>
  <si>
    <t>JK AGRI GENETICS LTD</t>
  </si>
  <si>
    <t>JIYA ECO-PRODUCTS LTD</t>
  </si>
  <si>
    <t>JITFINFRA</t>
  </si>
  <si>
    <t>JITF INFRALOGISTICS LTD</t>
  </si>
  <si>
    <t>JINDWORLD</t>
  </si>
  <si>
    <t>JINDAL WORLDWIDE LTD</t>
  </si>
  <si>
    <t>JINDALSTEL</t>
  </si>
  <si>
    <t>JINDAL STEEL &amp; POWER LTD</t>
  </si>
  <si>
    <t>JSL</t>
  </si>
  <si>
    <t>JINDAL STAINLESS LTD</t>
  </si>
  <si>
    <t>JSLHISAR</t>
  </si>
  <si>
    <t>JINDAL STAINLESS HISAR LTD</t>
  </si>
  <si>
    <t>JINDALSAW</t>
  </si>
  <si>
    <t>JINDAL SAW LTD</t>
  </si>
  <si>
    <t>JPOLYINVST</t>
  </si>
  <si>
    <t>JINDAL POLY INVESTMENT AND FINANCE COMPANY LTD</t>
  </si>
  <si>
    <t>JINDALPOLY</t>
  </si>
  <si>
    <t>JINDAL POLY FILMS LTD</t>
  </si>
  <si>
    <t>JINDALPHOT</t>
  </si>
  <si>
    <t>JINDAL PHOTO LTD</t>
  </si>
  <si>
    <t>JINDAL LEASEFIN LTD</t>
  </si>
  <si>
    <t>JINDAL HOTELS LTD</t>
  </si>
  <si>
    <t>JINDRILL</t>
  </si>
  <si>
    <t>JINDAL DRILLING AND INDUSTRIES LTD</t>
  </si>
  <si>
    <t>JINDCOT</t>
  </si>
  <si>
    <t>JINDAL COTEX LTD</t>
  </si>
  <si>
    <t>JINDAL CAPITAL LTD</t>
  </si>
  <si>
    <t>JINAAM</t>
  </si>
  <si>
    <t>Jinaams Dress Ltd</t>
  </si>
  <si>
    <t>JIKIND</t>
  </si>
  <si>
    <t>JIK INDUSTRIES LTD</t>
  </si>
  <si>
    <t>JIGYASA INFRASTRUCTURE LTD</t>
  </si>
  <si>
    <t>JIGAR CABLES LTD</t>
  </si>
  <si>
    <t>JHS</t>
  </si>
  <si>
    <t>JHS SVENDGAARD LABORATORIES LTD</t>
  </si>
  <si>
    <t>JHAVERI CREDITS &amp; CAPITAL LTD</t>
  </si>
  <si>
    <t>JHANDEWALAS FOODS LTD</t>
  </si>
  <si>
    <t>JETKING INFOTRAIN LTD</t>
  </si>
  <si>
    <t>JETKNIT</t>
  </si>
  <si>
    <t>JET KNITWEARS LTD</t>
  </si>
  <si>
    <t>JET INFRAVENTURE LTD</t>
  </si>
  <si>
    <t>JET FREIGHT LOGISTICS LTD</t>
  </si>
  <si>
    <t>JETAIRWAYS</t>
  </si>
  <si>
    <t>JET AIRWAYS INDIA LTD</t>
  </si>
  <si>
    <t>JET AIRWAYS (INDIA) LTD</t>
  </si>
  <si>
    <t>JENBURKT PHARMACEUTICALS LTD</t>
  </si>
  <si>
    <t>JEEVAN SCIENTIFIC TECHNOLOGY LTD</t>
  </si>
  <si>
    <t>JD ORGOCHEM LTD</t>
  </si>
  <si>
    <t>JCT LTD</t>
  </si>
  <si>
    <t>JBMA</t>
  </si>
  <si>
    <t>JBM AUTO LTD</t>
  </si>
  <si>
    <t>JBFIND</t>
  </si>
  <si>
    <t>JBF INDUSTRIES LTD</t>
  </si>
  <si>
    <t>JBCHEPHARM</t>
  </si>
  <si>
    <t>JB CHEMICALS &amp; PHARMACEUTICALS LTD</t>
  </si>
  <si>
    <t>JAYSYNTH DYESTUFF INDIA LTD</t>
  </si>
  <si>
    <t>JAYSYNTH DYESTUFF (INDIA) LTD</t>
  </si>
  <si>
    <t>JAYSREETEA</t>
  </si>
  <si>
    <t>JAYSHREE TEA &amp; INDUSTRIES LTD</t>
  </si>
  <si>
    <t>JAYSHREE CHEMICALS LTD</t>
  </si>
  <si>
    <t>JPINFRATEC</t>
  </si>
  <si>
    <t>JAYPEE INFRATECH LTD</t>
  </si>
  <si>
    <t>JAYKAY ENTERPRISES LTD</t>
  </si>
  <si>
    <t>JAYBHARAT TEXTILES &amp; REAL ESTATE LTD</t>
  </si>
  <si>
    <t>JAYATMA INDUSTRIES LTD</t>
  </si>
  <si>
    <t>JAYATMA ENTERPRISES LTD</t>
  </si>
  <si>
    <t>JAYNECOIND</t>
  </si>
  <si>
    <t>JAYASWAL NECO INDUSTRIES LTD</t>
  </si>
  <si>
    <t>JAYAGROGN</t>
  </si>
  <si>
    <t>JAYANT AGRO ORGANICS LTD</t>
  </si>
  <si>
    <t>JAY USHIN LTD</t>
  </si>
  <si>
    <t>JAY SHREE TEA &amp; INDUSTRIES LTD</t>
  </si>
  <si>
    <t>JAYBARMARU</t>
  </si>
  <si>
    <t>JAY BHARAT MARUTI LTD</t>
  </si>
  <si>
    <t>JAUSS POLYMERS LTD</t>
  </si>
  <si>
    <t>JATTASHANKAR INDUSTIES LTD</t>
  </si>
  <si>
    <t>JASH</t>
  </si>
  <si>
    <t>JASH ENGINEERING LTD</t>
  </si>
  <si>
    <t>JASH DEALMARK LTD</t>
  </si>
  <si>
    <t>JASCH INDUSTRIES LTD</t>
  </si>
  <si>
    <t>JAMSHRI RANJITSINGHJI SPG  &amp; WVG  MILLS CO LTD</t>
  </si>
  <si>
    <t>JAMNAAUTO</t>
  </si>
  <si>
    <t>JAMNA AUTO INDUSTRIES LTD</t>
  </si>
  <si>
    <t>JAMES WARREN TEA LTD</t>
  </si>
  <si>
    <t>JALAN</t>
  </si>
  <si>
    <t>JALAN TRANSOLUTIONS INDIA LTD</t>
  </si>
  <si>
    <t>JALAN TRANSOLUTIONS (INDIA) LTD</t>
  </si>
  <si>
    <t>JAKHARIA</t>
  </si>
  <si>
    <t>JAKHARIA FABRIC LTD</t>
  </si>
  <si>
    <t>JAISUKH DEALERS LTD</t>
  </si>
  <si>
    <t>JPPOWER</t>
  </si>
  <si>
    <t>JAIPRAKASH POWER VENTURES LTD</t>
  </si>
  <si>
    <t>JPASSOCIAT</t>
  </si>
  <si>
    <t>JAIPRAKASH ASSOCIATES LTD</t>
  </si>
  <si>
    <t>JAIPAN INDUSTRIES LTD</t>
  </si>
  <si>
    <t>JAINEX AAMCOL LTD</t>
  </si>
  <si>
    <t>JAINCO PROJECTS INDIA LTD</t>
  </si>
  <si>
    <t>JAINCO PROJECTS (INDIA) LTD</t>
  </si>
  <si>
    <t>JAINSTUDIO</t>
  </si>
  <si>
    <t>JAIN STUDIOS LTD</t>
  </si>
  <si>
    <t>JAIN MARMO INDUSTRIES LTD</t>
  </si>
  <si>
    <t>JISLDVREQS</t>
  </si>
  <si>
    <t>JAIN IRRIGATION SYSTEMS LTD</t>
  </si>
  <si>
    <t>JISLJALEQS</t>
  </si>
  <si>
    <t>JAIHIND SYNTHETICS LTD</t>
  </si>
  <si>
    <t>JAIHINDPRO</t>
  </si>
  <si>
    <t>JAIHIND PROJECTS LTD</t>
  </si>
  <si>
    <t>JAI MATA GLASS LTD</t>
  </si>
  <si>
    <t>JAICORPLTD</t>
  </si>
  <si>
    <t>JAI CORP LTD</t>
  </si>
  <si>
    <t>JAIBALAJI</t>
  </si>
  <si>
    <t>JAI BALAJI INDUSTRIES LTD</t>
  </si>
  <si>
    <t>JAGSNPHARM</t>
  </si>
  <si>
    <t>JAGSONPAL PHARMACEUTICALS LTD</t>
  </si>
  <si>
    <t>JAGSONPAL FINANCE &amp; LEASING LTD</t>
  </si>
  <si>
    <t>JAGSON AIRLINES LTD</t>
  </si>
  <si>
    <t>JAGRAN</t>
  </si>
  <si>
    <t>JAGRAN PRAKASHAN LTD</t>
  </si>
  <si>
    <t>JAGJANANI TEXTILES LTD</t>
  </si>
  <si>
    <t>JAGATJIT INDUSTRIES LTD</t>
  </si>
  <si>
    <t>JAGAN LAMPS LTD</t>
  </si>
  <si>
    <t>JACKSON INVESTMENTS LTD</t>
  </si>
  <si>
    <t>J R FOODS LTD</t>
  </si>
  <si>
    <t>J L MORISON INDIA LTD</t>
  </si>
  <si>
    <t>J L MORISON (INDIA) LTD</t>
  </si>
  <si>
    <t>JKIL</t>
  </si>
  <si>
    <t>J KUMAR INFRAPROJECTS LTD</t>
  </si>
  <si>
    <t>J J FINANCE CORPORATION LTD</t>
  </si>
  <si>
    <t>J J EXPORTERS LTD</t>
  </si>
  <si>
    <t>J  TAPARIA PROJECTS LTD</t>
  </si>
  <si>
    <t>IZMO</t>
  </si>
  <si>
    <t>IZMO LTD</t>
  </si>
  <si>
    <t>IYKOT HITECH TOOLROOM LTD</t>
  </si>
  <si>
    <t>IVRCLINFRA</t>
  </si>
  <si>
    <t>IVRCL LTD</t>
  </si>
  <si>
    <t>IVP</t>
  </si>
  <si>
    <t>IVP LTD</t>
  </si>
  <si>
    <t>ITL INDUSTRIES LTD</t>
  </si>
  <si>
    <t>ITI</t>
  </si>
  <si>
    <t>ITI LTD</t>
  </si>
  <si>
    <t>ITDCEM</t>
  </si>
  <si>
    <t>ITD CEMENTATION INDIA LTD</t>
  </si>
  <si>
    <t>ITD CEMENTATION (INDIA) LTD</t>
  </si>
  <si>
    <t>ITC</t>
  </si>
  <si>
    <t>ITC LTD</t>
  </si>
  <si>
    <t>ISTREET NETWORK LTD</t>
  </si>
  <si>
    <t>IST LTD</t>
  </si>
  <si>
    <t>ISMTLTD</t>
  </si>
  <si>
    <t>ISMT LTD</t>
  </si>
  <si>
    <t>ISL CONSULTING LTD</t>
  </si>
  <si>
    <t>ISHWARSHAKTI HOLDINGS &amp; TRADERS LTD</t>
  </si>
  <si>
    <t>ISHITA DRUGS &amp; INDUSTRIES LTD</t>
  </si>
  <si>
    <t>ISHAN DYES &amp; CHEMICALS LTD</t>
  </si>
  <si>
    <t>ISHAAN INFRASTRUCTURES AND SHELTERS LTD</t>
  </si>
  <si>
    <t>ISGEC HEAVY ENGINEERING LTD</t>
  </si>
  <si>
    <t>ISF LTD</t>
  </si>
  <si>
    <t>IRIS MEDIAWORKS LTD</t>
  </si>
  <si>
    <t>IRISDOREME</t>
  </si>
  <si>
    <t>IRIS CLOTHINGS LTD</t>
  </si>
  <si>
    <t>IRIS BUSINESS SERVICES LTD</t>
  </si>
  <si>
    <t>IRCON</t>
  </si>
  <si>
    <t>IRCON INTERNATIONAL LTD</t>
  </si>
  <si>
    <t>IRBINVIT</t>
  </si>
  <si>
    <t>IRB InvIT Fund</t>
  </si>
  <si>
    <t>IRB</t>
  </si>
  <si>
    <t>IRB INFRASTRUCTURE DEVELOPERS LTD</t>
  </si>
  <si>
    <t>I-POWER SOLUTIONS INDIA LTD</t>
  </si>
  <si>
    <t>I-POWER SOLUTIONS (INDIA) LTD</t>
  </si>
  <si>
    <t>IPCALAB</t>
  </si>
  <si>
    <t>IPCA LABORATORIES LTD</t>
  </si>
  <si>
    <t>IP RINGS LTD</t>
  </si>
  <si>
    <t>ION EXCHANGE INDIA LTD</t>
  </si>
  <si>
    <t>ION EXCHANGE (INDIA) LTD</t>
  </si>
  <si>
    <t>IOLCP</t>
  </si>
  <si>
    <t>IOL CHEMICALS AND PHARMACEUTICALS LTD</t>
  </si>
  <si>
    <t>IO SYSTEM LTD</t>
  </si>
  <si>
    <t>INVICTA MEDITEK LTD</t>
  </si>
  <si>
    <t>INVESTMENT &amp; PRECISION CASTINGS LTD</t>
  </si>
  <si>
    <t>IVZINGOLD</t>
  </si>
  <si>
    <t>Invesco India Gold Exchange Traded Fund</t>
  </si>
  <si>
    <t>INVENTURE</t>
  </si>
  <si>
    <t>INVENTURE GROWTH &amp; SECURITIES LTD</t>
  </si>
  <si>
    <t>ISFT</t>
  </si>
  <si>
    <t>INTRASOFT TECHNOLOGIES LTD</t>
  </si>
  <si>
    <t>INTERWORLD DIGITAL LTD</t>
  </si>
  <si>
    <t>INTERNATIONAL TRAVEL HOUSE LTD</t>
  </si>
  <si>
    <t>IPAPPM</t>
  </si>
  <si>
    <t>INTERNATIONAL PAPER APPM LTD</t>
  </si>
  <si>
    <t>INTERNATIONAL HOUSING FINANCE CORPORATION LTD</t>
  </si>
  <si>
    <t>INTERNATIONAL DATA MANAGEMENT LTD</t>
  </si>
  <si>
    <t>INTERNATIONAL CONVEYORS LTD</t>
  </si>
  <si>
    <t>SUBCAPCITY</t>
  </si>
  <si>
    <t>INTERNATIONAL CONSTRUCTIONS LTD</t>
  </si>
  <si>
    <t>INTERNATIONAL COMBUSTION INDIA LTD</t>
  </si>
  <si>
    <t>INTERNATIONAL COMBUSTION (INDIA) LTD</t>
  </si>
  <si>
    <t>INTERLINK PETROLEUM LTD</t>
  </si>
  <si>
    <t>INDIGO</t>
  </si>
  <si>
    <t>INTERGLOBE AVIATION LTD</t>
  </si>
  <si>
    <t>INTERACTIVE FINANCIAL SERVICES LTD</t>
  </si>
  <si>
    <t>INTER STATE OIL CARRIER LTD</t>
  </si>
  <si>
    <t>INTER GLOBE FINANCE LTD</t>
  </si>
  <si>
    <t>INTENTECH</t>
  </si>
  <si>
    <t>INTENSE TECHNOLOGIES LTD</t>
  </si>
  <si>
    <t>INTELLIVATE CAPITAL VENTURES LTD</t>
  </si>
  <si>
    <t>INTELLIVATE CAPITAL ADVISORS LTD</t>
  </si>
  <si>
    <t>INTELLECT</t>
  </si>
  <si>
    <t>INTELLECT DESIGN ARENA LTD</t>
  </si>
  <si>
    <t>INTEGRATED THERMOPLASTICS LTD</t>
  </si>
  <si>
    <t>INTEGRATED TECHNOLOGIES LTD</t>
  </si>
  <si>
    <t>INTEGRATED PROTEINS LTD</t>
  </si>
  <si>
    <t>INTEGRATED FINANCIAL SERVICES LTD</t>
  </si>
  <si>
    <t>INTEGRATED CAPITAL SERVICES LTD</t>
  </si>
  <si>
    <t>INTEGRA TELECOMMUNICATION &amp; SOFTWARE LTD</t>
  </si>
  <si>
    <t>INTEGRA SWITCHGEAR LTD</t>
  </si>
  <si>
    <t>INTEGRA</t>
  </si>
  <si>
    <t>INTEGRA GARMENTS AND TEXTILES LTD</t>
  </si>
  <si>
    <t>INTEGRA ENGINEERING INDIA LTD</t>
  </si>
  <si>
    <t>INTEGRA ENGINEERING (INDIA) LTD</t>
  </si>
  <si>
    <t>INTCAPM</t>
  </si>
  <si>
    <t>INTEGRA CAPITAL MANAGEMENT LTD.</t>
  </si>
  <si>
    <t>INTEC CAPITAL LTD</t>
  </si>
  <si>
    <t>INSPIRISYS</t>
  </si>
  <si>
    <t>INSPIRISYS SOLUTIONS LTD</t>
  </si>
  <si>
    <t>INSILCO LTD</t>
  </si>
  <si>
    <t>INSECTICID</t>
  </si>
  <si>
    <t>INSECTICIDES INDIA LTD</t>
  </si>
  <si>
    <t>INSECTICIDES (INDIA) LTD</t>
  </si>
  <si>
    <t>INOXWIND</t>
  </si>
  <si>
    <t>INOX WIND LTD</t>
  </si>
  <si>
    <t>INOXLEISUR</t>
  </si>
  <si>
    <t>INOX LEISURE LTD</t>
  </si>
  <si>
    <t>INNOVATORS FACADE SYSTEMS LTD</t>
  </si>
  <si>
    <t>INNOVATIVE</t>
  </si>
  <si>
    <t>INNOVATIVE TYRES AND TUBES LTD</t>
  </si>
  <si>
    <t>INNOVATIVE TECH PACK LTD</t>
  </si>
  <si>
    <t>INNOVATIVE IDEALS AND SERVICES INDIA LTD</t>
  </si>
  <si>
    <t>INNOVATIVE IDEALS AND SERVICES (INDIA) LTD</t>
  </si>
  <si>
    <t>INNOVATION SOFTWARE EXPORTS LTD</t>
  </si>
  <si>
    <t>INNOVASSYNTH INVESTMENTS LTD</t>
  </si>
  <si>
    <t>INNOVANA</t>
  </si>
  <si>
    <t>INNOVANA THINKLABS LTD</t>
  </si>
  <si>
    <t>INNOCORP</t>
  </si>
  <si>
    <t>INNOCORP LTD.</t>
  </si>
  <si>
    <t>INLAND PRINTERS LTD</t>
  </si>
  <si>
    <t>INGERRAND</t>
  </si>
  <si>
    <t>INGERSOLL RAND INDIA LTD</t>
  </si>
  <si>
    <t>INGERSOLL RAND (INDIA) LTD</t>
  </si>
  <si>
    <t>INFRONICS SYSTEMS LTD</t>
  </si>
  <si>
    <t>INFRA INDUSTRIES LTD</t>
  </si>
  <si>
    <t>INFY</t>
  </si>
  <si>
    <t>INFOSYS LTD</t>
  </si>
  <si>
    <t>INFORMED TECHNOLOGIES INDIA LTD</t>
  </si>
  <si>
    <t>INFORMED TECHNOLOGIES (INDIA) LTD</t>
  </si>
  <si>
    <t>INFOBEAN</t>
  </si>
  <si>
    <t>INFOBEANS TECHNOLOGIES LTD</t>
  </si>
  <si>
    <t>NAUKRI</t>
  </si>
  <si>
    <t>INFO EDGE INDIA LTD</t>
  </si>
  <si>
    <t>INFO EDGE (INDIA) LTD</t>
  </si>
  <si>
    <t>INFLAME APPLIANCES LTD</t>
  </si>
  <si>
    <t>INFINITE</t>
  </si>
  <si>
    <t>INFINITE COMPUTER SOLUTIONS INDIA LTD</t>
  </si>
  <si>
    <t>INFINITE COMPUTER SOLUTIONS (INDIA) LTD</t>
  </si>
  <si>
    <t>INFIBEAM</t>
  </si>
  <si>
    <t>INFIBEAM AVENUES LTD</t>
  </si>
  <si>
    <t>INERTIA STEEL LTD</t>
  </si>
  <si>
    <t>INEOSSTYRO</t>
  </si>
  <si>
    <t>INEOS STYROLUTION INDIA LTD</t>
  </si>
  <si>
    <t>INEOS STYROLUTION (INDIA) LTD</t>
  </si>
  <si>
    <t>IITL</t>
  </si>
  <si>
    <t>INDUSTRIAL INVESTMENT TRUST LTD</t>
  </si>
  <si>
    <t>INDUSTRIAL &amp; PRUDENTIAL INVESTMENTS CO LTD</t>
  </si>
  <si>
    <t>INDUSINDBK</t>
  </si>
  <si>
    <t>INDUSIND BANK LTD</t>
  </si>
  <si>
    <t>INDUS FINANCE LTD</t>
  </si>
  <si>
    <t>INDUCTO STEEL LTD</t>
  </si>
  <si>
    <t>INDSWFTLTD</t>
  </si>
  <si>
    <t>IND-SWIFT LTD</t>
  </si>
  <si>
    <t>INDSWFTLAB</t>
  </si>
  <si>
    <t>IND-SWIFT LABORATORIES LTD</t>
  </si>
  <si>
    <t>INDSOYA LTD</t>
  </si>
  <si>
    <t>INDSIL HYDRO POWER AND MANGANESE LTD</t>
  </si>
  <si>
    <t>INDRANIB</t>
  </si>
  <si>
    <t>INDRAYANI BIOTECH LTD.</t>
  </si>
  <si>
    <t>INDRAMEDCO</t>
  </si>
  <si>
    <t>INDRAPRASTHA MEDICAL CORPORATION LTD</t>
  </si>
  <si>
    <t>IGL</t>
  </si>
  <si>
    <t>INDRAPRASTHA GAS LTD</t>
  </si>
  <si>
    <t>INDRA INDUSTRIES LTD</t>
  </si>
  <si>
    <t>INDOWIND</t>
  </si>
  <si>
    <t>INDOWIND ENERGY LTD</t>
  </si>
  <si>
    <t>INDOVATION TECHNOLOGIES LTD</t>
  </si>
  <si>
    <t>INDOSTAR</t>
  </si>
  <si>
    <t>INDOSTAR CAPITAL FINANCE LTD</t>
  </si>
  <si>
    <t>INDOSOLAR</t>
  </si>
  <si>
    <t>INDOSOLAR LTD</t>
  </si>
  <si>
    <t>NIPPOBATRY</t>
  </si>
  <si>
    <t>INDO-NATIONAL LTD</t>
  </si>
  <si>
    <t>INDOKEM LTD</t>
  </si>
  <si>
    <t>INDO-GLOBAL ENTERPRISES LTD</t>
  </si>
  <si>
    <t>INDOCO</t>
  </si>
  <si>
    <t>INDOCO REMEDIES LTD</t>
  </si>
  <si>
    <t>INDO-CITY INFOTECH LTD</t>
  </si>
  <si>
    <t>INDO US BIO-TECH LTD</t>
  </si>
  <si>
    <t>INDOTHAI</t>
  </si>
  <si>
    <t>INDO THAI SECURITIES LTD</t>
  </si>
  <si>
    <t>INDOTECH</t>
  </si>
  <si>
    <t>INDO TECH TRANSFORMERS LTD</t>
  </si>
  <si>
    <t>INDORAMA</t>
  </si>
  <si>
    <t>INDO RAMA SYNTHETICS INDIA LTD</t>
  </si>
  <si>
    <t>INDO RAMA SYNTHETICS (INDIA) LTD</t>
  </si>
  <si>
    <t>INDO PACIFIC PROJECTS LTD</t>
  </si>
  <si>
    <t>INDO GULF INDUSTRIES LTD</t>
  </si>
  <si>
    <t>INDO EURO INDCHEM LTD</t>
  </si>
  <si>
    <t>INDO CREDIT CAPITAL LTD</t>
  </si>
  <si>
    <t>ICIL</t>
  </si>
  <si>
    <t>INDO COUNT INDUSTRIES LTD</t>
  </si>
  <si>
    <t>INDO COTSPIN LTD</t>
  </si>
  <si>
    <t>INDO BORAX &amp; CHEMICALS LTD</t>
  </si>
  <si>
    <t>INDO ASIAN FINANCE LTD</t>
  </si>
  <si>
    <t>INDO AMINES LTD</t>
  </si>
  <si>
    <t>INDITRADE CAPITAL LTD</t>
  </si>
  <si>
    <t>INDIANIVESH LTD</t>
  </si>
  <si>
    <t>INDIAN TONERS &amp; DEVELOPERS LTD</t>
  </si>
  <si>
    <t>INDTERRAIN</t>
  </si>
  <si>
    <t>INDIAN TERRAIN FASHIONS LTD</t>
  </si>
  <si>
    <t>INDIAN SUCROSE LTD</t>
  </si>
  <si>
    <t>IOB</t>
  </si>
  <si>
    <t>INDIAN OVERSEAS BANK</t>
  </si>
  <si>
    <t>IOC</t>
  </si>
  <si>
    <t>INDIAN OIL CORPORATION LTD</t>
  </si>
  <si>
    <t>IMFA</t>
  </si>
  <si>
    <t>INDIAN METALS &amp; FERRO ALLOYS LTD</t>
  </si>
  <si>
    <t>INDIAN LINK CHAIN MANUFACTURES LTD</t>
  </si>
  <si>
    <t>INDIAN INFOTECH &amp; SOFTWARE LTD</t>
  </si>
  <si>
    <t>INDIANHUME</t>
  </si>
  <si>
    <t>INDIAN HUME PIPE COMPANY LTD</t>
  </si>
  <si>
    <t>INDIAN EXTRACTIONS LTD</t>
  </si>
  <si>
    <t>IEX</t>
  </si>
  <si>
    <t>INDIAN ENERGY EXCHANGE LTD</t>
  </si>
  <si>
    <t>INDIANCARD</t>
  </si>
  <si>
    <t>INDIAN CARD CLOTHING COMPANY LTD</t>
  </si>
  <si>
    <t>INDIAN BRIGHT STEEL CO LTD</t>
  </si>
  <si>
    <t>INDIANB</t>
  </si>
  <si>
    <t>INDIAN BANK</t>
  </si>
  <si>
    <t>INDIAN ACRYLICS LTD</t>
  </si>
  <si>
    <t>IBVENTURES</t>
  </si>
  <si>
    <t>INDIABULLS VENTURES LTD</t>
  </si>
  <si>
    <t>IBREALEST</t>
  </si>
  <si>
    <t>INDIABULLS REAL ESTATE LTD</t>
  </si>
  <si>
    <t>IBULISL</t>
  </si>
  <si>
    <t>INDIABULLS INTEGRATED SERVICES LTD</t>
  </si>
  <si>
    <t>IBULHSGFIN</t>
  </si>
  <si>
    <t>INDIABULLS HOUSING FINANCE LTD</t>
  </si>
  <si>
    <t>ITDC</t>
  </si>
  <si>
    <t>INDIA TOURISM DEVELOPMENT CORPORATION LTD</t>
  </si>
  <si>
    <t>INDIA STEEL WORKS LTD</t>
  </si>
  <si>
    <t>INDNIPPON</t>
  </si>
  <si>
    <t>INDIA NIPPON ELECTRICALS LTD</t>
  </si>
  <si>
    <t>IMPAL</t>
  </si>
  <si>
    <t>INDIA MOTOR PARTS AND ACCESSORIES LTD</t>
  </si>
  <si>
    <t>INDIA INFRASPACE LTD</t>
  </si>
  <si>
    <t>INDIA HOME LOAN LTD</t>
  </si>
  <si>
    <t>INDIGRID</t>
  </si>
  <si>
    <t>India Grid Trust</t>
  </si>
  <si>
    <t>INDIA GREEN REALITY LTD</t>
  </si>
  <si>
    <t>INDIAGLYCO</t>
  </si>
  <si>
    <t>INDIA GLYCOLS LTD</t>
  </si>
  <si>
    <t>INDIA GELATINE &amp; CHEMICALS LTD</t>
  </si>
  <si>
    <t>INDIA FINSEC LTD</t>
  </si>
  <si>
    <t>INDIA CEMENTS CAPITAL LTD</t>
  </si>
  <si>
    <t>INDERGIRI FINANCE LTD</t>
  </si>
  <si>
    <t>INDBANK</t>
  </si>
  <si>
    <t>INDBANK MERCHANT BANKING SERVICES LTD</t>
  </si>
  <si>
    <t>IND-AGIV COMMERCE LTD</t>
  </si>
  <si>
    <t>INDAG RUBBER LTD</t>
  </si>
  <si>
    <t>IND RENEWABLE ENERGY LTD</t>
  </si>
  <si>
    <t>IND BANK HOUSING LTD</t>
  </si>
  <si>
    <t>INCON ENGINEERS LTD</t>
  </si>
  <si>
    <t>INCEPTUM ENTERPRISES LTD</t>
  </si>
  <si>
    <t>INCAP LTD</t>
  </si>
  <si>
    <t>INANI SECURITIES LTD</t>
  </si>
  <si>
    <t>INANI MARBLES &amp; INDUSTRIES LTD</t>
  </si>
  <si>
    <t>IMPEXFERRO</t>
  </si>
  <si>
    <t>IMPEX FERRO TECH LTD</t>
  </si>
  <si>
    <t>INDLMETER</t>
  </si>
  <si>
    <t>IMP POWERS LTD</t>
  </si>
  <si>
    <t>IMEC SERVICES LTD</t>
  </si>
  <si>
    <t>IMC FINANCE LTD</t>
  </si>
  <si>
    <t>IM+ CAPITALS LTD</t>
  </si>
  <si>
    <t>IL&amp;FSTRANS</t>
  </si>
  <si>
    <t>IL&amp;FS TRANSPORTATION NETWORKS LTD</t>
  </si>
  <si>
    <t>IVC</t>
  </si>
  <si>
    <t>IL&amp;FS INVESTMENT MANAGERS LTD</t>
  </si>
  <si>
    <t>IL&amp;FSENGG</t>
  </si>
  <si>
    <t>IL&amp;FS ENGINEERING AND CONSTRUCTION COMPANY LTD</t>
  </si>
  <si>
    <t>IKF TECHNOLOGIES LTD</t>
  </si>
  <si>
    <t>IKAB SECURITIES &amp; INVESTMENT LTD</t>
  </si>
  <si>
    <t>IITLPROJ</t>
  </si>
  <si>
    <t>IITL PROJECTS LTD</t>
  </si>
  <si>
    <t>IIFL</t>
  </si>
  <si>
    <t>IIFL HOLDINGS LTD</t>
  </si>
  <si>
    <t>IGC INDUSTRIES LTD</t>
  </si>
  <si>
    <t>IGARASHI</t>
  </si>
  <si>
    <t>IGARASHI MOTORS INDIA LTD</t>
  </si>
  <si>
    <t>IGARASHI MOTORS (INDIA) LTD</t>
  </si>
  <si>
    <t>IGPL</t>
  </si>
  <si>
    <t>IG PETROCHEMICALS LTD</t>
  </si>
  <si>
    <t>IFM IMPEX GLOBAL LTD</t>
  </si>
  <si>
    <t>IFL ENTERPRISES LTD</t>
  </si>
  <si>
    <t>IFGLEXPOR</t>
  </si>
  <si>
    <t>IFGL REFRACTORIES LTD</t>
  </si>
  <si>
    <t>IFCI</t>
  </si>
  <si>
    <t>IFCI LTD</t>
  </si>
  <si>
    <t>IFBIND</t>
  </si>
  <si>
    <t>IFB INDUSTRIES LTD</t>
  </si>
  <si>
    <t>IFBAGRO</t>
  </si>
  <si>
    <t>IFB AGRO INDUSTRIES LTD</t>
  </si>
  <si>
    <t>IDFC</t>
  </si>
  <si>
    <t>IDFC LTD</t>
  </si>
  <si>
    <t>IDFCFIRSTB</t>
  </si>
  <si>
    <t>IDFC First Bank LTD</t>
  </si>
  <si>
    <t>IDFCBANK</t>
  </si>
  <si>
    <t>IDFC BANK LTD</t>
  </si>
  <si>
    <t>IDBI</t>
  </si>
  <si>
    <t>IDBI BANK LTD</t>
  </si>
  <si>
    <t>ICSA</t>
  </si>
  <si>
    <t>ICSA INDIA LTD</t>
  </si>
  <si>
    <t>ICSA (INDIA) LTD</t>
  </si>
  <si>
    <t>ICRA</t>
  </si>
  <si>
    <t>ICRA LTD</t>
  </si>
  <si>
    <t>ISEC</t>
  </si>
  <si>
    <t>ICICI SECURITIES LTD</t>
  </si>
  <si>
    <t>ICICISENSX</t>
  </si>
  <si>
    <t>ICICI Prudential Sensex ETF</t>
  </si>
  <si>
    <t>ICICIPRULI</t>
  </si>
  <si>
    <t>ICICI PRUDENTIAL LIFE INSURANCE COMPANY LTD</t>
  </si>
  <si>
    <t>ICICIGOLD</t>
  </si>
  <si>
    <t>ICICI Prudential Gold ETF</t>
  </si>
  <si>
    <t>ICICIGI</t>
  </si>
  <si>
    <t>ICICI LOMBARD GENERAL INSURANCE COMPANY LTD</t>
  </si>
  <si>
    <t>ICICIBANK</t>
  </si>
  <si>
    <t>ICICI BANK LTD</t>
  </si>
  <si>
    <t>ICEMAKE</t>
  </si>
  <si>
    <t>ICE MAKE REFRIGERATION LTD</t>
  </si>
  <si>
    <t>IB INFOTECH ENTERPRISES LTD</t>
  </si>
  <si>
    <t>HYPERSOFT TECHNOLOGIES LTD</t>
  </si>
  <si>
    <t>HUSYSLTD</t>
  </si>
  <si>
    <t>HUSYS CONSULTING LTD</t>
  </si>
  <si>
    <t>HBEL</t>
  </si>
  <si>
    <t>Humming Bird Education Ltd</t>
  </si>
  <si>
    <t>PAPERPROD</t>
  </si>
  <si>
    <t>HUHTAMAKI PPL LTD</t>
  </si>
  <si>
    <t>HUBTOWN</t>
  </si>
  <si>
    <t>HUBTOWN LTD</t>
  </si>
  <si>
    <t>HTMEDIA</t>
  </si>
  <si>
    <t>HT MEDIA LTD</t>
  </si>
  <si>
    <t>HSIL</t>
  </si>
  <si>
    <t>HSIL LTD</t>
  </si>
  <si>
    <t>HRB FLORICULTURE LTD</t>
  </si>
  <si>
    <t>HPL</t>
  </si>
  <si>
    <t>HPL ELECTRIC &amp; POWER LTD</t>
  </si>
  <si>
    <t>HPC BIOSCIENCES LTD</t>
  </si>
  <si>
    <t>HOWARD HOTELS LTD</t>
  </si>
  <si>
    <t>HOVS</t>
  </si>
  <si>
    <t>HOV SERVICES LTD</t>
  </si>
  <si>
    <t>HDFC</t>
  </si>
  <si>
    <t>HOUSING DEVELOPMENT FINANCE CORPORATION LTD</t>
  </si>
  <si>
    <t>HDIL</t>
  </si>
  <si>
    <t>HOUSING DEVELOPMENT AND INFRASTRUCTURE LTD</t>
  </si>
  <si>
    <t>HUDCO</t>
  </si>
  <si>
    <t>HOUSING &amp; URBAN DEVELOPMENT CORPORATION LTD</t>
  </si>
  <si>
    <t>HOTELRUGBY</t>
  </si>
  <si>
    <t>HOTEL RUGBY LTD</t>
  </si>
  <si>
    <t>HOTELEELA</t>
  </si>
  <si>
    <t>HOTEL LEELA VENTURE LTD</t>
  </si>
  <si>
    <t>HONAUT</t>
  </si>
  <si>
    <t>HONEYWELL AUTOMATION INDIA LTD</t>
  </si>
  <si>
    <t>HONEYWELL AUTOMATION (INDIA) LTD</t>
  </si>
  <si>
    <t>HONDAPOWER</t>
  </si>
  <si>
    <t>HONDA SIEL POWER PRODUCTS LTD</t>
  </si>
  <si>
    <t>HMT</t>
  </si>
  <si>
    <t>HMT LTD</t>
  </si>
  <si>
    <t>HITTCO TOOLS LTD</t>
  </si>
  <si>
    <t>Paper &amp;amp; Paper Products</t>
  </si>
  <si>
    <t>HITECHWIND</t>
  </si>
  <si>
    <t>Hi-Tech Winding Systems Ltd</t>
  </si>
  <si>
    <t>HI-TECH PIPES LTD</t>
  </si>
  <si>
    <t>HITECHCORP</t>
  </si>
  <si>
    <t>HITECH CORPORATION LTD</t>
  </si>
  <si>
    <t>HIT KIT GLOBAL SOLUTIONS LTD</t>
  </si>
  <si>
    <t>HISAR SPINNING MILLS LTD</t>
  </si>
  <si>
    <t>HISARMETAL</t>
  </si>
  <si>
    <t>HISAR METAL INDUSTRIES LTD</t>
  </si>
  <si>
    <t>HIRA AUTOMOBILES LTD</t>
  </si>
  <si>
    <t>HIPOLIN LTD</t>
  </si>
  <si>
    <t>HINDUSTHAN URBAN INFRASTRUCTURE LTD</t>
  </si>
  <si>
    <t>HINDUSTHAN UDYOG LTD</t>
  </si>
  <si>
    <t>HINDNATGLS</t>
  </si>
  <si>
    <t>HINDUSTHAN NATIONAL GLASS &amp; INDUSTRIES LTD</t>
  </si>
  <si>
    <t>HINDZINC</t>
  </si>
  <si>
    <t>HINDUSTAN ZINC LTD</t>
  </si>
  <si>
    <t>HINDUSTAN WIRES LTD</t>
  </si>
  <si>
    <t>HINDUNILVR</t>
  </si>
  <si>
    <t>HINDUSTAN UNILEVER LTD</t>
  </si>
  <si>
    <t>HINDUSTAN TIN WORKS LTD</t>
  </si>
  <si>
    <t>HINDPETRO</t>
  </si>
  <si>
    <t>HINDUSTAN PETROLEUM CORPORATION LTD</t>
  </si>
  <si>
    <t>HINDUSTAN ORGANIC CHEMICALS LTD</t>
  </si>
  <si>
    <t>HINDOILEXP</t>
  </si>
  <si>
    <t>HINDUSTAN OIL EXPLORATION COMPANY LTD</t>
  </si>
  <si>
    <t>HINDMOTORS</t>
  </si>
  <si>
    <t>HINDUSTAN MOTORS LTD</t>
  </si>
  <si>
    <t>HMVL</t>
  </si>
  <si>
    <t>HINDUSTAN MEDIA VENTURES LTD</t>
  </si>
  <si>
    <t>HINDUSTAN HOUSING CO LTD</t>
  </si>
  <si>
    <t>HINDUSTAN HARDY SPICER LTD</t>
  </si>
  <si>
    <t>HINDUSTAN FOODS LTD</t>
  </si>
  <si>
    <t>HINDUSTAN FLUOROCARBONS LTD</t>
  </si>
  <si>
    <t>HINDEVER</t>
  </si>
  <si>
    <t>HINDUSTAN EVEREST TOOLS LTD.</t>
  </si>
  <si>
    <t>HINDCOPPER</t>
  </si>
  <si>
    <t>HINDUSTAN COPPER LTD</t>
  </si>
  <si>
    <t>HCC</t>
  </si>
  <si>
    <t>HINDUSTAN CONSTRUCTION COMPANY LTD</t>
  </si>
  <si>
    <t>HINDCOMPOS</t>
  </si>
  <si>
    <t>HINDUSTAN COMPOSITES LTD</t>
  </si>
  <si>
    <t>HINDBIO</t>
  </si>
  <si>
    <t>HINDUSTAN BIO SCIENCES LTD.</t>
  </si>
  <si>
    <t>HINDUSTAN APPLIANCES LTD</t>
  </si>
  <si>
    <t>HAL</t>
  </si>
  <si>
    <t>HINDUSTAN ADHESIVES LTD</t>
  </si>
  <si>
    <t>HINDUJAVEN</t>
  </si>
  <si>
    <t>HINDUJA VENTURES LTD</t>
  </si>
  <si>
    <t>HGS</t>
  </si>
  <si>
    <t>HINDUJA GLOBAL SOLUTIONS LTD</t>
  </si>
  <si>
    <t>HINDOOSTAN MILLS LTD</t>
  </si>
  <si>
    <t>HINDCON</t>
  </si>
  <si>
    <t>HINDCON CHEMICALS LTD</t>
  </si>
  <si>
    <t>HINDALCO</t>
  </si>
  <si>
    <t>HINDALCO INDUSTRIES LTD</t>
  </si>
  <si>
    <t>HINDSYNTEX</t>
  </si>
  <si>
    <t>HIND SYNTEX LTD</t>
  </si>
  <si>
    <t>HIND SECURITIES &amp; CREDITS LTD</t>
  </si>
  <si>
    <t>HIRECT</t>
  </si>
  <si>
    <t>HIND RECTIFIERS LTD</t>
  </si>
  <si>
    <t>HIND COMMERCE LTD</t>
  </si>
  <si>
    <t>HIND ALUMINIUM INDUSTRIES LTD</t>
  </si>
  <si>
    <t>HIMATSEIDE</t>
  </si>
  <si>
    <t>HIMATSINGKA SEIDE LTD</t>
  </si>
  <si>
    <t>HIMALCHULI FOOD PRODUCTS LTD</t>
  </si>
  <si>
    <t>HIMALAYA GRANITES LTD</t>
  </si>
  <si>
    <t>HIMALAYA FOOD INTERNATIONAL LTD</t>
  </si>
  <si>
    <t>HSCL</t>
  </si>
  <si>
    <t>HIMADRI SPECIALITY CHEMICAL LTD</t>
  </si>
  <si>
    <t>HFCL</t>
  </si>
  <si>
    <t>HIMACHAL FUTURISTIC COMMUNICATIONS LTD</t>
  </si>
  <si>
    <t>HIMACHAL FIBRES LTD</t>
  </si>
  <si>
    <t>HIM TEKNOFORGE LTD</t>
  </si>
  <si>
    <t>HILTON</t>
  </si>
  <si>
    <t>HILTON METAL FORGING LTD</t>
  </si>
  <si>
    <t>HIL</t>
  </si>
  <si>
    <t>HIL LTD</t>
  </si>
  <si>
    <t>HIKLASS</t>
  </si>
  <si>
    <t>Hi-Klass Trading and Investment Ltd</t>
  </si>
  <si>
    <t>HIKAL</t>
  </si>
  <si>
    <t>HIKAL LTD</t>
  </si>
  <si>
    <t>HIGH STREET FILATEX LTD</t>
  </si>
  <si>
    <t>HIGHGROUND</t>
  </si>
  <si>
    <t>HIGH GROUND ENTERPRISE LTD</t>
  </si>
  <si>
    <t>HIGH ENERGY BATTERIES INDIA LTD</t>
  </si>
  <si>
    <t>HIGH ENERGY BATTERIES (INDIA) LTD</t>
  </si>
  <si>
    <t>HEXAWARE</t>
  </si>
  <si>
    <t>HEXAWARE TECHNOLOGIES LTD</t>
  </si>
  <si>
    <t>HEXATRADEX</t>
  </si>
  <si>
    <t>HEXA TRADEX LTD</t>
  </si>
  <si>
    <t>HESTERBIO</t>
  </si>
  <si>
    <t>HESTER BIOSCIENCES LTD</t>
  </si>
  <si>
    <t>HEROMOTOCO</t>
  </si>
  <si>
    <t>HERO MOTOCORP LTD</t>
  </si>
  <si>
    <t>HERITGFOOD</t>
  </si>
  <si>
    <t>HERITAGE FOODS LTD</t>
  </si>
  <si>
    <t>HERCULES</t>
  </si>
  <si>
    <t>HERCULES HOISTS LTD</t>
  </si>
  <si>
    <t>HEMO ORGANIC LTD</t>
  </si>
  <si>
    <t>HEMANG RESOURCES LTD</t>
  </si>
  <si>
    <t>HEM HOLDINGS &amp; TRADING LTD</t>
  </si>
  <si>
    <t>HELPAGE</t>
  </si>
  <si>
    <t>Helpage Finlease Ltd</t>
  </si>
  <si>
    <t>HEIDELBERG</t>
  </si>
  <si>
    <t>HEIDELBERGCEMENT INDIA LTD</t>
  </si>
  <si>
    <t>HEIDELBERGCEMENT (INDIA) LTD</t>
  </si>
  <si>
    <t>HEG</t>
  </si>
  <si>
    <t>HEG LTD</t>
  </si>
  <si>
    <t>HEERA ISPAT LTD</t>
  </si>
  <si>
    <t>HECPROJECT</t>
  </si>
  <si>
    <t>HEC INFRA PROJECTS LTD</t>
  </si>
  <si>
    <t>HEALTHY INVESTMENTS LTD</t>
  </si>
  <si>
    <t>HCG</t>
  </si>
  <si>
    <t>HEALTHCARE GLOBAL ENTERPRISES LTD</t>
  </si>
  <si>
    <t>HDFCLIFE</t>
  </si>
  <si>
    <t>HDFC STANDARD LIFE INSURANCE COMPANY LTD</t>
  </si>
  <si>
    <t>HDFCMFGETF</t>
  </si>
  <si>
    <t>HDFC Mutual Fund - HDFC Gold Exchange Traded Fund</t>
  </si>
  <si>
    <t>HDFCBANK</t>
  </si>
  <si>
    <t>HDFC BANK LTD</t>
  </si>
  <si>
    <t>HDFCAMC</t>
  </si>
  <si>
    <t>HDFC ASSET MANAGEMENT COMPANY LTD</t>
  </si>
  <si>
    <t>HCLTECH</t>
  </si>
  <si>
    <t>HCL TECHNOLOGIES LTD</t>
  </si>
  <si>
    <t>HCL-INSYS</t>
  </si>
  <si>
    <t>HCL INFOSYSTEMS LTD</t>
  </si>
  <si>
    <t>HCKK VENTURES LTD</t>
  </si>
  <si>
    <t>HBLPOWER</t>
  </si>
  <si>
    <t>HBL POWER SYSTEMS LTD</t>
  </si>
  <si>
    <t>HBSL</t>
  </si>
  <si>
    <t>HB STOCKHOLDINGS LTD</t>
  </si>
  <si>
    <t>HB PORTFOLIO LTD</t>
  </si>
  <si>
    <t>HB LEASING &amp; FINANCE CO LTD</t>
  </si>
  <si>
    <t>HB ESTATE DEVELOPERS LTD</t>
  </si>
  <si>
    <t>HAZOOR MULTI PROJECTS LTD</t>
  </si>
  <si>
    <t>HAWKINS COOKERS LTD</t>
  </si>
  <si>
    <t>HAWA ENGINEERS LTD</t>
  </si>
  <si>
    <t>HAVELLS</t>
  </si>
  <si>
    <t>HAVELLS INDIA LTD</t>
  </si>
  <si>
    <t>HAVELLS (INDIA) LTD</t>
  </si>
  <si>
    <t>HATSUN</t>
  </si>
  <si>
    <t>HATSUN AGRO PRODUCT LTD</t>
  </si>
  <si>
    <t>HATHWAY</t>
  </si>
  <si>
    <t>HATHWAY CABLE &amp; DATACOM LTD</t>
  </si>
  <si>
    <t>Broadcasting &amp;amp; Cable TV</t>
  </si>
  <si>
    <t>HATHWAYB</t>
  </si>
  <si>
    <t>HATHWAY BHAWANI CABLETEL &amp;amp; DATACOM LTD.</t>
  </si>
  <si>
    <t>HASTI FINANCE LTD</t>
  </si>
  <si>
    <t>HAS LIFESTYLE LTD</t>
  </si>
  <si>
    <t>HARYANA LEATHER CHEMICALS LTD</t>
  </si>
  <si>
    <t>HARYANA FINANCIAL CORPORATION LTD</t>
  </si>
  <si>
    <t>HARYANA CAPFIN LTD</t>
  </si>
  <si>
    <t>HARRMALAYA</t>
  </si>
  <si>
    <t>HARRISONS MALAYALAM LTD</t>
  </si>
  <si>
    <t>HARMONY CAPITAL SERVICES LTD</t>
  </si>
  <si>
    <t>HARIYANA SHIP BREAKERS LTD</t>
  </si>
  <si>
    <t>HARIYANA METALS LTD</t>
  </si>
  <si>
    <t>HARITASEAT</t>
  </si>
  <si>
    <t>HARITA SEATING SYSTEMS LTD</t>
  </si>
  <si>
    <t>HARISH</t>
  </si>
  <si>
    <t>Harish Textile Engineers Ltd</t>
  </si>
  <si>
    <t>HARIA EXPORTS LTD</t>
  </si>
  <si>
    <t>HARIA APPARELS LTD</t>
  </si>
  <si>
    <t>HARI GOVIND INTERNATIONAL LTD</t>
  </si>
  <si>
    <t>HARDCASTLE &amp; WAUD MFG CO LTD</t>
  </si>
  <si>
    <t>HALDYN GLASS LTD</t>
  </si>
  <si>
    <t>HALDER VENTURE LTD</t>
  </si>
  <si>
    <t>H S INDIA LTD</t>
  </si>
  <si>
    <t>H S (INDIA) LTD</t>
  </si>
  <si>
    <t>H P COTTON TEXTILE MILLS LTD</t>
  </si>
  <si>
    <t>H K  TRADE INTERNATIONAL LTD</t>
  </si>
  <si>
    <t>HGINFRA</t>
  </si>
  <si>
    <t>H G INFRA ENGINEERING LTD</t>
  </si>
  <si>
    <t>GAL</t>
  </si>
  <si>
    <t>GYSCOAL ALLOYS LTD</t>
  </si>
  <si>
    <t>GYAN DEVELOPERS &amp; BUILDERS LTD</t>
  </si>
  <si>
    <t>GVKPIL</t>
  </si>
  <si>
    <t>GVK POWER &amp; INFRASTRUCTURE LTD</t>
  </si>
  <si>
    <t>GV FILMS LTD</t>
  </si>
  <si>
    <t>GULPOLY</t>
  </si>
  <si>
    <t>GULSHAN POLYOLS LTD</t>
  </si>
  <si>
    <t>GULSHAN CHEMFILL LTD</t>
  </si>
  <si>
    <t>GULFOILLUB</t>
  </si>
  <si>
    <t>GULF OIL LUBRICANTS INDIA LTD</t>
  </si>
  <si>
    <t>GULF OIL LUBRICANTS (INDIA) LTD</t>
  </si>
  <si>
    <t>GUJCHEM DISTILLERS INDIA LTD</t>
  </si>
  <si>
    <t>GUJCHEM DISTILLERS (INDIA) LTD</t>
  </si>
  <si>
    <t>GUJARAT TOOLROOM LTD</t>
  </si>
  <si>
    <t>GUJARAT THEMIS BIOSYN LTD</t>
  </si>
  <si>
    <t>GUJARAT TERCE LABORATORIES LTD</t>
  </si>
  <si>
    <t>GSPL</t>
  </si>
  <si>
    <t>GUJARAT STATE PETRONET LTD</t>
  </si>
  <si>
    <t>GUJARAT STATE FINANCIAL CORPORATION LTD</t>
  </si>
  <si>
    <t>GSFC</t>
  </si>
  <si>
    <t>GUJARAT STATE FERTILIZERS &amp; CHEMICALS LTD</t>
  </si>
  <si>
    <t>GSCLCEMENT</t>
  </si>
  <si>
    <t>GUJARAT SIDHEE CEMENT LTD</t>
  </si>
  <si>
    <t>GUJRAFFIA</t>
  </si>
  <si>
    <t>GUJARAT RAFFIA INDUSTRIES LTD</t>
  </si>
  <si>
    <t>GUJARAT POLY ELECTRONICS LTD</t>
  </si>
  <si>
    <t>GPPL</t>
  </si>
  <si>
    <t>GUJARAT PIPAVAV PORT LTD</t>
  </si>
  <si>
    <t>GUJARAT PETROSYNTHESE LTD</t>
  </si>
  <si>
    <t>GUJARAT NATURAL RESOURCES LTD</t>
  </si>
  <si>
    <t>GNFC</t>
  </si>
  <si>
    <t>GUJARAT NARMADA VALLEY FERTILIZERS AND CHEMICALS LTD</t>
  </si>
  <si>
    <t>GMDCLTD</t>
  </si>
  <si>
    <t>GUJARAT MINERAL DEVELOPMENT CORPORATION LTD</t>
  </si>
  <si>
    <t>GUJARAT METALLIC COAL &amp; COKE LTD</t>
  </si>
  <si>
    <t>GUJARAT MEDITECH LTD</t>
  </si>
  <si>
    <t>GLFL</t>
  </si>
  <si>
    <t>GUJARAT LEASE FINANCING LTD</t>
  </si>
  <si>
    <t>GUJARAT INVESTA LTD</t>
  </si>
  <si>
    <t>GUJARAT INTRUX LTD</t>
  </si>
  <si>
    <t>GIPCL</t>
  </si>
  <si>
    <t>GUJARAT INDUSTRIES POWER COMPANY LTD</t>
  </si>
  <si>
    <t>GUJARAT HY-SPIN LTD</t>
  </si>
  <si>
    <t>GUJARAT HOTELS LTD</t>
  </si>
  <si>
    <t>GUJGASLTD</t>
  </si>
  <si>
    <t>GUJARAT GAS LTD</t>
  </si>
  <si>
    <t>GUJARAT FOILS LTD</t>
  </si>
  <si>
    <t>GUJFLUORO</t>
  </si>
  <si>
    <t>GUJARAT FLUOROCHEMICALS LTD</t>
  </si>
  <si>
    <t>GUJARAT CREDIT CORPORATION LTD</t>
  </si>
  <si>
    <t>GUJARAT CRAFT INDUSTRIES LTD</t>
  </si>
  <si>
    <t>GUJARAT COTEX LTD</t>
  </si>
  <si>
    <t>GUJARAT CONTAINERS LTD</t>
  </si>
  <si>
    <t>GUJARAT BOROSIL LTD</t>
  </si>
  <si>
    <t>GUJAPOLLO</t>
  </si>
  <si>
    <t>GUJARAT APOLLO INDUSTRIES LTD</t>
  </si>
  <si>
    <t>GAEL</t>
  </si>
  <si>
    <t>GUJARAT AMBUJA EXPORTS LTD</t>
  </si>
  <si>
    <t>GUJALKALI</t>
  </si>
  <si>
    <t>GUJARAT ALKALIES AND CHEMICALS LTD</t>
  </si>
  <si>
    <t>GUFICBIO</t>
  </si>
  <si>
    <t>GUFIC BIOSCIENCES LTD</t>
  </si>
  <si>
    <t>GTV ENGINEERING LTD</t>
  </si>
  <si>
    <t>GTPL</t>
  </si>
  <si>
    <t>GTPL HATHWAY LTD</t>
  </si>
  <si>
    <t>GTNTEX</t>
  </si>
  <si>
    <t>GTN TEXTILES LTD</t>
  </si>
  <si>
    <t>GTNIND</t>
  </si>
  <si>
    <t>GTN INDUSTRIES LTD</t>
  </si>
  <si>
    <t>GTL</t>
  </si>
  <si>
    <t>GTL LTD</t>
  </si>
  <si>
    <t>GTLINFRA</t>
  </si>
  <si>
    <t>GTL INFRASTRUCTURE LTD</t>
  </si>
  <si>
    <t>G-TECH INFO-TRAINING LTD</t>
  </si>
  <si>
    <t>GSS</t>
  </si>
  <si>
    <t>GSS INFOTECH LTD</t>
  </si>
  <si>
    <t>GSL SECURITIES LTD</t>
  </si>
  <si>
    <t>GSL NOVA PETROCHEMICALS LTD</t>
  </si>
  <si>
    <t>GSB FINANCE LTD</t>
  </si>
  <si>
    <t>GRUH</t>
  </si>
  <si>
    <t>GRUH FINANCE LTD</t>
  </si>
  <si>
    <t>GRPLTD</t>
  </si>
  <si>
    <t>GRP LTD</t>
  </si>
  <si>
    <t>Real Estate Investment</t>
  </si>
  <si>
    <t>GROVY INDIA LTD</t>
  </si>
  <si>
    <t>GROVY (INDIA) LTD</t>
  </si>
  <si>
    <t>GROMO TRADE &amp; CONSULTANCY LTD</t>
  </si>
  <si>
    <t>GRM OVERSEAS LTD</t>
  </si>
  <si>
    <t>GRINDWELL</t>
  </si>
  <si>
    <t>GRINDWELL NORTON LTD</t>
  </si>
  <si>
    <t>GREYCELLS EDUCATION LTD</t>
  </si>
  <si>
    <t>GRETEX</t>
  </si>
  <si>
    <t>GRETEX INDUSTRIES LTD</t>
  </si>
  <si>
    <t>GREENPLY</t>
  </si>
  <si>
    <t>GREENPLY INDUSTRIES LTD</t>
  </si>
  <si>
    <t>GREENLAM</t>
  </si>
  <si>
    <t>GREENLAM INDUSTRIES LTD</t>
  </si>
  <si>
    <t>GREENCREST FINANCIAL SERVICES LTD</t>
  </si>
  <si>
    <t>GREAVESCOT</t>
  </si>
  <si>
    <t>GREAVES COTTON LTD</t>
  </si>
  <si>
    <t>GRAVITY INDIA LTD</t>
  </si>
  <si>
    <t>GRAVITY (INDIA) LTD</t>
  </si>
  <si>
    <t>GRAVITA</t>
  </si>
  <si>
    <t>GRAVITA INDIA LTD</t>
  </si>
  <si>
    <t>GRAVITA (INDIA) LTD</t>
  </si>
  <si>
    <t>GRAVISS HOSPITALITY LTD</t>
  </si>
  <si>
    <t>GRAUER &amp; WEIL INDIA LTD</t>
  </si>
  <si>
    <t>GRAUER &amp; WEIL (INDIA) LTD</t>
  </si>
  <si>
    <t>GRATEX INDUSTRIES LTD</t>
  </si>
  <si>
    <t>GRASIM</t>
  </si>
  <si>
    <t>GRASIM INDUSTRIES LTD</t>
  </si>
  <si>
    <t>GRAPHITE</t>
  </si>
  <si>
    <t>GRAPHITE INDIA LTD</t>
  </si>
  <si>
    <t>GRAPHITE (INDIA) LTD</t>
  </si>
  <si>
    <t>GRANULES</t>
  </si>
  <si>
    <t>GRANULES INDIA LTD</t>
  </si>
  <si>
    <t>GRANULES (INDIA) LTD</t>
  </si>
  <si>
    <t>GRANDEUR PRODUCTS LTD</t>
  </si>
  <si>
    <t>GRADIENTE INFOTAINMENT LTD</t>
  </si>
  <si>
    <t>GRACIOUS SOFTWARE LTD</t>
  </si>
  <si>
    <t>GPTINFRA</t>
  </si>
  <si>
    <t>GPT INFRAPROJECTS LTD</t>
  </si>
  <si>
    <t>GULFPETRO</t>
  </si>
  <si>
    <t>GP PETROLEUMS LTD</t>
  </si>
  <si>
    <t>GOYAL ASSOCIATES LTD</t>
  </si>
  <si>
    <t>GOWRA LEASING &amp; FINANCE LTD</t>
  </si>
  <si>
    <t>GOVIND RUBBER LTD</t>
  </si>
  <si>
    <t>GOTHI PLASCON INDIA LTD</t>
  </si>
  <si>
    <t>GOTHI PLASCON (INDIA) LTD</t>
  </si>
  <si>
    <t>GORANI INDUSTRIES LTD</t>
  </si>
  <si>
    <t>GOPALA POLYPLAST LTD</t>
  </si>
  <si>
    <t>GOPAL IRON &amp; STEELS CO GUJARAT LTD</t>
  </si>
  <si>
    <t>GOODYEAR INDIA LTD</t>
  </si>
  <si>
    <t>GOODYEAR (INDIA) LTD</t>
  </si>
  <si>
    <t>GOODRICKE GROUP LTD</t>
  </si>
  <si>
    <t>GOODLUCK</t>
  </si>
  <si>
    <t>GOODLUCK INDIA LTD</t>
  </si>
  <si>
    <t>GOODLUCK (INDIA) LTD</t>
  </si>
  <si>
    <t>GOLKUNDA DIAMONDS &amp; JEWELLERY LTD</t>
  </si>
  <si>
    <t>GOLKONDA ALUMINIUM EXTRUSIONS LTD</t>
  </si>
  <si>
    <t>GOLECHHA GLOBAL FINANCE LTD</t>
  </si>
  <si>
    <t>GOLDTECH</t>
  </si>
  <si>
    <t>GOLDSTONE TECHNOLOGIES LTD</t>
  </si>
  <si>
    <t>GOLDSTAR</t>
  </si>
  <si>
    <t>GOLDSTAR POWER LTD</t>
  </si>
  <si>
    <t>GOLDIAM</t>
  </si>
  <si>
    <t>GOLDIAM INTERNATIONAL LTD</t>
  </si>
  <si>
    <t>GOLDENTOBC</t>
  </si>
  <si>
    <t>GOLDEN TOBACCO LTD</t>
  </si>
  <si>
    <t>GOLDEN GOENKA FINCORP LTD</t>
  </si>
  <si>
    <t>GOLDEN CREST EDUCATION &amp; SERVICES LTD</t>
  </si>
  <si>
    <t>GOLDEN CARPETS LTD</t>
  </si>
  <si>
    <t>GOLDCREST CORPORATION LTD</t>
  </si>
  <si>
    <t>GOLDLINE</t>
  </si>
  <si>
    <t>Gold Line International Finvest Ltd</t>
  </si>
  <si>
    <t>GOLD COIN HEALTH FOODS LTD</t>
  </si>
  <si>
    <t>GOKUL SOLUTIONS LTD</t>
  </si>
  <si>
    <t>GOKUL</t>
  </si>
  <si>
    <t>GOKUL REFOILS AND SOLVENT LTD</t>
  </si>
  <si>
    <t>GOKULAGRO</t>
  </si>
  <si>
    <t>GOKUL AGRO RESOURCES LTD</t>
  </si>
  <si>
    <t>GOKEX</t>
  </si>
  <si>
    <t>GOKALDAS EXPORTS LTD</t>
  </si>
  <si>
    <t>GOKAK TEXTILES LTD</t>
  </si>
  <si>
    <t>GOGIA CAPITAL SERVICES LTD</t>
  </si>
  <si>
    <t>GOENKA</t>
  </si>
  <si>
    <t>GOENKA DIAMOND AND JEWELS LTD</t>
  </si>
  <si>
    <t>GOENKA BUSINESS &amp; FINANCE LTD</t>
  </si>
  <si>
    <t>GODREJPROP</t>
  </si>
  <si>
    <t>GODREJ PROPERTIES LTD</t>
  </si>
  <si>
    <t>GODREJIND</t>
  </si>
  <si>
    <t>GODREJ INDUSTRIES LTD</t>
  </si>
  <si>
    <t>GODREJCP</t>
  </si>
  <si>
    <t>GODREJ CONSUMER PRODUCTS LTD</t>
  </si>
  <si>
    <t>GODREJAGRO</t>
  </si>
  <si>
    <t>GODREJ AGROVET LTD</t>
  </si>
  <si>
    <t>GODHA</t>
  </si>
  <si>
    <t>GODHA CABCON &amp; INSULATION LTD</t>
  </si>
  <si>
    <t>GODFRYPHLP</t>
  </si>
  <si>
    <t>GODFREY PHILLIPS INDIA LTD</t>
  </si>
  <si>
    <t>GODFREY PHILLIPS (INDIA) LTD</t>
  </si>
  <si>
    <t>GPIL</t>
  </si>
  <si>
    <t>GODAWARI POWER AND ISPAT LTD</t>
  </si>
  <si>
    <t>GODAVARI DRUGS LTD</t>
  </si>
  <si>
    <t>GOCLCORP</t>
  </si>
  <si>
    <t>GOCL CORPORATION LTD</t>
  </si>
  <si>
    <t>GOACARBON</t>
  </si>
  <si>
    <t>GOA CARBON LTD</t>
  </si>
  <si>
    <t>GNA</t>
  </si>
  <si>
    <t>GNA AXLES LTD</t>
  </si>
  <si>
    <t>GMRINFRA</t>
  </si>
  <si>
    <t>GMR INFRASTRUCTURE LTD</t>
  </si>
  <si>
    <t>GMMPFAUDLR</t>
  </si>
  <si>
    <t>GMM PFAUDLER LTD</t>
  </si>
  <si>
    <t>GMBREW</t>
  </si>
  <si>
    <t>GM BREWERIES LTD</t>
  </si>
  <si>
    <t>Jute &amp;amp; Jute Products</t>
  </si>
  <si>
    <t>GLOSTERLTD</t>
  </si>
  <si>
    <t>Gloster Ltd</t>
  </si>
  <si>
    <t>GLOBUSSPR</t>
  </si>
  <si>
    <t>GLOBUS SPIRITS LTD</t>
  </si>
  <si>
    <t>GLOBUSCOR</t>
  </si>
  <si>
    <t>GLOBUS CORPORATION LTD.-$</t>
  </si>
  <si>
    <t>GLOBUS CONSTRUCTORS &amp; DEVELOPERS LTD</t>
  </si>
  <si>
    <t>GLOBE</t>
  </si>
  <si>
    <t>GLOBE TEXTILES INDIA LTD</t>
  </si>
  <si>
    <t>GLOBE TEXTILES (INDIA) LTD</t>
  </si>
  <si>
    <t>GICL</t>
  </si>
  <si>
    <t>GLOBE INTERNATIONAL CARRIERS LTD</t>
  </si>
  <si>
    <t>GLOBE COMMERCIALS LTD</t>
  </si>
  <si>
    <t>GLOBALSPACE TECHNOLOGIES LTD</t>
  </si>
  <si>
    <t>GLOBALVECT</t>
  </si>
  <si>
    <t>GLOBAL VECTRA HELICORP LTD</t>
  </si>
  <si>
    <t>GLOBOFFS</t>
  </si>
  <si>
    <t>GLOBAL OFFSHORE SERVICES LTD</t>
  </si>
  <si>
    <t>GLOBAL LAND MASTERS CORPORATION LTD</t>
  </si>
  <si>
    <t>GLOBAL INFRATECH &amp; FINANCE LTD</t>
  </si>
  <si>
    <t>GLOBAL</t>
  </si>
  <si>
    <t>GLOBAL EDUCATION LTD</t>
  </si>
  <si>
    <t>GLOBAL CAPITAL MARKETS LTD</t>
  </si>
  <si>
    <t>GLITTEK GRANITES LTD</t>
  </si>
  <si>
    <t>GLENMARK</t>
  </si>
  <si>
    <t>GLENMARK PHARMACEUTICALS LTD</t>
  </si>
  <si>
    <t>GLEAM</t>
  </si>
  <si>
    <t>Gleam Fabmat Ltd</t>
  </si>
  <si>
    <t>GLAXO</t>
  </si>
  <si>
    <t>GLAXOSMITHKLINE PHARMACEUTICALS LTD</t>
  </si>
  <si>
    <t>GSKCONS</t>
  </si>
  <si>
    <t>GLAXOSMITHKLINE CONSUMER HEALTHCARE LTD</t>
  </si>
  <si>
    <t>GLANCE FINANCE LTD</t>
  </si>
  <si>
    <t>GKWLIMITED</t>
  </si>
  <si>
    <t>GKW LTD</t>
  </si>
  <si>
    <t>GKB OPHTHALMICS LTD</t>
  </si>
  <si>
    <t>GITA RENEWABLE ENERGY LTD</t>
  </si>
  <si>
    <t>GIRIRAJ</t>
  </si>
  <si>
    <t>GIRIRAJ CIVIL DEVELOPERS LTD</t>
  </si>
  <si>
    <t>GIRDHARILAL SUGAR &amp; ALLIED INDUSTRIES LTD</t>
  </si>
  <si>
    <t>GINNIFILA</t>
  </si>
  <si>
    <t>GINNI FILAMENTS LTD</t>
  </si>
  <si>
    <t>GINI SILK MILLS LTD</t>
  </si>
  <si>
    <t>GILLETTE</t>
  </si>
  <si>
    <t>GILLETTE INDIA LTD</t>
  </si>
  <si>
    <t>GILLETTE (INDIA) LTD</t>
  </si>
  <si>
    <t>GILLANDERS</t>
  </si>
  <si>
    <t>GILLANDERS ARBUTHNOT &amp; COMPANY LTD</t>
  </si>
  <si>
    <t>GILADA FINANCE &amp; INVESTMENTS LTD</t>
  </si>
  <si>
    <t>GICHSGFIN</t>
  </si>
  <si>
    <t>GIC HOUSING FINANCE LTD</t>
  </si>
  <si>
    <t>GISOLUTION</t>
  </si>
  <si>
    <t>GI ENGINEERING SOLUTIONS LTD</t>
  </si>
  <si>
    <t>GHCL</t>
  </si>
  <si>
    <t>GHCL LTD</t>
  </si>
  <si>
    <t>GEOJITFSL</t>
  </si>
  <si>
    <t>GEOJIT FINANCIAL SERVICES LTD</t>
  </si>
  <si>
    <t>GENUSPOWER</t>
  </si>
  <si>
    <t>GENUS POWER INFRASTRUCTURES LTD</t>
  </si>
  <si>
    <t>GENUSPAPER</t>
  </si>
  <si>
    <t>GENUS PAPER &amp; BOARDS LTD</t>
  </si>
  <si>
    <t>GENOMIC VALLEY BIOTECH LTD</t>
  </si>
  <si>
    <t>GENNEX LABORATORIES LTD</t>
  </si>
  <si>
    <t>GENESYS</t>
  </si>
  <si>
    <t>GENESYS INTERNATIONAL CORPORATION LTD</t>
  </si>
  <si>
    <t>GENESIS IBRC INDIA LTD</t>
  </si>
  <si>
    <t>GENESIS IBRC (INDIA) LTD</t>
  </si>
  <si>
    <t>GENERIC ENGINEERING CONSTRUCTION AND PROJECTS LTD</t>
  </si>
  <si>
    <t>GICRE</t>
  </si>
  <si>
    <t>GENERAL INSURANCE CORPORATION OF INDIA</t>
  </si>
  <si>
    <t>GENERA AGRI CORP LTD</t>
  </si>
  <si>
    <t>GEMSTONE INVESTMENTS LTD</t>
  </si>
  <si>
    <t>GEMINI</t>
  </si>
  <si>
    <t>GEMINI COMMUNICATION LTD</t>
  </si>
  <si>
    <t>GEM SPINNERS INDIA LTD</t>
  </si>
  <si>
    <t>GEM SPINNERS (INDIA) LTD</t>
  </si>
  <si>
    <t>GEETANJALI CREDIT AND CAPITAL LTD</t>
  </si>
  <si>
    <t>GEEKAYWIRE</t>
  </si>
  <si>
    <t>GEEKAY WIRES LTD</t>
  </si>
  <si>
    <t>GEEFCEE FINANCE LTD</t>
  </si>
  <si>
    <t>GEECEE</t>
  </si>
  <si>
    <t>GEECEE VENTURES LTD</t>
  </si>
  <si>
    <t>GEE LTD</t>
  </si>
  <si>
    <t>GET&amp;D</t>
  </si>
  <si>
    <t>GE T&amp;D INDIA LTD</t>
  </si>
  <si>
    <t>GE T&amp;D (INDIA) LTD</t>
  </si>
  <si>
    <t>GEPIL</t>
  </si>
  <si>
    <t>GE POWER INDIA LTD</t>
  </si>
  <si>
    <t>GE POWER (INDIA) LTD</t>
  </si>
  <si>
    <t>GDL LEASING &amp; FINANCE LTD</t>
  </si>
  <si>
    <t>GCM SECURITIES LTD</t>
  </si>
  <si>
    <t>GCM COMMODITY &amp; DERIVATIVES LTD</t>
  </si>
  <si>
    <t>GCM CAPITAL ADVISORS LTD</t>
  </si>
  <si>
    <t>GBL INDUSTRIES LTD</t>
  </si>
  <si>
    <t>GAYATRI SUGARS LTD</t>
  </si>
  <si>
    <t>GAYAPROJ</t>
  </si>
  <si>
    <t>GAYATRI PROJECTS LTD</t>
  </si>
  <si>
    <t>GAYAHWS</t>
  </si>
  <si>
    <t>GAYATRI HIGHWAYS LTD</t>
  </si>
  <si>
    <t>GAYATRI BIOORGANICS LTD</t>
  </si>
  <si>
    <t>GAUTAM GEMS LTD</t>
  </si>
  <si>
    <t>GAUTAM EXIM LTD</t>
  </si>
  <si>
    <t>GAURAV MERCANTILES LTD</t>
  </si>
  <si>
    <t>GATI</t>
  </si>
  <si>
    <t>GATI LTD</t>
  </si>
  <si>
    <t>GDL</t>
  </si>
  <si>
    <t>GATEWAY DISTRIPARKS LTD</t>
  </si>
  <si>
    <t>GARFIBRES</t>
  </si>
  <si>
    <t>GARWARE TECHNICAL FIBRES LTD</t>
  </si>
  <si>
    <t>GARWARE SYNTHETICS LTD</t>
  </si>
  <si>
    <t>GARWARE POLYESTER LTD</t>
  </si>
  <si>
    <t>GARWARE MARINE INDUSTRIES LTD</t>
  </si>
  <si>
    <t>GARV INDUSTRIES LTD</t>
  </si>
  <si>
    <t>GARODIA CHEMICALS LTD</t>
  </si>
  <si>
    <t>GARNET INTERNATIONAL LTD</t>
  </si>
  <si>
    <t>GARNET CONSTRUCTION LTD</t>
  </si>
  <si>
    <t>GARG FURNACE LTD</t>
  </si>
  <si>
    <t>GARDENSILK</t>
  </si>
  <si>
    <t>GARDEN SILK MILLS LTD</t>
  </si>
  <si>
    <t>GRSE</t>
  </si>
  <si>
    <t>GARDEN REACH SHIPBUILDERS &amp; ENGINEERS LTD</t>
  </si>
  <si>
    <t>GARBI FINVEST LTD</t>
  </si>
  <si>
    <t>GANON PRODUCTS LTD</t>
  </si>
  <si>
    <t>GANGOTRI</t>
  </si>
  <si>
    <t>GANGOTRI TEXTILES LTD</t>
  </si>
  <si>
    <t>GANGESSECU</t>
  </si>
  <si>
    <t>GANGES SECURITIES LTD</t>
  </si>
  <si>
    <t>GANGA PHARMACEUTICALS LTD</t>
  </si>
  <si>
    <t>GANGA PAPERS INDIA LTD</t>
  </si>
  <si>
    <t>GANGA PAPERS (INDIA) LTD</t>
  </si>
  <si>
    <t>GANGAFORGE</t>
  </si>
  <si>
    <t>GANGA FORGING LTD</t>
  </si>
  <si>
    <t>GANECOS</t>
  </si>
  <si>
    <t>GANESHA ECOSPHERE LTD</t>
  </si>
  <si>
    <t>GANESHHOUC</t>
  </si>
  <si>
    <t>GANESH HOUSING CORPORATION LTD</t>
  </si>
  <si>
    <t>GANESH HOLDINGS LTD</t>
  </si>
  <si>
    <t>GANESH FILMS INDIA LTD</t>
  </si>
  <si>
    <t>GANESH FILMS (INDIA) LTD</t>
  </si>
  <si>
    <t>GANESH BENZOPLAST LTD</t>
  </si>
  <si>
    <t>GANDHITUBE</t>
  </si>
  <si>
    <t>GANDHI SPECIAL TUBES LTD</t>
  </si>
  <si>
    <t>GAMMNINFRA</t>
  </si>
  <si>
    <t>GAMMON INFRASTRUCTURE PROJECTS LTD</t>
  </si>
  <si>
    <t>GALLOPENT</t>
  </si>
  <si>
    <t>GALLOPS ENTERPRISE LTD.</t>
  </si>
  <si>
    <t>GALLANTT</t>
  </si>
  <si>
    <t>GALLANTT METAL LTD</t>
  </si>
  <si>
    <t>GALLISPAT</t>
  </si>
  <si>
    <t>GALLANTT ISPAT LTD</t>
  </si>
  <si>
    <t>GALAXYSURF</t>
  </si>
  <si>
    <t>GALAXY SURFACTANTS LTD</t>
  </si>
  <si>
    <t>GALAXY ENTERTAINMENT CORPORATION LTD</t>
  </si>
  <si>
    <t>GALAXY BEARINGS LTD</t>
  </si>
  <si>
    <t>GALAXY AGRICO EXPORTS LTD</t>
  </si>
  <si>
    <t>GALADA POWER &amp; TELECOMMUNICATION LTD</t>
  </si>
  <si>
    <t>GALADA FINANCE LTD</t>
  </si>
  <si>
    <t>GALA GLOBAL PRODUCTS LTD</t>
  </si>
  <si>
    <t>GAJRA BEVEL GEARS LTD</t>
  </si>
  <si>
    <t>GAJANAN SECURITIES SERVICES LTD</t>
  </si>
  <si>
    <t>GAIL</t>
  </si>
  <si>
    <t>GAIL INDIA LTD</t>
  </si>
  <si>
    <t>GAIL (INDIA) LTD</t>
  </si>
  <si>
    <t>GAGAN POLYCOT INDIA LTD</t>
  </si>
  <si>
    <t>GAGAN POLYCOT (INDIA) LTD</t>
  </si>
  <si>
    <t>Integrated Oil &amp;amp; Gas</t>
  </si>
  <si>
    <t>GAGAN</t>
  </si>
  <si>
    <t>GAGAN GASES LTD.</t>
  </si>
  <si>
    <t>GABRIEL</t>
  </si>
  <si>
    <t>GABRIEL INDIA LTD</t>
  </si>
  <si>
    <t>GABRIEL (INDIA) LTD</t>
  </si>
  <si>
    <t>GKP</t>
  </si>
  <si>
    <t>G. K. P. Printing &amp;amp; Packaging Ltd</t>
  </si>
  <si>
    <t>G S AUTO INTERNATIONAL LTD</t>
  </si>
  <si>
    <t>G K CONSULTANTS LTD</t>
  </si>
  <si>
    <t>G G ENGINEERING LTD</t>
  </si>
  <si>
    <t>G G DANDEKAR MACHINE WORKS LTD</t>
  </si>
  <si>
    <t>G D TRADING &amp; AGENCIES LTD</t>
  </si>
  <si>
    <t>FUTURISTIC SOLUTIONS LTD</t>
  </si>
  <si>
    <t>FUTURISTIC SECURITIES LTD</t>
  </si>
  <si>
    <t>FSC</t>
  </si>
  <si>
    <t>FUTURE SUPPLY CHAIN SOLUTIONS LTD</t>
  </si>
  <si>
    <t>FRETAIL</t>
  </si>
  <si>
    <t>FUTURE RETAIL LTD</t>
  </si>
  <si>
    <t>FMNL</t>
  </si>
  <si>
    <t>FUTURE MARKET NETWORKS LTD</t>
  </si>
  <si>
    <t>FLFL</t>
  </si>
  <si>
    <t>FUTURE LIFESTYLE FASHIONS LTD</t>
  </si>
  <si>
    <t>FELDVR</t>
  </si>
  <si>
    <t>FUTURE ENTERPRISES LTD</t>
  </si>
  <si>
    <t>FEL</t>
  </si>
  <si>
    <t>FCONSUMER</t>
  </si>
  <si>
    <t>FUTURE CONSUMER LTD</t>
  </si>
  <si>
    <t>FUNNY SOFTWARE LTD</t>
  </si>
  <si>
    <t>FRUITION VENTURE LTD</t>
  </si>
  <si>
    <t>FRONTLINE SECURITIES LTD</t>
  </si>
  <si>
    <t>FRONTLINE CORPORATION LTD</t>
  </si>
  <si>
    <t>FRONTBUSS</t>
  </si>
  <si>
    <t>FRONTLINE BUSINESS SOLUTIONS LTD.</t>
  </si>
  <si>
    <t>FRONTIER SPRINGS LTD</t>
  </si>
  <si>
    <t>FRONTIER CAPITAL LTD</t>
  </si>
  <si>
    <t>FRESHTROP FRUITS LTD</t>
  </si>
  <si>
    <t>FREDUN PHARMACEUTICALS LTD</t>
  </si>
  <si>
    <t>FRASER</t>
  </si>
  <si>
    <t>Fraser and Company Ltd</t>
  </si>
  <si>
    <t>FRANKLIN LEASING AND FINANCE LTD</t>
  </si>
  <si>
    <t>FRANKLIN INDUSTRIES LTD</t>
  </si>
  <si>
    <t>FOURTH GENERATION INFORMATION SYSTEMS LTD</t>
  </si>
  <si>
    <t>FOURTHDIM</t>
  </si>
  <si>
    <t>FOURTH DIMENSION SOLUTIONS LTD</t>
  </si>
  <si>
    <t>FOUNDRY FUEL PRODUCTS LTD</t>
  </si>
  <si>
    <t>FOSECOIND</t>
  </si>
  <si>
    <t>FOSECO INDIA LTD</t>
  </si>
  <si>
    <t>FOSECO (INDIA) LTD</t>
  </si>
  <si>
    <t>FORTUNE INTERNATIONAL LTD</t>
  </si>
  <si>
    <t>FORTIS MALAR HOSPITALS LTD</t>
  </si>
  <si>
    <t>FORTIS</t>
  </si>
  <si>
    <t>FORTIS HEALTHCARE LTD</t>
  </si>
  <si>
    <t>FORCE MOTORS LTD</t>
  </si>
  <si>
    <t>FORBES &amp; COMPANY LTD</t>
  </si>
  <si>
    <t>FOODS &amp; INNS LTD</t>
  </si>
  <si>
    <t>FOMENTO RESORTS &amp; HOTELS LTD</t>
  </si>
  <si>
    <t>FOCUS SUITES SOLUTIONS &amp; SERVICES LTD</t>
  </si>
  <si>
    <t>FOCUS LIGHTING AND FIXTURES LTD</t>
  </si>
  <si>
    <t>FOCUS INDUSTRIAL RESOURCES LTD</t>
  </si>
  <si>
    <t>FLUIDOMAT LTD</t>
  </si>
  <si>
    <t>FLORENCE INVESTECH LTD</t>
  </si>
  <si>
    <t>FLORA TEXTILES LTD</t>
  </si>
  <si>
    <t>FLORA CORPORATION LTD</t>
  </si>
  <si>
    <t>FLEXITUFF</t>
  </si>
  <si>
    <t>FLEXITUFF VENTURES INTERNATIONAL LTD</t>
  </si>
  <si>
    <t>FLEX FOODS LTD</t>
  </si>
  <si>
    <t>FIVE X TRADECOM LTD</t>
  </si>
  <si>
    <t>FIVE CORE EXIM LTD</t>
  </si>
  <si>
    <t>FIVECORE</t>
  </si>
  <si>
    <t>FIVE CORE ELECTRONICS LTD</t>
  </si>
  <si>
    <t>FISCHER CHEMIC LTD</t>
  </si>
  <si>
    <t>FSL</t>
  </si>
  <si>
    <t>FIRSTSOURCE SOLUTIONS LTD</t>
  </si>
  <si>
    <t>FIRSTOBJECT TECHNOLOGIES LTD</t>
  </si>
  <si>
    <t>FIRST CUSTODIAN FUND INDIA LTD</t>
  </si>
  <si>
    <t>FIRST CUSTODIAN FUND (INDIA) LTD</t>
  </si>
  <si>
    <t>FINPIPE</t>
  </si>
  <si>
    <t>FINOLEX INDUSTRIES LTD</t>
  </si>
  <si>
    <t>FINCABLES</t>
  </si>
  <si>
    <t>FINOLEX CABLES LTD</t>
  </si>
  <si>
    <t>FINKURVE FINANCIAL SERVICES LTD</t>
  </si>
  <si>
    <t>FCL</t>
  </si>
  <si>
    <t>FINEOTEX CHEMICAL LTD</t>
  </si>
  <si>
    <t>FINELINE</t>
  </si>
  <si>
    <t>FINE-LINE CIRCUITS LTD.</t>
  </si>
  <si>
    <t>FINEORG</t>
  </si>
  <si>
    <t>FINE ORGANIC INDUSTRIES LTD</t>
  </si>
  <si>
    <t>FILTRA CONSULTANTS AND ENGINEERS LTD</t>
  </si>
  <si>
    <t>FILATEX</t>
  </si>
  <si>
    <t>FILATEX INDIA LTD</t>
  </si>
  <si>
    <t>FILATEX FASHIONS LTD</t>
  </si>
  <si>
    <t>FILATEX (INDIA) LTD</t>
  </si>
  <si>
    <t>FIEMIND</t>
  </si>
  <si>
    <t>FIEM INDUSTRIES LTD</t>
  </si>
  <si>
    <t>FIBERWEB INDIA LTD</t>
  </si>
  <si>
    <t>FIBERWEB (INDIA) LTD</t>
  </si>
  <si>
    <t>FGP LTD</t>
  </si>
  <si>
    <t>FERVENT SYNERGIES LTD</t>
  </si>
  <si>
    <t>FACT</t>
  </si>
  <si>
    <t>FERTILIZERS AND CHEMICALS TRAVANCORE LTD</t>
  </si>
  <si>
    <t>FERRO ALLOYS CORPORATION LTD</t>
  </si>
  <si>
    <t>FENOPLAST LTD</t>
  </si>
  <si>
    <t>FELIX</t>
  </si>
  <si>
    <t>FELIX INDUSTRIES LTD</t>
  </si>
  <si>
    <t>FMGOETZE</t>
  </si>
  <si>
    <t>FEDERAL-MOGUL GOETZE INDIA LTD</t>
  </si>
  <si>
    <t>FEDERAL-MOGUL GOETZE (INDIA) LTD</t>
  </si>
  <si>
    <t>FDC</t>
  </si>
  <si>
    <t>FDC LTD</t>
  </si>
  <si>
    <t>FCSSOFT</t>
  </si>
  <si>
    <t>FCS SOFTWARE SOLUTIONS LTD</t>
  </si>
  <si>
    <t>FAZE THREE LTD</t>
  </si>
  <si>
    <t>FAIRCHEM</t>
  </si>
  <si>
    <t>FAIRCHEM SPECIALITY LTD</t>
  </si>
  <si>
    <t>FAIR DEAL FILAMENTS LTD</t>
  </si>
  <si>
    <t>FACOR ALLOYS LTD</t>
  </si>
  <si>
    <t>F MEC INTERNATIONAL FINANCIAL SERVICES LTD</t>
  </si>
  <si>
    <t>EXPO GAS CONTAINERS LTD</t>
  </si>
  <si>
    <t>EXPLICIT FINANCE LTD</t>
  </si>
  <si>
    <t>EXPLEOSOL</t>
  </si>
  <si>
    <t>Expleo Solutions LTD</t>
  </si>
  <si>
    <t>EXIDEIND</t>
  </si>
  <si>
    <t>EXIDE INDUSTRIES LTD</t>
  </si>
  <si>
    <t>EXCEL</t>
  </si>
  <si>
    <t>EXCEL REALTY N INFRA LTD</t>
  </si>
  <si>
    <t>EXCELINDUS</t>
  </si>
  <si>
    <t>EXCEL INDUSTRIES LTD</t>
  </si>
  <si>
    <t>EXCELCROP</t>
  </si>
  <si>
    <t>EXCEL CROP CARE LTD</t>
  </si>
  <si>
    <t>EVERLON SYNTHETICS LTD</t>
  </si>
  <si>
    <t>EVERGREEN TEXTILES LTD</t>
  </si>
  <si>
    <t>EVEREST ORGANICS LTD</t>
  </si>
  <si>
    <t>EKC</t>
  </si>
  <si>
    <t>EVEREST KANTO CYLINDER LTD</t>
  </si>
  <si>
    <t>EVERESTIND</t>
  </si>
  <si>
    <t>EVEREST INDUSTRIES LTD</t>
  </si>
  <si>
    <t>EVEREADY</t>
  </si>
  <si>
    <t>EVEREADY INDUSTRIES INDIA LTD</t>
  </si>
  <si>
    <t>EVEREADY INDUSTRIES (INDIA) LTD</t>
  </si>
  <si>
    <t>EVANS</t>
  </si>
  <si>
    <t>Evans Electric Ltd</t>
  </si>
  <si>
    <t>EUROTEXIND</t>
  </si>
  <si>
    <t>Eurotex Industries and Exports LTD</t>
  </si>
  <si>
    <t>EUROTEX INDUSTRIES &amp; EXPORTS LTD</t>
  </si>
  <si>
    <t>EUROMULTI</t>
  </si>
  <si>
    <t>EURO MULTIVISION LTD</t>
  </si>
  <si>
    <t>EIFFL</t>
  </si>
  <si>
    <t>EURO INDIA FRESH FOODS LTD</t>
  </si>
  <si>
    <t>EUROCERA</t>
  </si>
  <si>
    <t>EURO CERAMICS LTD</t>
  </si>
  <si>
    <t>EURO ASIA EXPORTS LTD</t>
  </si>
  <si>
    <t>EUREKA INDUSTRIES LTD</t>
  </si>
  <si>
    <t>ETT LTD</t>
  </si>
  <si>
    <t>ESTER</t>
  </si>
  <si>
    <t>ESTER INDUSTRIES LTD</t>
  </si>
  <si>
    <t>ESTEEM BIO ORGANIC FOOD PROCESSING  LTD</t>
  </si>
  <si>
    <t>ESSELPACK</t>
  </si>
  <si>
    <t>ESSEL PROPACK LTD</t>
  </si>
  <si>
    <t>ESSARSHPNG</t>
  </si>
  <si>
    <t>ESSAR SHIPPING LTD</t>
  </si>
  <si>
    <t>ESSAR SECURITIES LTD</t>
  </si>
  <si>
    <t>ESSDEE</t>
  </si>
  <si>
    <t>ESS DEE ALUMINIUM LTD</t>
  </si>
  <si>
    <t>ESKAY K'N'IT INDIA LTD</t>
  </si>
  <si>
    <t>ESKAY K'N'IT (INDIA) LTD</t>
  </si>
  <si>
    <t>ESHA MEDIA RESEARCH LTD</t>
  </si>
  <si>
    <t>ESCORTS</t>
  </si>
  <si>
    <t>ESCORTS LTD</t>
  </si>
  <si>
    <t>ESCORTS FINANCE LTD</t>
  </si>
  <si>
    <t>ESCORP ASSET MANAGEMENT LTD</t>
  </si>
  <si>
    <t>ESABINDIA</t>
  </si>
  <si>
    <t>ESAB INDIA LTD</t>
  </si>
  <si>
    <t>ESAB(INDIA)</t>
  </si>
  <si>
    <t>ESAB (INDIA) LTD</t>
  </si>
  <si>
    <t>ESAAR INDIA LTD</t>
  </si>
  <si>
    <t>ESAAR (INDIA) LTD</t>
  </si>
  <si>
    <t>ERP SOFT SYSTEMS LTD</t>
  </si>
  <si>
    <t>EROSMEDIA</t>
  </si>
  <si>
    <t>EROS INTERNATIONAL MEDIA LTD</t>
  </si>
  <si>
    <t>ERIS</t>
  </si>
  <si>
    <t>ERIS LIFESCIENCES LTD</t>
  </si>
  <si>
    <t>EQUITAS</t>
  </si>
  <si>
    <t>EQUITAS HOLDINGS LTD</t>
  </si>
  <si>
    <t>EPSOM PROPERTIES LTD</t>
  </si>
  <si>
    <t>EPIC ENERGY LTD</t>
  </si>
  <si>
    <t>EPC INDUSTRIE LTD</t>
  </si>
  <si>
    <t>EON</t>
  </si>
  <si>
    <t>EON ELECTRIC LTD</t>
  </si>
  <si>
    <t>ENVAIR ELECTRODYNE LTD</t>
  </si>
  <si>
    <t>ENIL</t>
  </si>
  <si>
    <t>ENTERTAINMENT NETWORK INDIA LTD</t>
  </si>
  <si>
    <t>ENTERTAINMENT NETWORK (INDIA) LTD</t>
  </si>
  <si>
    <t>ENTERPRISE INTERNATIONAL LTD</t>
  </si>
  <si>
    <t>ENKEI WHEELS INDIA LTD</t>
  </si>
  <si>
    <t>ENKEI WHEELS (INDIA) LTD</t>
  </si>
  <si>
    <t>ENGINERSIN</t>
  </si>
  <si>
    <t>ENGINEERS INDIA LTD</t>
  </si>
  <si>
    <t>ENGINEERS (INDIA) LTD</t>
  </si>
  <si>
    <t>ENERGYDEV</t>
  </si>
  <si>
    <t>ENERGY DEVELOPMENT COMPANY LTD</t>
  </si>
  <si>
    <t>ENDURANCE</t>
  </si>
  <si>
    <t>ENDURANCE TECHNOLOGIES LTD</t>
  </si>
  <si>
    <t>ENCASH ENTERTAINMENT LTD</t>
  </si>
  <si>
    <t>ENBEE TRADE &amp; FINANCE LTD</t>
  </si>
  <si>
    <t>EMPOWER INDIA LTD</t>
  </si>
  <si>
    <t>EMPOWER (INDIA) LTD</t>
  </si>
  <si>
    <t>EMPIRE INDUSTRIES LTD</t>
  </si>
  <si>
    <t>EMPEE SUGARS &amp; CHEMICALS LTD</t>
  </si>
  <si>
    <t>EDL</t>
  </si>
  <si>
    <t>EMPEE DISTILLERIES LTD</t>
  </si>
  <si>
    <t>EMMSONS INTERNATIONAL LTD</t>
  </si>
  <si>
    <t>EMMESSAR BIOTECH &amp; NUTRITION LTD</t>
  </si>
  <si>
    <t>EMMBI</t>
  </si>
  <si>
    <t>EMMBI INDUSTRIES LTD</t>
  </si>
  <si>
    <t>EMKAYTOOLS</t>
  </si>
  <si>
    <t>EMKAY TAPS AND CUTTING TOOLS LTD</t>
  </si>
  <si>
    <t>EMKAY</t>
  </si>
  <si>
    <t>EMKAY GLOBAL FINANCIAL SERVICES LTD</t>
  </si>
  <si>
    <t>EMGEE CABLES &amp; COMMUNICATIONS LTD</t>
  </si>
  <si>
    <t>EMERALD LEISURES LTD</t>
  </si>
  <si>
    <t>EMERALD LEASING FINANCE &amp; INVESTMENT COMPANY LTD</t>
  </si>
  <si>
    <t>EMCO</t>
  </si>
  <si>
    <t>EMCO LTD</t>
  </si>
  <si>
    <t>EMBASSY</t>
  </si>
  <si>
    <t>Embassy Office Parks REIT</t>
  </si>
  <si>
    <t>EMAMIREAL</t>
  </si>
  <si>
    <t>EMAMI REALTY LTD</t>
  </si>
  <si>
    <t>EMAMI PAPER MILLS LTD</t>
  </si>
  <si>
    <t>EMAMIPAP</t>
  </si>
  <si>
    <t>Emami Paper Mills LTD</t>
  </si>
  <si>
    <t>EMAMILTD</t>
  </si>
  <si>
    <t>EMAMI LTD</t>
  </si>
  <si>
    <t>EMA INDIA LTD</t>
  </si>
  <si>
    <t>EMA (INDIA) LTD</t>
  </si>
  <si>
    <t>ELPRO INTERNATIONAL LTD</t>
  </si>
  <si>
    <t>ELNET TECHNOLOGIES LTD</t>
  </si>
  <si>
    <t>ELIXIR CAPITAL LTD</t>
  </si>
  <si>
    <t>ELGIRUBCO</t>
  </si>
  <si>
    <t>ELGI RUBBER COMPANY LTD</t>
  </si>
  <si>
    <t>ELGIEQUIP</t>
  </si>
  <si>
    <t>ELGI EQUIPMENTS LTD</t>
  </si>
  <si>
    <t>ELEGANT MARBLES &amp; GRANI INDUSTRIES LTD</t>
  </si>
  <si>
    <t>ELEGANT FLORICULTURE &amp; AGROTECH INDIA LTD</t>
  </si>
  <si>
    <t>ELEGANT FLORICULTURE &amp; AGROTECH (INDIA) LTD</t>
  </si>
  <si>
    <t>ELECTHERM</t>
  </si>
  <si>
    <t>ELECTROTHERM INDIA LTD</t>
  </si>
  <si>
    <t>ELECTROTHERM (INDIA) LTD</t>
  </si>
  <si>
    <t>ELECTROSL</t>
  </si>
  <si>
    <t>ELECTROSTEEL STEELS LTD</t>
  </si>
  <si>
    <t>ELECTCAST</t>
  </si>
  <si>
    <t>ELECTROSTEEL CASTINGS LTD</t>
  </si>
  <si>
    <t>ELECON</t>
  </si>
  <si>
    <t>ELECON ENGINEERING COMPANY LTD</t>
  </si>
  <si>
    <t>ELDECO HOUSING &amp; INDUSTRIES LTD</t>
  </si>
  <si>
    <t>ELCID INVESTMENTS LTD</t>
  </si>
  <si>
    <t>ELANTAS BECK INDIA LTD</t>
  </si>
  <si>
    <t>ELANTAS BECK (INDIA) LTD</t>
  </si>
  <si>
    <t>ELANGO INDUSTRIES LTD</t>
  </si>
  <si>
    <t>ELAND</t>
  </si>
  <si>
    <t>E-LAND APPAREL LTD</t>
  </si>
  <si>
    <t>EKAM LEASING &amp; FINANCE CO LTD</t>
  </si>
  <si>
    <t>EML</t>
  </si>
  <si>
    <t>Ejecta Marketing Ltd</t>
  </si>
  <si>
    <t>EIMCOELECO</t>
  </si>
  <si>
    <t>EIMCO ELECON INDIA LTD</t>
  </si>
  <si>
    <t>EIMCO ELECON (INDIA) LTD</t>
  </si>
  <si>
    <t>EIHOTEL</t>
  </si>
  <si>
    <t>EIH LTD</t>
  </si>
  <si>
    <t>EIHAHOTELS</t>
  </si>
  <si>
    <t>EIH ASSOCIATED HOTELS LTD</t>
  </si>
  <si>
    <t>EIDPARRY</t>
  </si>
  <si>
    <t>EID PARRY INDIA LTD</t>
  </si>
  <si>
    <t>EID PARRY (INDIA) LTD</t>
  </si>
  <si>
    <t>EICHERMOT</t>
  </si>
  <si>
    <t>EICHER MOTORS LTD</t>
  </si>
  <si>
    <t>EDYNAMICS SOLUTIONS LTD</t>
  </si>
  <si>
    <t>EDUEXEL INFOTAINMENT LTD</t>
  </si>
  <si>
    <t>EDUCOMP</t>
  </si>
  <si>
    <t>EDUCOMP SOLUTIONS LTD</t>
  </si>
  <si>
    <t>EDELWEISS</t>
  </si>
  <si>
    <t>EDELWEISS FINANCIAL SERVICES LTD</t>
  </si>
  <si>
    <t>ECS BIZTECH LTD</t>
  </si>
  <si>
    <t>ECOPLAST LTD</t>
  </si>
  <si>
    <t>ECONO TRADE INDIA LTD</t>
  </si>
  <si>
    <t>ECONO TRADE (INDIA) LTD</t>
  </si>
  <si>
    <t>ECOBOARD INDUSTRIES LTD</t>
  </si>
  <si>
    <t>ECO RECYCLING LTD</t>
  </si>
  <si>
    <t>ECO FRIENDLY FOOD PROCESSING PARK LTD</t>
  </si>
  <si>
    <t>ECLERX</t>
  </si>
  <si>
    <t>ECLERX SERVICES LTD</t>
  </si>
  <si>
    <t>ECEIND</t>
  </si>
  <si>
    <t>ECE INDUSTRIES LTD</t>
  </si>
  <si>
    <t>EASUNREYRL</t>
  </si>
  <si>
    <t>EASUN REYROLLE LTD</t>
  </si>
  <si>
    <t>EASTERN TREADS LTD</t>
  </si>
  <si>
    <t>EASTSILK</t>
  </si>
  <si>
    <t>EASTERN SILK INDUSTRIES LTD</t>
  </si>
  <si>
    <t>EAST INDIA SECURITIES LTD</t>
  </si>
  <si>
    <t>EAST COAST STEEL LTD</t>
  </si>
  <si>
    <t>EAST BUILDTECH LTD</t>
  </si>
  <si>
    <t>E2E</t>
  </si>
  <si>
    <t>E2E NETWORKS LTD</t>
  </si>
  <si>
    <t>E COM INFOTECH I LTD</t>
  </si>
  <si>
    <t>DYNPRO</t>
  </si>
  <si>
    <t>DYNEMIC PRODUCTS LTD</t>
  </si>
  <si>
    <t>DYNAVISION LTD</t>
  </si>
  <si>
    <t>DYNAMIC PORTFOLIO MANAGEMENT &amp; SERVICES LTD</t>
  </si>
  <si>
    <t>DYNAMIC INDUSTRIES LTD</t>
  </si>
  <si>
    <t>DYNAMIC CABLES LTD</t>
  </si>
  <si>
    <t>DYNAMIC ARCHISTRUCTURES LTD</t>
  </si>
  <si>
    <t>DYNAMATECH</t>
  </si>
  <si>
    <t>DYNAMATIC TECHNOLOGIES LTD</t>
  </si>
  <si>
    <t>DSSL</t>
  </si>
  <si>
    <t>DYNACONS SYSTEMS &amp; SOLUTIONS LTD</t>
  </si>
  <si>
    <t>DWITIYA</t>
  </si>
  <si>
    <t>Dwitiya Trading Ltd</t>
  </si>
  <si>
    <t>DWARKESH</t>
  </si>
  <si>
    <t>DWARIKESH SUGAR INDUSTRIES LTD</t>
  </si>
  <si>
    <t>DUTRON POLYMERS LTD</t>
  </si>
  <si>
    <t>DUROPACK LTD</t>
  </si>
  <si>
    <t>DUNCAN ENGINEERING LTD</t>
  </si>
  <si>
    <t>DUKE OFFSHORE LTD</t>
  </si>
  <si>
    <t>DUGAR HOUSING DEVELOPMENTS LTD</t>
  </si>
  <si>
    <t>DUCON</t>
  </si>
  <si>
    <t>DUCON INFRATECHNOLOGIES LTD</t>
  </si>
  <si>
    <t>DREDGECORP</t>
  </si>
  <si>
    <t>DREDGING CORPORATION OF INDIA LTD</t>
  </si>
  <si>
    <t>DREDGING CORPORATION OF (INDIA) LTD</t>
  </si>
  <si>
    <t>DRA CONSULTANTS LTD</t>
  </si>
  <si>
    <t>DRREDDY</t>
  </si>
  <si>
    <t>DR REDDY'S LABORATORIES LTD</t>
  </si>
  <si>
    <t>DR LALCHANDANI LABS LTD</t>
  </si>
  <si>
    <t>LALPATHLAB</t>
  </si>
  <si>
    <t>DR LAL PATH LABS LTD</t>
  </si>
  <si>
    <t>DR HABEEBULLAH LIFE SCIENCES LTD</t>
  </si>
  <si>
    <t>DR AGARWALS EYE HOSPITAL LTD</t>
  </si>
  <si>
    <t>DQE</t>
  </si>
  <si>
    <t>DQ ENTERTAINMENT INTERNATIONAL LTD</t>
  </si>
  <si>
    <t>DPSCLTD</t>
  </si>
  <si>
    <t>DPSC LTD</t>
  </si>
  <si>
    <t>DONEAR</t>
  </si>
  <si>
    <t>DONEAR INDUSTRIES LTD</t>
  </si>
  <si>
    <t>DOLPHINOFF</t>
  </si>
  <si>
    <t>DOLPHIN OFFSHORE ENTERPRISES INDIA LTD</t>
  </si>
  <si>
    <t>DOLPHIN OFFSHORE ENTERPRISES (INDIA) LTD</t>
  </si>
  <si>
    <t>DOLPHIN MEDICAL SERVICES LTD</t>
  </si>
  <si>
    <t>DOLLAR</t>
  </si>
  <si>
    <t>DOLLAR INDUSTRIES LTD</t>
  </si>
  <si>
    <t>DOLFIN RUBBERS LTD</t>
  </si>
  <si>
    <t>DOLAT INVESTMENTS LTD</t>
  </si>
  <si>
    <t>DLINKINDIA</t>
  </si>
  <si>
    <t>D-LINK INDIA LTD</t>
  </si>
  <si>
    <t>DLINK(INDIA)</t>
  </si>
  <si>
    <t>D-LINK (INDIA) LTD</t>
  </si>
  <si>
    <t>DLF</t>
  </si>
  <si>
    <t>DLF LTD</t>
  </si>
  <si>
    <t>DIXON</t>
  </si>
  <si>
    <t>DIXON TECHNOLOGIES INDIA LTD</t>
  </si>
  <si>
    <t>DIXON TECHNOLOGIES (INDIA) LTD</t>
  </si>
  <si>
    <t>DIVYASHAKTI GRANITES LTD</t>
  </si>
  <si>
    <t>DIVYA JYOTI INDUSTRIES LTD</t>
  </si>
  <si>
    <t>DIVISLAB</t>
  </si>
  <si>
    <t>DIVI'S LABORATORIES LTD</t>
  </si>
  <si>
    <t>DIVINUS FABRICS LTD</t>
  </si>
  <si>
    <t>DCAL</t>
  </si>
  <si>
    <t>DISHMAN CARBOGEN AMCIS LTD</t>
  </si>
  <si>
    <t>DISHA RESOURCES LTD</t>
  </si>
  <si>
    <t>DISHTV</t>
  </si>
  <si>
    <t>DISH TV INDIA LTD</t>
  </si>
  <si>
    <t>DISH TV (INDIA) LTD</t>
  </si>
  <si>
    <t>DISA INDIA LTD</t>
  </si>
  <si>
    <t>DISA (INDIA) LTD</t>
  </si>
  <si>
    <t>DION GLOBAL SOLUTIONS LTD</t>
  </si>
  <si>
    <t>DBL</t>
  </si>
  <si>
    <t>DILIP BUILDCON LTD</t>
  </si>
  <si>
    <t>DNAMEDIA</t>
  </si>
  <si>
    <t>DILIGENT MEDIA CORPORATION LTD</t>
  </si>
  <si>
    <t>DILIGENT INDUSTRIES LTD</t>
  </si>
  <si>
    <t>DIL LTD</t>
  </si>
  <si>
    <t>DGL</t>
  </si>
  <si>
    <t>Diksha Greens Ltd</t>
  </si>
  <si>
    <t>DIKSAT TRANSWORLD LTD</t>
  </si>
  <si>
    <t>DIGJAMLTD</t>
  </si>
  <si>
    <t>DIGJAM LTD</t>
  </si>
  <si>
    <t>DGCONTENT</t>
  </si>
  <si>
    <t>Digicontent Ltd</t>
  </si>
  <si>
    <t>DIGGI MULTITRADE LTD</t>
  </si>
  <si>
    <t>DICIND</t>
  </si>
  <si>
    <t>DIC INDIA LTD</t>
  </si>
  <si>
    <t>DIC (INDIA) LTD</t>
  </si>
  <si>
    <t>DIANA TEA CO LTD</t>
  </si>
  <si>
    <t>DIAPOWER</t>
  </si>
  <si>
    <t>DIAMOND POWER INFRA LTD</t>
  </si>
  <si>
    <t>DIAMINES &amp; CHEMICALS LTD</t>
  </si>
  <si>
    <t>DIAMANT INFRASTRUCTURE LTD</t>
  </si>
  <si>
    <t>DVL</t>
  </si>
  <si>
    <t>Dhunseri Ventures LTD</t>
  </si>
  <si>
    <t>DTIL</t>
  </si>
  <si>
    <t>DHUNSERI TEA &amp; INDUSTRIES LTD</t>
  </si>
  <si>
    <t>DPL</t>
  </si>
  <si>
    <t>DHUNSERI PETROCHEM LTD</t>
  </si>
  <si>
    <t>DHUNINV</t>
  </si>
  <si>
    <t>DHUNSERI INVESTMENTS LTD</t>
  </si>
  <si>
    <t>DHRUVA CAPITAL SERVICES LTD</t>
  </si>
  <si>
    <t>DHRUV WELLNESS LTD</t>
  </si>
  <si>
    <t>DHRUV ESTATES LTD</t>
  </si>
  <si>
    <t>DHRUV CONSULTANCY SERVICES LTD</t>
  </si>
  <si>
    <t>DHP INDIA LTD</t>
  </si>
  <si>
    <t>DHP (INDIA) LTD</t>
  </si>
  <si>
    <t>DHOOT INDUSTRIAL FINANCE LTD</t>
  </si>
  <si>
    <t>DHENU BUILDCON INFRA LTD</t>
  </si>
  <si>
    <t>DHARSUGAR</t>
  </si>
  <si>
    <t>DHARANI SUGARS &amp; CHEMICALS LTD</t>
  </si>
  <si>
    <t>DHARANI FINANCE LTD</t>
  </si>
  <si>
    <t>DHARAMSI MORARJI CHEMICAL CO LTD</t>
  </si>
  <si>
    <t>DHANVARSHA FINVEST LTD</t>
  </si>
  <si>
    <t>DHANVANTRI JEEVAN REKHA LTD</t>
  </si>
  <si>
    <t>DRL</t>
  </si>
  <si>
    <t>DHANUKA REALTY LTD</t>
  </si>
  <si>
    <t>DHANUKA COMMERCIAL LTD</t>
  </si>
  <si>
    <t>DHANUKA</t>
  </si>
  <si>
    <t>DHANUKA AGRITECH LTD</t>
  </si>
  <si>
    <t>DHANLEELA INVESTMENTS &amp; TRADING COMPANY LTD</t>
  </si>
  <si>
    <t>DHANLAXMI FABRICS LTD</t>
  </si>
  <si>
    <t>DHANLAXMI COTEX LTD</t>
  </si>
  <si>
    <t>DHANBANK</t>
  </si>
  <si>
    <t>DHANLAXMI BANK LTD</t>
  </si>
  <si>
    <t>DEL</t>
  </si>
  <si>
    <t>Dhanashree Electronics Ltd</t>
  </si>
  <si>
    <t>DHANALAXMI ROTO SPINNERS LTD</t>
  </si>
  <si>
    <t>DHANADA CORPORATION LTD</t>
  </si>
  <si>
    <t>DHAMPURE SPECIALITY SUGARS LTD</t>
  </si>
  <si>
    <t>DHAMPURSUG</t>
  </si>
  <si>
    <t>DHAMPUR SUGAR MILLS LTD</t>
  </si>
  <si>
    <t>DHABRIYA POLYWOOD LTD</t>
  </si>
  <si>
    <t>DFMFOODS</t>
  </si>
  <si>
    <t>DFM FOODS LTD</t>
  </si>
  <si>
    <t>DHFL</t>
  </si>
  <si>
    <t>DEWAN HOUSING FINANCE CORPORATION LTD</t>
  </si>
  <si>
    <t>DEVOTED CONSTRUCTION LTD</t>
  </si>
  <si>
    <t>DEVKI LEASING &amp; FINANCE LTD</t>
  </si>
  <si>
    <t>DEVINSU TRADING LTD</t>
  </si>
  <si>
    <t>DEVINE IMPEX LTD</t>
  </si>
  <si>
    <t>DEVHARI EXPORTS INDIA LTD</t>
  </si>
  <si>
    <t>DEVHARI EXPORTS (INDIA) LTD</t>
  </si>
  <si>
    <t>DEV INFORMATION TECHNOLOGY LTD</t>
  </si>
  <si>
    <t>DESH RAKSHAK AUSHDHALAYA LTD</t>
  </si>
  <si>
    <t>DENIS CHEM LAB LTD</t>
  </si>
  <si>
    <t>DENABANK</t>
  </si>
  <si>
    <t>DENA BANK</t>
  </si>
  <si>
    <t>DEN</t>
  </si>
  <si>
    <t>DEN NETWORKS LTD</t>
  </si>
  <si>
    <t>DELTRON LTD</t>
  </si>
  <si>
    <t>DELTON CABLES LTD</t>
  </si>
  <si>
    <t>DELTAMAGNT</t>
  </si>
  <si>
    <t>DELTA MAGNETS LTD</t>
  </si>
  <si>
    <t>DELTA INDUSTRIAL RESOURCES LTD</t>
  </si>
  <si>
    <t>DELTACORP</t>
  </si>
  <si>
    <t>DELTA CORP LTD</t>
  </si>
  <si>
    <t>DEKSON CASTINGS LTD</t>
  </si>
  <si>
    <t>DEEPTI ALLOY STEEL LTD</t>
  </si>
  <si>
    <t>DEEPAK SPINNERS LTD</t>
  </si>
  <si>
    <t>DEEPAKNTR</t>
  </si>
  <si>
    <t>DEEPAK NITRITE LTD</t>
  </si>
  <si>
    <t>DEEPAKFERT</t>
  </si>
  <si>
    <t>DEEPAK FERTILIZERS AND PETROCHEMICALS CORPORATION LTD</t>
  </si>
  <si>
    <t>DEEP POLYMERS LTD</t>
  </si>
  <si>
    <t>DEEP INDUSTRIES LTD</t>
  </si>
  <si>
    <t>DEEP DIAMOND INDIA LTD</t>
  </si>
  <si>
    <t>DEEP DIAMOND (INDIA) LTD</t>
  </si>
  <si>
    <t>DECOROUS INVESTMENT &amp; TRADING CO LTD</t>
  </si>
  <si>
    <t>DECO-MICA LTD</t>
  </si>
  <si>
    <t>DECILLION FINANCE LTD</t>
  </si>
  <si>
    <t>DECCAN POLYPACKS LTD</t>
  </si>
  <si>
    <t>DECCAN</t>
  </si>
  <si>
    <t>Deccan Health Care Ltd</t>
  </si>
  <si>
    <t>DECCAN GOLD MINES LTD</t>
  </si>
  <si>
    <t>DECCANCE</t>
  </si>
  <si>
    <t>DECCAN CEMENTS LTD</t>
  </si>
  <si>
    <t>DECCAN BEARINGS LTD</t>
  </si>
  <si>
    <t>DSML</t>
  </si>
  <si>
    <t>DEBOCK SALES AND MARKETING LTD</t>
  </si>
  <si>
    <t>DENORA</t>
  </si>
  <si>
    <t>DE NORA INDIA LTD</t>
  </si>
  <si>
    <t>DE NORA (INDIA) LTD</t>
  </si>
  <si>
    <t>DCW</t>
  </si>
  <si>
    <t>DCW LTD</t>
  </si>
  <si>
    <t>DCMSHRIRAM</t>
  </si>
  <si>
    <t>DCM SHRIRAM LTD</t>
  </si>
  <si>
    <t>DCM SHRIRAM INDUSTRIES LTD</t>
  </si>
  <si>
    <t>DCM</t>
  </si>
  <si>
    <t>DCM LTD</t>
  </si>
  <si>
    <t>DCMFINSERV</t>
  </si>
  <si>
    <t>DCM FINANCIAL SERVICES LTD</t>
  </si>
  <si>
    <t>DCBBANK</t>
  </si>
  <si>
    <t>DCB BANK LTD</t>
  </si>
  <si>
    <t>DBSTOCKBRO</t>
  </si>
  <si>
    <t>DB INTERNATIONAL STOCK BROKERS LTD</t>
  </si>
  <si>
    <t>DAULAT SECURITIES LTD</t>
  </si>
  <si>
    <t>DATAMATICS</t>
  </si>
  <si>
    <t>DATAMATICS GLOBAL SERVICES LTD</t>
  </si>
  <si>
    <t>DARSHAN ORNA LTD</t>
  </si>
  <si>
    <t>DARJEELING ROPEWAY COMPANY LTD</t>
  </si>
  <si>
    <t>DANUBE INDUSTRIES LTD</t>
  </si>
  <si>
    <t>DANLAW TECHNOLOGIES INDIA LTD</t>
  </si>
  <si>
    <t>DANLAW TECHNOLOGIES (INDIA) LTD</t>
  </si>
  <si>
    <t>DANGEE</t>
  </si>
  <si>
    <t>DANGEE DUMS LTD</t>
  </si>
  <si>
    <t>DAMODARIND</t>
  </si>
  <si>
    <t>DAMODAR INDUSTRIES LTD</t>
  </si>
  <si>
    <t>DALMIA INDUSTRIAL DEVELOPMENT LTD</t>
  </si>
  <si>
    <t>DALMIASUG</t>
  </si>
  <si>
    <t>DALMIA BHARAT SUGAR AND INDUSTRIES LTD</t>
  </si>
  <si>
    <t>Cement &amp;amp; Cement Products</t>
  </si>
  <si>
    <t>DALBHARAT</t>
  </si>
  <si>
    <t>Dalmia Bharat Ltd</t>
  </si>
  <si>
    <t>DALAL STREET INVESTMENTS LTD</t>
  </si>
  <si>
    <t>DAIKAFFIL CHEMICALS INDIA LTD</t>
  </si>
  <si>
    <t>DAIKAFFIL CHEMICALS (INDIA) LTD</t>
  </si>
  <si>
    <t>DAI-ICHI KARKARIA LTD</t>
  </si>
  <si>
    <t>DABUR</t>
  </si>
  <si>
    <t>DABUR INDIA LTD</t>
  </si>
  <si>
    <t>DABUR (INDIA) LTD</t>
  </si>
  <si>
    <t>D&amp;H INDIA LTD</t>
  </si>
  <si>
    <t>D&amp;H (INDIA) LTD</t>
  </si>
  <si>
    <t>DPWIRES</t>
  </si>
  <si>
    <t>D P WIRES LTD</t>
  </si>
  <si>
    <t>DPABHUSHAN</t>
  </si>
  <si>
    <t>D P ABHUSHAN LTD</t>
  </si>
  <si>
    <t>DBREALTY</t>
  </si>
  <si>
    <t>D B REALTY LTD</t>
  </si>
  <si>
    <t>DBCORP</t>
  </si>
  <si>
    <t>D B CORP LTD</t>
  </si>
  <si>
    <t>CYIENT</t>
  </si>
  <si>
    <t>CYIENT LTD</t>
  </si>
  <si>
    <t>CYBERTECH</t>
  </si>
  <si>
    <t>CYBERTECH SYSTEMS AND SOFTWARE LTD</t>
  </si>
  <si>
    <t>CYBERMATE INFOTEK LTD</t>
  </si>
  <si>
    <t>CYBERMEDIA</t>
  </si>
  <si>
    <t>CYBER MEDIA INDIA LTD</t>
  </si>
  <si>
    <t>CYBER MEDIA (INDIA) LTD</t>
  </si>
  <si>
    <t>CYBELE INDUSTRIES LTD</t>
  </si>
  <si>
    <t>CURATECH</t>
  </si>
  <si>
    <t>CURA TECHNOLOGIES LTD</t>
  </si>
  <si>
    <t>CUPID</t>
  </si>
  <si>
    <t>CUPID LTD</t>
  </si>
  <si>
    <t>CUMMINSIND</t>
  </si>
  <si>
    <t>CUMMINS INDIA LTD</t>
  </si>
  <si>
    <t>CUMMINS (INDIA) LTD</t>
  </si>
  <si>
    <t>CUBICAL FINANCIAL SERVICES LTD</t>
  </si>
  <si>
    <t>CUBEXTUB</t>
  </si>
  <si>
    <t>CUBEX TUBINGS LTD</t>
  </si>
  <si>
    <t>CSL FINANCE LTD</t>
  </si>
  <si>
    <t>CRP RISK MANAGEMENT LTD</t>
  </si>
  <si>
    <t>CROWN TOURS LTD</t>
  </si>
  <si>
    <t>CROWN</t>
  </si>
  <si>
    <t>CROWN LIFTERS LTD</t>
  </si>
  <si>
    <t>CROMPTON</t>
  </si>
  <si>
    <t>CROMPTON GREAVES CONSUMER ELECTRICALS LTD</t>
  </si>
  <si>
    <t>CRISIL</t>
  </si>
  <si>
    <t>CRISIL LTD</t>
  </si>
  <si>
    <t>CRIMSON METAL ENGINEERING COMPANY LTD</t>
  </si>
  <si>
    <t>CRESTCHEM LTD</t>
  </si>
  <si>
    <t>CREST</t>
  </si>
  <si>
    <t>CREST VENTURES LTD</t>
  </si>
  <si>
    <t>CRESSANDA SOLUTIONS LTD</t>
  </si>
  <si>
    <t>CRESCENT LEASING LTD</t>
  </si>
  <si>
    <t>CREDITACC</t>
  </si>
  <si>
    <t>CREDITACCESS GRAMEEN LTD</t>
  </si>
  <si>
    <t>CREATIVE</t>
  </si>
  <si>
    <t>CREATIVE PERIPHERALS AND DISTRIBUTION LTD</t>
  </si>
  <si>
    <t>CREATIVEYE</t>
  </si>
  <si>
    <t>CREATIVE EYE LTD</t>
  </si>
  <si>
    <t>CREATIVE CASTINGS LTD</t>
  </si>
  <si>
    <t>CRAZY INFOTECH LTD</t>
  </si>
  <si>
    <t>CRAVATEX LTD</t>
  </si>
  <si>
    <t>CRANEX LTD</t>
  </si>
  <si>
    <t>CRANES SOFTWARE INTERNATIONAL LTD</t>
  </si>
  <si>
    <t>CRANE INFRASTRUCTURE LTD</t>
  </si>
  <si>
    <t>CKFSL</t>
  </si>
  <si>
    <t>Cox &amp;amp; Kings Financial Service Ltd</t>
  </si>
  <si>
    <t>COX&amp;KINGS</t>
  </si>
  <si>
    <t>COX &amp; KINGS LTD</t>
  </si>
  <si>
    <t>COVIDH TECHNOLOGIES LTD</t>
  </si>
  <si>
    <t>COVENTRY COIL-O-MATIC HARYANA LTD</t>
  </si>
  <si>
    <t>COUNCODOS</t>
  </si>
  <si>
    <t>COUNTRY CONDO'S LTD</t>
  </si>
  <si>
    <t>CCHHL</t>
  </si>
  <si>
    <t>COUNTRY CLUB HOSPITALITY &amp; HOLIDAYS LTD</t>
  </si>
  <si>
    <t>COSYN LTD</t>
  </si>
  <si>
    <t>COSMOFILMS</t>
  </si>
  <si>
    <t>COSMO FILMS LTD</t>
  </si>
  <si>
    <t>COSMO FERRITES LTD</t>
  </si>
  <si>
    <t>COSCO INDIA LTD</t>
  </si>
  <si>
    <t>COSCO (INDIA) LTD</t>
  </si>
  <si>
    <t>COSBOARD INDUSTRIES LTD</t>
  </si>
  <si>
    <t>CORPBANK</t>
  </si>
  <si>
    <t>CORPORATION BANK</t>
  </si>
  <si>
    <t>CORPORATE MERCHANT BANKERS LTD</t>
  </si>
  <si>
    <t>CORPORATE COURIER AND CARGO LTD</t>
  </si>
  <si>
    <t>COROMANDEL</t>
  </si>
  <si>
    <t>COROMANDEL INTERNATIONAL LTD</t>
  </si>
  <si>
    <t>COROMANDEL ENGINEERING COMPANY LTD</t>
  </si>
  <si>
    <t>COROMANDEL AGRO PRODUCTS &amp; OILS LTD</t>
  </si>
  <si>
    <t>CORDSCABLE</t>
  </si>
  <si>
    <t>CORDS CABLE INDUSTRIES LTD</t>
  </si>
  <si>
    <t>CORNE</t>
  </si>
  <si>
    <t>CORAL NEWSPRINTS LTD.</t>
  </si>
  <si>
    <t>CORAL LABORATORIES LTD</t>
  </si>
  <si>
    <t>CORALFINAC</t>
  </si>
  <si>
    <t>CORAL INDIA FINANCE &amp; HOUSING LTD</t>
  </si>
  <si>
    <t>CONTROLPR</t>
  </si>
  <si>
    <t>CONTROL PRINT LTD</t>
  </si>
  <si>
    <t>CONTI</t>
  </si>
  <si>
    <t>CONTINENTAL SEEDS AND CHEMICALS LTD</t>
  </si>
  <si>
    <t>CONTINENTAL SECURITIES LTD</t>
  </si>
  <si>
    <t>CONTINENTAL PETROLEUMS LTD</t>
  </si>
  <si>
    <t>CONTINENTAL CONTROLS LTD</t>
  </si>
  <si>
    <t>CONTINENTAL CHEMICALS LTD</t>
  </si>
  <si>
    <t>CONTIL INDIA LTD</t>
  </si>
  <si>
    <t>CONTIL (INDIA) LTD</t>
  </si>
  <si>
    <t>CONTAINERWAY INTERNATIONAL LTD</t>
  </si>
  <si>
    <t>CONCOR</t>
  </si>
  <si>
    <t>CONTAINER CORPORATION OF INDIA LTD</t>
  </si>
  <si>
    <t>CONTAINER CORPORATION OF (INDIA) LTD</t>
  </si>
  <si>
    <t>CONSOFINVT</t>
  </si>
  <si>
    <t>CONSOLIDATED FINVEST &amp; HOLDINGS LTD</t>
  </si>
  <si>
    <t>CCCL</t>
  </si>
  <si>
    <t>CONSOLIDATED CONSTRUCTION CONSORTIUM LTD</t>
  </si>
  <si>
    <t>CONSECUTIVE INVESTMENT &amp; TRADING COMPANY LTD</t>
  </si>
  <si>
    <t>CONFIDENCE PETROLEUM INDIA LTD</t>
  </si>
  <si>
    <t>CONFIPET</t>
  </si>
  <si>
    <t>Confidence Petroleum India LTD</t>
  </si>
  <si>
    <t>CONFIDENCE PETROLEUM (INDIA) LTD</t>
  </si>
  <si>
    <t>CFEL</t>
  </si>
  <si>
    <t>Confidence Futuristic Energetech Ltd</t>
  </si>
  <si>
    <t>CONFIDENCE FINANCE AND TRADING LTD</t>
  </si>
  <si>
    <t>CONCRETE CREDIT LTD</t>
  </si>
  <si>
    <t>CONCORD DRUGS LTD</t>
  </si>
  <si>
    <t>CONART ENGINEERS LTD</t>
  </si>
  <si>
    <t>COMPUTER POINT LTD</t>
  </si>
  <si>
    <t>COMPUSOFT</t>
  </si>
  <si>
    <t>COMPUCOM SOFTWARE LTD</t>
  </si>
  <si>
    <t>COMPINFO</t>
  </si>
  <si>
    <t>COMPUAGE INFOCOM LTD</t>
  </si>
  <si>
    <t>COMPETENT AUTOMOBILES CO LTD</t>
  </si>
  <si>
    <t>COMMEX TECHNOLOGY LTD</t>
  </si>
  <si>
    <t>COMMERCIAL SYN BAGS LTD</t>
  </si>
  <si>
    <t>CEBBCO</t>
  </si>
  <si>
    <t>COMMERCIAL ENGINEERS &amp; BODY BUILDERS CO LTD</t>
  </si>
  <si>
    <t>COMFORT INTECH LTD</t>
  </si>
  <si>
    <t>COMFORT FINCAP LTD</t>
  </si>
  <si>
    <t>COMFORT COMMOTRADE LTD</t>
  </si>
  <si>
    <t>COMBAT DRUGS LTD</t>
  </si>
  <si>
    <t>COLORCHIPS NEW MEDIA LTD</t>
  </si>
  <si>
    <t>COLINZ LABORATORIES LTD</t>
  </si>
  <si>
    <t>COLPAL</t>
  </si>
  <si>
    <t>COLGATE PALMOLIVE INDIA LTD</t>
  </si>
  <si>
    <t>COLGATE PALMOLIVE (INDIA) LTD</t>
  </si>
  <si>
    <t>COFFEEDAY</t>
  </si>
  <si>
    <t>COFFEE DAY ENTERPRISES LTD</t>
  </si>
  <si>
    <t>COCHINSHIP</t>
  </si>
  <si>
    <t>COCHIN SHIPYARD LTD</t>
  </si>
  <si>
    <t>COCHIN MINERALS &amp; RUTILE LTD</t>
  </si>
  <si>
    <t>COCHIN MALABAR ESTATES &amp; INDUSTRIES LTD</t>
  </si>
  <si>
    <t>COASTAL ROADWAYS LTD</t>
  </si>
  <si>
    <t>COASTAL CORPORATION LTD</t>
  </si>
  <si>
    <t>COALINDIA</t>
  </si>
  <si>
    <t>COAL INDIA LTD</t>
  </si>
  <si>
    <t>COAL(INDIA)</t>
  </si>
  <si>
    <t>COAL (INDIA) LTD</t>
  </si>
  <si>
    <t>CNI RESEARCH LTD</t>
  </si>
  <si>
    <t>CMMIPL</t>
  </si>
  <si>
    <t>CMM INFRAPROJECTS LTD</t>
  </si>
  <si>
    <t>CMICABLES</t>
  </si>
  <si>
    <t>CMI LTD</t>
  </si>
  <si>
    <t>CMI FPE LTD</t>
  </si>
  <si>
    <t>CLIO INFOTECH LTD</t>
  </si>
  <si>
    <t>CLASSIC LEASING &amp; FINANCE LTD</t>
  </si>
  <si>
    <t>CLASSIC GLOBAL FINANCE &amp; CAPITAL LTD</t>
  </si>
  <si>
    <t>CLASSIC FILAMENTS LTD</t>
  </si>
  <si>
    <t>CLASSIC ELECTRICALS LTD</t>
  </si>
  <si>
    <t>CLNINDIA</t>
  </si>
  <si>
    <t>CLARIANT CHEMICALS INDIA LTD</t>
  </si>
  <si>
    <t>CLN(INDIA)</t>
  </si>
  <si>
    <t>CLARIANT CHEMICALS (INDIA) LTD</t>
  </si>
  <si>
    <t>CLEDUCATE</t>
  </si>
  <si>
    <t>CL EDUCATE LTD</t>
  </si>
  <si>
    <t>CKPPRODUCT</t>
  </si>
  <si>
    <t>CKP PRODUCTS LTD</t>
  </si>
  <si>
    <t>CKPLEISURE</t>
  </si>
  <si>
    <t>CKP LEISURE LTD</t>
  </si>
  <si>
    <t>CITYON SYSTEMS INDIA LTD</t>
  </si>
  <si>
    <t>CITYON SYSTEMS (INDIA) LTD</t>
  </si>
  <si>
    <t>CITYMAN LTD</t>
  </si>
  <si>
    <t>CUB</t>
  </si>
  <si>
    <t>CITY UNION BANK LTD</t>
  </si>
  <si>
    <t>CITY ONLINE SERVICES LTD</t>
  </si>
  <si>
    <t>CITIZEN INFOLINE LTD</t>
  </si>
  <si>
    <t>CITIPORT FINANCIAL SERVICES LTD</t>
  </si>
  <si>
    <t>CITADEL REALTY AND DEVELOPERS LTD</t>
  </si>
  <si>
    <t>CISTRO TELELINK LTD</t>
  </si>
  <si>
    <t>CIPLA</t>
  </si>
  <si>
    <t>CIPLA LTD</t>
  </si>
  <si>
    <t>CINEVISTA</t>
  </si>
  <si>
    <t>CINEVISTA LTD</t>
  </si>
  <si>
    <t>CINERAD COMMUNICATIONS LTD</t>
  </si>
  <si>
    <t>CINELINE</t>
  </si>
  <si>
    <t>CINELINE INDIA LTD</t>
  </si>
  <si>
    <t>CINELINE (INDIA) LTD</t>
  </si>
  <si>
    <t>CINDRELLA HOTELS LTD</t>
  </si>
  <si>
    <t>CINDRELLA FINANCIAL SERVICES LTD</t>
  </si>
  <si>
    <t>CIMMCO</t>
  </si>
  <si>
    <t>CIMMCO LTD</t>
  </si>
  <si>
    <t>CIL SECURITIES LTD</t>
  </si>
  <si>
    <t>CNOVAPETRO</t>
  </si>
  <si>
    <t>CIL NOVA PETROCHEMICALS LTD</t>
  </si>
  <si>
    <t>CIGNITITEC</t>
  </si>
  <si>
    <t>CIGNITI TECHNOLOGIES LTD</t>
  </si>
  <si>
    <t>CHCL</t>
  </si>
  <si>
    <t>Cian Healthcare Ltd</t>
  </si>
  <si>
    <t>CIAN AGRO INDUSTRIES &amp; INFRASTRUCTURE LTD</t>
  </si>
  <si>
    <t>CHROMATIC</t>
  </si>
  <si>
    <t>CHROMATIC INDIA LTD</t>
  </si>
  <si>
    <t>CHROMATIC (INDIA) LTD</t>
  </si>
  <si>
    <t>CHPL INDUSTRIES LTD</t>
  </si>
  <si>
    <t>CHOWGULE STEAMSHIPS LTD</t>
  </si>
  <si>
    <t>CHOTHANI FOODS LTD</t>
  </si>
  <si>
    <t>CHORDIA FOOD PRODUCTS LTD</t>
  </si>
  <si>
    <t>CHOLAFIN</t>
  </si>
  <si>
    <t>CHOLAMANDALAM INVESTMENT AND FINANCE COMPANY LTD</t>
  </si>
  <si>
    <t>CHOLAHLDNG</t>
  </si>
  <si>
    <t>Cholamandalam Financial Holdings LTD</t>
  </si>
  <si>
    <t>CHOKSI LABORATORIES LTD</t>
  </si>
  <si>
    <t>CHOKSI IMAGING LTD</t>
  </si>
  <si>
    <t>CHOICE INTERNATIONAL LTD</t>
  </si>
  <si>
    <t>CHL LTD</t>
  </si>
  <si>
    <t>CHITRADURGA SPINTEX LTD</t>
  </si>
  <si>
    <t>CHEVIOT CO LTD</t>
  </si>
  <si>
    <t>CHENNPETRO</t>
  </si>
  <si>
    <t>CHENNAI PETROLEUM CORPORATION LTD</t>
  </si>
  <si>
    <t>CHENNAI MEENAKSHI MULTISPECIALITY HOSPITAL LTD</t>
  </si>
  <si>
    <t>CHENNAI FERROUS INDUSTRIES LTD</t>
  </si>
  <si>
    <t>CHEMTECH INDUSTRIAL VALVES LTD</t>
  </si>
  <si>
    <t>CHEMO PHARMA LABORATORIES LTD</t>
  </si>
  <si>
    <t>CHEMIESYNTH VAPI LTD</t>
  </si>
  <si>
    <t>CHEMFAB</t>
  </si>
  <si>
    <t>CHEMFAB ALKALIS LTD</t>
  </si>
  <si>
    <t>CHEMCRUX ENTERPRISES LTD</t>
  </si>
  <si>
    <t>CHEMBOND CHEMICALS LTD</t>
  </si>
  <si>
    <t>CHD DEVELOPERS LTD</t>
  </si>
  <si>
    <t>CHD CHEMICALS LTD</t>
  </si>
  <si>
    <t>CHASE BRIGHT STEEL LTD</t>
  </si>
  <si>
    <t>CHARTERED LOGISTICS LTD</t>
  </si>
  <si>
    <t>CHARTERED CAPITAL &amp; INVESTMENT LTD</t>
  </si>
  <si>
    <t>CHARMS INDUSTRIES LTD</t>
  </si>
  <si>
    <t>CHANNEL NINE ENTERTAINMENT LTD</t>
  </si>
  <si>
    <t>CHANDRIMA MERCANTILES LTD</t>
  </si>
  <si>
    <t>CHANDRA PRABHU INTERNATIONAL LTD</t>
  </si>
  <si>
    <t>CHANDNI TEXTILES ENGINEERING IND  LTD</t>
  </si>
  <si>
    <t>CHANDNIMACH</t>
  </si>
  <si>
    <t>Chandni Machines Ltd</t>
  </si>
  <si>
    <t>CHAMBLFERT</t>
  </si>
  <si>
    <t>CHAMBAL FERTILIZERS &amp; CHEMICALS LTD</t>
  </si>
  <si>
    <t>CHAMBAL BREWERIES &amp; DISTILLERIES LTD</t>
  </si>
  <si>
    <t>CHAMAN LAL SETIA EXPORTS LTD</t>
  </si>
  <si>
    <t>CHAMAK HOLDINGS LTD</t>
  </si>
  <si>
    <t>CHALET</t>
  </si>
  <si>
    <t>Chalet Hotels Ltd</t>
  </si>
  <si>
    <t>CHADHA PAPERS LTD</t>
  </si>
  <si>
    <t>CG-VAK SOFTWARE &amp; EXPORTS LTD</t>
  </si>
  <si>
    <t>CGPOWER</t>
  </si>
  <si>
    <t>CG POWER AND INDUSTRIAL SOLUTIONS LTD</t>
  </si>
  <si>
    <t>CESCVENTURE</t>
  </si>
  <si>
    <t>CESC Ventures Ltd</t>
  </si>
  <si>
    <t>CESCVENT</t>
  </si>
  <si>
    <t>CESC Ventures LTD</t>
  </si>
  <si>
    <t>CESC</t>
  </si>
  <si>
    <t>CESC LTD</t>
  </si>
  <si>
    <t>CES LTD</t>
  </si>
  <si>
    <t>CEREBRAINT</t>
  </si>
  <si>
    <t>CEREBRA INTEGRATED TECHNOLOGIES LTD</t>
  </si>
  <si>
    <t>CERA</t>
  </si>
  <si>
    <t>CERA SANITARYWARE LTD</t>
  </si>
  <si>
    <t>CENTURY TWENTYFIRST PORTFOLIO LTD</t>
  </si>
  <si>
    <t>CENTURYTEX</t>
  </si>
  <si>
    <t>CENTURY TEXTILES &amp; INDUSTRIES LTD</t>
  </si>
  <si>
    <t>CENTURYPLY</t>
  </si>
  <si>
    <t>CENTURY PLYBOARDS INDIA LTD</t>
  </si>
  <si>
    <t>CENTURY PLYBOARDS (INDIA) LTD</t>
  </si>
  <si>
    <t>CENTEXT</t>
  </si>
  <si>
    <t>CENTURY EXTRUSIONS LTD</t>
  </si>
  <si>
    <t>CENTENKA</t>
  </si>
  <si>
    <t>CENTURY ENKA LTD</t>
  </si>
  <si>
    <t>CENTUM</t>
  </si>
  <si>
    <t>CENTUM ELECTRONICS LTD</t>
  </si>
  <si>
    <t>CENTRUM</t>
  </si>
  <si>
    <t>CENTRUM CAPITAL LTD</t>
  </si>
  <si>
    <t>CENTRAL PROVINCES RAILWAYS CO LTD</t>
  </si>
  <si>
    <t>CDSL</t>
  </si>
  <si>
    <t>CENTRAL DEPOSITORY SERVICES INDIA LTD</t>
  </si>
  <si>
    <t>CENTRAL DEPOSITORY SERVICES (INDIA) LTD</t>
  </si>
  <si>
    <t>CENTRALBK</t>
  </si>
  <si>
    <t>CENTRAL BANK OF INDIA</t>
  </si>
  <si>
    <t>CENTENIAL SURGICAL SUTURE LTD</t>
  </si>
  <si>
    <t>CENLUB INDUSTRIES LTD</t>
  </si>
  <si>
    <t>CELLA SPACE LTD</t>
  </si>
  <si>
    <t>CELESTIAL</t>
  </si>
  <si>
    <t>CELESTIAL BIOLABS LTD</t>
  </si>
  <si>
    <t>CELEBRITY</t>
  </si>
  <si>
    <t>CELEBRITY FASHIONS LTD</t>
  </si>
  <si>
    <t>CEINSYS TECH LTD</t>
  </si>
  <si>
    <t>CEETA INDUSTRIES LTD</t>
  </si>
  <si>
    <t>CEENIK EXPORTS INDIA LTD</t>
  </si>
  <si>
    <t>CEENIK EXPORTS (INDIA) LTD</t>
  </si>
  <si>
    <t>CEEJAY FINANCE LTD</t>
  </si>
  <si>
    <t>CEATLTD</t>
  </si>
  <si>
    <t>CEAT LTD</t>
  </si>
  <si>
    <t>CCL</t>
  </si>
  <si>
    <t>CCL PRODUCTS INDIA LTD</t>
  </si>
  <si>
    <t>CCL PRODUCTS (INDIA) LTD</t>
  </si>
  <si>
    <t>CCL INTERNATIONAL LTD</t>
  </si>
  <si>
    <t>CATVISION LTD</t>
  </si>
  <si>
    <t>CAT TECHNOLOGIES LTD</t>
  </si>
  <si>
    <t>CASTROLIND</t>
  </si>
  <si>
    <t>CASTROL INDIA LTD</t>
  </si>
  <si>
    <t>CASTROL (INDIA) LTD</t>
  </si>
  <si>
    <t>CASTEXTECH</t>
  </si>
  <si>
    <t>CASTEX TECHNOLOGIES LTD</t>
  </si>
  <si>
    <t>CARNATION INDUSTRIES LTD</t>
  </si>
  <si>
    <t>CAREERP</t>
  </si>
  <si>
    <t>CAREER POINT LTD</t>
  </si>
  <si>
    <t>CARERATING</t>
  </si>
  <si>
    <t>CARE RATINGS LTD</t>
  </si>
  <si>
    <t>CARBORUNIV</t>
  </si>
  <si>
    <t>CARBORUNDUM UNIVERSAL LTD</t>
  </si>
  <si>
    <t>CAPTAIN TECHNOCAST LTD</t>
  </si>
  <si>
    <t>CAPTAIN POLYPLAST LTD</t>
  </si>
  <si>
    <t>CAPTAIN PIPES LTD</t>
  </si>
  <si>
    <t>CAPROLACTAM CHEMICALS LTD</t>
  </si>
  <si>
    <t>CAPRIHANS INDIA LTD</t>
  </si>
  <si>
    <t>CAPRIHANS (INDIA) LTD</t>
  </si>
  <si>
    <t>CAPRICORN SYSTEMS GLOBAL SOLUTIONS LTD</t>
  </si>
  <si>
    <t>CGCL</t>
  </si>
  <si>
    <t>CAPRI GLOBAL CAPITAL LTD</t>
  </si>
  <si>
    <t>CAPLIPOINT</t>
  </si>
  <si>
    <t>CAPLIN POINT LABORATORIES LTD</t>
  </si>
  <si>
    <t>CAPTRUST</t>
  </si>
  <si>
    <t>CAPITAL TRUST LTD</t>
  </si>
  <si>
    <t>CAPITAL TRADE LINKS LTD</t>
  </si>
  <si>
    <t>CAPITAL INDIA FINANCE LTD</t>
  </si>
  <si>
    <t>CAPF</t>
  </si>
  <si>
    <t>CAPITAL FIRST LTD</t>
  </si>
  <si>
    <t>CAPFIN INDIA LTD</t>
  </si>
  <si>
    <t>CAPFIN (INDIA) LTD</t>
  </si>
  <si>
    <t>CAPACITE</t>
  </si>
  <si>
    <t>CAPACIT'E INFRAPROJECTS LTD</t>
  </si>
  <si>
    <t>CANTABIL</t>
  </si>
  <si>
    <t>CANTABIL RETAIL INDIA LTD</t>
  </si>
  <si>
    <t>CANTABIL RETAIL (INDIA) LTD</t>
  </si>
  <si>
    <t>CANOPY FINANCE LTD</t>
  </si>
  <si>
    <t>CANBK</t>
  </si>
  <si>
    <t>CANARA BANK</t>
  </si>
  <si>
    <t>CANFINHOME</t>
  </si>
  <si>
    <t>CAN FIN HOMES LTD</t>
  </si>
  <si>
    <t>CAMSON SEEDS LTD</t>
  </si>
  <si>
    <t>CAMSON BIO TECHNOLOGIES LTD</t>
  </si>
  <si>
    <t>CAMLINFINE</t>
  </si>
  <si>
    <t>CAMLIN FINE SCIENCES LTD</t>
  </si>
  <si>
    <t>CAMEX LTD</t>
  </si>
  <si>
    <t>CTE</t>
  </si>
  <si>
    <t>CAMBRIDGE TECHNOLOGY ENTERPRISES LTD</t>
  </si>
  <si>
    <t>CALSOFT</t>
  </si>
  <si>
    <t>CALIFORNIA SOFTWARE COMPANY LTD</t>
  </si>
  <si>
    <t>CALCOM VISION LTD</t>
  </si>
  <si>
    <t>CADSYS</t>
  </si>
  <si>
    <t>CADSYS INDIA LTD</t>
  </si>
  <si>
    <t>CADSYS (INDIA) LTD</t>
  </si>
  <si>
    <t>CADILAHC</t>
  </si>
  <si>
    <t>CADILA HEALTHCARE LTD</t>
  </si>
  <si>
    <t>C J GELATINE PRODUCTS LTD</t>
  </si>
  <si>
    <t>CANDC</t>
  </si>
  <si>
    <t>C &amp; C CONSTRUCTIONS LTD</t>
  </si>
  <si>
    <t>BWL LTD</t>
  </si>
  <si>
    <t>BUTTERFLY</t>
  </si>
  <si>
    <t>BUTTERFLY GANDHIMATHI APPLIANCES LTD</t>
  </si>
  <si>
    <t>BURNPUR</t>
  </si>
  <si>
    <t>BURNPUR CEMENT LTD</t>
  </si>
  <si>
    <t>BULLISH BONDS &amp; HOLDINGS LTD</t>
  </si>
  <si>
    <t>BUDGE BUDGE COMPANY LTD</t>
  </si>
  <si>
    <t>BSL</t>
  </si>
  <si>
    <t>BSL LTD</t>
  </si>
  <si>
    <t>BSELINFRA</t>
  </si>
  <si>
    <t>BSEL INFRASTRUCTURE REALTY LTD</t>
  </si>
  <si>
    <t>BSE</t>
  </si>
  <si>
    <t>BSE LTD</t>
  </si>
  <si>
    <t>BROOKS</t>
  </si>
  <si>
    <t>BROOKS LABORATORIES LTD</t>
  </si>
  <si>
    <t>BRONZE INFRA-TECH LTD</t>
  </si>
  <si>
    <t>BRITANNIA</t>
  </si>
  <si>
    <t>BRITANNIA INDUSTRIES LTD</t>
  </si>
  <si>
    <t>BRILLIANT PORTFOLIOS LTD</t>
  </si>
  <si>
    <t>BRIJLEAS</t>
  </si>
  <si>
    <t>BRIJLAXMI LEASING &amp;amp; FINANCE LTD.</t>
  </si>
  <si>
    <t>BCG</t>
  </si>
  <si>
    <t>BRIGHTCOM GROUP LTD</t>
  </si>
  <si>
    <t>BRIGHT</t>
  </si>
  <si>
    <t>BRIGHT SOLAR LTD</t>
  </si>
  <si>
    <t>BRIGHT BROTHERS LTD</t>
  </si>
  <si>
    <t>BRIGADE</t>
  </si>
  <si>
    <t>BRIGADE ENTERPRISES LTD</t>
  </si>
  <si>
    <t>BRIDGE SECURITIES LTD</t>
  </si>
  <si>
    <t>BRAWN BIOTECH LTD</t>
  </si>
  <si>
    <t>BRAND REALTY SERVICES LTD</t>
  </si>
  <si>
    <t>BRAND CONCEPTS LTD</t>
  </si>
  <si>
    <t>BRAHMAPUTRA INFRASTRUCTURE LTD</t>
  </si>
  <si>
    <t>BRADY &amp; MORRIS ENGINEERING CO LTD</t>
  </si>
  <si>
    <t>BPL</t>
  </si>
  <si>
    <t>BPL LTD</t>
  </si>
  <si>
    <t>BOTHRA METALS &amp; ALLOYS LTD</t>
  </si>
  <si>
    <t>BOSTON TEKNOWSYS INDIA LTD</t>
  </si>
  <si>
    <t>BOSTON TEKNOWSYS (INDIA) LTD</t>
  </si>
  <si>
    <t>BOSCHLTD</t>
  </si>
  <si>
    <t>BOSCH LTD</t>
  </si>
  <si>
    <t>BOROSIL</t>
  </si>
  <si>
    <t>BOROSIL GLASS WORKS LTD</t>
  </si>
  <si>
    <t>BONANZA INDUSTRIES LTD</t>
  </si>
  <si>
    <t>BOMBAY WIRE ROPES LTD</t>
  </si>
  <si>
    <t>BSHSL</t>
  </si>
  <si>
    <t>BOMBAY SUPER HYBRID SEEDS LTD</t>
  </si>
  <si>
    <t>BRFL</t>
  </si>
  <si>
    <t>BOMBAY RAYON FASHIONS LTD</t>
  </si>
  <si>
    <t>BOMBAY POTTERIES &amp; TILES LTD</t>
  </si>
  <si>
    <t>BOMBAY OXYGEN INVESTMENTS LTD</t>
  </si>
  <si>
    <t>BOMDYEING</t>
  </si>
  <si>
    <t>BOMBAY DYEING &amp; MFG COMPANY LTD</t>
  </si>
  <si>
    <t>BOMBAY CYCLE &amp; MOTOR AGENCY LTD</t>
  </si>
  <si>
    <t>BBTC</t>
  </si>
  <si>
    <t>BOMBAY BURMAH TRADING CORPORATION LTD</t>
  </si>
  <si>
    <t>BOHRA</t>
  </si>
  <si>
    <t>BOHRA INDUSTRIES LTD</t>
  </si>
  <si>
    <t>BODHTREE CONSULTING LTD</t>
  </si>
  <si>
    <t>BODALCHEM</t>
  </si>
  <si>
    <t>BODAL CHEMICALS LTD</t>
  </si>
  <si>
    <t>BNR UDYOG LTD</t>
  </si>
  <si>
    <t>BNK CAPITAL MARKETS LTD</t>
  </si>
  <si>
    <t>BMW</t>
  </si>
  <si>
    <t>BMW Industries Ltd</t>
  </si>
  <si>
    <t>BMB MUSIC &amp; MAGNETICS LTD</t>
  </si>
  <si>
    <t>BLUECHIP STOCKSPIN LTD</t>
  </si>
  <si>
    <t>BLUEBLOOD VENTURES LTD</t>
  </si>
  <si>
    <t>BLUESTARCO</t>
  </si>
  <si>
    <t>BLUE STAR LTD</t>
  </si>
  <si>
    <t>BLUE PEARL TEXSPIN LTD</t>
  </si>
  <si>
    <t>BLUEDART</t>
  </si>
  <si>
    <t>BLUE DART EXPRESS LTD</t>
  </si>
  <si>
    <t>BLUECOAST</t>
  </si>
  <si>
    <t>BLUE COAST HOTELS LTD</t>
  </si>
  <si>
    <t>BLUE CLOUD SOFTECH SOLUTIONS LTD</t>
  </si>
  <si>
    <t>BLUE CIRCLE SERVICES LTD</t>
  </si>
  <si>
    <t>BLUE CHIP TEX INDUSTRIES LTD</t>
  </si>
  <si>
    <t>BLUE BLENDS INDIA LTD</t>
  </si>
  <si>
    <t>BLUEBLENDS</t>
  </si>
  <si>
    <t>BLUE BLENDS I LTD</t>
  </si>
  <si>
    <t>BLUE BLENDS (INDIA) LTD</t>
  </si>
  <si>
    <t>BLS</t>
  </si>
  <si>
    <t>BLS INTERNATIONAL SERVICES LTD</t>
  </si>
  <si>
    <t>BLS INFOTECH LTD</t>
  </si>
  <si>
    <t>BLOOM INDUSTRIES LTD</t>
  </si>
  <si>
    <t>BLOOM DEKOR LTD</t>
  </si>
  <si>
    <t>BLISSGVS</t>
  </si>
  <si>
    <t>BLISS GVS PHARMA LTD</t>
  </si>
  <si>
    <t>BLBLIMITED</t>
  </si>
  <si>
    <t>BLB LTD</t>
  </si>
  <si>
    <t>BLACK ROSE INDUSTRIES LTD</t>
  </si>
  <si>
    <t>BKMINDST</t>
  </si>
  <si>
    <t>BKM INDUSTRIES LTD</t>
  </si>
  <si>
    <t>BSOFT</t>
  </si>
  <si>
    <t>BIRLASOFT LTD</t>
  </si>
  <si>
    <t>BSLGOLDETF</t>
  </si>
  <si>
    <t>Birla Sun Life Mutual Fund - Birla Sun Life Gold ETF</t>
  </si>
  <si>
    <t>BIRLA PRECISION TECHNOLOGIES LTD</t>
  </si>
  <si>
    <t>BIRLA COTSYN INDIA LTD</t>
  </si>
  <si>
    <t>BIRLA COTSYN (INDIA) LTD</t>
  </si>
  <si>
    <t>BIRLACORPN</t>
  </si>
  <si>
    <t>BIRLA CORPORATION LTD</t>
  </si>
  <si>
    <t>BIRLACABLE</t>
  </si>
  <si>
    <t>BIRLA CABLE LTD</t>
  </si>
  <si>
    <t>BIRDHI CHAND PANNALAL AGENCIES LTD</t>
  </si>
  <si>
    <t>BIOPAC INDIA CORPORATION LTD</t>
  </si>
  <si>
    <t>BIOFILCHEM</t>
  </si>
  <si>
    <t>BIOFIL CHEMICALS &amp; PHARMACEUTICALS LTD</t>
  </si>
  <si>
    <t>BIOCON</t>
  </si>
  <si>
    <t>BIOCON LTD</t>
  </si>
  <si>
    <t>BIO GREEN PAPERS LTD</t>
  </si>
  <si>
    <t>BINNY MILLS LTD</t>
  </si>
  <si>
    <t>BINNY LTD</t>
  </si>
  <si>
    <t>BINDAL EXPORTS LTD</t>
  </si>
  <si>
    <t>BINAYAK TEX PROCESSORS LTD</t>
  </si>
  <si>
    <t>BINANIIND</t>
  </si>
  <si>
    <t>BINANI INDUSTRIES LTD</t>
  </si>
  <si>
    <t>BIMETAL BEARINGS LTD</t>
  </si>
  <si>
    <t>BILCARE LTD</t>
  </si>
  <si>
    <t>BILENERGY</t>
  </si>
  <si>
    <t>BIL ENERGY SYSTEMS LTD</t>
  </si>
  <si>
    <t>BIJOY HANS LTD</t>
  </si>
  <si>
    <t>BIHAR SPONGE IRON LTD</t>
  </si>
  <si>
    <t>BIGBLOC</t>
  </si>
  <si>
    <t>BIGBLOC CONSTRUCTION LTD</t>
  </si>
  <si>
    <t>BHUSANSTL</t>
  </si>
  <si>
    <t>BHUSHAN STEEL LTD</t>
  </si>
  <si>
    <t>BHORUKA ALUMINIUM LTD</t>
  </si>
  <si>
    <t>BHILWARA TECHNICAL TEXTILES LTD</t>
  </si>
  <si>
    <t>BHILWARA SPINNERS LTD</t>
  </si>
  <si>
    <t>BHATIA COMMUNICATIONS &amp; RETAIL INDIA LTD</t>
  </si>
  <si>
    <t>BHATIA COMMUNICATIONS &amp; RETAIL (INDIA) LTD</t>
  </si>
  <si>
    <t>BHASKAR AGROCHEMICALS LTD</t>
  </si>
  <si>
    <t>BIL</t>
  </si>
  <si>
    <t>BHARTIYA INTERNATIONAL LTD</t>
  </si>
  <si>
    <t>INFRATEL</t>
  </si>
  <si>
    <t>BHARTI INFRATEL LTD</t>
  </si>
  <si>
    <t>BHARTIARTL</t>
  </si>
  <si>
    <t>BHARTI AIRTEL LTD</t>
  </si>
  <si>
    <t>BGLOBAL</t>
  </si>
  <si>
    <t>BHARATIYA GLOBAL INFOMEDIA LTD</t>
  </si>
  <si>
    <t>BHARATIDIL</t>
  </si>
  <si>
    <t>BHARATI DEFENCE AND INFRASTRUCTURE LTD</t>
  </si>
  <si>
    <t>BHARATWIRE</t>
  </si>
  <si>
    <t>BHARAT WIRE ROPES LTD</t>
  </si>
  <si>
    <t>BHARAT TEXTILES &amp; PROOFING INDUSTRIES LTD</t>
  </si>
  <si>
    <t>BHARAT SEATS LTD</t>
  </si>
  <si>
    <t>BRNL</t>
  </si>
  <si>
    <t>BHARAT ROAD NETWORK LTD</t>
  </si>
  <si>
    <t>BHARATRAS</t>
  </si>
  <si>
    <t>BHARAT RASAYAN LTD</t>
  </si>
  <si>
    <t>BPCL</t>
  </si>
  <si>
    <t>BHARAT PETROLEUM CORPORATION LTD</t>
  </si>
  <si>
    <t>BHARAT PARENTERALS LTD</t>
  </si>
  <si>
    <t>BHARAT IMMUNOLOGICALS &amp; BIOLOGICALS CORPORATION LTD</t>
  </si>
  <si>
    <t>BHEL</t>
  </si>
  <si>
    <t>BHARAT HEAVY ELECTRICALS LTD</t>
  </si>
  <si>
    <t>BHARATGEAR</t>
  </si>
  <si>
    <t>BHARAT GEARS LTD</t>
  </si>
  <si>
    <t>BHARATFORG</t>
  </si>
  <si>
    <t>BHARAT FORGE LTD</t>
  </si>
  <si>
    <t>BHARATFIN</t>
  </si>
  <si>
    <t>BHARAT FINANCIAL INCLUSION LTD</t>
  </si>
  <si>
    <t>BEL</t>
  </si>
  <si>
    <t>BHARAT ELECTRONICS LTD</t>
  </si>
  <si>
    <t>BDL</t>
  </si>
  <si>
    <t>BHARAT DYNAMICS LTD</t>
  </si>
  <si>
    <t>BBL</t>
  </si>
  <si>
    <t>BHARAT BIJLEE LTD</t>
  </si>
  <si>
    <t>BHARAT BHUSHAN SHARE &amp; COMMODITY BROKERS LTD</t>
  </si>
  <si>
    <t>BHARAT AGRI FERT &amp; REALTY LTD</t>
  </si>
  <si>
    <t>BEPL</t>
  </si>
  <si>
    <t>BHANSALI ENGINEERING POLYMERS LTD</t>
  </si>
  <si>
    <t>BHANDERI INFRACON LTD</t>
  </si>
  <si>
    <t>BHANDARI</t>
  </si>
  <si>
    <t>BHANDARI HOSIERY EXPORTS LTD</t>
  </si>
  <si>
    <t>BHAKTI GEMS AND JEWELLERY LTD</t>
  </si>
  <si>
    <t>BHAGYAPROP</t>
  </si>
  <si>
    <t>BHAGYANAGAR PROPERTIES LTD</t>
  </si>
  <si>
    <t>BHAGYANGR</t>
  </si>
  <si>
    <t>BHAGYANAGAR INDIA LTD</t>
  </si>
  <si>
    <t>BHAGYANAGAR (INDIA) LTD</t>
  </si>
  <si>
    <t>BHAGWATI OXYGEN LTD</t>
  </si>
  <si>
    <t>BHAGWATI AUTOCAST LTD</t>
  </si>
  <si>
    <t>BHAGIRADHA CHEMICALS &amp; INDUSTRIES LTD</t>
  </si>
  <si>
    <t>BHAGERIA</t>
  </si>
  <si>
    <t>BHAGERIA INDUSTRIES LTD</t>
  </si>
  <si>
    <t>BGRENERGY</t>
  </si>
  <si>
    <t>BGR ENERGY SYSTEMS LTD</t>
  </si>
  <si>
    <t>BGIL FILMS &amp; TECHNOLOGIES LTD</t>
  </si>
  <si>
    <t>BFL ASSET FINVEST LTD</t>
  </si>
  <si>
    <t>BFUTILITIE</t>
  </si>
  <si>
    <t>BF UTILITIES LTD</t>
  </si>
  <si>
    <t>BFINVEST</t>
  </si>
  <si>
    <t>BF INVESTMENT LTD</t>
  </si>
  <si>
    <t>BETEX INDIA LTD</t>
  </si>
  <si>
    <t>BETEX (INDIA) LTD</t>
  </si>
  <si>
    <t>BETA</t>
  </si>
  <si>
    <t>BETA DRUGS LTD</t>
  </si>
  <si>
    <t>BEST EASTERN HOTELS LTD</t>
  </si>
  <si>
    <t>BERYL SECURITIES LTD</t>
  </si>
  <si>
    <t>BERYL DRUGS LTD</t>
  </si>
  <si>
    <t>BERVIN INVESTMENT &amp; LEASING LTD</t>
  </si>
  <si>
    <t>BERGEPAINT</t>
  </si>
  <si>
    <t>BERGER PAINTS I LTD</t>
  </si>
  <si>
    <t>BENTLEY COMMERCIAL ENTERPRISES LTD</t>
  </si>
  <si>
    <t>BENGAL TEA &amp; FABRICS LTD</t>
  </si>
  <si>
    <t>BENGAL STEEL INDUSTRIES LTD</t>
  </si>
  <si>
    <t>BENGAL &amp; ASSAM COMPANY LTD</t>
  </si>
  <si>
    <t>BENARES HOTELS LTD</t>
  </si>
  <si>
    <t>BENARA BEARINGS AND PISTONS LTD</t>
  </si>
  <si>
    <t>BEML</t>
  </si>
  <si>
    <t>BEML LTD</t>
  </si>
  <si>
    <t>BEMCO HYDRAULICS LTD</t>
  </si>
  <si>
    <t>BELLA CASA FASHION &amp; RETAIL LTD</t>
  </si>
  <si>
    <t>BEEYU OVERSEAS LTD</t>
  </si>
  <si>
    <t>BEEKAY STEEL INDUSTRIES LTD</t>
  </si>
  <si>
    <t>BEEKAY NIRYAT LTD</t>
  </si>
  <si>
    <t>BEDMUTHA</t>
  </si>
  <si>
    <t>BEDMUTHA INDUSTRIES LTD</t>
  </si>
  <si>
    <t>BEARDSELL</t>
  </si>
  <si>
    <t>BEARDSELL LTD</t>
  </si>
  <si>
    <t>BDH INDUSTRIES LTD</t>
  </si>
  <si>
    <t>BCPL RAILWAY INFRASTRUCTURE LTD</t>
  </si>
  <si>
    <t>BCL INDUSTRIES LTD</t>
  </si>
  <si>
    <t>BCL ENTERPRISES LTD</t>
  </si>
  <si>
    <t>BCC FUBA INDIA LTD</t>
  </si>
  <si>
    <t>BCC FUBA (INDIA) LTD</t>
  </si>
  <si>
    <t>BAZEL INTERNATIONAL LTD</t>
  </si>
  <si>
    <t>BAYERCROP</t>
  </si>
  <si>
    <t>BAYER CROPSCIENCE LTD</t>
  </si>
  <si>
    <t>BATLIBOI LTD</t>
  </si>
  <si>
    <t>BATAINDIA</t>
  </si>
  <si>
    <t>BATA INDIA LTD</t>
  </si>
  <si>
    <t>BATA(INDIA)</t>
  </si>
  <si>
    <t>BATA (INDIA) LTD</t>
  </si>
  <si>
    <t>BASF</t>
  </si>
  <si>
    <t>BASF INDIA LTD</t>
  </si>
  <si>
    <t>BASF (INDIA) LTD</t>
  </si>
  <si>
    <t>BASANT AGRO TECH INDIA LTD</t>
  </si>
  <si>
    <t>BASANT AGRO TECH (INDIA) LTD</t>
  </si>
  <si>
    <t>BARTRONICS</t>
  </si>
  <si>
    <t>BARTRONICS INDIA LTD</t>
  </si>
  <si>
    <t>BARTRONICS (INDIA) LTD</t>
  </si>
  <si>
    <t>BARON INFOTECH LTD</t>
  </si>
  <si>
    <t>BARODA EXTRUSION LTD</t>
  </si>
  <si>
    <t>BVCL</t>
  </si>
  <si>
    <t>BARAK VALLEY CEMENTS LTD</t>
  </si>
  <si>
    <t>BANSWRAS</t>
  </si>
  <si>
    <t>BANSWARA SYNTEX LTD</t>
  </si>
  <si>
    <t>BANSISONS TEA INDUSTRIES LTD</t>
  </si>
  <si>
    <t>BANSAL ROOFING PRODUCTS LTD</t>
  </si>
  <si>
    <t>BANSAL</t>
  </si>
  <si>
    <t>BANSAL MULTIFLEX LTD</t>
  </si>
  <si>
    <t>BANARISUG</t>
  </si>
  <si>
    <t>BANNARI AMMAN SUGARS LTD</t>
  </si>
  <si>
    <t>BASML</t>
  </si>
  <si>
    <t>BANNARI AMMAN SPINNING MILLS LTD</t>
  </si>
  <si>
    <t>BANKA</t>
  </si>
  <si>
    <t>BANKA BIOLOO LTD</t>
  </si>
  <si>
    <t>MAHABANK</t>
  </si>
  <si>
    <t>BANK OF MAHARASHTRA</t>
  </si>
  <si>
    <t>BANKINDIA</t>
  </si>
  <si>
    <t>BANK OF INDIA</t>
  </si>
  <si>
    <t>BANKBARODA</t>
  </si>
  <si>
    <t>BANK OF BARODA</t>
  </si>
  <si>
    <t>BANGALORE FORT FARMS LTD</t>
  </si>
  <si>
    <t>BANG</t>
  </si>
  <si>
    <t>BANG OVERSEAS LTD</t>
  </si>
  <si>
    <t>BANDHANBNK</t>
  </si>
  <si>
    <t>BANDHAN BANK LTD</t>
  </si>
  <si>
    <t>BANCOINDIA</t>
  </si>
  <si>
    <t>BANCO PRODUCTS I LTD</t>
  </si>
  <si>
    <t>BANAS FINANCE LTD</t>
  </si>
  <si>
    <t>BANARBEADS</t>
  </si>
  <si>
    <t>BANARAS BEADS LTD</t>
  </si>
  <si>
    <t>BAMPSL SECURITIES LTD</t>
  </si>
  <si>
    <t>BAMBINO AGRO INDUSTRIES LTD</t>
  </si>
  <si>
    <t>BALURGHAT TECHNOLOGIES LTD</t>
  </si>
  <si>
    <t>BALRAMCHIN</t>
  </si>
  <si>
    <t>BALRAMPUR CHINI MILLS LTD</t>
  </si>
  <si>
    <t>BALMER LAWRIE INVESTMENTS LTD</t>
  </si>
  <si>
    <t>BALMLAWRIE</t>
  </si>
  <si>
    <t>BALMER LAWRIE &amp; COMPANY LTD</t>
  </si>
  <si>
    <t>BALLARPUR</t>
  </si>
  <si>
    <t>BALLARPUR INDUSTRIES LTD</t>
  </si>
  <si>
    <t>BALKRISHNA</t>
  </si>
  <si>
    <t>BALKRISHNA PAPER MILLS LTD</t>
  </si>
  <si>
    <t>BALKRISIND</t>
  </si>
  <si>
    <t>BALKRISHNA INDUSTRIES LTD</t>
  </si>
  <si>
    <t>BALGOPAL COMMERCIAL LTD</t>
  </si>
  <si>
    <t>Unknown</t>
  </si>
  <si>
    <t>BALAXI</t>
  </si>
  <si>
    <t>Balaxi Ventures LTD</t>
  </si>
  <si>
    <t>BALASORE ALLOYS LTD</t>
  </si>
  <si>
    <t>BALAJITELE</t>
  </si>
  <si>
    <t>BALAJI TELEFILMS LTD</t>
  </si>
  <si>
    <t>BALAMINES</t>
  </si>
  <si>
    <t>BALAJI AMINES LTD</t>
  </si>
  <si>
    <t>BALPHARMA</t>
  </si>
  <si>
    <t>BAL PHARMA LTD</t>
  </si>
  <si>
    <t>BAJRANG FINANCE LTD</t>
  </si>
  <si>
    <t>BAJAJ STEEL INDUSTRIES LTD</t>
  </si>
  <si>
    <t>BAJAJHLDNG</t>
  </si>
  <si>
    <t>BAJAJ HOLDINGS &amp; INVESTMENT LTD</t>
  </si>
  <si>
    <t>BAJAJHIND</t>
  </si>
  <si>
    <t>BAJAJ HINDUSTHAN SUGAR LTD</t>
  </si>
  <si>
    <t>BAJAJ HEALTHCARE LTD</t>
  </si>
  <si>
    <t>BAJAJ GLOBAL LTD</t>
  </si>
  <si>
    <t>BAJAJFINSV</t>
  </si>
  <si>
    <t>BAJAJ FINSERV LTD</t>
  </si>
  <si>
    <t>BAJFINANCE</t>
  </si>
  <si>
    <t>BAJAJ FINANCE LTD</t>
  </si>
  <si>
    <t>BAJAJELEC</t>
  </si>
  <si>
    <t>BAJAJ ELECTRICALS LTD</t>
  </si>
  <si>
    <t>BAJAJCORP</t>
  </si>
  <si>
    <t>BAJAJ CORP LTD</t>
  </si>
  <si>
    <t>BAJAJCON</t>
  </si>
  <si>
    <t>Bajaj Consumer Care LTD</t>
  </si>
  <si>
    <t>BAJAJ-AUTO</t>
  </si>
  <si>
    <t>BAJAJ AUTO LTD</t>
  </si>
  <si>
    <t>BAID LEASING AND FINANCE CO LTD</t>
  </si>
  <si>
    <t>BAGADIA COLOURCHEM LTD</t>
  </si>
  <si>
    <t>BAFNAPHARM</t>
  </si>
  <si>
    <t>BAFNA PHARMACEUTICALS LTD</t>
  </si>
  <si>
    <t>BACIL PHARMA LTD</t>
  </si>
  <si>
    <t>BABA ARTS LTD</t>
  </si>
  <si>
    <t>B2B SOFTWARE TECHNOLOGIES LTD</t>
  </si>
  <si>
    <t>BTSYN</t>
  </si>
  <si>
    <t>B.T. Syndicate Ltd</t>
  </si>
  <si>
    <t>BBTCL</t>
  </si>
  <si>
    <t>B&amp;B TRIPLEWALL CONTAINERS LTD</t>
  </si>
  <si>
    <t>B&amp;A PACKAGING INDIA LTD</t>
  </si>
  <si>
    <t>B&amp;A PACKAGING (INDIA) LTD</t>
  </si>
  <si>
    <t>B N RATHI SECURITIES LTD</t>
  </si>
  <si>
    <t>BLKASHYAP</t>
  </si>
  <si>
    <t>B L KASHYAP AND SONS LTD</t>
  </si>
  <si>
    <t>B C  POWER CONTROLS LTD</t>
  </si>
  <si>
    <t>BAGFILMS</t>
  </si>
  <si>
    <t>B A G FILMS AND MEDIA LTD</t>
  </si>
  <si>
    <t>B &amp; A LTD</t>
  </si>
  <si>
    <t>B  P  CAPITAL LTD</t>
  </si>
  <si>
    <t>AYOKI MERCANTILE LTD</t>
  </si>
  <si>
    <t>AYMSYNTEX</t>
  </si>
  <si>
    <t>AYM SYNTEX LTD</t>
  </si>
  <si>
    <t>AYEPEE LAMITUBES LTD</t>
  </si>
  <si>
    <t>AXTEL INDUSTRIES LTD</t>
  </si>
  <si>
    <t>AXON VENTURES LTD</t>
  </si>
  <si>
    <t>AXITA</t>
  </si>
  <si>
    <t>Axita Cotton Ltd</t>
  </si>
  <si>
    <t>AXISCADES</t>
  </si>
  <si>
    <t>AXISCADES ENGINEERING TECHNOLOGIES LTD</t>
  </si>
  <si>
    <t>AXISBANK</t>
  </si>
  <si>
    <t>AXIS BANK LTD</t>
  </si>
  <si>
    <t>AXEL POLYMERS LTD</t>
  </si>
  <si>
    <t>AVTIL ENTERPRISE LTD</t>
  </si>
  <si>
    <t>AVTNPL</t>
  </si>
  <si>
    <t>AVT NATURAL PRODUCTS LTD</t>
  </si>
  <si>
    <t>AVSL</t>
  </si>
  <si>
    <t>AVSL INDUSTRIES LTD</t>
  </si>
  <si>
    <t>AVONMORE CAPITAL &amp; MANAGEMENT SERVICES LTD</t>
  </si>
  <si>
    <t>AVONMPL</t>
  </si>
  <si>
    <t>AVON MOLDPLAST LTD</t>
  </si>
  <si>
    <t>AVON LIFESCIENCES LTD</t>
  </si>
  <si>
    <t>AVIVA INDUSTRIES LTD</t>
  </si>
  <si>
    <t>AVI PRODUCTS INDIA LTD</t>
  </si>
  <si>
    <t>AVI PRODUCTS (INDIA) LTD</t>
  </si>
  <si>
    <t>AVI POLYMERS LTD</t>
  </si>
  <si>
    <t>AVG</t>
  </si>
  <si>
    <t>AVG LOGISTICS LTD</t>
  </si>
  <si>
    <t>AVANTIFEED</t>
  </si>
  <si>
    <t>AVANTI FEEDS LTD</t>
  </si>
  <si>
    <t>AVANTEL LTD</t>
  </si>
  <si>
    <t>AVANCE TECHNOLOGIES LTD</t>
  </si>
  <si>
    <t>AVAILABLE FINANCE LTD</t>
  </si>
  <si>
    <t>AVADHSUGAR</t>
  </si>
  <si>
    <t>AVADH SUGAR &amp; ENERGY LTD</t>
  </si>
  <si>
    <t>AUTUMN BUILDERS LTD</t>
  </si>
  <si>
    <t>AUTORIDERS INTERNATIONAL LTD</t>
  </si>
  <si>
    <t>ASAL</t>
  </si>
  <si>
    <t>AUTOMOTIVE STAMPINGS AND ASSEMBLIES LTD</t>
  </si>
  <si>
    <t>AUTOAXLES</t>
  </si>
  <si>
    <t>AUTOMOTIVE AXLES LTD</t>
  </si>
  <si>
    <t>AUTOMOBILE CORPORATION OF GOA LTD</t>
  </si>
  <si>
    <t>AUTOLITIND</t>
  </si>
  <si>
    <t>AUTOLITE INDIA LTD</t>
  </si>
  <si>
    <t>AUTOLITE (INDIA) LTD</t>
  </si>
  <si>
    <t>AUTOIND</t>
  </si>
  <si>
    <t>AUTOLINE INDUSTRIES LTD</t>
  </si>
  <si>
    <t>AUTO PINS INDIA LTD</t>
  </si>
  <si>
    <t>AUTO PINS (INDIA) LTD</t>
  </si>
  <si>
    <t>AUTHUM INVESTMENT &amp; INFRASTRUCTURE LTD</t>
  </si>
  <si>
    <t>AUSTIN ENGINEERING CO LTD</t>
  </si>
  <si>
    <t>AUSOMENT</t>
  </si>
  <si>
    <t>AUSOM ENTERPRISE LTD</t>
  </si>
  <si>
    <t>AUROMA COKE LTD</t>
  </si>
  <si>
    <t>AUROPHARMA</t>
  </si>
  <si>
    <t>AUROBINDO PHARMA LTD</t>
  </si>
  <si>
    <t>AURO LABORATORIES LTD</t>
  </si>
  <si>
    <t>AURIONPRO</t>
  </si>
  <si>
    <t>AURIONPRO SOLUTIONS LTD</t>
  </si>
  <si>
    <t>AURDIS</t>
  </si>
  <si>
    <t>AURANGABAD DISTILLERY LTD</t>
  </si>
  <si>
    <t>AUNDE FAZE THREE AUTOFAB LTD</t>
  </si>
  <si>
    <t>AUBANK</t>
  </si>
  <si>
    <t>AU SMALL FINANCE BANK LTD</t>
  </si>
  <si>
    <t>ATV PROJECTS INDIA LTD</t>
  </si>
  <si>
    <t>ATV PROJECTS (INDIA) LTD</t>
  </si>
  <si>
    <t>ATUL</t>
  </si>
  <si>
    <t>ATUL LTD</t>
  </si>
  <si>
    <t>ATULAUTO</t>
  </si>
  <si>
    <t>ATUL AUTO LTD</t>
  </si>
  <si>
    <t>ATLAS JEWELLERY INDIA LTD</t>
  </si>
  <si>
    <t>ATLAS JEWELLERY (INDIA) LTD</t>
  </si>
  <si>
    <t>ATLASCYCLE</t>
  </si>
  <si>
    <t>ATLAS CYCLES HARYANA LTD</t>
  </si>
  <si>
    <t>ATLANTA</t>
  </si>
  <si>
    <t>ATLANTA LTD</t>
  </si>
  <si>
    <t>ATLANTA DEVCON LTD</t>
  </si>
  <si>
    <t>ATISHAY LTD</t>
  </si>
  <si>
    <t>ATHENAGLO</t>
  </si>
  <si>
    <t>Athena Global Technologies Ltd-$</t>
  </si>
  <si>
    <t>ATHENA CONSTRUCTIONS LTD</t>
  </si>
  <si>
    <t>ATHARV ENTERPRISES LTD</t>
  </si>
  <si>
    <t>ASYA INFOSOFT LTD</t>
  </si>
  <si>
    <t>ASUTOSH ENTERPRISES LTD</t>
  </si>
  <si>
    <t>ASTRON</t>
  </si>
  <si>
    <t>ASTRON PAPER &amp; BOARD MILL LTD</t>
  </si>
  <si>
    <t>ASTRAZEN</t>
  </si>
  <si>
    <t>ASTRAZENECA PHARMA INDIA LTD</t>
  </si>
  <si>
    <t>ASTRAZENECA PHARMA (INDIA) LTD</t>
  </si>
  <si>
    <t>ASTRAL</t>
  </si>
  <si>
    <t>ASTRAL POLY TECHNIK LTD</t>
  </si>
  <si>
    <t>ASTRAMICRO</t>
  </si>
  <si>
    <t>ASTRA MICROWAVE PRODUCTS LTD</t>
  </si>
  <si>
    <t>ASTERDM</t>
  </si>
  <si>
    <t>ASTER DM HEALTHCARE LTD</t>
  </si>
  <si>
    <t>ASTEC</t>
  </si>
  <si>
    <t>ASTEC LIFESCIENCES LTD</t>
  </si>
  <si>
    <t>ASSOCIATED ALCOHOLS &amp; BREWERIES LTD</t>
  </si>
  <si>
    <t>ASSAMCO</t>
  </si>
  <si>
    <t>ASSAM COMPANY INDIA LTD</t>
  </si>
  <si>
    <t>ASSAM COMPANY (INDIA) LTD</t>
  </si>
  <si>
    <t>ASPIRA PATHLAB &amp; DIAGNOSTICS LTD</t>
  </si>
  <si>
    <t>ASPINWALL</t>
  </si>
  <si>
    <t>ASPINWALL AND COMPANY LTD</t>
  </si>
  <si>
    <t>ASM TECHNOLOGIES LTD</t>
  </si>
  <si>
    <t>ASLIND</t>
  </si>
  <si>
    <t>ASL INDUSTRIES LTD</t>
  </si>
  <si>
    <t>ASIT C MEHTA FINANCIAL SERVICES LTD</t>
  </si>
  <si>
    <t>ASISL</t>
  </si>
  <si>
    <t>ASIS LOGISTICS LTD</t>
  </si>
  <si>
    <t>ASIAN TEA &amp; EXPORTS LTD</t>
  </si>
  <si>
    <t>ASIAN STAR CO LTD</t>
  </si>
  <si>
    <t>ASIAN PETROPRODUCTS &amp; EXPORTS LTD</t>
  </si>
  <si>
    <t>ASIANPAINT</t>
  </si>
  <si>
    <t>ASIAN PAINTS LTD</t>
  </si>
  <si>
    <t>ASIAN OILFIELD SERVICES LTD</t>
  </si>
  <si>
    <t>AHLWEST</t>
  </si>
  <si>
    <t>ASIAN HOTELS WEST LTD</t>
  </si>
  <si>
    <t>ASIANHOTNR</t>
  </si>
  <si>
    <t>ASIAN HOTELS NORTH LTD</t>
  </si>
  <si>
    <t>AHLEAST</t>
  </si>
  <si>
    <t>ASIAN HOTELS EAST LTD</t>
  </si>
  <si>
    <t>ASIANTILES</t>
  </si>
  <si>
    <t>ASIAN GRANITO INDIA LTD</t>
  </si>
  <si>
    <t>ASIAN GRANITO (INDIA) LTD</t>
  </si>
  <si>
    <t>ASIAN FLORA LTD</t>
  </si>
  <si>
    <t>ASIA PACK LTD</t>
  </si>
  <si>
    <t>ASIA CAPITAL LTD</t>
  </si>
  <si>
    <t>ASI INDUSTRIES LTD</t>
  </si>
  <si>
    <t>ASHUTOSH PAPER MILLS LTD</t>
  </si>
  <si>
    <t>ASHRAM ONLINE COM LTD</t>
  </si>
  <si>
    <t>ASHOKA REFINERIES LTD</t>
  </si>
  <si>
    <t>ASHOKA METCAST LTD</t>
  </si>
  <si>
    <t>ASHOKA</t>
  </si>
  <si>
    <t>ASHOKA BUILDCON LTD</t>
  </si>
  <si>
    <t>ASHOKLEY</t>
  </si>
  <si>
    <t>ASHOK LEYLAND LTD</t>
  </si>
  <si>
    <t>ASHOK ALCO-CHEM LTD</t>
  </si>
  <si>
    <t>ASHNOOR TEXTILE MILLS LTD</t>
  </si>
  <si>
    <t>ASHNISHA INDUSTRIES LTD</t>
  </si>
  <si>
    <t>ASHISH POLYPLAST LTD</t>
  </si>
  <si>
    <t>ASHIRWAD STEELS &amp; INDUSTRIES LTD</t>
  </si>
  <si>
    <t>ASHIRWAD CAPITAL LTD</t>
  </si>
  <si>
    <t>ASHIMASYN</t>
  </si>
  <si>
    <t>ASHIMA LTD</t>
  </si>
  <si>
    <t>ASHIKACR</t>
  </si>
  <si>
    <t>ASHIKA CREDIT CAPITAL LTD.</t>
  </si>
  <si>
    <t>ASHIANA ISPAT LTD</t>
  </si>
  <si>
    <t>ASHIANA</t>
  </si>
  <si>
    <t>ASHIANA HOUSING LTD</t>
  </si>
  <si>
    <t>ASHIANA AGRO INDUSTRIES LTD</t>
  </si>
  <si>
    <t>ASHARI AGENCIES LTD</t>
  </si>
  <si>
    <t>AGOL</t>
  </si>
  <si>
    <t>Ashapuri Gold Ornament Ltd</t>
  </si>
  <si>
    <t>ASHAPURMIN</t>
  </si>
  <si>
    <t>ASHAPURA MINECHEM LTD</t>
  </si>
  <si>
    <t>AIFL</t>
  </si>
  <si>
    <t>ASHAPURA INTIMATES FASHION LTD</t>
  </si>
  <si>
    <t>ASAHISONG</t>
  </si>
  <si>
    <t>ASAHI SONGWON COLORS LTD</t>
  </si>
  <si>
    <t>ASAHI INDUSTRIES LTD</t>
  </si>
  <si>
    <t>ASAHIINDIA</t>
  </si>
  <si>
    <t>ASAHI INDIA GLASS LTD</t>
  </si>
  <si>
    <t>ARYAN</t>
  </si>
  <si>
    <t>Aryan Share and Stock Brokers Ltd</t>
  </si>
  <si>
    <t>ARYAMAN FINANCIAL SERVICES LTD</t>
  </si>
  <si>
    <t>ARYAMAN CAPITAL MARKETS LTD</t>
  </si>
  <si>
    <t>ARVSMART</t>
  </si>
  <si>
    <t>ARVIND SMARTSPACES LTD</t>
  </si>
  <si>
    <t>ARVIND</t>
  </si>
  <si>
    <t>ARVIND LTD</t>
  </si>
  <si>
    <t>ARVINDFASN</t>
  </si>
  <si>
    <t>Arvind Fashions Ltd</t>
  </si>
  <si>
    <t>ARVEE</t>
  </si>
  <si>
    <t>ARVEE LABORATORIES INDIA LTD</t>
  </si>
  <si>
    <t>ARVEE LABORATORIES (INDIA) LTD</t>
  </si>
  <si>
    <t>ARUNA HOTELS LTD</t>
  </si>
  <si>
    <t>ARTSON ENGINEERING LTD</t>
  </si>
  <si>
    <t>AGLSL</t>
  </si>
  <si>
    <t>ARTEMIS GLOBAL LIFE SCIENCES LTD</t>
  </si>
  <si>
    <t>ARTEMISELC</t>
  </si>
  <si>
    <t>Artemis Electricals Ltd</t>
  </si>
  <si>
    <t>ARTEFACT PROJECTS LTD</t>
  </si>
  <si>
    <t>ARTECH POWER &amp; TRADING LTD</t>
  </si>
  <si>
    <t>ARTNIRMAN</t>
  </si>
  <si>
    <t>ART NIRMAN LTD</t>
  </si>
  <si>
    <t>ARSSINFRA</t>
  </si>
  <si>
    <t>ARSS INFRASTRUCTURE PROJECTS LTD</t>
  </si>
  <si>
    <t>ARSHIYA</t>
  </si>
  <si>
    <t>ARSHIYA LTD</t>
  </si>
  <si>
    <t>ARROWTEX</t>
  </si>
  <si>
    <t>ARROW TEXTILES LTD</t>
  </si>
  <si>
    <t>ARROWGREEN</t>
  </si>
  <si>
    <t>ARROW GREENTECH LTD</t>
  </si>
  <si>
    <t>AROMA ENTERPRISES INDIA LTD</t>
  </si>
  <si>
    <t>AROMA ENTERPRISES (INDIA) LTD</t>
  </si>
  <si>
    <t>AROGRANITE</t>
  </si>
  <si>
    <t>ARO GRANITE INDUSTRIES LTD</t>
  </si>
  <si>
    <t>ARNOLD HOLDINGS LTD</t>
  </si>
  <si>
    <t>ARNAV CORPORATION LTD</t>
  </si>
  <si>
    <t>ARMS PAPER LTD</t>
  </si>
  <si>
    <t>ARMAN</t>
  </si>
  <si>
    <t>Arman Holdings Ltd</t>
  </si>
  <si>
    <t>ARMANFIN</t>
  </si>
  <si>
    <t>ARMAN FINANCIAL SERVICES LTD</t>
  </si>
  <si>
    <t>ARIS INTERNATIONAL LTD</t>
  </si>
  <si>
    <t>ARIHANT'S SECURITIES LTD</t>
  </si>
  <si>
    <t>ARIHANT TOURNESOL LTD</t>
  </si>
  <si>
    <t>ARIHANTSUP</t>
  </si>
  <si>
    <t>ARIHANT SUPERSTRUCTURES LTD</t>
  </si>
  <si>
    <t>ARIHANT INSTITUTE LTD</t>
  </si>
  <si>
    <t>ARIHANT</t>
  </si>
  <si>
    <t>ARIHANT FOUNDATIONS &amp; HOUSING LTD</t>
  </si>
  <si>
    <t>ARIHANT CAPITAL MARKETS LTD</t>
  </si>
  <si>
    <t>ARIES</t>
  </si>
  <si>
    <t>ARIES AGRO LTD</t>
  </si>
  <si>
    <t>ARFIN INDIA LTD</t>
  </si>
  <si>
    <t>ARFIN (INDIA) LTD</t>
  </si>
  <si>
    <t>AREX INDUSTRIES LTD</t>
  </si>
  <si>
    <t>ARDI INVESTMENT &amp; TRADING LTD</t>
  </si>
  <si>
    <t>ARCOTECH</t>
  </si>
  <si>
    <t>ARCOTECH LTD</t>
  </si>
  <si>
    <t>ARCHIT ORGANOSYS LTD</t>
  </si>
  <si>
    <t>ARCHIES</t>
  </si>
  <si>
    <t>ARCHIES LTD</t>
  </si>
  <si>
    <t>ARCHIDPLY</t>
  </si>
  <si>
    <t>ARCHIDPLY INDUSTRIES LTD</t>
  </si>
  <si>
    <t>ARCHANA SOFTWARE LTD</t>
  </si>
  <si>
    <t>ARCEE INDUSTRIES LTD</t>
  </si>
  <si>
    <t>ARC FINANCE LTD</t>
  </si>
  <si>
    <t>ARAMBHAN HOSPITALITY SERVICES LTD</t>
  </si>
  <si>
    <t>AQUA PUMPS INFRA VENTURES LTD</t>
  </si>
  <si>
    <t>APUNKA INVEST COMMERCIAL LTD</t>
  </si>
  <si>
    <t>APTECHT</t>
  </si>
  <si>
    <t>APTECH LTD</t>
  </si>
  <si>
    <t>APPLE FINANCE LTD</t>
  </si>
  <si>
    <t>APOORVA LEASING FINANCE AND INVESTMENT COMPANY LTD</t>
  </si>
  <si>
    <t>APOLLOTYRE</t>
  </si>
  <si>
    <t>APOLLO TYRES LTD</t>
  </si>
  <si>
    <t>APOLLO TRICOAT TUBES LTD</t>
  </si>
  <si>
    <t>APOLSINHOT</t>
  </si>
  <si>
    <t>APOLLO SINDOORI HOTELS LTD</t>
  </si>
  <si>
    <t>APOLLO PIPES LTD</t>
  </si>
  <si>
    <t>APOLLO</t>
  </si>
  <si>
    <t>APOLLO MICRO SYSTEMS LTD</t>
  </si>
  <si>
    <t>APOLLOHOSP</t>
  </si>
  <si>
    <t>APOLLO HOSPITALS ENTERPRISE LTD</t>
  </si>
  <si>
    <t>APOLLO FINVEST INDIA LTD</t>
  </si>
  <si>
    <t>APOLLO FINVEST (INDIA) LTD</t>
  </si>
  <si>
    <t>APM INDUSTRIES LTD</t>
  </si>
  <si>
    <t>APLAYA</t>
  </si>
  <si>
    <t>Aplaya Creations Ltd</t>
  </si>
  <si>
    <t>APLAB LTD</t>
  </si>
  <si>
    <t>APLAPOLLO</t>
  </si>
  <si>
    <t>APL APOLLO TUBES LTD</t>
  </si>
  <si>
    <t>APIS INDIA LTD</t>
  </si>
  <si>
    <t>APIS (INDIA) LTD</t>
  </si>
  <si>
    <t>APEX HOME FINANCE LTD</t>
  </si>
  <si>
    <t>APEX</t>
  </si>
  <si>
    <t>APEX FROZEN FOODS LTD</t>
  </si>
  <si>
    <t>APCOTEXIND</t>
  </si>
  <si>
    <t>APCOTEX INDUSTRIES LTD</t>
  </si>
  <si>
    <t>APARINDS</t>
  </si>
  <si>
    <t>APAR INDUSTRIES LTD</t>
  </si>
  <si>
    <t>ANUPAM FINSERV LTD</t>
  </si>
  <si>
    <t>ANUP MALLEABLE LTD</t>
  </si>
  <si>
    <t>ANUH PHARMA LTD</t>
  </si>
  <si>
    <t>ANUBHAV INFRASTRUCTURE LTD</t>
  </si>
  <si>
    <t>ANUBHAV INDUSTRIAL RESOURCES LTD</t>
  </si>
  <si>
    <t>ANTARIKSH INDUSTRIES LTD</t>
  </si>
  <si>
    <t>ANTGRAPHIC</t>
  </si>
  <si>
    <t>ANTARCTICA LTD</t>
  </si>
  <si>
    <t>ANSHUNI COMMERCIALS LTD</t>
  </si>
  <si>
    <t>ANSALAPI</t>
  </si>
  <si>
    <t>ANSAL PROPERTIES &amp; INFRASTRUCTURE LTD</t>
  </si>
  <si>
    <t>ANSALHSG</t>
  </si>
  <si>
    <t>ANSAL HOUSING AND CONSTRUCTION LTD</t>
  </si>
  <si>
    <t>ANSAL BUILDWELL LTD</t>
  </si>
  <si>
    <t>ANS INDUSTRIES LTD</t>
  </si>
  <si>
    <t>ANNA INFRASTRUCTURES LTD</t>
  </si>
  <si>
    <t>ANMOL</t>
  </si>
  <si>
    <t>Anmol India Ltd</t>
  </si>
  <si>
    <t>ANKUSH FINSTOCK LTD</t>
  </si>
  <si>
    <t>ANKITMETAL</t>
  </si>
  <si>
    <t>ANKIT METAL &amp; POWER LTD</t>
  </si>
  <si>
    <t>ANKA INDIA LTD</t>
  </si>
  <si>
    <t>ANKA (INDIA) LTD</t>
  </si>
  <si>
    <t>ANJANI SYNTHETICS LTD</t>
  </si>
  <si>
    <t>APCL</t>
  </si>
  <si>
    <t>ANJANI PORTLAND CEMENT LTD</t>
  </si>
  <si>
    <t>ANJANI FOODS LTD</t>
  </si>
  <si>
    <t>ANJANI FINANCE LTD</t>
  </si>
  <si>
    <t>ANISHA IMPEX LTD</t>
  </si>
  <si>
    <t>ANIKINDS</t>
  </si>
  <si>
    <t>ANIK INDUSTRIES LTD</t>
  </si>
  <si>
    <t>AISL</t>
  </si>
  <si>
    <t>ANI INTEGRATED SERVICES LTD</t>
  </si>
  <si>
    <t>ANGEL FIBERS LTD</t>
  </si>
  <si>
    <t>ANG LIFESCIENCES INDIA LTD</t>
  </si>
  <si>
    <t>ANG LIFESCIENCES (INDIA) LTD</t>
  </si>
  <si>
    <t>ANGIND</t>
  </si>
  <si>
    <t>ANG INDUSTRIES LTD</t>
  </si>
  <si>
    <t>ANERI FINCAP LTD</t>
  </si>
  <si>
    <t>ANDREW YULE &amp; COMPANY LTD</t>
  </si>
  <si>
    <t>ANDHRA PETROCHEMICALS LTD</t>
  </si>
  <si>
    <t>ANDHRACEMT</t>
  </si>
  <si>
    <t>ANDHRA CEMENTS LTD</t>
  </si>
  <si>
    <t>ANDHRABANK</t>
  </si>
  <si>
    <t>ANDHRA BANK</t>
  </si>
  <si>
    <t>ANANTRAJ</t>
  </si>
  <si>
    <t>ANANT RAJ LTD</t>
  </si>
  <si>
    <t>ANAND PROJECTS LTD</t>
  </si>
  <si>
    <t>AMSONS APPARELS LTD</t>
  </si>
  <si>
    <t>AMRUTANJAN</t>
  </si>
  <si>
    <t>AMRUTANJAN HEALTH CARE LTD</t>
  </si>
  <si>
    <t>AMRIT CORP LTD</t>
  </si>
  <si>
    <t>AMRAWORLD AGRICO LTD</t>
  </si>
  <si>
    <t>AMRAPALI INDUSTRIES LTD</t>
  </si>
  <si>
    <t>AMRAPALI FINCAP LTD</t>
  </si>
  <si>
    <t>AMRAPALI CAPITAL AND FINANCE SERVICES LTD</t>
  </si>
  <si>
    <t>AMRADEEP INDUSTRIES LTD</t>
  </si>
  <si>
    <t>AMJLAND</t>
  </si>
  <si>
    <t>AMJ LAND HOLDINGS LTD</t>
  </si>
  <si>
    <t>AMIT SECURITIES LTD</t>
  </si>
  <si>
    <t>AMIT INTERNATIONAL LTD</t>
  </si>
  <si>
    <t>AMINES &amp; PLASTICIZERS LTD</t>
  </si>
  <si>
    <t>AMIN TANNERY LTD</t>
  </si>
  <si>
    <t>AMFORGE INDUSTRIES LTD</t>
  </si>
  <si>
    <t>AMDIND</t>
  </si>
  <si>
    <t>AMD INDUSTRIES LTD</t>
  </si>
  <si>
    <t>AMCO INDIA LTD</t>
  </si>
  <si>
    <t>AMCO (INDIA) LTD</t>
  </si>
  <si>
    <t>AMBUJACEM</t>
  </si>
  <si>
    <t>AMBUJA CEMENTS LTD</t>
  </si>
  <si>
    <t>AMBITION MICA LTD</t>
  </si>
  <si>
    <t>AMBIKCO</t>
  </si>
  <si>
    <t>AMBIKA COTTON MILLS LTD</t>
  </si>
  <si>
    <t>AMBER</t>
  </si>
  <si>
    <t>AMBER ENTERPRISES INDIA LTD</t>
  </si>
  <si>
    <t>AMBER ENTERPRISES (INDIA) LTD</t>
  </si>
  <si>
    <t>AIHL</t>
  </si>
  <si>
    <t>Ambassador Intra Holdings Ltd</t>
  </si>
  <si>
    <t>AMBAR PROTEIN INDUSTRIES LTD</t>
  </si>
  <si>
    <t>AMBANIORG</t>
  </si>
  <si>
    <t>AMBANI ORGANICS LTD</t>
  </si>
  <si>
    <t>AMBALAL SARABHAI ENTERPRISES LTD</t>
  </si>
  <si>
    <t>AMBA ENTERPRISES LTD</t>
  </si>
  <si>
    <t>AMAZE ENTERTECH LTD</t>
  </si>
  <si>
    <t>AMARNATH SECURITIES LTD</t>
  </si>
  <si>
    <t>AMARJOTHI SPINNING MILLS LTD</t>
  </si>
  <si>
    <t>AMARAJABAT</t>
  </si>
  <si>
    <t>AMARA RAJA BATTERIES LTD</t>
  </si>
  <si>
    <t>AMANI TRADING &amp; EXPORTS LTD</t>
  </si>
  <si>
    <t>AMAL LTD</t>
  </si>
  <si>
    <t>ALUFLUORIDE LTD</t>
  </si>
  <si>
    <t>ALSTONE TEXTILES INDIA LTD</t>
  </si>
  <si>
    <t>ALSTONE TEXTILES (INDIA) LTD</t>
  </si>
  <si>
    <t>ALPSMOTOR</t>
  </si>
  <si>
    <t>Alps Motor Finance Ltd</t>
  </si>
  <si>
    <t>ALPSINDUS</t>
  </si>
  <si>
    <t>ALPS INDUSTRIES LTD</t>
  </si>
  <si>
    <t>ALPINE HOUSING DEVELOPMENT CORPORATION LTD</t>
  </si>
  <si>
    <t>ALPHAGEO</t>
  </si>
  <si>
    <t>ALPHAGEO INDIA LTD</t>
  </si>
  <si>
    <t>ALPHAGEO (INDIA) LTD</t>
  </si>
  <si>
    <t>ALPA</t>
  </si>
  <si>
    <t>ALPA LABORATORIES LTD</t>
  </si>
  <si>
    <t>ALOKTEXT</t>
  </si>
  <si>
    <t>ALOK INDUSTRIES LTD</t>
  </si>
  <si>
    <t>ALNA TRADING &amp; EXPORTS LTD</t>
  </si>
  <si>
    <t>ALMONDZ</t>
  </si>
  <si>
    <t>ALMONDZ GLOBAL SECURITIES LTD</t>
  </si>
  <si>
    <t>ALLSEC</t>
  </si>
  <si>
    <t>ALLSEC TECHNOLOGIES LTD</t>
  </si>
  <si>
    <t>ADSL</t>
  </si>
  <si>
    <t>ALLIED DIGITAL SERVICES LTD</t>
  </si>
  <si>
    <t>ALLIED COMPUTERS INTERNATIONAL ASIA LTD</t>
  </si>
  <si>
    <t>ALLIANCE INTEGRATED METALIKS LTD</t>
  </si>
  <si>
    <t>ALLCARGO</t>
  </si>
  <si>
    <t>ALLCARGO LOGISTICS LTD</t>
  </si>
  <si>
    <t>ALBK</t>
  </si>
  <si>
    <t>ALLAHABAD BANK</t>
  </si>
  <si>
    <t>ALKYLAMINE</t>
  </si>
  <si>
    <t>ALKYL AMINES CHEMICALS LTD</t>
  </si>
  <si>
    <t>ALKEM</t>
  </si>
  <si>
    <t>ALKEM LABORATORIES LTD</t>
  </si>
  <si>
    <t>ALKALI</t>
  </si>
  <si>
    <t>ALKALI METALS LTD</t>
  </si>
  <si>
    <t>ALKA SECURITIES LTD</t>
  </si>
  <si>
    <t>ALKA INDIA LTD</t>
  </si>
  <si>
    <t>ALKA DIAMOND INDUSTRIES LTD</t>
  </si>
  <si>
    <t>ALKA (INDIA) LTD</t>
  </si>
  <si>
    <t>ALICON</t>
  </si>
  <si>
    <t>ALICON CASTALLOY LTD</t>
  </si>
  <si>
    <t>ALFRED HERBERT INDIA LTD</t>
  </si>
  <si>
    <t>ALFRED HERBERT (INDIA) LTD</t>
  </si>
  <si>
    <t>ALFAVISION OVERSEAS INDIA LTD</t>
  </si>
  <si>
    <t>ALFAVISION OVERSEAS (INDIA) LTD</t>
  </si>
  <si>
    <t>ALFA TRANSFORMERS LTD</t>
  </si>
  <si>
    <t>ALFA ICA INDIA LTD</t>
  </si>
  <si>
    <t>ALFA ICA (INDIA) LTD</t>
  </si>
  <si>
    <t>ALEXANDER STAMPS AND COIN LTD</t>
  </si>
  <si>
    <t>APLLTD</t>
  </si>
  <si>
    <t>ALEMBIC PHARMACEUTICALS LTD</t>
  </si>
  <si>
    <t>ALEMBICLTD</t>
  </si>
  <si>
    <t>ALEMBIC LTD</t>
  </si>
  <si>
    <t>ALCHEMIST REALTY LTD</t>
  </si>
  <si>
    <t>ALCHEM</t>
  </si>
  <si>
    <t>ALCHEMIST LTD</t>
  </si>
  <si>
    <t>ALCHEMIST CORPORATION LTD</t>
  </si>
  <si>
    <t>ALBERTDAVD</t>
  </si>
  <si>
    <t>ALBERT DAVID LTD</t>
  </si>
  <si>
    <t>ALANKIT</t>
  </si>
  <si>
    <t>ALANKIT LTD</t>
  </si>
  <si>
    <t>ALAN SCOTT INDUSTRIES LTD</t>
  </si>
  <si>
    <t>ALACRITY SECURITIES LTD</t>
  </si>
  <si>
    <t>AKZOINDIA</t>
  </si>
  <si>
    <t>AKZO NOBEL INDIA LTD</t>
  </si>
  <si>
    <t>AKZO(INDIA)</t>
  </si>
  <si>
    <t>AKZO NOBEL (INDIA) LTD</t>
  </si>
  <si>
    <t>AKSHARCHEM</t>
  </si>
  <si>
    <t>AKSHARCHEM INDIA LTD</t>
  </si>
  <si>
    <t>AKSHARCHEM (INDIA) LTD</t>
  </si>
  <si>
    <t>AKSHAR SPINTEX LTD</t>
  </si>
  <si>
    <t>AKSHOPTFBR</t>
  </si>
  <si>
    <t>AKSH OPTIFIBRE LTD</t>
  </si>
  <si>
    <t>AKME STAR HOUSING FINANCE LTD</t>
  </si>
  <si>
    <t>AKM LACE AND EMBROTEX LTD</t>
  </si>
  <si>
    <t>AKI INDIA LTD</t>
  </si>
  <si>
    <t>AKI (INDIA) LTD</t>
  </si>
  <si>
    <t>AKG</t>
  </si>
  <si>
    <t>AKG EXIM LTD</t>
  </si>
  <si>
    <t>AKASHDEEP METAL INDUSTRIES LTD</t>
  </si>
  <si>
    <t>AKASH</t>
  </si>
  <si>
    <t>AKASH INFRA PROJECTS LTD</t>
  </si>
  <si>
    <t>AKAR AUTO INDUSTRIES LTD</t>
  </si>
  <si>
    <t>AJWA FUN WORLD &amp; RESORT LTD</t>
  </si>
  <si>
    <t>AJOONI</t>
  </si>
  <si>
    <t>AJOONI BIOTECH LTD</t>
  </si>
  <si>
    <t>AJMERA</t>
  </si>
  <si>
    <t>AJMERA REALTY &amp; INFRA INDIA LTD</t>
  </si>
  <si>
    <t>AJMERA REALTY &amp; INFRA (INDIA) LTD</t>
  </si>
  <si>
    <t>AJEL LTD</t>
  </si>
  <si>
    <t>AJCON GLOBAL SERVICES LTD</t>
  </si>
  <si>
    <t>AJANTA SOYA LTD</t>
  </si>
  <si>
    <t>AJANTPHARM</t>
  </si>
  <si>
    <t>AJANTA PHARMA LTD</t>
  </si>
  <si>
    <t>AISHWARYA TELECOM LTD</t>
  </si>
  <si>
    <t>AIROLAM</t>
  </si>
  <si>
    <t>AIRO LAM LTD</t>
  </si>
  <si>
    <t>AIRAN</t>
  </si>
  <si>
    <t>AIRAN LTD</t>
  </si>
  <si>
    <t>AIMCO PESTICIDES LTD</t>
  </si>
  <si>
    <t>AIAENG</t>
  </si>
  <si>
    <t>AIA ENGINEERING LTD</t>
  </si>
  <si>
    <t>AI CHAMPDANY INDUSTRIES LTD</t>
  </si>
  <si>
    <t>AHMEDABAD STEELCRAFT LTD</t>
  </si>
  <si>
    <t>AHLUCONT</t>
  </si>
  <si>
    <t>AHLUWALIA CONTRACTS INDIA LTD</t>
  </si>
  <si>
    <t>AHLUWALIA CONTRACTS (INDIA) LTD</t>
  </si>
  <si>
    <t>AHLADA</t>
  </si>
  <si>
    <t>AHLADA ENGINEERS LTD</t>
  </si>
  <si>
    <t>AHIMSA</t>
  </si>
  <si>
    <t>AHIMSA INDUSTRIES LTD</t>
  </si>
  <si>
    <t>ATFL</t>
  </si>
  <si>
    <t>AGRO TECH FOODS LTD</t>
  </si>
  <si>
    <t>AGROPHOS</t>
  </si>
  <si>
    <t>AGRO PHOS INDIA LTD</t>
  </si>
  <si>
    <t>AGRO PHOS (INDIA) LTD</t>
  </si>
  <si>
    <t>AGRITECH</t>
  </si>
  <si>
    <t>AGRI-TECH INDIA LTD</t>
  </si>
  <si>
    <t>AGRI-TECH (INDIA) LTD</t>
  </si>
  <si>
    <t>AGRIMONY COMMODITIES LTD</t>
  </si>
  <si>
    <t>AGIO PAPER &amp; INDUSTRIES LTD</t>
  </si>
  <si>
    <t>AGI INFRA LTD</t>
  </si>
  <si>
    <t>AGCNET</t>
  </si>
  <si>
    <t>AGC NETWORKS LTD</t>
  </si>
  <si>
    <t>AGARIND</t>
  </si>
  <si>
    <t>AGARWAL INDUSTRIAL CORPORATION LTD</t>
  </si>
  <si>
    <t>AFFORDABLE ROBOTIC &amp; AUTOMATION LTD</t>
  </si>
  <si>
    <t>AEGISCHEM</t>
  </si>
  <si>
    <t>AEGIS LOGISTICS LTD</t>
  </si>
  <si>
    <t>ADVITIYA TRADE INDIA LTD</t>
  </si>
  <si>
    <t>ADVITIYA TRADE (INDIA) LTD</t>
  </si>
  <si>
    <t>ADVIK LABORATORIES LTD</t>
  </si>
  <si>
    <t>ADVIK CAPITAL LTD</t>
  </si>
  <si>
    <t>ADVENT COMPUTER SERVICES LTD</t>
  </si>
  <si>
    <t>ADVANIHOTR</t>
  </si>
  <si>
    <t>ADVANI HOTELS &amp; RESORTS INDIA LTD</t>
  </si>
  <si>
    <t>ADVANI HOTELS &amp; RESORTS (INDIA) LTD</t>
  </si>
  <si>
    <t>ADVENZYMES</t>
  </si>
  <si>
    <t>ADVANCED ENZYME TECHNOLOGIES LTD</t>
  </si>
  <si>
    <t>ADVANCE SYNTEX LTD</t>
  </si>
  <si>
    <t>ADVANCE POWERINFRA TECH LTD</t>
  </si>
  <si>
    <t>ADVANCE PETROCHEMICALS LTD</t>
  </si>
  <si>
    <t>ADVANCE METERING TECHNOLOGY LTD</t>
  </si>
  <si>
    <t>ADVANCE LIFESTYLES LTD</t>
  </si>
  <si>
    <t>ADS DIAGNOSTIC LTD</t>
  </si>
  <si>
    <t>ADROITINFO</t>
  </si>
  <si>
    <t>ADROIT INFOTECH LTD</t>
  </si>
  <si>
    <t>ADORWELD</t>
  </si>
  <si>
    <t>ADOR WELDING LTD</t>
  </si>
  <si>
    <t>ADOR MULTIPRODUCTS LTD</t>
  </si>
  <si>
    <t>ADOR FONTECH LTD</t>
  </si>
  <si>
    <t>AD-MANUM FINANCE LTD</t>
  </si>
  <si>
    <t>ADLABS</t>
  </si>
  <si>
    <t>ADLABS ENTERTAINMENT LTD</t>
  </si>
  <si>
    <t>ADITYA VISION LTD</t>
  </si>
  <si>
    <t>ADITYA SPINNERS LTD</t>
  </si>
  <si>
    <t>ADITYA ISPAT LTD</t>
  </si>
  <si>
    <t>ADITYA CONSUMER MARKETING LTD</t>
  </si>
  <si>
    <t>BIRLAMONEY</t>
  </si>
  <si>
    <t>ADITYA BIRLA MONEY LTD</t>
  </si>
  <si>
    <t>ABFRL</t>
  </si>
  <si>
    <t>ADITYA BIRLA FASHION AND RETAIL LTD</t>
  </si>
  <si>
    <t>ABCAPITAL</t>
  </si>
  <si>
    <t>ADITYA BIRLA CAPITAL LTD</t>
  </si>
  <si>
    <t>ADITRI INDUSTRIES LTD</t>
  </si>
  <si>
    <t>ADINATH TEXTILES LTD</t>
  </si>
  <si>
    <t>ADINATH EXIM RESOURCES LTD</t>
  </si>
  <si>
    <t>ADI RASAYAN LTD</t>
  </si>
  <si>
    <t>ADHUNIK</t>
  </si>
  <si>
    <t>ADHUNIK METALIKS LTD</t>
  </si>
  <si>
    <t>ADHUNIKIND</t>
  </si>
  <si>
    <t>ADHUNIK INDUSTRIES LTD</t>
  </si>
  <si>
    <t>ADHIRAJ DISTRIBUTORS LTD</t>
  </si>
  <si>
    <t>ADHBHUT INFRASTRUCTURE LTD</t>
  </si>
  <si>
    <t>ADHARSHILA CAPITAL SERVICES LTD</t>
  </si>
  <si>
    <t>ADFFOODS</t>
  </si>
  <si>
    <t>ADF FOODS LTD</t>
  </si>
  <si>
    <t>ADD-SHOP PROMOTIONS LTD</t>
  </si>
  <si>
    <t>ADDI INDUSTRIES LTD</t>
  </si>
  <si>
    <t>ADCON CAPITAL SERVICES LTD</t>
  </si>
  <si>
    <t>ADC INDIA COMMUNICATIONS LTD</t>
  </si>
  <si>
    <t>ADARSH PLANT PROTECT LTD</t>
  </si>
  <si>
    <t>ADARSH MERCANTILE LTD</t>
  </si>
  <si>
    <t>ADANITRANS</t>
  </si>
  <si>
    <t>ADANI TRANSMISSION LTD</t>
  </si>
  <si>
    <t>ADANIPOWER</t>
  </si>
  <si>
    <t>ADANI POWER LTD</t>
  </si>
  <si>
    <t>ADANIPORTS</t>
  </si>
  <si>
    <t>ADANI PORTS AND SPECIAL ECONOMIC ZONE LTD</t>
  </si>
  <si>
    <t>ADANIGREEN</t>
  </si>
  <si>
    <t>ADANI GREEN ENERGY LTD</t>
  </si>
  <si>
    <t>ADANIGAS</t>
  </si>
  <si>
    <t>ADANI GAS LTD</t>
  </si>
  <si>
    <t>ADANIENT</t>
  </si>
  <si>
    <t>ADANI ENTERPRISES LTD</t>
  </si>
  <si>
    <t>ACTIVE CLOTHING CO LTD</t>
  </si>
  <si>
    <t>ACTION FINANCIAL SERVICES INDIA LTD</t>
  </si>
  <si>
    <t>ACTION FINANCIAL SERVICES (INDIA) LTD</t>
  </si>
  <si>
    <t>ACE</t>
  </si>
  <si>
    <t>ACTION CONSTRUCTION EQUIPMENT LTD</t>
  </si>
  <si>
    <t>ACRYSIL LTD</t>
  </si>
  <si>
    <t>ACROW</t>
  </si>
  <si>
    <t>ACROW INDIA LTD.</t>
  </si>
  <si>
    <t>ACME RESOURCES LTD</t>
  </si>
  <si>
    <t>ACKNIT INDUSTRIES LTD</t>
  </si>
  <si>
    <t>ACI INFOCOM LTD</t>
  </si>
  <si>
    <t>ACHAL</t>
  </si>
  <si>
    <t>Achal Investments Ltd</t>
  </si>
  <si>
    <t>ACE SOFTWARE EXPORTS LTD</t>
  </si>
  <si>
    <t>ACE MEN ENGG WORKS LTD</t>
  </si>
  <si>
    <t>ACEINTEG</t>
  </si>
  <si>
    <t>ACE INTEGRATED SOLUTIONS LTD</t>
  </si>
  <si>
    <t>ACE EDUTREND LTD</t>
  </si>
  <si>
    <t>ACCURACY</t>
  </si>
  <si>
    <t>ACCURACY SHIPPING LTD</t>
  </si>
  <si>
    <t>ACCORD</t>
  </si>
  <si>
    <t>ACCORD SYNERGY LTD</t>
  </si>
  <si>
    <t>ACCELYA</t>
  </si>
  <si>
    <t>ACCELYA KALE SOLUTIONS LTD</t>
  </si>
  <si>
    <t>ACCEL LTD</t>
  </si>
  <si>
    <t>ACC</t>
  </si>
  <si>
    <t>ACC LTD</t>
  </si>
  <si>
    <t>ABM KNOWLEDGEWARE LTD</t>
  </si>
  <si>
    <t>ABMINTLTD</t>
  </si>
  <si>
    <t>ABM INTERNATIONAL LTD</t>
  </si>
  <si>
    <t>ABIRAMI FINANCIAL SERVICES INDIA LTD</t>
  </si>
  <si>
    <t>ABIRAMI FINANCIAL SERVICES (INDIA) LTD</t>
  </si>
  <si>
    <t>ABHISHEK INFRAVENTURES LTD</t>
  </si>
  <si>
    <t>ABHISHEK FINLEASE LTD</t>
  </si>
  <si>
    <t>ABHINAV LEASING &amp; FINANCE LTD</t>
  </si>
  <si>
    <t>ABHINAV CAPITAL SERVICES LTD</t>
  </si>
  <si>
    <t>ABHIJIT TRADING COMPANY LTD</t>
  </si>
  <si>
    <t>ABGSHIP</t>
  </si>
  <si>
    <t>ABG SHIPYARD LTD</t>
  </si>
  <si>
    <t>ABC INDIA LTD</t>
  </si>
  <si>
    <t>ABC GAS INTERNATIONAL LTD</t>
  </si>
  <si>
    <t>ABC (INDIA) LTD</t>
  </si>
  <si>
    <t>ABBOTINDIA</t>
  </si>
  <si>
    <t>ABBOTT INDIA LTD</t>
  </si>
  <si>
    <t>ABBOT(INDIA)</t>
  </si>
  <si>
    <t>ABBOTT (INDIA) LTD</t>
  </si>
  <si>
    <t>ABB</t>
  </si>
  <si>
    <t>ABB INDIA LTD</t>
  </si>
  <si>
    <t>ABANS ENTERPRISES LTD</t>
  </si>
  <si>
    <t>ABAN</t>
  </si>
  <si>
    <t>ABAN OFFSHORE LTD</t>
  </si>
  <si>
    <t>AAYUSH FOOD AND HERBS LTD</t>
  </si>
  <si>
    <t>AAVAS</t>
  </si>
  <si>
    <t>AAVAS FINANCIERS LTD</t>
  </si>
  <si>
    <t>AASWA TRADING &amp; EXPORTS LTD</t>
  </si>
  <si>
    <t>AASHEE INFOTECH LTD</t>
  </si>
  <si>
    <t>AARVI</t>
  </si>
  <si>
    <t>AARVI ENCON LTD</t>
  </si>
  <si>
    <t>AARVEEDEN</t>
  </si>
  <si>
    <t>AARVEE DENIMS &amp; EXPORTS LTD</t>
  </si>
  <si>
    <t>AARV INFRATEL LTD</t>
  </si>
  <si>
    <t>AARTIIND</t>
  </si>
  <si>
    <t>AARTI INDUSTRIES LTD</t>
  </si>
  <si>
    <t>AARTIDRUGS</t>
  </si>
  <si>
    <t>AARTI DRUGS LTD</t>
  </si>
  <si>
    <t>AARTECH</t>
  </si>
  <si>
    <t>Aartech Solonics Ltd</t>
  </si>
  <si>
    <t>AARON</t>
  </si>
  <si>
    <t>AARON INDUSTRIES LTD</t>
  </si>
  <si>
    <t>AAREY DRUGS &amp; PHARMACEUTICALS LTD</t>
  </si>
  <si>
    <t>AARSHYAM</t>
  </si>
  <si>
    <t>Aar Shyam India Investment Company Ltd</t>
  </si>
  <si>
    <t>AAR COMMERCIAL COMPANY LTD</t>
  </si>
  <si>
    <t>AANCHAL ISPAT LTD</t>
  </si>
  <si>
    <t>AANANDA LAKSHMI SPINNING MILLS LTD</t>
  </si>
  <si>
    <t>AAKASH</t>
  </si>
  <si>
    <t>AAKASH EXPLORATION SERVICES LTD</t>
  </si>
  <si>
    <t>AADHAAR VENTURES INDIA LTD</t>
  </si>
  <si>
    <t>AADHAAR VENTURES (INDIA) LTD</t>
  </si>
  <si>
    <t>A2ZINFRA</t>
  </si>
  <si>
    <t>A2Z INFRA ENGINEERING LTD</t>
  </si>
  <si>
    <t>A-1 ACID LTD</t>
  </si>
  <si>
    <t>AFEL</t>
  </si>
  <si>
    <t>A.F. Enterprises Ltd</t>
  </si>
  <si>
    <t>A K CAPITAL SERVICES LTD</t>
  </si>
  <si>
    <t>A K  SPINTEX LTD</t>
  </si>
  <si>
    <t>A INFRASTRUCTURE LTD</t>
  </si>
  <si>
    <t>AMJUMBO</t>
  </si>
  <si>
    <t>A AND M JUMBO BAGS LTD</t>
  </si>
  <si>
    <t>A &amp; M FEBCON LTD</t>
  </si>
  <si>
    <t>8KMILES</t>
  </si>
  <si>
    <t>8K MILES SOFTWARE SERVICES LTD</t>
  </si>
  <si>
    <t>7SEAS ENTERTAINMENT LTD</t>
  </si>
  <si>
    <t>7NR RETAIL LTD</t>
  </si>
  <si>
    <t>63MOONS</t>
  </si>
  <si>
    <t>63 MOONS TECHNOLOGIES LTD</t>
  </si>
  <si>
    <t>5PAISA</t>
  </si>
  <si>
    <t>5PAISA CAPITAL LTD</t>
  </si>
  <si>
    <t>3PLAND</t>
  </si>
  <si>
    <t>3P LAND HOLDINGS LTD</t>
  </si>
  <si>
    <t>3MINDIA</t>
  </si>
  <si>
    <t>3M INDIA LTD</t>
  </si>
  <si>
    <t>3M(INDIA)</t>
  </si>
  <si>
    <t>3M (INDIA) LTD</t>
  </si>
  <si>
    <t>3IINFOTECH</t>
  </si>
  <si>
    <t>3I INFOTECH LTD</t>
  </si>
  <si>
    <t>21STCENMGM</t>
  </si>
  <si>
    <t>21ST CENTURY MANAGEMENT SERVICES LTD</t>
  </si>
  <si>
    <t>20MICRONS</t>
  </si>
  <si>
    <t>20 MICRONS LTD</t>
  </si>
  <si>
    <t>Industry</t>
  </si>
  <si>
    <t>NSE</t>
  </si>
  <si>
    <t>COMPANY_NAME</t>
  </si>
  <si>
    <t>52 Week (High- INR 5165 &amp; Low- INR 3046)</t>
  </si>
  <si>
    <t>About the Company</t>
  </si>
  <si>
    <t>Hindustan Aeronautics Limited (HAL) is an Indian public sector aerospace and defence company. Headquartered in Bengaluru, it is an Indian government owned company, that is involved in the designing, manufacturing and overhaul of combat aircraft, helicopters, unmanned aerial vehicles, jet and turbine engines, avionics, and other hardware.</t>
  </si>
  <si>
    <t>Return on Equity (ROE)</t>
  </si>
  <si>
    <t>Average Shareholder Equity</t>
  </si>
  <si>
    <t>Return On Equity</t>
  </si>
  <si>
    <t>ROE - Dupont Equation</t>
  </si>
  <si>
    <t>Net Profit Margin (A)</t>
  </si>
  <si>
    <t>Average Total Assets</t>
  </si>
  <si>
    <t>Asset TurnOver Ratio (B)</t>
  </si>
  <si>
    <t>Equity Multiplier (C)</t>
  </si>
  <si>
    <t>Return on Equity (A*B*C)</t>
  </si>
  <si>
    <t>Return on Assets (ROA)</t>
  </si>
  <si>
    <t>ROA - Dupont Equation</t>
  </si>
  <si>
    <t>Return on Asset (A*B)</t>
  </si>
  <si>
    <t>Financial Summary</t>
  </si>
  <si>
    <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</si>
</sst>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0.00_);_(* \(#,##0.00\);_(* &quot;-&quot;??_);_(@_)"/>
    <numFmt numFmtId="164" formatCode="_ * #,##0.00_ ;_ * \-#,##0.00_ ;_ * &quot;-&quot;??_ ;_ @_ "/>
    <numFmt numFmtId="165" formatCode="[$-409]mmm\-yy;@"/>
    <numFmt numFmtId="166" formatCode="_-[$₹-44C]* #,##0.0_-;\-[$₹-44C]* #,##0.0_-;_-[$₹-44C]* &quot;-&quot;??_-;_-@_-"/>
    <numFmt numFmtId="167" formatCode="_-[$₹-44C]* #,##0.00_-;\-[$₹-44C]* #,##0.00_-;_-[$₹-44C]* &quot;-&quot;??_-;_-@_-"/>
    <numFmt numFmtId="168" formatCode="\₹\ #,##0.0;\(\₹\ #,##0.0\);\-"/>
    <numFmt numFmtId="169" formatCode="0.00&quot;x&quot;"/>
    <numFmt numFmtId="170" formatCode="yyyy&quot;A&quot;"/>
    <numFmt numFmtId="171" formatCode="yyyy&quot;E&quot;"/>
    <numFmt numFmtId="172" formatCode="0.0"/>
    <numFmt numFmtId="173" formatCode="0.000"/>
    <numFmt numFmtId="174" formatCode="#,##0.0;\(#,##0.0\);\-"/>
    <numFmt numFmtId="175" formatCode="mmm\-yy&quot;A&quot;"/>
    <numFmt numFmtId="176" formatCode="mmm\-yy&quot;E&quot;"/>
    <numFmt numFmtId="177" formatCode="0.0\x"/>
    <numFmt numFmtId="178" formatCode="0.0000"/>
    <numFmt numFmtId="179" formatCode="0.00\x"/>
    <numFmt numFmtId="180" formatCode="_-[$₹-44C]* #,##0_-;\-[$₹-44C]* #,##0_-;_-[$₹-44C]* &quot;-&quot;??_-;_-@_-"/>
  </numFmts>
  <fonts count="36"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sz val="11"/>
      <name val="Calibri"/>
      <family val="2"/>
      <scheme val="minor"/>
    </font>
    <font>
      <sz val="12"/>
      <color theme="1"/>
      <name val="Calibri"/>
      <family val="2"/>
      <scheme val="minor"/>
    </font>
    <font>
      <b/>
      <sz val="12"/>
      <color theme="0"/>
      <name val="Calibri"/>
      <family val="2"/>
      <scheme val="minor"/>
    </font>
    <font>
      <i/>
      <sz val="10"/>
      <color theme="0" tint="-0.499984740745262"/>
      <name val="Calibri"/>
      <family val="2"/>
      <scheme val="minor"/>
    </font>
    <font>
      <b/>
      <sz val="12"/>
      <color theme="1"/>
      <name val="Calibri"/>
      <family val="2"/>
      <scheme val="minor"/>
    </font>
    <font>
      <i/>
      <sz val="11"/>
      <color theme="1"/>
      <name val="Calibri"/>
      <family val="2"/>
      <scheme val="minor"/>
    </font>
    <font>
      <sz val="11"/>
      <color theme="0" tint="-0.14999847407452621"/>
      <name val="Calibri"/>
      <family val="2"/>
      <scheme val="minor"/>
    </font>
    <font>
      <b/>
      <sz val="14"/>
      <color theme="0"/>
      <name val="Calibri"/>
      <family val="2"/>
      <scheme val="minor"/>
    </font>
    <font>
      <i/>
      <sz val="10"/>
      <color theme="1" tint="0.499984740745262"/>
      <name val="Calibri"/>
      <family val="2"/>
      <scheme val="minor"/>
    </font>
    <font>
      <vertAlign val="superscript"/>
      <sz val="11"/>
      <color theme="1"/>
      <name val="Calibri"/>
      <family val="2"/>
      <scheme val="minor"/>
    </font>
    <font>
      <sz val="11"/>
      <color rgb="FF22222F"/>
      <name val="Arial"/>
      <family val="2"/>
    </font>
    <font>
      <sz val="11"/>
      <color rgb="FF0275D8"/>
      <name val="Calibri"/>
      <family val="2"/>
      <scheme val="minor"/>
    </font>
    <font>
      <i/>
      <sz val="9"/>
      <color theme="1"/>
      <name val="Calibri"/>
      <family val="2"/>
      <scheme val="minor"/>
    </font>
    <font>
      <sz val="11"/>
      <color rgb="FF3333FF"/>
      <name val="Calibri"/>
      <family val="2"/>
      <scheme val="minor"/>
    </font>
    <font>
      <sz val="12"/>
      <color rgb="FF606F7B"/>
      <name val="Calibri"/>
      <family val="2"/>
      <scheme val="minor"/>
    </font>
    <font>
      <sz val="12"/>
      <color rgb="FF22222F"/>
      <name val="Calibri"/>
      <family val="2"/>
      <scheme val="minor"/>
    </font>
    <font>
      <sz val="12"/>
      <color rgb="FF22222F"/>
      <name val="Calibri"/>
      <family val="2"/>
      <scheme val="minor"/>
    </font>
    <font>
      <sz val="12"/>
      <color rgb="FF665EFD"/>
      <name val="Calibri"/>
      <family val="2"/>
      <scheme val="minor"/>
    </font>
    <font>
      <b/>
      <sz val="9"/>
      <color indexed="81"/>
      <name val="Tahoma"/>
      <family val="2"/>
    </font>
    <font>
      <sz val="12"/>
      <color rgb="FF3333FF"/>
      <name val="Calibri"/>
      <family val="2"/>
      <scheme val="minor"/>
    </font>
    <font>
      <b/>
      <sz val="11"/>
      <color rgb="FF3333FF"/>
      <name val="Calibri"/>
      <family val="2"/>
      <scheme val="minor"/>
    </font>
    <font>
      <b/>
      <sz val="11"/>
      <color rgb="FF0275D8"/>
      <name val="Calibri"/>
      <family val="2"/>
      <scheme val="minor"/>
    </font>
    <font>
      <i/>
      <sz val="10"/>
      <color theme="1"/>
      <name val="Calibri"/>
      <family val="2"/>
      <scheme val="minor"/>
    </font>
    <font>
      <vertAlign val="superscript"/>
      <sz val="12"/>
      <color theme="1"/>
      <name val="Calibri"/>
      <family val="2"/>
      <scheme val="minor"/>
    </font>
    <font>
      <sz val="12"/>
      <color theme="0"/>
      <name val="Calibri"/>
      <family val="2"/>
      <scheme val="minor"/>
    </font>
    <font>
      <i/>
      <sz val="12"/>
      <color theme="0" tint="-0.499984740745262"/>
      <name val="Calibri"/>
      <family val="2"/>
      <scheme val="minor"/>
    </font>
    <font>
      <b/>
      <sz val="11"/>
      <color theme="0" tint="-4.9989318521683403E-2"/>
      <name val="Calibri"/>
      <family val="2"/>
      <scheme val="minor"/>
    </font>
    <font>
      <sz val="20"/>
      <color rgb="FF0275D8"/>
      <name val="Calibri"/>
      <family val="2"/>
      <scheme val="minor"/>
    </font>
    <font>
      <b/>
      <sz val="14"/>
      <color theme="1"/>
      <name val="Calibri"/>
      <family val="2"/>
      <scheme val="minor"/>
    </font>
    <font>
      <sz val="11"/>
      <color theme="0" tint="-4.9989318521683403E-2"/>
      <name val="Calibri"/>
      <family val="2"/>
      <scheme val="minor"/>
    </font>
  </fonts>
  <fills count="17">
    <fill>
      <patternFill patternType="none"/>
    </fill>
    <fill>
      <patternFill patternType="gray125"/>
    </fill>
    <fill>
      <patternFill patternType="solid">
        <fgColor theme="9"/>
      </patternFill>
    </fill>
    <fill>
      <patternFill patternType="solid">
        <fgColor rgb="FF0275D8"/>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F8F8FC"/>
        <bgColor indexed="64"/>
      </patternFill>
    </fill>
    <fill>
      <patternFill patternType="solid">
        <fgColor theme="0" tint="-0.14999847407452621"/>
        <bgColor indexed="64"/>
      </patternFill>
    </fill>
    <fill>
      <patternFill patternType="solid">
        <fgColor theme="0"/>
        <bgColor indexed="64"/>
      </patternFill>
    </fill>
    <fill>
      <patternFill patternType="solid">
        <fgColor theme="2" tint="-9.9978637043366805E-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0.249977111117893"/>
        <bgColor indexed="64"/>
      </patternFill>
    </fill>
    <fill>
      <patternFill patternType="solid">
        <fgColor rgb="FF0072BC"/>
        <bgColor indexed="64"/>
      </patternFill>
    </fill>
    <fill>
      <patternFill patternType="solid">
        <fgColor rgb="FF99CCFF"/>
        <bgColor indexed="64"/>
      </patternFill>
    </fill>
  </fills>
  <borders count="29">
    <border>
      <left/>
      <right/>
      <top/>
      <bottom/>
      <diagonal/>
    </border>
    <border>
      <left/>
      <right/>
      <top style="dotted">
        <color auto="1"/>
      </top>
      <bottom style="dotted">
        <color auto="1"/>
      </bottom>
      <diagonal/>
    </border>
    <border>
      <left/>
      <right/>
      <top style="hair">
        <color auto="1"/>
      </top>
      <bottom style="hair">
        <color auto="1"/>
      </bottom>
      <diagonal/>
    </border>
    <border>
      <left/>
      <right/>
      <top style="dotted">
        <color auto="1"/>
      </top>
      <bottom/>
      <diagonal/>
    </border>
    <border>
      <left/>
      <right/>
      <top/>
      <bottom style="dotted">
        <color auto="1"/>
      </bottom>
      <diagonal/>
    </border>
    <border>
      <left/>
      <right/>
      <top style="hair">
        <color auto="1"/>
      </top>
      <bottom/>
      <diagonal/>
    </border>
    <border>
      <left/>
      <right/>
      <top/>
      <bottom style="hair">
        <color auto="1"/>
      </bottom>
      <diagonal/>
    </border>
    <border>
      <left/>
      <right/>
      <top/>
      <bottom style="double">
        <color auto="1"/>
      </bottom>
      <diagonal/>
    </border>
    <border>
      <left/>
      <right/>
      <top style="thin">
        <color auto="1"/>
      </top>
      <bottom/>
      <diagonal/>
    </border>
    <border>
      <left/>
      <right/>
      <top/>
      <bottom style="thin">
        <color auto="1"/>
      </bottom>
      <diagonal/>
    </border>
    <border>
      <left/>
      <right/>
      <top style="medium">
        <color auto="1"/>
      </top>
      <bottom/>
      <diagonal/>
    </border>
    <border>
      <left/>
      <right/>
      <top/>
      <bottom style="medium">
        <color indexed="64"/>
      </bottom>
      <diagonal/>
    </border>
    <border>
      <left/>
      <right/>
      <top style="medium">
        <color indexed="64"/>
      </top>
      <bottom style="thin">
        <color indexed="64"/>
      </bottom>
      <diagonal/>
    </border>
    <border>
      <left/>
      <right/>
      <top/>
      <bottom style="medium">
        <color rgb="FFDBE4F0"/>
      </bottom>
      <diagonal/>
    </border>
    <border>
      <left/>
      <right/>
      <top style="thick">
        <color rgb="FFDBE4F0"/>
      </top>
      <bottom/>
      <diagonal/>
    </border>
    <border>
      <left/>
      <right/>
      <top style="thin">
        <color auto="1"/>
      </top>
      <bottom style="medium">
        <color auto="1"/>
      </bottom>
      <diagonal/>
    </border>
    <border>
      <left/>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6">
    <xf numFmtId="0" fontId="0" fillId="0" borderId="0"/>
    <xf numFmtId="164" fontId="3" fillId="0" borderId="0" applyFont="0" applyFill="0" applyBorder="0" applyAlignment="0" applyProtection="0"/>
    <xf numFmtId="0" fontId="4" fillId="0" borderId="0" applyNumberFormat="0" applyFill="0" applyBorder="0" applyAlignment="0" applyProtection="0">
      <alignment vertical="top"/>
      <protection locked="0"/>
    </xf>
    <xf numFmtId="0" fontId="5" fillId="2" borderId="0" applyNumberFormat="0" applyBorder="0" applyAlignment="0" applyProtection="0"/>
    <xf numFmtId="9" fontId="3" fillId="0" borderId="0" applyFont="0" applyFill="0" applyBorder="0" applyAlignment="0" applyProtection="0"/>
    <xf numFmtId="0" fontId="3" fillId="0" borderId="0"/>
  </cellStyleXfs>
  <cellXfs count="315">
    <xf numFmtId="0" fontId="0" fillId="0" borderId="0" xfId="0"/>
    <xf numFmtId="164" fontId="1" fillId="0" borderId="0" xfId="1" applyFont="1" applyBorder="1"/>
    <xf numFmtId="164" fontId="0" fillId="0" borderId="0" xfId="1" applyFont="1" applyBorder="1"/>
    <xf numFmtId="164" fontId="3" fillId="0" borderId="0" xfId="1" applyFont="1" applyBorder="1"/>
    <xf numFmtId="165" fontId="2" fillId="3" borderId="0" xfId="0" applyNumberFormat="1" applyFont="1" applyFill="1" applyBorder="1" applyAlignment="1">
      <alignment horizontal="center"/>
    </xf>
    <xf numFmtId="165" fontId="2" fillId="3" borderId="0" xfId="1" applyNumberFormat="1" applyFont="1" applyFill="1" applyBorder="1"/>
    <xf numFmtId="165" fontId="6" fillId="0" borderId="0" xfId="1" applyNumberFormat="1" applyFont="1" applyFill="1" applyBorder="1"/>
    <xf numFmtId="43" fontId="0" fillId="0" borderId="0" xfId="1" applyNumberFormat="1" applyFont="1" applyBorder="1"/>
    <xf numFmtId="0" fontId="7" fillId="0" borderId="0" xfId="0" applyFont="1"/>
    <xf numFmtId="0" fontId="8" fillId="4" borderId="0" xfId="0" applyFont="1" applyFill="1"/>
    <xf numFmtId="165" fontId="8" fillId="4" borderId="0" xfId="0" applyNumberFormat="1" applyFont="1" applyFill="1"/>
    <xf numFmtId="165" fontId="8" fillId="4" borderId="0" xfId="0" applyNumberFormat="1" applyFont="1" applyFill="1" applyAlignment="1">
      <alignment horizontal="right"/>
    </xf>
    <xf numFmtId="167" fontId="7" fillId="0" borderId="0" xfId="0" applyNumberFormat="1" applyFont="1"/>
    <xf numFmtId="0" fontId="9" fillId="0" borderId="0" xfId="0" applyFont="1"/>
    <xf numFmtId="0" fontId="10" fillId="0" borderId="0" xfId="0" applyFont="1"/>
    <xf numFmtId="17" fontId="0" fillId="0" borderId="0" xfId="0" applyNumberFormat="1"/>
    <xf numFmtId="3" fontId="0" fillId="0" borderId="0" xfId="0" applyNumberFormat="1"/>
    <xf numFmtId="0" fontId="1" fillId="0" borderId="0" xfId="0" applyFont="1"/>
    <xf numFmtId="0" fontId="1" fillId="0" borderId="0" xfId="0" applyFont="1" applyAlignment="1">
      <alignment wrapText="1"/>
    </xf>
    <xf numFmtId="0" fontId="10" fillId="0" borderId="1" xfId="0" applyFont="1" applyBorder="1"/>
    <xf numFmtId="0" fontId="7" fillId="0" borderId="1" xfId="0" applyFont="1" applyBorder="1"/>
    <xf numFmtId="0" fontId="7" fillId="0" borderId="2" xfId="0" applyFont="1" applyBorder="1"/>
    <xf numFmtId="167" fontId="7" fillId="0" borderId="2" xfId="0" applyNumberFormat="1" applyFont="1" applyBorder="1"/>
    <xf numFmtId="10" fontId="0" fillId="0" borderId="0" xfId="4" applyNumberFormat="1" applyFont="1"/>
    <xf numFmtId="169" fontId="0" fillId="0" borderId="0" xfId="0" applyNumberFormat="1"/>
    <xf numFmtId="0" fontId="0" fillId="0" borderId="3" xfId="0" applyBorder="1"/>
    <xf numFmtId="10" fontId="0" fillId="0" borderId="3" xfId="4" applyNumberFormat="1" applyFont="1" applyBorder="1"/>
    <xf numFmtId="0" fontId="0" fillId="0" borderId="0" xfId="0" applyBorder="1"/>
    <xf numFmtId="10" fontId="0" fillId="0" borderId="0" xfId="4" applyNumberFormat="1" applyFont="1" applyBorder="1"/>
    <xf numFmtId="0" fontId="0" fillId="0" borderId="4" xfId="0" applyBorder="1"/>
    <xf numFmtId="10" fontId="0" fillId="0" borderId="4" xfId="4" applyNumberFormat="1" applyFont="1" applyBorder="1"/>
    <xf numFmtId="10" fontId="0" fillId="0" borderId="3" xfId="0" applyNumberFormat="1" applyBorder="1"/>
    <xf numFmtId="10" fontId="0" fillId="0" borderId="0" xfId="0" applyNumberFormat="1" applyBorder="1"/>
    <xf numFmtId="10" fontId="0" fillId="0" borderId="4" xfId="0" applyNumberFormat="1" applyBorder="1"/>
    <xf numFmtId="0" fontId="0" fillId="0" borderId="3" xfId="0" applyBorder="1" applyAlignment="1"/>
    <xf numFmtId="0" fontId="0" fillId="0" borderId="0" xfId="0" applyBorder="1" applyAlignment="1"/>
    <xf numFmtId="0" fontId="0" fillId="0" borderId="4" xfId="0" applyBorder="1" applyAlignment="1">
      <alignment horizontal="left" vertical="center"/>
    </xf>
    <xf numFmtId="169" fontId="0" fillId="0" borderId="4" xfId="0" applyNumberFormat="1" applyBorder="1"/>
    <xf numFmtId="169" fontId="0" fillId="0" borderId="3" xfId="0" applyNumberFormat="1" applyBorder="1"/>
    <xf numFmtId="169" fontId="0" fillId="0" borderId="0" xfId="0" applyNumberFormat="1" applyBorder="1"/>
    <xf numFmtId="1" fontId="0" fillId="0" borderId="3" xfId="0" applyNumberFormat="1" applyBorder="1"/>
    <xf numFmtId="1" fontId="0" fillId="0" borderId="0" xfId="0" applyNumberFormat="1" applyBorder="1"/>
    <xf numFmtId="1" fontId="0" fillId="0" borderId="4" xfId="0" applyNumberFormat="1" applyBorder="1"/>
    <xf numFmtId="9" fontId="0" fillId="0" borderId="3" xfId="4" applyNumberFormat="1" applyFont="1" applyBorder="1"/>
    <xf numFmtId="9" fontId="0" fillId="0" borderId="0" xfId="4" applyNumberFormat="1" applyFont="1" applyBorder="1"/>
    <xf numFmtId="165" fontId="8" fillId="4" borderId="0" xfId="0" applyNumberFormat="1" applyFont="1" applyFill="1" applyAlignment="1">
      <alignment horizontal="center"/>
    </xf>
    <xf numFmtId="10" fontId="0" fillId="0" borderId="5" xfId="4" applyNumberFormat="1" applyFont="1" applyBorder="1"/>
    <xf numFmtId="10" fontId="0" fillId="0" borderId="6" xfId="4" applyNumberFormat="1" applyFont="1" applyBorder="1"/>
    <xf numFmtId="0" fontId="0" fillId="0" borderId="5" xfId="0" applyBorder="1"/>
    <xf numFmtId="0" fontId="0" fillId="0" borderId="6" xfId="0" applyBorder="1"/>
    <xf numFmtId="169" fontId="0" fillId="0" borderId="6" xfId="0" applyNumberFormat="1" applyBorder="1"/>
    <xf numFmtId="169" fontId="0" fillId="0" borderId="5" xfId="0" applyNumberFormat="1" applyBorder="1"/>
    <xf numFmtId="1" fontId="0" fillId="0" borderId="5" xfId="0" applyNumberFormat="1" applyBorder="1"/>
    <xf numFmtId="1" fontId="0" fillId="0" borderId="6" xfId="0" applyNumberFormat="1" applyBorder="1"/>
    <xf numFmtId="0" fontId="0" fillId="6" borderId="0" xfId="0" applyFill="1"/>
    <xf numFmtId="10" fontId="0" fillId="6" borderId="0" xfId="4" applyNumberFormat="1" applyFont="1" applyFill="1"/>
    <xf numFmtId="0" fontId="2" fillId="4" borderId="0" xfId="0" applyFont="1" applyFill="1"/>
    <xf numFmtId="170" fontId="2" fillId="4" borderId="0" xfId="0" applyNumberFormat="1" applyFont="1" applyFill="1"/>
    <xf numFmtId="171" fontId="2" fillId="4" borderId="0" xfId="0" applyNumberFormat="1" applyFont="1" applyFill="1"/>
    <xf numFmtId="0" fontId="12" fillId="0" borderId="0" xfId="0" applyFont="1"/>
    <xf numFmtId="0" fontId="12" fillId="6" borderId="0" xfId="0" applyFont="1" applyFill="1"/>
    <xf numFmtId="9" fontId="0" fillId="0" borderId="0" xfId="4" applyNumberFormat="1" applyFont="1"/>
    <xf numFmtId="2" fontId="0" fillId="0" borderId="0" xfId="0" applyNumberFormat="1"/>
    <xf numFmtId="167" fontId="7" fillId="6" borderId="0" xfId="0" applyNumberFormat="1" applyFont="1" applyFill="1"/>
    <xf numFmtId="2" fontId="0" fillId="6" borderId="0" xfId="0" applyNumberFormat="1" applyFill="1"/>
    <xf numFmtId="167" fontId="7" fillId="6" borderId="2" xfId="0" applyNumberFormat="1" applyFont="1" applyFill="1" applyBorder="1"/>
    <xf numFmtId="0" fontId="9" fillId="0" borderId="7" xfId="0" applyFont="1" applyBorder="1"/>
    <xf numFmtId="9" fontId="0" fillId="0" borderId="7" xfId="4" applyFont="1" applyBorder="1"/>
    <xf numFmtId="10" fontId="0" fillId="0" borderId="7" xfId="4" applyNumberFormat="1" applyFont="1" applyBorder="1"/>
    <xf numFmtId="10" fontId="0" fillId="6" borderId="7" xfId="4" applyNumberFormat="1" applyFont="1" applyFill="1" applyBorder="1"/>
    <xf numFmtId="0" fontId="0" fillId="0" borderId="7" xfId="0" applyBorder="1"/>
    <xf numFmtId="9" fontId="0" fillId="0" borderId="7" xfId="4" applyNumberFormat="1" applyFont="1" applyBorder="1"/>
    <xf numFmtId="0" fontId="14" fillId="0" borderId="0" xfId="0" applyFont="1"/>
    <xf numFmtId="0" fontId="0" fillId="0" borderId="9" xfId="0" applyBorder="1"/>
    <xf numFmtId="0" fontId="16" fillId="8" borderId="0" xfId="0" applyFont="1" applyFill="1" applyAlignment="1">
      <alignment horizontal="left" vertical="center" indent="2"/>
    </xf>
    <xf numFmtId="0" fontId="16" fillId="7" borderId="0" xfId="0" applyFont="1" applyFill="1" applyAlignment="1">
      <alignment horizontal="left" vertical="center" indent="2"/>
    </xf>
    <xf numFmtId="0" fontId="1" fillId="0" borderId="8" xfId="0" applyFont="1" applyBorder="1"/>
    <xf numFmtId="0" fontId="1" fillId="0" borderId="9" xfId="0" applyFont="1" applyBorder="1"/>
    <xf numFmtId="10" fontId="0" fillId="0" borderId="8" xfId="0" applyNumberFormat="1" applyBorder="1"/>
    <xf numFmtId="10" fontId="0" fillId="0" borderId="9" xfId="0" applyNumberFormat="1" applyBorder="1"/>
    <xf numFmtId="2" fontId="0" fillId="0" borderId="8" xfId="0" applyNumberFormat="1" applyBorder="1"/>
    <xf numFmtId="2" fontId="0" fillId="0" borderId="9" xfId="0" applyNumberFormat="1" applyBorder="1"/>
    <xf numFmtId="10" fontId="0" fillId="6" borderId="3" xfId="4" applyNumberFormat="1" applyFont="1" applyFill="1" applyBorder="1"/>
    <xf numFmtId="10" fontId="0" fillId="0" borderId="0" xfId="0" applyNumberFormat="1"/>
    <xf numFmtId="10" fontId="0" fillId="6" borderId="0" xfId="0" applyNumberFormat="1" applyFill="1"/>
    <xf numFmtId="0" fontId="1" fillId="0" borderId="0" xfId="0" applyFont="1" applyBorder="1"/>
    <xf numFmtId="10" fontId="0" fillId="6" borderId="3" xfId="0" applyNumberFormat="1" applyFill="1" applyBorder="1"/>
    <xf numFmtId="2" fontId="0" fillId="6" borderId="3" xfId="0" applyNumberFormat="1" applyFill="1" applyBorder="1"/>
    <xf numFmtId="172" fontId="0" fillId="0" borderId="3" xfId="0" applyNumberFormat="1" applyBorder="1"/>
    <xf numFmtId="0" fontId="1" fillId="0" borderId="0" xfId="0" applyFont="1" applyAlignment="1">
      <alignment horizontal="right"/>
    </xf>
    <xf numFmtId="0" fontId="0" fillId="0" borderId="10" xfId="0" applyBorder="1"/>
    <xf numFmtId="0" fontId="0" fillId="0" borderId="10" xfId="0" applyBorder="1" applyAlignment="1"/>
    <xf numFmtId="0" fontId="18" fillId="0" borderId="0" xfId="0" applyFont="1"/>
    <xf numFmtId="0" fontId="18" fillId="0" borderId="0" xfId="0" applyFont="1" applyAlignment="1">
      <alignment vertical="top"/>
    </xf>
    <xf numFmtId="0" fontId="0" fillId="0" borderId="0" xfId="0" applyFill="1"/>
    <xf numFmtId="0" fontId="13" fillId="0" borderId="0" xfId="0" applyFont="1" applyFill="1"/>
    <xf numFmtId="9" fontId="0" fillId="0" borderId="0" xfId="4" applyFont="1"/>
    <xf numFmtId="0" fontId="0" fillId="0" borderId="0" xfId="0" applyAlignment="1">
      <alignment wrapText="1"/>
    </xf>
    <xf numFmtId="14" fontId="0" fillId="0" borderId="0" xfId="0" applyNumberFormat="1"/>
    <xf numFmtId="0" fontId="1" fillId="0" borderId="9" xfId="0" applyFont="1" applyBorder="1" applyAlignment="1">
      <alignment horizontal="center"/>
    </xf>
    <xf numFmtId="0" fontId="0" fillId="0" borderId="0" xfId="0" applyFill="1" applyBorder="1" applyAlignment="1"/>
    <xf numFmtId="0" fontId="0" fillId="0" borderId="11" xfId="0" applyFill="1" applyBorder="1" applyAlignment="1"/>
    <xf numFmtId="0" fontId="11" fillId="0" borderId="12" xfId="0" applyFont="1" applyFill="1" applyBorder="1" applyAlignment="1">
      <alignment horizontal="center"/>
    </xf>
    <xf numFmtId="0" fontId="11" fillId="0" borderId="12" xfId="0" applyFont="1" applyFill="1" applyBorder="1" applyAlignment="1">
      <alignment horizontal="centerContinuous"/>
    </xf>
    <xf numFmtId="0" fontId="1" fillId="0" borderId="0" xfId="0" applyFont="1" applyBorder="1" applyAlignment="1">
      <alignment horizontal="center"/>
    </xf>
    <xf numFmtId="2" fontId="0" fillId="0" borderId="0" xfId="4" applyNumberFormat="1" applyFont="1"/>
    <xf numFmtId="0" fontId="0" fillId="0" borderId="0" xfId="0" applyFont="1" applyBorder="1" applyAlignment="1">
      <alignment horizontal="left"/>
    </xf>
    <xf numFmtId="2" fontId="0" fillId="0" borderId="0" xfId="0" applyNumberFormat="1" applyFont="1" applyBorder="1" applyAlignment="1">
      <alignment horizontal="right"/>
    </xf>
    <xf numFmtId="2" fontId="0" fillId="6" borderId="0" xfId="4" applyNumberFormat="1" applyFont="1" applyFill="1"/>
    <xf numFmtId="173" fontId="0" fillId="0" borderId="0" xfId="0" applyNumberFormat="1"/>
    <xf numFmtId="0" fontId="0" fillId="0" borderId="0" xfId="0" applyBorder="1" applyAlignment="1">
      <alignment horizontal="center"/>
    </xf>
    <xf numFmtId="10" fontId="3" fillId="0" borderId="0" xfId="4" applyNumberFormat="1" applyFont="1"/>
    <xf numFmtId="0" fontId="7" fillId="0" borderId="0" xfId="0" applyFont="1" applyAlignment="1">
      <alignment horizontal="left"/>
    </xf>
    <xf numFmtId="0" fontId="0" fillId="0" borderId="0" xfId="0" applyAlignment="1">
      <alignment horizontal="right"/>
    </xf>
    <xf numFmtId="10" fontId="0" fillId="0" borderId="0" xfId="4" applyNumberFormat="1" applyFont="1" applyAlignment="1">
      <alignment horizontal="right"/>
    </xf>
    <xf numFmtId="10" fontId="1" fillId="0" borderId="0" xfId="0" applyNumberFormat="1" applyFont="1"/>
    <xf numFmtId="10" fontId="1" fillId="0" borderId="0" xfId="0" applyNumberFormat="1" applyFont="1" applyAlignment="1">
      <alignment horizontal="right"/>
    </xf>
    <xf numFmtId="0" fontId="0" fillId="9" borderId="0" xfId="0" applyFill="1"/>
    <xf numFmtId="10" fontId="0" fillId="9" borderId="0" xfId="0" applyNumberFormat="1" applyFill="1"/>
    <xf numFmtId="0" fontId="7" fillId="0" borderId="9" xfId="0" applyFont="1" applyBorder="1"/>
    <xf numFmtId="14" fontId="0" fillId="11" borderId="0" xfId="0" applyNumberFormat="1" applyFill="1" applyAlignment="1">
      <alignment horizontal="center"/>
    </xf>
    <xf numFmtId="0" fontId="0" fillId="0" borderId="2" xfId="0" applyBorder="1"/>
    <xf numFmtId="0" fontId="8" fillId="4" borderId="0" xfId="0" applyFont="1" applyFill="1" applyAlignment="1"/>
    <xf numFmtId="17" fontId="8" fillId="4" borderId="0" xfId="0" applyNumberFormat="1" applyFont="1" applyFill="1" applyAlignment="1"/>
    <xf numFmtId="0" fontId="1" fillId="0" borderId="15" xfId="0" applyFont="1" applyBorder="1"/>
    <xf numFmtId="0" fontId="7" fillId="12" borderId="0" xfId="0" applyFont="1" applyFill="1"/>
    <xf numFmtId="17" fontId="20" fillId="7" borderId="13" xfId="0" applyNumberFormat="1" applyFont="1" applyFill="1" applyBorder="1" applyAlignment="1">
      <alignment horizontal="right" vertical="center" wrapText="1" indent="1"/>
    </xf>
    <xf numFmtId="0" fontId="7" fillId="7" borderId="0" xfId="0" applyFont="1" applyFill="1"/>
    <xf numFmtId="0" fontId="21" fillId="8" borderId="0" xfId="0" applyFont="1" applyFill="1" applyAlignment="1">
      <alignment horizontal="left" vertical="center" indent="2"/>
    </xf>
    <xf numFmtId="0" fontId="21" fillId="8" borderId="0" xfId="0" applyFont="1" applyFill="1" applyAlignment="1">
      <alignment horizontal="right" vertical="center" wrapText="1" indent="1"/>
    </xf>
    <xf numFmtId="0" fontId="22" fillId="8" borderId="14" xfId="0" applyFont="1" applyFill="1" applyBorder="1" applyAlignment="1">
      <alignment horizontal="left" vertical="center" indent="2"/>
    </xf>
    <xf numFmtId="0" fontId="22" fillId="8" borderId="14" xfId="0" applyFont="1" applyFill="1" applyBorder="1" applyAlignment="1">
      <alignment horizontal="right" vertical="center" wrapText="1" indent="1"/>
    </xf>
    <xf numFmtId="3" fontId="22" fillId="8" borderId="14" xfId="0" applyNumberFormat="1" applyFont="1" applyFill="1" applyBorder="1" applyAlignment="1">
      <alignment horizontal="right" vertical="center" wrapText="1" indent="1"/>
    </xf>
    <xf numFmtId="0" fontId="21" fillId="7" borderId="0" xfId="0" applyFont="1" applyFill="1" applyAlignment="1">
      <alignment horizontal="left" vertical="center" indent="2"/>
    </xf>
    <xf numFmtId="3" fontId="21" fillId="7" borderId="0" xfId="0" applyNumberFormat="1" applyFont="1" applyFill="1" applyAlignment="1">
      <alignment horizontal="right" vertical="center" wrapText="1" indent="1"/>
    </xf>
    <xf numFmtId="0" fontId="22" fillId="8" borderId="14" xfId="0" applyFont="1" applyFill="1" applyBorder="1" applyAlignment="1">
      <alignment horizontal="left" vertical="center"/>
    </xf>
    <xf numFmtId="0" fontId="21" fillId="8" borderId="0" xfId="0" applyFont="1" applyFill="1" applyAlignment="1">
      <alignment horizontal="left" vertical="center"/>
    </xf>
    <xf numFmtId="3" fontId="21" fillId="8" borderId="0" xfId="0" applyNumberFormat="1" applyFont="1" applyFill="1" applyAlignment="1">
      <alignment horizontal="right" vertical="center" wrapText="1" indent="1"/>
    </xf>
    <xf numFmtId="0" fontId="22" fillId="7" borderId="14" xfId="0" applyFont="1" applyFill="1" applyBorder="1" applyAlignment="1">
      <alignment horizontal="left" vertical="center" indent="2"/>
    </xf>
    <xf numFmtId="3" fontId="22" fillId="7" borderId="14" xfId="0" applyNumberFormat="1" applyFont="1" applyFill="1" applyBorder="1" applyAlignment="1">
      <alignment horizontal="right" vertical="center" wrapText="1" indent="1"/>
    </xf>
    <xf numFmtId="0" fontId="21" fillId="7" borderId="0" xfId="0" applyFont="1" applyFill="1" applyAlignment="1">
      <alignment horizontal="left" vertical="center"/>
    </xf>
    <xf numFmtId="0" fontId="21" fillId="7" borderId="0" xfId="0" applyFont="1" applyFill="1" applyAlignment="1">
      <alignment horizontal="right" vertical="center" wrapText="1" indent="1"/>
    </xf>
    <xf numFmtId="0" fontId="22" fillId="7" borderId="14" xfId="0" applyFont="1" applyFill="1" applyBorder="1" applyAlignment="1">
      <alignment horizontal="right" vertical="center" wrapText="1" indent="1"/>
    </xf>
    <xf numFmtId="0" fontId="22" fillId="7" borderId="14" xfId="0" applyFont="1" applyFill="1" applyBorder="1" applyAlignment="1">
      <alignment horizontal="left" vertical="center"/>
    </xf>
    <xf numFmtId="0" fontId="10" fillId="0" borderId="8" xfId="0" applyFont="1" applyBorder="1"/>
    <xf numFmtId="0" fontId="10" fillId="0" borderId="15" xfId="0" applyFont="1" applyBorder="1"/>
    <xf numFmtId="10" fontId="10" fillId="0" borderId="15" xfId="4" applyNumberFormat="1" applyFont="1" applyBorder="1"/>
    <xf numFmtId="9" fontId="10" fillId="0" borderId="0" xfId="0" applyNumberFormat="1" applyFont="1"/>
    <xf numFmtId="9" fontId="10" fillId="0" borderId="15" xfId="4" applyFont="1" applyBorder="1"/>
    <xf numFmtId="10" fontId="10" fillId="0" borderId="15" xfId="0" applyNumberFormat="1" applyFont="1" applyBorder="1"/>
    <xf numFmtId="174" fontId="7" fillId="0" borderId="2" xfId="0" applyNumberFormat="1" applyFont="1" applyBorder="1"/>
    <xf numFmtId="174" fontId="10" fillId="0" borderId="8" xfId="0" applyNumberFormat="1" applyFont="1" applyBorder="1"/>
    <xf numFmtId="174" fontId="7" fillId="0" borderId="0" xfId="0" applyNumberFormat="1" applyFont="1"/>
    <xf numFmtId="174" fontId="10" fillId="0" borderId="15" xfId="0" applyNumberFormat="1" applyFont="1" applyBorder="1"/>
    <xf numFmtId="0" fontId="10" fillId="0" borderId="2" xfId="0" applyFont="1" applyBorder="1"/>
    <xf numFmtId="174" fontId="10" fillId="0" borderId="2" xfId="0" applyNumberFormat="1" applyFont="1" applyBorder="1"/>
    <xf numFmtId="9" fontId="7" fillId="0" borderId="2" xfId="0" applyNumberFormat="1" applyFont="1" applyBorder="1"/>
    <xf numFmtId="10" fontId="7" fillId="0" borderId="2" xfId="0" applyNumberFormat="1" applyFont="1" applyBorder="1"/>
    <xf numFmtId="0" fontId="2" fillId="4" borderId="0" xfId="0" applyFont="1" applyFill="1" applyAlignment="1"/>
    <xf numFmtId="175" fontId="2" fillId="4" borderId="0" xfId="0" applyNumberFormat="1" applyFont="1" applyFill="1" applyAlignment="1"/>
    <xf numFmtId="176" fontId="2" fillId="4" borderId="0" xfId="0" applyNumberFormat="1" applyFont="1" applyFill="1" applyAlignment="1"/>
    <xf numFmtId="10" fontId="0" fillId="0" borderId="2" xfId="0" applyNumberFormat="1" applyBorder="1"/>
    <xf numFmtId="0" fontId="0" fillId="6" borderId="2" xfId="0" applyFill="1" applyBorder="1"/>
    <xf numFmtId="0" fontId="1" fillId="6" borderId="15" xfId="0" applyFont="1" applyFill="1" applyBorder="1"/>
    <xf numFmtId="0" fontId="0" fillId="0" borderId="2" xfId="0" applyFont="1" applyBorder="1"/>
    <xf numFmtId="0" fontId="0" fillId="0" borderId="15" xfId="0" applyFill="1" applyBorder="1"/>
    <xf numFmtId="2" fontId="0" fillId="0" borderId="2" xfId="0" applyNumberFormat="1" applyBorder="1"/>
    <xf numFmtId="0" fontId="1" fillId="0" borderId="2" xfId="0" applyFont="1" applyBorder="1"/>
    <xf numFmtId="2" fontId="1" fillId="0" borderId="2" xfId="0" applyNumberFormat="1" applyFont="1" applyBorder="1"/>
    <xf numFmtId="2" fontId="0" fillId="0" borderId="15" xfId="0" applyNumberFormat="1" applyBorder="1"/>
    <xf numFmtId="0" fontId="0" fillId="13" borderId="0" xfId="0" applyFill="1"/>
    <xf numFmtId="17" fontId="20" fillId="7" borderId="0" xfId="0" applyNumberFormat="1" applyFont="1" applyFill="1" applyBorder="1" applyAlignment="1">
      <alignment horizontal="right" vertical="center" wrapText="1" indent="1"/>
    </xf>
    <xf numFmtId="0" fontId="22" fillId="8" borderId="0" xfId="0" applyFont="1" applyFill="1" applyBorder="1" applyAlignment="1">
      <alignment horizontal="right" vertical="center" wrapText="1" indent="1"/>
    </xf>
    <xf numFmtId="3" fontId="22" fillId="7" borderId="0" xfId="0" applyNumberFormat="1" applyFont="1" applyFill="1" applyBorder="1" applyAlignment="1">
      <alignment horizontal="right" vertical="center" wrapText="1" indent="1"/>
    </xf>
    <xf numFmtId="3" fontId="22" fillId="8" borderId="0" xfId="0" applyNumberFormat="1" applyFont="1" applyFill="1" applyBorder="1" applyAlignment="1">
      <alignment horizontal="right" vertical="center" wrapText="1" indent="1"/>
    </xf>
    <xf numFmtId="0" fontId="8" fillId="4" borderId="0" xfId="0" applyFont="1" applyFill="1" applyAlignment="1">
      <alignment horizontal="center"/>
    </xf>
    <xf numFmtId="10" fontId="1" fillId="6" borderId="0" xfId="4" applyNumberFormat="1" applyFont="1" applyFill="1"/>
    <xf numFmtId="2" fontId="1" fillId="6" borderId="0" xfId="0" applyNumberFormat="1" applyFont="1" applyFill="1"/>
    <xf numFmtId="0" fontId="28" fillId="0" borderId="0" xfId="0" applyFont="1"/>
    <xf numFmtId="0" fontId="10" fillId="0" borderId="9" xfId="0" applyFont="1" applyBorder="1"/>
    <xf numFmtId="0" fontId="8" fillId="4" borderId="0" xfId="0" applyFont="1" applyFill="1" applyAlignment="1">
      <alignment wrapText="1"/>
    </xf>
    <xf numFmtId="0" fontId="8" fillId="4" borderId="0" xfId="0" applyFont="1" applyFill="1" applyAlignment="1">
      <alignment horizontal="center" wrapText="1"/>
    </xf>
    <xf numFmtId="0" fontId="10" fillId="6" borderId="2" xfId="0" applyFont="1" applyFill="1" applyBorder="1"/>
    <xf numFmtId="2" fontId="10" fillId="6" borderId="2" xfId="0" applyNumberFormat="1" applyFont="1" applyFill="1" applyBorder="1"/>
    <xf numFmtId="177" fontId="10" fillId="6" borderId="2" xfId="0" applyNumberFormat="1" applyFont="1" applyFill="1" applyBorder="1"/>
    <xf numFmtId="2" fontId="7" fillId="0" borderId="2" xfId="0" applyNumberFormat="1" applyFont="1" applyBorder="1"/>
    <xf numFmtId="177" fontId="7" fillId="0" borderId="2" xfId="0" applyNumberFormat="1" applyFont="1" applyBorder="1"/>
    <xf numFmtId="0" fontId="7" fillId="6" borderId="2" xfId="0" applyFont="1" applyFill="1" applyBorder="1"/>
    <xf numFmtId="177" fontId="7" fillId="6" borderId="2" xfId="0" applyNumberFormat="1" applyFont="1" applyFill="1" applyBorder="1"/>
    <xf numFmtId="0" fontId="8" fillId="4" borderId="9" xfId="0" applyFont="1" applyFill="1" applyBorder="1"/>
    <xf numFmtId="0" fontId="30" fillId="4" borderId="9" xfId="0" applyFont="1" applyFill="1" applyBorder="1"/>
    <xf numFmtId="2" fontId="7" fillId="0" borderId="0" xfId="0" applyNumberFormat="1" applyFont="1" applyBorder="1"/>
    <xf numFmtId="0" fontId="10" fillId="14" borderId="15" xfId="0" applyFont="1" applyFill="1" applyBorder="1"/>
    <xf numFmtId="172" fontId="10" fillId="14" borderId="15" xfId="0" applyNumberFormat="1" applyFont="1" applyFill="1" applyBorder="1"/>
    <xf numFmtId="0" fontId="31" fillId="0" borderId="0" xfId="0" applyFont="1" applyAlignment="1">
      <alignment horizontal="left"/>
    </xf>
    <xf numFmtId="2" fontId="1" fillId="0" borderId="15" xfId="0" applyNumberFormat="1" applyFont="1" applyBorder="1"/>
    <xf numFmtId="0" fontId="1" fillId="0" borderId="5" xfId="0" applyFont="1" applyBorder="1"/>
    <xf numFmtId="2" fontId="1" fillId="0" borderId="5" xfId="0" applyNumberFormat="1" applyFont="1" applyBorder="1"/>
    <xf numFmtId="2" fontId="1" fillId="0" borderId="0" xfId="0" applyNumberFormat="1" applyFont="1" applyBorder="1"/>
    <xf numFmtId="0" fontId="1" fillId="6" borderId="0" xfId="0" applyFont="1" applyFill="1"/>
    <xf numFmtId="169" fontId="1" fillId="6" borderId="0" xfId="4" applyNumberFormat="1" applyFont="1" applyFill="1"/>
    <xf numFmtId="2" fontId="0" fillId="6" borderId="2" xfId="0" applyNumberFormat="1" applyFill="1" applyBorder="1"/>
    <xf numFmtId="2" fontId="0" fillId="0" borderId="6" xfId="0" applyNumberFormat="1" applyBorder="1"/>
    <xf numFmtId="0" fontId="32" fillId="4" borderId="0" xfId="0" applyFont="1" applyFill="1"/>
    <xf numFmtId="14" fontId="0" fillId="0" borderId="0" xfId="0" applyNumberFormat="1" applyAlignment="1">
      <alignment horizontal="left"/>
    </xf>
    <xf numFmtId="178" fontId="0" fillId="0" borderId="0" xfId="0" applyNumberFormat="1"/>
    <xf numFmtId="0" fontId="0" fillId="0" borderId="2" xfId="0" applyNumberFormat="1" applyBorder="1"/>
    <xf numFmtId="0" fontId="0" fillId="0" borderId="2" xfId="4" applyNumberFormat="1" applyFont="1" applyBorder="1"/>
    <xf numFmtId="0" fontId="0" fillId="0" borderId="2" xfId="0" applyNumberFormat="1" applyBorder="1" applyAlignment="1">
      <alignment horizontal="center"/>
    </xf>
    <xf numFmtId="9" fontId="0" fillId="0" borderId="2" xfId="4" applyFont="1" applyBorder="1" applyAlignment="1">
      <alignment horizontal="left"/>
    </xf>
    <xf numFmtId="9" fontId="0" fillId="0" borderId="2" xfId="4" applyFont="1" applyBorder="1" applyAlignment="1">
      <alignment horizontal="center"/>
    </xf>
    <xf numFmtId="10" fontId="0" fillId="0" borderId="2" xfId="4" applyNumberFormat="1" applyFont="1" applyBorder="1" applyAlignment="1">
      <alignment horizontal="center"/>
    </xf>
    <xf numFmtId="1" fontId="0" fillId="0" borderId="2" xfId="0" applyNumberFormat="1" applyBorder="1"/>
    <xf numFmtId="0" fontId="0" fillId="0" borderId="9" xfId="0" applyNumberFormat="1" applyBorder="1"/>
    <xf numFmtId="10" fontId="0" fillId="0" borderId="2" xfId="4" applyNumberFormat="1" applyFont="1" applyBorder="1" applyAlignment="1">
      <alignment horizontal="left"/>
    </xf>
    <xf numFmtId="0" fontId="0" fillId="0" borderId="0" xfId="0" applyNumberFormat="1" applyBorder="1"/>
    <xf numFmtId="0" fontId="0" fillId="0" borderId="6" xfId="0" applyNumberFormat="1" applyBorder="1"/>
    <xf numFmtId="10" fontId="0" fillId="0" borderId="2" xfId="4" applyNumberFormat="1" applyFont="1" applyBorder="1"/>
    <xf numFmtId="0" fontId="1" fillId="0" borderId="9" xfId="0" applyNumberFormat="1" applyFont="1" applyBorder="1"/>
    <xf numFmtId="10" fontId="0" fillId="0" borderId="0" xfId="4" applyNumberFormat="1" applyFont="1" applyBorder="1" applyAlignment="1">
      <alignment horizontal="left"/>
    </xf>
    <xf numFmtId="10" fontId="0" fillId="0" borderId="0" xfId="4" applyNumberFormat="1" applyFont="1" applyBorder="1" applyAlignment="1">
      <alignment horizontal="center"/>
    </xf>
    <xf numFmtId="2" fontId="0" fillId="0" borderId="0" xfId="4" applyNumberFormat="1" applyFont="1" applyBorder="1"/>
    <xf numFmtId="0" fontId="3" fillId="0" borderId="0" xfId="5"/>
    <xf numFmtId="0" fontId="33" fillId="0" borderId="0" xfId="0" applyFont="1"/>
    <xf numFmtId="0" fontId="34" fillId="0" borderId="0" xfId="0" applyFont="1"/>
    <xf numFmtId="165" fontId="0" fillId="0" borderId="0" xfId="0" applyNumberFormat="1"/>
    <xf numFmtId="10" fontId="1" fillId="0" borderId="8" xfId="4" applyNumberFormat="1" applyFont="1" applyBorder="1"/>
    <xf numFmtId="179" fontId="1" fillId="0" borderId="8" xfId="4" applyNumberFormat="1" applyFont="1" applyBorder="1"/>
    <xf numFmtId="165" fontId="1" fillId="0" borderId="0" xfId="0" applyNumberFormat="1" applyFont="1"/>
    <xf numFmtId="0" fontId="1" fillId="16" borderId="8" xfId="0" applyFont="1" applyFill="1" applyBorder="1"/>
    <xf numFmtId="10" fontId="1" fillId="16" borderId="8" xfId="4" applyNumberFormat="1" applyFont="1" applyFill="1" applyBorder="1"/>
    <xf numFmtId="180" fontId="7" fillId="0" borderId="0" xfId="0" applyNumberFormat="1" applyFont="1"/>
    <xf numFmtId="0" fontId="0" fillId="0" borderId="17" xfId="0" applyBorder="1"/>
    <xf numFmtId="0" fontId="0" fillId="0" borderId="17" xfId="0" applyBorder="1" applyAlignment="1"/>
    <xf numFmtId="2" fontId="35" fillId="0" borderId="17" xfId="0" applyNumberFormat="1" applyFont="1" applyBorder="1"/>
    <xf numFmtId="10" fontId="1" fillId="0" borderId="18" xfId="0" applyNumberFormat="1" applyFont="1" applyBorder="1"/>
    <xf numFmtId="10" fontId="1" fillId="0" borderId="19" xfId="0" applyNumberFormat="1" applyFont="1" applyBorder="1"/>
    <xf numFmtId="2" fontId="0" fillId="9" borderId="20" xfId="0" applyNumberFormat="1" applyFill="1" applyBorder="1"/>
    <xf numFmtId="2" fontId="0" fillId="0" borderId="20" xfId="0" applyNumberFormat="1" applyBorder="1"/>
    <xf numFmtId="2" fontId="0" fillId="0" borderId="21" xfId="0" applyNumberFormat="1" applyBorder="1"/>
    <xf numFmtId="2" fontId="0" fillId="0" borderId="22" xfId="0" applyNumberFormat="1" applyBorder="1"/>
    <xf numFmtId="2" fontId="0" fillId="0" borderId="23" xfId="0" applyNumberFormat="1" applyBorder="1"/>
    <xf numFmtId="2" fontId="0" fillId="0" borderId="24" xfId="0" applyNumberFormat="1" applyBorder="1"/>
    <xf numFmtId="2" fontId="0" fillId="0" borderId="25" xfId="0" applyNumberFormat="1" applyBorder="1"/>
    <xf numFmtId="2" fontId="0" fillId="0" borderId="26" xfId="0" applyNumberFormat="1" applyBorder="1"/>
    <xf numFmtId="2" fontId="0" fillId="0" borderId="27" xfId="0" applyNumberFormat="1" applyBorder="1"/>
    <xf numFmtId="2" fontId="0" fillId="0" borderId="28" xfId="0" applyNumberFormat="1" applyBorder="1"/>
    <xf numFmtId="0" fontId="0" fillId="12" borderId="17" xfId="0" applyFill="1" applyBorder="1"/>
    <xf numFmtId="0" fontId="8" fillId="4" borderId="0" xfId="0" applyFont="1" applyFill="1" applyAlignment="1">
      <alignment horizontal="center"/>
    </xf>
    <xf numFmtId="0" fontId="2" fillId="4" borderId="0" xfId="0" applyFont="1" applyFill="1" applyAlignment="1">
      <alignment horizontal="center"/>
    </xf>
    <xf numFmtId="0" fontId="13" fillId="4" borderId="0" xfId="0" applyFont="1" applyFill="1" applyAlignment="1">
      <alignment horizontal="left"/>
    </xf>
    <xf numFmtId="0" fontId="8" fillId="4" borderId="16" xfId="0" applyFont="1" applyFill="1" applyBorder="1" applyAlignment="1">
      <alignment horizontal="center" wrapText="1"/>
    </xf>
    <xf numFmtId="0" fontId="13" fillId="4" borderId="0" xfId="0" applyFont="1" applyFill="1" applyAlignment="1">
      <alignment horizontal="center"/>
    </xf>
    <xf numFmtId="0" fontId="0" fillId="0" borderId="0" xfId="0" applyAlignment="1">
      <alignment horizontal="left" vertical="top" wrapText="1"/>
    </xf>
    <xf numFmtId="0" fontId="2" fillId="15" borderId="0" xfId="0" applyFont="1" applyFill="1" applyAlignment="1">
      <alignment horizontal="center"/>
    </xf>
    <xf numFmtId="0" fontId="1" fillId="0" borderId="0" xfId="0" applyFont="1" applyAlignment="1">
      <alignment horizontal="center"/>
    </xf>
    <xf numFmtId="164" fontId="4" fillId="0" borderId="0" xfId="2" applyNumberFormat="1" applyBorder="1" applyAlignment="1" applyProtection="1">
      <alignment horizontal="center"/>
    </xf>
    <xf numFmtId="164" fontId="2" fillId="2" borderId="0" xfId="3" applyNumberFormat="1" applyFont="1" applyBorder="1" applyAlignment="1">
      <alignment horizontal="center"/>
    </xf>
    <xf numFmtId="0" fontId="0" fillId="0" borderId="0" xfId="0" applyAlignment="1">
      <alignment horizontal="center"/>
    </xf>
    <xf numFmtId="0" fontId="26" fillId="0" borderId="0" xfId="0" applyFont="1" applyProtection="1">
      <protection locked="0"/>
    </xf>
    <xf numFmtId="172" fontId="26" fillId="0" borderId="0" xfId="0" applyNumberFormat="1" applyFont="1" applyProtection="1">
      <protection locked="0"/>
    </xf>
    <xf numFmtId="10" fontId="26" fillId="0" borderId="0" xfId="4" applyNumberFormat="1" applyFont="1" applyProtection="1">
      <protection locked="0"/>
    </xf>
    <xf numFmtId="0" fontId="19" fillId="0" borderId="0" xfId="0" applyFont="1" applyProtection="1">
      <protection locked="0"/>
    </xf>
    <xf numFmtId="172" fontId="19" fillId="0" borderId="0" xfId="0" applyNumberFormat="1" applyFont="1" applyProtection="1">
      <protection locked="0"/>
    </xf>
    <xf numFmtId="10" fontId="19" fillId="0" borderId="0" xfId="4" applyNumberFormat="1" applyFont="1" applyProtection="1">
      <protection locked="0"/>
    </xf>
    <xf numFmtId="2" fontId="27" fillId="0" borderId="0" xfId="0" applyNumberFormat="1" applyFont="1" applyProtection="1">
      <protection locked="0"/>
    </xf>
    <xf numFmtId="2" fontId="17" fillId="0" borderId="0" xfId="0" applyNumberFormat="1" applyFont="1" applyProtection="1">
      <protection locked="0"/>
    </xf>
    <xf numFmtId="0" fontId="7" fillId="0" borderId="0" xfId="0" applyFont="1" applyProtection="1">
      <protection locked="0"/>
    </xf>
    <xf numFmtId="0" fontId="8" fillId="4" borderId="0" xfId="0" applyFont="1" applyFill="1" applyAlignment="1" applyProtection="1">
      <alignment horizontal="center"/>
      <protection locked="0"/>
    </xf>
    <xf numFmtId="0" fontId="8" fillId="4" borderId="0" xfId="0" applyFont="1" applyFill="1" applyProtection="1">
      <protection locked="0"/>
    </xf>
    <xf numFmtId="165" fontId="8" fillId="4" borderId="0" xfId="0" applyNumberFormat="1" applyFont="1" applyFill="1" applyProtection="1">
      <protection locked="0"/>
    </xf>
    <xf numFmtId="165" fontId="8" fillId="4" borderId="0" xfId="0" applyNumberFormat="1" applyFont="1" applyFill="1" applyAlignment="1" applyProtection="1">
      <alignment horizontal="right"/>
      <protection locked="0"/>
    </xf>
    <xf numFmtId="165" fontId="7" fillId="0" borderId="0" xfId="0" applyNumberFormat="1" applyFont="1" applyProtection="1">
      <protection locked="0"/>
    </xf>
    <xf numFmtId="0" fontId="0" fillId="0" borderId="0" xfId="0" applyProtection="1">
      <protection locked="0"/>
    </xf>
    <xf numFmtId="0" fontId="7" fillId="5" borderId="0" xfId="0" applyFont="1" applyFill="1" applyProtection="1">
      <protection locked="0"/>
    </xf>
    <xf numFmtId="166" fontId="7" fillId="0" borderId="0" xfId="0" applyNumberFormat="1" applyFont="1" applyProtection="1">
      <protection locked="0"/>
    </xf>
    <xf numFmtId="166" fontId="7" fillId="0" borderId="0" xfId="0" applyNumberFormat="1" applyFont="1" applyAlignment="1" applyProtection="1">
      <protection locked="0"/>
    </xf>
    <xf numFmtId="0" fontId="9" fillId="0" borderId="0" xfId="0" applyFont="1" applyProtection="1">
      <protection locked="0"/>
    </xf>
    <xf numFmtId="10" fontId="9" fillId="0" borderId="0" xfId="4" applyNumberFormat="1" applyFont="1" applyAlignment="1" applyProtection="1">
      <alignment horizontal="right"/>
      <protection locked="0"/>
    </xf>
    <xf numFmtId="10" fontId="9" fillId="0" borderId="0" xfId="4" applyNumberFormat="1" applyFont="1" applyProtection="1">
      <protection locked="0"/>
    </xf>
    <xf numFmtId="0" fontId="7" fillId="0" borderId="0" xfId="0" applyFont="1" applyAlignment="1" applyProtection="1">
      <protection locked="0"/>
    </xf>
    <xf numFmtId="0" fontId="0" fillId="0" borderId="0" xfId="0" applyAlignment="1" applyProtection="1">
      <protection locked="0"/>
    </xf>
    <xf numFmtId="0" fontId="10" fillId="0" borderId="1" xfId="0" applyFont="1" applyBorder="1" applyProtection="1">
      <protection locked="0"/>
    </xf>
    <xf numFmtId="167" fontId="1" fillId="0" borderId="1" xfId="0" applyNumberFormat="1" applyFont="1" applyBorder="1" applyProtection="1">
      <protection locked="0"/>
    </xf>
    <xf numFmtId="167" fontId="1" fillId="0" borderId="1" xfId="0" applyNumberFormat="1" applyFont="1" applyBorder="1" applyAlignment="1" applyProtection="1">
      <protection locked="0"/>
    </xf>
    <xf numFmtId="167" fontId="0" fillId="0" borderId="0" xfId="0" applyNumberFormat="1" applyProtection="1">
      <protection locked="0"/>
    </xf>
    <xf numFmtId="167" fontId="7" fillId="0" borderId="0" xfId="0" applyNumberFormat="1" applyFont="1" applyAlignment="1" applyProtection="1">
      <protection locked="0"/>
    </xf>
    <xf numFmtId="0" fontId="7" fillId="0" borderId="1" xfId="0" applyFont="1" applyBorder="1" applyProtection="1">
      <protection locked="0"/>
    </xf>
    <xf numFmtId="167" fontId="7" fillId="0" borderId="1" xfId="0" applyNumberFormat="1" applyFont="1" applyBorder="1" applyProtection="1">
      <protection locked="0"/>
    </xf>
    <xf numFmtId="167" fontId="7" fillId="0" borderId="0" xfId="0" applyNumberFormat="1" applyFont="1" applyProtection="1">
      <protection locked="0"/>
    </xf>
    <xf numFmtId="0" fontId="7" fillId="0" borderId="2" xfId="0" applyFont="1" applyBorder="1" applyProtection="1">
      <protection locked="0"/>
    </xf>
    <xf numFmtId="167" fontId="7" fillId="0" borderId="2" xfId="0" applyNumberFormat="1" applyFont="1" applyBorder="1" applyProtection="1">
      <protection locked="0"/>
    </xf>
    <xf numFmtId="167" fontId="10" fillId="0" borderId="1" xfId="0" applyNumberFormat="1" applyFont="1" applyBorder="1" applyProtection="1">
      <protection locked="0"/>
    </xf>
    <xf numFmtId="0" fontId="10" fillId="0" borderId="0" xfId="0" applyFont="1" applyProtection="1">
      <protection locked="0"/>
    </xf>
    <xf numFmtId="0" fontId="11" fillId="0" borderId="0" xfId="0" applyFont="1" applyProtection="1">
      <protection locked="0"/>
    </xf>
    <xf numFmtId="0" fontId="10" fillId="0" borderId="0" xfId="0" applyFont="1" applyAlignment="1" applyProtection="1">
      <alignment wrapText="1"/>
      <protection locked="0"/>
    </xf>
    <xf numFmtId="168" fontId="7" fillId="0" borderId="0" xfId="0" applyNumberFormat="1" applyFont="1" applyProtection="1">
      <protection locked="0"/>
    </xf>
    <xf numFmtId="168" fontId="10" fillId="0" borderId="0" xfId="0" applyNumberFormat="1" applyFont="1" applyProtection="1">
      <protection locked="0"/>
    </xf>
    <xf numFmtId="0" fontId="1" fillId="0" borderId="0" xfId="0" applyFont="1" applyAlignment="1" applyProtection="1">
      <alignment wrapText="1"/>
      <protection locked="0"/>
    </xf>
    <xf numFmtId="0" fontId="1" fillId="0" borderId="0" xfId="0" applyFont="1" applyProtection="1">
      <protection locked="0"/>
    </xf>
    <xf numFmtId="0" fontId="7" fillId="0" borderId="9" xfId="0" applyFont="1" applyBorder="1" applyProtection="1">
      <protection locked="0"/>
    </xf>
    <xf numFmtId="165" fontId="10" fillId="10" borderId="9" xfId="0" applyNumberFormat="1" applyFont="1" applyFill="1" applyBorder="1" applyProtection="1">
      <protection locked="0"/>
    </xf>
    <xf numFmtId="165" fontId="10" fillId="10" borderId="0" xfId="0" applyNumberFormat="1" applyFont="1" applyFill="1" applyProtection="1">
      <protection locked="0"/>
    </xf>
    <xf numFmtId="9" fontId="7" fillId="0" borderId="0" xfId="4" applyFont="1" applyProtection="1">
      <protection locked="0"/>
    </xf>
    <xf numFmtId="10" fontId="7" fillId="0" borderId="0" xfId="4" applyNumberFormat="1" applyFont="1" applyProtection="1">
      <protection locked="0"/>
    </xf>
    <xf numFmtId="10" fontId="7" fillId="0" borderId="0" xfId="0" applyNumberFormat="1" applyFont="1" applyProtection="1">
      <protection locked="0"/>
    </xf>
    <xf numFmtId="0" fontId="7" fillId="0" borderId="0" xfId="0" applyFont="1" applyBorder="1" applyProtection="1">
      <protection locked="0"/>
    </xf>
    <xf numFmtId="165" fontId="10" fillId="10" borderId="0" xfId="0" applyNumberFormat="1" applyFont="1" applyFill="1" applyBorder="1" applyProtection="1">
      <protection locked="0"/>
    </xf>
    <xf numFmtId="0" fontId="10" fillId="0" borderId="0" xfId="0" applyFont="1" applyBorder="1" applyProtection="1">
      <protection locked="0"/>
    </xf>
    <xf numFmtId="9" fontId="10" fillId="0" borderId="0" xfId="4" applyFont="1" applyProtection="1">
      <protection locked="0"/>
    </xf>
    <xf numFmtId="10" fontId="25" fillId="0" borderId="2" xfId="0" applyNumberFormat="1" applyFont="1" applyBorder="1" applyProtection="1">
      <protection locked="0"/>
    </xf>
    <xf numFmtId="10" fontId="19" fillId="6" borderId="2" xfId="0" applyNumberFormat="1" applyFont="1" applyFill="1" applyBorder="1" applyProtection="1">
      <protection locked="0"/>
    </xf>
    <xf numFmtId="0" fontId="19" fillId="0" borderId="2" xfId="0" applyFont="1" applyBorder="1" applyProtection="1">
      <protection locked="0"/>
    </xf>
    <xf numFmtId="10" fontId="19" fillId="0" borderId="2" xfId="0" applyNumberFormat="1" applyFont="1" applyBorder="1" applyProtection="1">
      <protection locked="0"/>
    </xf>
    <xf numFmtId="10" fontId="19" fillId="9" borderId="0" xfId="0" applyNumberFormat="1" applyFont="1" applyFill="1" applyProtection="1">
      <protection locked="0"/>
    </xf>
  </cellXfs>
  <cellStyles count="6">
    <cellStyle name="Accent6" xfId="3" builtinId="49"/>
    <cellStyle name="Comma" xfId="1" builtinId="3"/>
    <cellStyle name="Hyperlink" xfId="2" builtinId="8"/>
    <cellStyle name="Normal" xfId="0" builtinId="0"/>
    <cellStyle name="Normal 3" xfId="5" xr:uid="{FDF699DA-20A1-4D4A-8B88-C09DBB7CD949}"/>
    <cellStyle name="Percent" xfId="4" builtinId="5"/>
  </cellStyles>
  <dxfs count="1">
    <dxf>
      <font>
        <b/>
        <i val="0"/>
        <color theme="0"/>
      </font>
      <fill>
        <patternFill>
          <bgColor theme="5"/>
        </patternFill>
      </fill>
    </dxf>
  </dxfs>
  <tableStyles count="0" defaultTableStyle="TableStyleMedium9" defaultPivotStyle="PivotStyleLight16"/>
  <colors>
    <mruColors>
      <color rgb="FF0781D7"/>
      <color rgb="FF5399FF"/>
      <color rgb="FFA1D3E7"/>
      <color rgb="FF7CC2DE"/>
      <color rgb="FF65B6D8"/>
      <color rgb="FF066AB6"/>
      <color rgb="FF0066FF"/>
      <color rgb="FF0000FF"/>
      <color rgb="FF688CF2"/>
      <color rgb="FF1347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1"/>
        <c:ser>
          <c:idx val="0"/>
          <c:order val="0"/>
          <c:spPr>
            <a:solidFill>
              <a:srgbClr val="0066FF"/>
            </a:solidFill>
          </c:spPr>
          <c:invertIfNegative val="0"/>
          <c:dPt>
            <c:idx val="0"/>
            <c:invertIfNegative val="0"/>
            <c:bubble3D val="0"/>
            <c:spPr>
              <a:solidFill>
                <a:srgbClr val="A1D3E7"/>
              </a:solidFill>
              <a:ln>
                <a:noFill/>
              </a:ln>
              <a:effectLst/>
            </c:spPr>
            <c:extLst>
              <c:ext xmlns:c16="http://schemas.microsoft.com/office/drawing/2014/chart" uri="{C3380CC4-5D6E-409C-BE32-E72D297353CC}">
                <c16:uniqueId val="{00000014-8629-4E45-B1A8-29221D1CCABD}"/>
              </c:ext>
            </c:extLst>
          </c:dPt>
          <c:dPt>
            <c:idx val="1"/>
            <c:invertIfNegative val="0"/>
            <c:bubble3D val="0"/>
            <c:spPr>
              <a:solidFill>
                <a:srgbClr val="7CC2DE"/>
              </a:solidFill>
              <a:ln>
                <a:noFill/>
              </a:ln>
              <a:effectLst/>
            </c:spPr>
            <c:extLst>
              <c:ext xmlns:c16="http://schemas.microsoft.com/office/drawing/2014/chart" uri="{C3380CC4-5D6E-409C-BE32-E72D297353CC}">
                <c16:uniqueId val="{00000013-8629-4E45-B1A8-29221D1CCABD}"/>
              </c:ext>
            </c:extLst>
          </c:dPt>
          <c:dPt>
            <c:idx val="2"/>
            <c:invertIfNegative val="0"/>
            <c:bubble3D val="0"/>
            <c:spPr>
              <a:solidFill>
                <a:srgbClr val="65B6D8"/>
              </a:solidFill>
              <a:ln>
                <a:noFill/>
              </a:ln>
              <a:effectLst/>
            </c:spPr>
            <c:extLst>
              <c:ext xmlns:c16="http://schemas.microsoft.com/office/drawing/2014/chart" uri="{C3380CC4-5D6E-409C-BE32-E72D297353CC}">
                <c16:uniqueId val="{00000003-8629-4E45-B1A8-29221D1CCABD}"/>
              </c:ext>
            </c:extLst>
          </c:dPt>
          <c:dPt>
            <c:idx val="3"/>
            <c:invertIfNegative val="0"/>
            <c:bubble3D val="0"/>
            <c:spPr>
              <a:solidFill>
                <a:srgbClr val="0781D7"/>
              </a:solidFill>
              <a:ln>
                <a:noFill/>
              </a:ln>
              <a:effectLst/>
            </c:spPr>
            <c:extLst>
              <c:ext xmlns:c16="http://schemas.microsoft.com/office/drawing/2014/chart" uri="{C3380CC4-5D6E-409C-BE32-E72D297353CC}">
                <c16:uniqueId val="{00000012-8629-4E45-B1A8-29221D1CCABD}"/>
              </c:ext>
            </c:extLst>
          </c:dPt>
          <c:dPt>
            <c:idx val="4"/>
            <c:invertIfNegative val="0"/>
            <c:bubble3D val="0"/>
            <c:spPr>
              <a:solidFill>
                <a:srgbClr val="066AB6"/>
              </a:solidFill>
              <a:ln>
                <a:noFill/>
              </a:ln>
              <a:effectLst/>
            </c:spPr>
            <c:extLst>
              <c:ext xmlns:c16="http://schemas.microsoft.com/office/drawing/2014/chart" uri="{C3380CC4-5D6E-409C-BE32-E72D297353CC}">
                <c16:uniqueId val="{00000002-8629-4E45-B1A8-29221D1CCABD}"/>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Analysis'!$E$46:$I$46</c:f>
              <c:numCache>
                <c:formatCode>[$-409]mmm\-yy;@</c:formatCode>
                <c:ptCount val="5"/>
                <c:pt idx="0">
                  <c:v>44286</c:v>
                </c:pt>
                <c:pt idx="1">
                  <c:v>44651</c:v>
                </c:pt>
                <c:pt idx="2">
                  <c:v>45016</c:v>
                </c:pt>
                <c:pt idx="3">
                  <c:v>45382</c:v>
                </c:pt>
                <c:pt idx="4">
                  <c:v>45747</c:v>
                </c:pt>
              </c:numCache>
            </c:numRef>
          </c:cat>
          <c:val>
            <c:numRef>
              <c:f>'DuPont Analysis'!$E$48:$I$48</c:f>
              <c:numCache>
                <c:formatCode>_-[$₹-44C]* #,##0_-;\-[$₹-44C]* #,##0_-;_-[$₹-44C]* "-"??_-;_-@_-</c:formatCode>
                <c:ptCount val="5"/>
                <c:pt idx="0">
                  <c:v>22882.32</c:v>
                </c:pt>
                <c:pt idx="1">
                  <c:v>24620.02</c:v>
                </c:pt>
                <c:pt idx="2">
                  <c:v>26927.46</c:v>
                </c:pt>
                <c:pt idx="3">
                  <c:v>30381.08</c:v>
                </c:pt>
                <c:pt idx="4">
                  <c:v>30980.95</c:v>
                </c:pt>
              </c:numCache>
            </c:numRef>
          </c:val>
          <c:extLst>
            <c:ext xmlns:c16="http://schemas.microsoft.com/office/drawing/2014/chart" uri="{C3380CC4-5D6E-409C-BE32-E72D297353CC}">
              <c16:uniqueId val="{00000000-8629-4E45-B1A8-29221D1CCABD}"/>
            </c:ext>
          </c:extLst>
        </c:ser>
        <c:dLbls>
          <c:dLblPos val="outEnd"/>
          <c:showLegendKey val="0"/>
          <c:showVal val="1"/>
          <c:showCatName val="0"/>
          <c:showSerName val="0"/>
          <c:showPercent val="0"/>
          <c:showBubbleSize val="0"/>
        </c:dLbls>
        <c:gapWidth val="219"/>
        <c:overlap val="-27"/>
        <c:axId val="859715199"/>
        <c:axId val="63152271"/>
      </c:barChart>
      <c:dateAx>
        <c:axId val="8597151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271"/>
        <c:crosses val="autoZero"/>
        <c:auto val="1"/>
        <c:lblOffset val="100"/>
        <c:baseTimeUnit val="years"/>
      </c:dateAx>
      <c:valAx>
        <c:axId val="63152271"/>
        <c:scaling>
          <c:orientation val="minMax"/>
        </c:scaling>
        <c:delete val="1"/>
        <c:axPos val="l"/>
        <c:numFmt formatCode="_-[$₹-44C]* #,##0_-;\-[$₹-44C]* #,##0_-;_-[$₹-44C]* &quot;-&quot;??_-;_-@_-" sourceLinked="1"/>
        <c:majorTickMark val="none"/>
        <c:minorTickMark val="none"/>
        <c:tickLblPos val="nextTo"/>
        <c:crossAx val="85971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1"/>
        <c:ser>
          <c:idx val="0"/>
          <c:order val="0"/>
          <c:spPr>
            <a:solidFill>
              <a:srgbClr val="0066FF"/>
            </a:solidFill>
          </c:spPr>
          <c:invertIfNegative val="0"/>
          <c:dPt>
            <c:idx val="0"/>
            <c:invertIfNegative val="0"/>
            <c:bubble3D val="0"/>
            <c:spPr>
              <a:solidFill>
                <a:srgbClr val="A1D3E7"/>
              </a:solidFill>
              <a:ln>
                <a:noFill/>
              </a:ln>
              <a:effectLst/>
            </c:spPr>
            <c:extLst>
              <c:ext xmlns:c16="http://schemas.microsoft.com/office/drawing/2014/chart" uri="{C3380CC4-5D6E-409C-BE32-E72D297353CC}">
                <c16:uniqueId val="{00000001-94DD-4A17-BDA3-DE54A2546846}"/>
              </c:ext>
            </c:extLst>
          </c:dPt>
          <c:dPt>
            <c:idx val="1"/>
            <c:invertIfNegative val="0"/>
            <c:bubble3D val="0"/>
            <c:spPr>
              <a:solidFill>
                <a:srgbClr val="7CC2DE"/>
              </a:solidFill>
              <a:ln>
                <a:noFill/>
              </a:ln>
              <a:effectLst/>
            </c:spPr>
            <c:extLst>
              <c:ext xmlns:c16="http://schemas.microsoft.com/office/drawing/2014/chart" uri="{C3380CC4-5D6E-409C-BE32-E72D297353CC}">
                <c16:uniqueId val="{00000003-94DD-4A17-BDA3-DE54A2546846}"/>
              </c:ext>
            </c:extLst>
          </c:dPt>
          <c:dPt>
            <c:idx val="2"/>
            <c:invertIfNegative val="0"/>
            <c:bubble3D val="0"/>
            <c:spPr>
              <a:solidFill>
                <a:srgbClr val="65B6D8"/>
              </a:solidFill>
              <a:ln>
                <a:noFill/>
              </a:ln>
              <a:effectLst/>
            </c:spPr>
            <c:extLst>
              <c:ext xmlns:c16="http://schemas.microsoft.com/office/drawing/2014/chart" uri="{C3380CC4-5D6E-409C-BE32-E72D297353CC}">
                <c16:uniqueId val="{00000005-94DD-4A17-BDA3-DE54A2546846}"/>
              </c:ext>
            </c:extLst>
          </c:dPt>
          <c:dPt>
            <c:idx val="3"/>
            <c:invertIfNegative val="0"/>
            <c:bubble3D val="0"/>
            <c:spPr>
              <a:solidFill>
                <a:srgbClr val="0781D7"/>
              </a:solidFill>
              <a:ln>
                <a:noFill/>
              </a:ln>
              <a:effectLst/>
            </c:spPr>
            <c:extLst>
              <c:ext xmlns:c16="http://schemas.microsoft.com/office/drawing/2014/chart" uri="{C3380CC4-5D6E-409C-BE32-E72D297353CC}">
                <c16:uniqueId val="{00000007-94DD-4A17-BDA3-DE54A2546846}"/>
              </c:ext>
            </c:extLst>
          </c:dPt>
          <c:dPt>
            <c:idx val="4"/>
            <c:invertIfNegative val="0"/>
            <c:bubble3D val="0"/>
            <c:spPr>
              <a:solidFill>
                <a:srgbClr val="066AB6"/>
              </a:solidFill>
              <a:ln>
                <a:noFill/>
              </a:ln>
              <a:effectLst/>
            </c:spPr>
            <c:extLst>
              <c:ext xmlns:c16="http://schemas.microsoft.com/office/drawing/2014/chart" uri="{C3380CC4-5D6E-409C-BE32-E72D297353CC}">
                <c16:uniqueId val="{00000009-94DD-4A17-BDA3-DE54A254684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Analysis'!$E$46:$I$46</c:f>
              <c:numCache>
                <c:formatCode>[$-409]mmm\-yy;@</c:formatCode>
                <c:ptCount val="5"/>
                <c:pt idx="0">
                  <c:v>44286</c:v>
                </c:pt>
                <c:pt idx="1">
                  <c:v>44651</c:v>
                </c:pt>
                <c:pt idx="2">
                  <c:v>45016</c:v>
                </c:pt>
                <c:pt idx="3">
                  <c:v>45382</c:v>
                </c:pt>
                <c:pt idx="4">
                  <c:v>45747</c:v>
                </c:pt>
              </c:numCache>
            </c:numRef>
          </c:cat>
          <c:val>
            <c:numRef>
              <c:f>'DuPont Analysis'!$E$47:$I$47</c:f>
              <c:numCache>
                <c:formatCode>_-[$₹-44C]* #,##0_-;\-[$₹-44C]* #,##0_-;_-[$₹-44C]* "-"??_-;_-@_-</c:formatCode>
                <c:ptCount val="5"/>
                <c:pt idx="0">
                  <c:v>3245.95</c:v>
                </c:pt>
                <c:pt idx="1">
                  <c:v>5080.04</c:v>
                </c:pt>
                <c:pt idx="2">
                  <c:v>5827.74</c:v>
                </c:pt>
                <c:pt idx="3">
                  <c:v>7621.05</c:v>
                </c:pt>
                <c:pt idx="4">
                  <c:v>8364.1299999999992</c:v>
                </c:pt>
              </c:numCache>
            </c:numRef>
          </c:val>
          <c:extLst>
            <c:ext xmlns:c16="http://schemas.microsoft.com/office/drawing/2014/chart" uri="{C3380CC4-5D6E-409C-BE32-E72D297353CC}">
              <c16:uniqueId val="{0000000A-94DD-4A17-BDA3-DE54A2546846}"/>
            </c:ext>
          </c:extLst>
        </c:ser>
        <c:dLbls>
          <c:dLblPos val="outEnd"/>
          <c:showLegendKey val="0"/>
          <c:showVal val="1"/>
          <c:showCatName val="0"/>
          <c:showSerName val="0"/>
          <c:showPercent val="0"/>
          <c:showBubbleSize val="0"/>
        </c:dLbls>
        <c:gapWidth val="219"/>
        <c:overlap val="-27"/>
        <c:axId val="859715199"/>
        <c:axId val="63152271"/>
      </c:barChart>
      <c:dateAx>
        <c:axId val="8597151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271"/>
        <c:crosses val="autoZero"/>
        <c:auto val="1"/>
        <c:lblOffset val="100"/>
        <c:baseTimeUnit val="years"/>
      </c:dateAx>
      <c:valAx>
        <c:axId val="63152271"/>
        <c:scaling>
          <c:orientation val="minMax"/>
        </c:scaling>
        <c:delete val="1"/>
        <c:axPos val="l"/>
        <c:numFmt formatCode="_-[$₹-44C]* #,##0_-;\-[$₹-44C]* #,##0_-;_-[$₹-44C]* &quot;-&quot;??_-;_-@_-" sourceLinked="1"/>
        <c:majorTickMark val="none"/>
        <c:minorTickMark val="none"/>
        <c:tickLblPos val="nextTo"/>
        <c:crossAx val="85971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1"/>
        <c:ser>
          <c:idx val="0"/>
          <c:order val="0"/>
          <c:spPr>
            <a:solidFill>
              <a:srgbClr val="0066FF"/>
            </a:solidFill>
          </c:spPr>
          <c:invertIfNegative val="0"/>
          <c:dPt>
            <c:idx val="0"/>
            <c:invertIfNegative val="0"/>
            <c:bubble3D val="0"/>
            <c:spPr>
              <a:solidFill>
                <a:srgbClr val="A1D3E7"/>
              </a:solidFill>
              <a:ln>
                <a:noFill/>
              </a:ln>
              <a:effectLst/>
            </c:spPr>
            <c:extLst>
              <c:ext xmlns:c16="http://schemas.microsoft.com/office/drawing/2014/chart" uri="{C3380CC4-5D6E-409C-BE32-E72D297353CC}">
                <c16:uniqueId val="{00000001-FA26-4449-982A-249B74CE33EC}"/>
              </c:ext>
            </c:extLst>
          </c:dPt>
          <c:dPt>
            <c:idx val="1"/>
            <c:invertIfNegative val="0"/>
            <c:bubble3D val="0"/>
            <c:spPr>
              <a:solidFill>
                <a:srgbClr val="7CC2DE"/>
              </a:solidFill>
              <a:ln>
                <a:noFill/>
              </a:ln>
              <a:effectLst/>
            </c:spPr>
            <c:extLst>
              <c:ext xmlns:c16="http://schemas.microsoft.com/office/drawing/2014/chart" uri="{C3380CC4-5D6E-409C-BE32-E72D297353CC}">
                <c16:uniqueId val="{00000003-FA26-4449-982A-249B74CE33EC}"/>
              </c:ext>
            </c:extLst>
          </c:dPt>
          <c:dPt>
            <c:idx val="2"/>
            <c:invertIfNegative val="0"/>
            <c:bubble3D val="0"/>
            <c:spPr>
              <a:solidFill>
                <a:srgbClr val="65B6D8"/>
              </a:solidFill>
              <a:ln>
                <a:noFill/>
              </a:ln>
              <a:effectLst/>
            </c:spPr>
            <c:extLst>
              <c:ext xmlns:c16="http://schemas.microsoft.com/office/drawing/2014/chart" uri="{C3380CC4-5D6E-409C-BE32-E72D297353CC}">
                <c16:uniqueId val="{00000005-FA26-4449-982A-249B74CE33EC}"/>
              </c:ext>
            </c:extLst>
          </c:dPt>
          <c:dPt>
            <c:idx val="3"/>
            <c:invertIfNegative val="0"/>
            <c:bubble3D val="0"/>
            <c:spPr>
              <a:solidFill>
                <a:srgbClr val="0781D7"/>
              </a:solidFill>
              <a:ln>
                <a:noFill/>
              </a:ln>
              <a:effectLst/>
            </c:spPr>
            <c:extLst>
              <c:ext xmlns:c16="http://schemas.microsoft.com/office/drawing/2014/chart" uri="{C3380CC4-5D6E-409C-BE32-E72D297353CC}">
                <c16:uniqueId val="{00000007-FA26-4449-982A-249B74CE33EC}"/>
              </c:ext>
            </c:extLst>
          </c:dPt>
          <c:dPt>
            <c:idx val="4"/>
            <c:invertIfNegative val="0"/>
            <c:bubble3D val="0"/>
            <c:spPr>
              <a:solidFill>
                <a:srgbClr val="066AB6"/>
              </a:solidFill>
              <a:ln>
                <a:noFill/>
              </a:ln>
              <a:effectLst/>
            </c:spPr>
            <c:extLst>
              <c:ext xmlns:c16="http://schemas.microsoft.com/office/drawing/2014/chart" uri="{C3380CC4-5D6E-409C-BE32-E72D297353CC}">
                <c16:uniqueId val="{00000009-FA26-4449-982A-249B74CE33EC}"/>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Analysis'!$E$46:$I$46</c:f>
              <c:numCache>
                <c:formatCode>[$-409]mmm\-yy;@</c:formatCode>
                <c:ptCount val="5"/>
                <c:pt idx="0">
                  <c:v>44286</c:v>
                </c:pt>
                <c:pt idx="1">
                  <c:v>44651</c:v>
                </c:pt>
                <c:pt idx="2">
                  <c:v>45016</c:v>
                </c:pt>
                <c:pt idx="3">
                  <c:v>45382</c:v>
                </c:pt>
                <c:pt idx="4">
                  <c:v>45747</c:v>
                </c:pt>
              </c:numCache>
            </c:numRef>
          </c:cat>
          <c:val>
            <c:numRef>
              <c:f>'DuPont Analysis'!$E$52:$I$52</c:f>
              <c:numCache>
                <c:formatCode>_-[$₹-44C]* #,##0_-;\-[$₹-44C]* #,##0_-;_-[$₹-44C]* "-"??_-;_-@_-</c:formatCode>
                <c:ptCount val="5"/>
                <c:pt idx="0">
                  <c:v>53649.54</c:v>
                </c:pt>
                <c:pt idx="1">
                  <c:v>56675.38</c:v>
                </c:pt>
                <c:pt idx="2">
                  <c:v>64765.17</c:v>
                </c:pt>
                <c:pt idx="3">
                  <c:v>75093.42</c:v>
                </c:pt>
                <c:pt idx="4">
                  <c:v>94804.65</c:v>
                </c:pt>
              </c:numCache>
            </c:numRef>
          </c:val>
          <c:extLst>
            <c:ext xmlns:c16="http://schemas.microsoft.com/office/drawing/2014/chart" uri="{C3380CC4-5D6E-409C-BE32-E72D297353CC}">
              <c16:uniqueId val="{0000000A-FA26-4449-982A-249B74CE33EC}"/>
            </c:ext>
          </c:extLst>
        </c:ser>
        <c:dLbls>
          <c:dLblPos val="outEnd"/>
          <c:showLegendKey val="0"/>
          <c:showVal val="1"/>
          <c:showCatName val="0"/>
          <c:showSerName val="0"/>
          <c:showPercent val="0"/>
          <c:showBubbleSize val="0"/>
        </c:dLbls>
        <c:gapWidth val="219"/>
        <c:overlap val="-27"/>
        <c:axId val="859715199"/>
        <c:axId val="63152271"/>
      </c:barChart>
      <c:dateAx>
        <c:axId val="8597151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271"/>
        <c:crosses val="autoZero"/>
        <c:auto val="1"/>
        <c:lblOffset val="100"/>
        <c:baseTimeUnit val="years"/>
      </c:dateAx>
      <c:valAx>
        <c:axId val="63152271"/>
        <c:scaling>
          <c:orientation val="minMax"/>
        </c:scaling>
        <c:delete val="1"/>
        <c:axPos val="l"/>
        <c:numFmt formatCode="_-[$₹-44C]* #,##0_-;\-[$₹-44C]* #,##0_-;_-[$₹-44C]* &quot;-&quot;??_-;_-@_-" sourceLinked="1"/>
        <c:majorTickMark val="none"/>
        <c:minorTickMark val="none"/>
        <c:tickLblPos val="nextTo"/>
        <c:crossAx val="85971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1"/>
        <c:ser>
          <c:idx val="0"/>
          <c:order val="0"/>
          <c:spPr>
            <a:solidFill>
              <a:srgbClr val="0066FF"/>
            </a:solidFill>
          </c:spPr>
          <c:invertIfNegative val="0"/>
          <c:dPt>
            <c:idx val="0"/>
            <c:invertIfNegative val="0"/>
            <c:bubble3D val="0"/>
            <c:spPr>
              <a:solidFill>
                <a:srgbClr val="A1D3E7"/>
              </a:solidFill>
              <a:ln>
                <a:noFill/>
              </a:ln>
              <a:effectLst/>
            </c:spPr>
            <c:extLst>
              <c:ext xmlns:c16="http://schemas.microsoft.com/office/drawing/2014/chart" uri="{C3380CC4-5D6E-409C-BE32-E72D297353CC}">
                <c16:uniqueId val="{00000001-D9A5-43DF-857E-7183A06F4126}"/>
              </c:ext>
            </c:extLst>
          </c:dPt>
          <c:dPt>
            <c:idx val="1"/>
            <c:invertIfNegative val="0"/>
            <c:bubble3D val="0"/>
            <c:spPr>
              <a:solidFill>
                <a:srgbClr val="7CC2DE"/>
              </a:solidFill>
              <a:ln>
                <a:noFill/>
              </a:ln>
              <a:effectLst/>
            </c:spPr>
            <c:extLst>
              <c:ext xmlns:c16="http://schemas.microsoft.com/office/drawing/2014/chart" uri="{C3380CC4-5D6E-409C-BE32-E72D297353CC}">
                <c16:uniqueId val="{00000003-D9A5-43DF-857E-7183A06F4126}"/>
              </c:ext>
            </c:extLst>
          </c:dPt>
          <c:dPt>
            <c:idx val="2"/>
            <c:invertIfNegative val="0"/>
            <c:bubble3D val="0"/>
            <c:spPr>
              <a:solidFill>
                <a:srgbClr val="65B6D8"/>
              </a:solidFill>
              <a:ln>
                <a:noFill/>
              </a:ln>
              <a:effectLst/>
            </c:spPr>
            <c:extLst>
              <c:ext xmlns:c16="http://schemas.microsoft.com/office/drawing/2014/chart" uri="{C3380CC4-5D6E-409C-BE32-E72D297353CC}">
                <c16:uniqueId val="{00000005-D9A5-43DF-857E-7183A06F4126}"/>
              </c:ext>
            </c:extLst>
          </c:dPt>
          <c:dPt>
            <c:idx val="3"/>
            <c:invertIfNegative val="0"/>
            <c:bubble3D val="0"/>
            <c:spPr>
              <a:solidFill>
                <a:srgbClr val="0781D7"/>
              </a:solidFill>
              <a:ln>
                <a:noFill/>
              </a:ln>
              <a:effectLst/>
            </c:spPr>
            <c:extLst>
              <c:ext xmlns:c16="http://schemas.microsoft.com/office/drawing/2014/chart" uri="{C3380CC4-5D6E-409C-BE32-E72D297353CC}">
                <c16:uniqueId val="{00000007-D9A5-43DF-857E-7183A06F4126}"/>
              </c:ext>
            </c:extLst>
          </c:dPt>
          <c:dPt>
            <c:idx val="4"/>
            <c:invertIfNegative val="0"/>
            <c:bubble3D val="0"/>
            <c:spPr>
              <a:solidFill>
                <a:srgbClr val="066AB6"/>
              </a:solidFill>
              <a:ln>
                <a:noFill/>
              </a:ln>
              <a:effectLst/>
            </c:spPr>
            <c:extLst>
              <c:ext xmlns:c16="http://schemas.microsoft.com/office/drawing/2014/chart" uri="{C3380CC4-5D6E-409C-BE32-E72D297353CC}">
                <c16:uniqueId val="{00000009-D9A5-43DF-857E-7183A06F412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Analysis'!$E$40:$I$40</c:f>
              <c:numCache>
                <c:formatCode>[$-409]mmm\-yy;@</c:formatCode>
                <c:ptCount val="5"/>
                <c:pt idx="0">
                  <c:v>44286</c:v>
                </c:pt>
                <c:pt idx="1">
                  <c:v>44651</c:v>
                </c:pt>
                <c:pt idx="2">
                  <c:v>45016</c:v>
                </c:pt>
                <c:pt idx="3">
                  <c:v>45382</c:v>
                </c:pt>
                <c:pt idx="4">
                  <c:v>45747</c:v>
                </c:pt>
              </c:numCache>
            </c:numRef>
          </c:cat>
          <c:val>
            <c:numRef>
              <c:f>'DuPont Analysis'!$E$43:$I$43</c:f>
              <c:numCache>
                <c:formatCode>0.00%</c:formatCode>
                <c:ptCount val="5"/>
                <c:pt idx="0">
                  <c:v>0.1472209352664656</c:v>
                </c:pt>
                <c:pt idx="1">
                  <c:v>0.18797502172056474</c:v>
                </c:pt>
                <c:pt idx="2">
                  <c:v>0.17538264720739277</c:v>
                </c:pt>
                <c:pt idx="3">
                  <c:v>0.18622334999704945</c:v>
                </c:pt>
                <c:pt idx="4">
                  <c:v>0.16879944872619848</c:v>
                </c:pt>
              </c:numCache>
            </c:numRef>
          </c:val>
          <c:extLst>
            <c:ext xmlns:c16="http://schemas.microsoft.com/office/drawing/2014/chart" uri="{C3380CC4-5D6E-409C-BE32-E72D297353CC}">
              <c16:uniqueId val="{0000000A-D9A5-43DF-857E-7183A06F4126}"/>
            </c:ext>
          </c:extLst>
        </c:ser>
        <c:dLbls>
          <c:dLblPos val="outEnd"/>
          <c:showLegendKey val="0"/>
          <c:showVal val="1"/>
          <c:showCatName val="0"/>
          <c:showSerName val="0"/>
          <c:showPercent val="0"/>
          <c:showBubbleSize val="0"/>
        </c:dLbls>
        <c:gapWidth val="219"/>
        <c:overlap val="-27"/>
        <c:axId val="859715199"/>
        <c:axId val="63152271"/>
      </c:barChart>
      <c:dateAx>
        <c:axId val="8597151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271"/>
        <c:crosses val="autoZero"/>
        <c:auto val="1"/>
        <c:lblOffset val="100"/>
        <c:baseTimeUnit val="years"/>
      </c:dateAx>
      <c:valAx>
        <c:axId val="63152271"/>
        <c:scaling>
          <c:orientation val="minMax"/>
        </c:scaling>
        <c:delete val="1"/>
        <c:axPos val="l"/>
        <c:numFmt formatCode="0.00%" sourceLinked="1"/>
        <c:majorTickMark val="none"/>
        <c:minorTickMark val="none"/>
        <c:tickLblPos val="nextTo"/>
        <c:crossAx val="85971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1"/>
        <c:ser>
          <c:idx val="0"/>
          <c:order val="0"/>
          <c:spPr>
            <a:solidFill>
              <a:srgbClr val="0066FF"/>
            </a:solidFill>
          </c:spPr>
          <c:invertIfNegative val="0"/>
          <c:dPt>
            <c:idx val="0"/>
            <c:invertIfNegative val="0"/>
            <c:bubble3D val="0"/>
            <c:spPr>
              <a:solidFill>
                <a:srgbClr val="A1D3E7"/>
              </a:solidFill>
              <a:ln>
                <a:noFill/>
              </a:ln>
              <a:effectLst/>
            </c:spPr>
            <c:extLst>
              <c:ext xmlns:c16="http://schemas.microsoft.com/office/drawing/2014/chart" uri="{C3380CC4-5D6E-409C-BE32-E72D297353CC}">
                <c16:uniqueId val="{00000001-E4FE-492C-882A-FB5B4912D4B6}"/>
              </c:ext>
            </c:extLst>
          </c:dPt>
          <c:dPt>
            <c:idx val="1"/>
            <c:invertIfNegative val="0"/>
            <c:bubble3D val="0"/>
            <c:spPr>
              <a:solidFill>
                <a:srgbClr val="7CC2DE"/>
              </a:solidFill>
              <a:ln>
                <a:noFill/>
              </a:ln>
              <a:effectLst/>
            </c:spPr>
            <c:extLst>
              <c:ext xmlns:c16="http://schemas.microsoft.com/office/drawing/2014/chart" uri="{C3380CC4-5D6E-409C-BE32-E72D297353CC}">
                <c16:uniqueId val="{00000003-E4FE-492C-882A-FB5B4912D4B6}"/>
              </c:ext>
            </c:extLst>
          </c:dPt>
          <c:dPt>
            <c:idx val="2"/>
            <c:invertIfNegative val="0"/>
            <c:bubble3D val="0"/>
            <c:spPr>
              <a:solidFill>
                <a:srgbClr val="65B6D8"/>
              </a:solidFill>
              <a:ln>
                <a:noFill/>
              </a:ln>
              <a:effectLst/>
            </c:spPr>
            <c:extLst>
              <c:ext xmlns:c16="http://schemas.microsoft.com/office/drawing/2014/chart" uri="{C3380CC4-5D6E-409C-BE32-E72D297353CC}">
                <c16:uniqueId val="{00000005-E4FE-492C-882A-FB5B4912D4B6}"/>
              </c:ext>
            </c:extLst>
          </c:dPt>
          <c:dPt>
            <c:idx val="3"/>
            <c:invertIfNegative val="0"/>
            <c:bubble3D val="0"/>
            <c:spPr>
              <a:solidFill>
                <a:srgbClr val="0781D7"/>
              </a:solidFill>
              <a:ln>
                <a:noFill/>
              </a:ln>
              <a:effectLst/>
            </c:spPr>
            <c:extLst>
              <c:ext xmlns:c16="http://schemas.microsoft.com/office/drawing/2014/chart" uri="{C3380CC4-5D6E-409C-BE32-E72D297353CC}">
                <c16:uniqueId val="{00000007-E4FE-492C-882A-FB5B4912D4B6}"/>
              </c:ext>
            </c:extLst>
          </c:dPt>
          <c:dPt>
            <c:idx val="4"/>
            <c:invertIfNegative val="0"/>
            <c:bubble3D val="0"/>
            <c:spPr>
              <a:solidFill>
                <a:srgbClr val="066AB6"/>
              </a:solidFill>
              <a:ln>
                <a:noFill/>
              </a:ln>
              <a:effectLst/>
            </c:spPr>
            <c:extLst>
              <c:ext xmlns:c16="http://schemas.microsoft.com/office/drawing/2014/chart" uri="{C3380CC4-5D6E-409C-BE32-E72D297353CC}">
                <c16:uniqueId val="{00000009-E4FE-492C-882A-FB5B4912D4B6}"/>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Analysis'!$E$46:$I$46</c:f>
              <c:numCache>
                <c:formatCode>[$-409]mmm\-yy;@</c:formatCode>
                <c:ptCount val="5"/>
                <c:pt idx="0">
                  <c:v>44286</c:v>
                </c:pt>
                <c:pt idx="1">
                  <c:v>44651</c:v>
                </c:pt>
                <c:pt idx="2">
                  <c:v>45016</c:v>
                </c:pt>
                <c:pt idx="3">
                  <c:v>45382</c:v>
                </c:pt>
                <c:pt idx="4">
                  <c:v>45747</c:v>
                </c:pt>
              </c:numCache>
            </c:numRef>
          </c:cat>
          <c:val>
            <c:numRef>
              <c:f>'DuPont Analysis'!$E$77:$I$77</c:f>
              <c:numCache>
                <c:formatCode>0.00%</c:formatCode>
                <c:ptCount val="5"/>
                <c:pt idx="0">
                  <c:v>6.0502848673073435E-2</c:v>
                </c:pt>
                <c:pt idx="1">
                  <c:v>8.9633982162977993E-2</c:v>
                </c:pt>
                <c:pt idx="2">
                  <c:v>8.9982624920153853E-2</c:v>
                </c:pt>
                <c:pt idx="3">
                  <c:v>0.10148758706155614</c:v>
                </c:pt>
                <c:pt idx="4">
                  <c:v>8.8224891922495371E-2</c:v>
                </c:pt>
              </c:numCache>
            </c:numRef>
          </c:val>
          <c:extLst>
            <c:ext xmlns:c16="http://schemas.microsoft.com/office/drawing/2014/chart" uri="{C3380CC4-5D6E-409C-BE32-E72D297353CC}">
              <c16:uniqueId val="{0000000A-E4FE-492C-882A-FB5B4912D4B6}"/>
            </c:ext>
          </c:extLst>
        </c:ser>
        <c:dLbls>
          <c:dLblPos val="outEnd"/>
          <c:showLegendKey val="0"/>
          <c:showVal val="1"/>
          <c:showCatName val="0"/>
          <c:showSerName val="0"/>
          <c:showPercent val="0"/>
          <c:showBubbleSize val="0"/>
        </c:dLbls>
        <c:gapWidth val="219"/>
        <c:overlap val="-27"/>
        <c:axId val="859715199"/>
        <c:axId val="63152271"/>
      </c:barChart>
      <c:dateAx>
        <c:axId val="8597151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271"/>
        <c:crosses val="autoZero"/>
        <c:auto val="1"/>
        <c:lblOffset val="100"/>
        <c:baseTimeUnit val="years"/>
      </c:dateAx>
      <c:valAx>
        <c:axId val="63152271"/>
        <c:scaling>
          <c:orientation val="minMax"/>
        </c:scaling>
        <c:delete val="1"/>
        <c:axPos val="l"/>
        <c:numFmt formatCode="0.00%" sourceLinked="1"/>
        <c:majorTickMark val="none"/>
        <c:minorTickMark val="none"/>
        <c:tickLblPos val="nextTo"/>
        <c:crossAx val="85971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1"/>
        <c:ser>
          <c:idx val="0"/>
          <c:order val="0"/>
          <c:spPr>
            <a:solidFill>
              <a:srgbClr val="0066FF"/>
            </a:solidFill>
          </c:spPr>
          <c:invertIfNegative val="0"/>
          <c:dPt>
            <c:idx val="0"/>
            <c:invertIfNegative val="0"/>
            <c:bubble3D val="0"/>
            <c:spPr>
              <a:solidFill>
                <a:srgbClr val="A1D3E7"/>
              </a:solidFill>
              <a:ln>
                <a:noFill/>
              </a:ln>
              <a:effectLst/>
            </c:spPr>
            <c:extLst>
              <c:ext xmlns:c16="http://schemas.microsoft.com/office/drawing/2014/chart" uri="{C3380CC4-5D6E-409C-BE32-E72D297353CC}">
                <c16:uniqueId val="{00000001-4633-41CE-97C7-42449AA54134}"/>
              </c:ext>
            </c:extLst>
          </c:dPt>
          <c:dPt>
            <c:idx val="1"/>
            <c:invertIfNegative val="0"/>
            <c:bubble3D val="0"/>
            <c:spPr>
              <a:solidFill>
                <a:srgbClr val="7CC2DE"/>
              </a:solidFill>
              <a:ln>
                <a:noFill/>
              </a:ln>
              <a:effectLst/>
            </c:spPr>
            <c:extLst>
              <c:ext xmlns:c16="http://schemas.microsoft.com/office/drawing/2014/chart" uri="{C3380CC4-5D6E-409C-BE32-E72D297353CC}">
                <c16:uniqueId val="{00000003-4633-41CE-97C7-42449AA54134}"/>
              </c:ext>
            </c:extLst>
          </c:dPt>
          <c:dPt>
            <c:idx val="2"/>
            <c:invertIfNegative val="0"/>
            <c:bubble3D val="0"/>
            <c:spPr>
              <a:solidFill>
                <a:srgbClr val="65B6D8"/>
              </a:solidFill>
              <a:ln>
                <a:noFill/>
              </a:ln>
              <a:effectLst/>
            </c:spPr>
            <c:extLst>
              <c:ext xmlns:c16="http://schemas.microsoft.com/office/drawing/2014/chart" uri="{C3380CC4-5D6E-409C-BE32-E72D297353CC}">
                <c16:uniqueId val="{00000005-4633-41CE-97C7-42449AA54134}"/>
              </c:ext>
            </c:extLst>
          </c:dPt>
          <c:dPt>
            <c:idx val="3"/>
            <c:invertIfNegative val="0"/>
            <c:bubble3D val="0"/>
            <c:spPr>
              <a:solidFill>
                <a:srgbClr val="0781D7"/>
              </a:solidFill>
              <a:ln>
                <a:noFill/>
              </a:ln>
              <a:effectLst/>
            </c:spPr>
            <c:extLst>
              <c:ext xmlns:c16="http://schemas.microsoft.com/office/drawing/2014/chart" uri="{C3380CC4-5D6E-409C-BE32-E72D297353CC}">
                <c16:uniqueId val="{00000007-4633-41CE-97C7-42449AA54134}"/>
              </c:ext>
            </c:extLst>
          </c:dPt>
          <c:dPt>
            <c:idx val="4"/>
            <c:invertIfNegative val="0"/>
            <c:bubble3D val="0"/>
            <c:spPr>
              <a:solidFill>
                <a:srgbClr val="066AB6"/>
              </a:solidFill>
              <a:ln>
                <a:noFill/>
              </a:ln>
              <a:effectLst/>
            </c:spPr>
            <c:extLst>
              <c:ext xmlns:c16="http://schemas.microsoft.com/office/drawing/2014/chart" uri="{C3380CC4-5D6E-409C-BE32-E72D297353CC}">
                <c16:uniqueId val="{00000009-4633-41CE-97C7-42449AA54134}"/>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Analysis'!$E$46:$I$46</c:f>
              <c:numCache>
                <c:formatCode>[$-409]mmm\-yy;@</c:formatCode>
                <c:ptCount val="5"/>
                <c:pt idx="0">
                  <c:v>44286</c:v>
                </c:pt>
                <c:pt idx="1">
                  <c:v>44651</c:v>
                </c:pt>
                <c:pt idx="2">
                  <c:v>45016</c:v>
                </c:pt>
                <c:pt idx="3">
                  <c:v>45382</c:v>
                </c:pt>
                <c:pt idx="4">
                  <c:v>45747</c:v>
                </c:pt>
              </c:numCache>
            </c:numRef>
          </c:cat>
          <c:val>
            <c:numRef>
              <c:f>'DuPont Analysis'!$E$57:$I$57</c:f>
              <c:numCache>
                <c:formatCode>0.00\x</c:formatCode>
                <c:ptCount val="5"/>
                <c:pt idx="0">
                  <c:v>2.4332893160448119</c:v>
                </c:pt>
                <c:pt idx="1">
                  <c:v>2.0971401379755394</c:v>
                </c:pt>
                <c:pt idx="2">
                  <c:v>1.9490723610588012</c:v>
                </c:pt>
                <c:pt idx="3">
                  <c:v>1.8349372114256477</c:v>
                </c:pt>
                <c:pt idx="4">
                  <c:v>1.9132859791371239</c:v>
                </c:pt>
              </c:numCache>
            </c:numRef>
          </c:val>
          <c:extLst>
            <c:ext xmlns:c16="http://schemas.microsoft.com/office/drawing/2014/chart" uri="{C3380CC4-5D6E-409C-BE32-E72D297353CC}">
              <c16:uniqueId val="{0000000A-4633-41CE-97C7-42449AA54134}"/>
            </c:ext>
          </c:extLst>
        </c:ser>
        <c:dLbls>
          <c:dLblPos val="outEnd"/>
          <c:showLegendKey val="0"/>
          <c:showVal val="1"/>
          <c:showCatName val="0"/>
          <c:showSerName val="0"/>
          <c:showPercent val="0"/>
          <c:showBubbleSize val="0"/>
        </c:dLbls>
        <c:gapWidth val="219"/>
        <c:overlap val="-27"/>
        <c:axId val="859715199"/>
        <c:axId val="63152271"/>
      </c:barChart>
      <c:dateAx>
        <c:axId val="85971519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52271"/>
        <c:crosses val="autoZero"/>
        <c:auto val="1"/>
        <c:lblOffset val="100"/>
        <c:baseTimeUnit val="years"/>
      </c:dateAx>
      <c:valAx>
        <c:axId val="63152271"/>
        <c:scaling>
          <c:orientation val="minMax"/>
        </c:scaling>
        <c:delete val="1"/>
        <c:axPos val="l"/>
        <c:numFmt formatCode="0.00\x" sourceLinked="1"/>
        <c:majorTickMark val="none"/>
        <c:minorTickMark val="none"/>
        <c:tickLblPos val="nextTo"/>
        <c:crossAx val="85971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Monthly Returns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Monthly Returns Distribution</a:t>
          </a:r>
        </a:p>
      </cx:txPr>
    </cx:title>
    <cx:plotArea>
      <cx:plotAreaRegion>
        <cx:series layoutId="clusteredColumn" uniqueId="{F9B05E09-62CC-4CCC-AE25-041B63F44892}">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8</xdr:col>
      <xdr:colOff>19050</xdr:colOff>
      <xdr:row>30</xdr:row>
      <xdr:rowOff>0</xdr:rowOff>
    </xdr:from>
    <xdr:to>
      <xdr:col>13</xdr:col>
      <xdr:colOff>57150</xdr:colOff>
      <xdr:row>41</xdr:row>
      <xdr:rowOff>66675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1C5A7C3-A2A0-4E1C-88FC-F2855D790B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91275" y="5715000"/>
              <a:ext cx="3914775" cy="21621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23232</xdr:colOff>
      <xdr:row>1</xdr:row>
      <xdr:rowOff>5808</xdr:rowOff>
    </xdr:from>
    <xdr:to>
      <xdr:col>8</xdr:col>
      <xdr:colOff>505694</xdr:colOff>
      <xdr:row>3</xdr:row>
      <xdr:rowOff>219586</xdr:rowOff>
    </xdr:to>
    <xdr:pic>
      <xdr:nvPicPr>
        <xdr:cNvPr id="4" name="Picture 3" descr="Hindustan Aeronautics Ltd in Ramesh Nagar, Bangalore - Best ...">
          <a:extLst>
            <a:ext uri="{FF2B5EF4-FFF2-40B4-BE49-F238E27FC236}">
              <a16:creationId xmlns:a16="http://schemas.microsoft.com/office/drawing/2014/main" id="{4494B8BC-560C-D3AE-83A2-4338E9F059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08735" y="197470"/>
          <a:ext cx="1324207" cy="742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24838</xdr:colOff>
      <xdr:row>15</xdr:row>
      <xdr:rowOff>124232</xdr:rowOff>
    </xdr:from>
    <xdr:to>
      <xdr:col>1</xdr:col>
      <xdr:colOff>2393674</xdr:colOff>
      <xdr:row>24</xdr:row>
      <xdr:rowOff>8275</xdr:rowOff>
    </xdr:to>
    <xdr:graphicFrame macro="">
      <xdr:nvGraphicFramePr>
        <xdr:cNvPr id="5" name="Chart 4">
          <a:extLst>
            <a:ext uri="{FF2B5EF4-FFF2-40B4-BE49-F238E27FC236}">
              <a16:creationId xmlns:a16="http://schemas.microsoft.com/office/drawing/2014/main" id="{059CC746-A88F-EB8E-BF3F-7B7FF9C19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588066</xdr:colOff>
      <xdr:row>14</xdr:row>
      <xdr:rowOff>124237</xdr:rowOff>
    </xdr:from>
    <xdr:to>
      <xdr:col>1</xdr:col>
      <xdr:colOff>1780762</xdr:colOff>
      <xdr:row>15</xdr:row>
      <xdr:rowOff>165650</xdr:rowOff>
    </xdr:to>
    <xdr:sp macro="" textlink="">
      <xdr:nvSpPr>
        <xdr:cNvPr id="10" name="TextBox 9">
          <a:extLst>
            <a:ext uri="{FF2B5EF4-FFF2-40B4-BE49-F238E27FC236}">
              <a16:creationId xmlns:a16="http://schemas.microsoft.com/office/drawing/2014/main" id="{1E1CD013-A2E4-BA28-B9C8-5245CA9D9C87}"/>
            </a:ext>
          </a:extLst>
        </xdr:cNvPr>
        <xdr:cNvSpPr txBox="1"/>
      </xdr:nvSpPr>
      <xdr:spPr>
        <a:xfrm>
          <a:off x="712305" y="2724976"/>
          <a:ext cx="1192696" cy="231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0781D7"/>
              </a:solidFill>
            </a:rPr>
            <a:t>Revenues (INR</a:t>
          </a:r>
          <a:r>
            <a:rPr lang="en-US" sz="1000" b="1" baseline="0">
              <a:solidFill>
                <a:srgbClr val="0781D7"/>
              </a:solidFill>
            </a:rPr>
            <a:t> Crs)</a:t>
          </a:r>
        </a:p>
        <a:p>
          <a:endParaRPr lang="en-US" sz="1100" b="1">
            <a:solidFill>
              <a:srgbClr val="0781D7"/>
            </a:solidFill>
          </a:endParaRPr>
        </a:p>
      </xdr:txBody>
    </xdr:sp>
    <xdr:clientData/>
  </xdr:twoCellAnchor>
  <xdr:twoCellAnchor>
    <xdr:from>
      <xdr:col>1</xdr:col>
      <xdr:colOff>33131</xdr:colOff>
      <xdr:row>14</xdr:row>
      <xdr:rowOff>66265</xdr:rowOff>
    </xdr:from>
    <xdr:to>
      <xdr:col>1</xdr:col>
      <xdr:colOff>2468218</xdr:colOff>
      <xdr:row>14</xdr:row>
      <xdr:rowOff>66265</xdr:rowOff>
    </xdr:to>
    <xdr:cxnSp macro="">
      <xdr:nvCxnSpPr>
        <xdr:cNvPr id="12" name="Straight Connector 11">
          <a:extLst>
            <a:ext uri="{FF2B5EF4-FFF2-40B4-BE49-F238E27FC236}">
              <a16:creationId xmlns:a16="http://schemas.microsoft.com/office/drawing/2014/main" id="{5F2A7065-51C6-83D7-046C-F5DD3FAF78E9}"/>
            </a:ext>
          </a:extLst>
        </xdr:cNvPr>
        <xdr:cNvCxnSpPr/>
      </xdr:nvCxnSpPr>
      <xdr:spPr>
        <a:xfrm>
          <a:off x="157370" y="2667004"/>
          <a:ext cx="2435087"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49695</xdr:colOff>
      <xdr:row>15</xdr:row>
      <xdr:rowOff>132514</xdr:rowOff>
    </xdr:from>
    <xdr:to>
      <xdr:col>4</xdr:col>
      <xdr:colOff>811695</xdr:colOff>
      <xdr:row>24</xdr:row>
      <xdr:rowOff>16557</xdr:rowOff>
    </xdr:to>
    <xdr:graphicFrame macro="">
      <xdr:nvGraphicFramePr>
        <xdr:cNvPr id="13" name="Chart 12">
          <a:extLst>
            <a:ext uri="{FF2B5EF4-FFF2-40B4-BE49-F238E27FC236}">
              <a16:creationId xmlns:a16="http://schemas.microsoft.com/office/drawing/2014/main" id="{C9B5D4B6-7E87-44D8-A91C-92E783A37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675451</xdr:colOff>
      <xdr:row>14</xdr:row>
      <xdr:rowOff>132519</xdr:rowOff>
    </xdr:from>
    <xdr:to>
      <xdr:col>4</xdr:col>
      <xdr:colOff>256769</xdr:colOff>
      <xdr:row>15</xdr:row>
      <xdr:rowOff>173932</xdr:rowOff>
    </xdr:to>
    <xdr:sp macro="" textlink="">
      <xdr:nvSpPr>
        <xdr:cNvPr id="14" name="TextBox 13">
          <a:extLst>
            <a:ext uri="{FF2B5EF4-FFF2-40B4-BE49-F238E27FC236}">
              <a16:creationId xmlns:a16="http://schemas.microsoft.com/office/drawing/2014/main" id="{546F569D-85DF-4420-998C-3F08E5A4E582}"/>
            </a:ext>
          </a:extLst>
        </xdr:cNvPr>
        <xdr:cNvSpPr txBox="1"/>
      </xdr:nvSpPr>
      <xdr:spPr>
        <a:xfrm>
          <a:off x="3615777" y="2733258"/>
          <a:ext cx="1270970" cy="231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0781D7"/>
              </a:solidFill>
            </a:rPr>
            <a:t>Net</a:t>
          </a:r>
          <a:r>
            <a:rPr lang="en-US" sz="1000" b="1" baseline="0">
              <a:solidFill>
                <a:srgbClr val="0781D7"/>
              </a:solidFill>
            </a:rPr>
            <a:t> Profits</a:t>
          </a:r>
          <a:r>
            <a:rPr lang="en-US" sz="1000" b="1">
              <a:solidFill>
                <a:srgbClr val="0781D7"/>
              </a:solidFill>
            </a:rPr>
            <a:t> (INR</a:t>
          </a:r>
          <a:r>
            <a:rPr lang="en-US" sz="1000" b="1" baseline="0">
              <a:solidFill>
                <a:srgbClr val="0781D7"/>
              </a:solidFill>
            </a:rPr>
            <a:t> Crs)</a:t>
          </a:r>
        </a:p>
        <a:p>
          <a:endParaRPr lang="en-US" sz="1100" b="1">
            <a:solidFill>
              <a:srgbClr val="0781D7"/>
            </a:solidFill>
          </a:endParaRPr>
        </a:p>
      </xdr:txBody>
    </xdr:sp>
    <xdr:clientData/>
  </xdr:twoCellAnchor>
  <xdr:twoCellAnchor>
    <xdr:from>
      <xdr:col>5</xdr:col>
      <xdr:colOff>679163</xdr:colOff>
      <xdr:row>15</xdr:row>
      <xdr:rowOff>140797</xdr:rowOff>
    </xdr:from>
    <xdr:to>
      <xdr:col>8</xdr:col>
      <xdr:colOff>554934</xdr:colOff>
      <xdr:row>24</xdr:row>
      <xdr:rowOff>24840</xdr:rowOff>
    </xdr:to>
    <xdr:graphicFrame macro="">
      <xdr:nvGraphicFramePr>
        <xdr:cNvPr id="16" name="Chart 15">
          <a:extLst>
            <a:ext uri="{FF2B5EF4-FFF2-40B4-BE49-F238E27FC236}">
              <a16:creationId xmlns:a16="http://schemas.microsoft.com/office/drawing/2014/main" id="{36E6A8BF-9DA4-4378-9872-C1677B344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49690</xdr:colOff>
      <xdr:row>14</xdr:row>
      <xdr:rowOff>132524</xdr:rowOff>
    </xdr:from>
    <xdr:to>
      <xdr:col>8</xdr:col>
      <xdr:colOff>165648</xdr:colOff>
      <xdr:row>15</xdr:row>
      <xdr:rowOff>173937</xdr:rowOff>
    </xdr:to>
    <xdr:sp macro="" textlink="">
      <xdr:nvSpPr>
        <xdr:cNvPr id="17" name="TextBox 16">
          <a:extLst>
            <a:ext uri="{FF2B5EF4-FFF2-40B4-BE49-F238E27FC236}">
              <a16:creationId xmlns:a16="http://schemas.microsoft.com/office/drawing/2014/main" id="{7FEC7AAB-8C59-4917-A6F8-DF095513B32D}"/>
            </a:ext>
          </a:extLst>
        </xdr:cNvPr>
        <xdr:cNvSpPr txBox="1"/>
      </xdr:nvSpPr>
      <xdr:spPr>
        <a:xfrm>
          <a:off x="6369320" y="2733263"/>
          <a:ext cx="1805611" cy="231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0781D7"/>
              </a:solidFill>
            </a:rPr>
            <a:t>Average Total</a:t>
          </a:r>
          <a:r>
            <a:rPr lang="en-US" sz="1000" b="1" baseline="0">
              <a:solidFill>
                <a:srgbClr val="0781D7"/>
              </a:solidFill>
            </a:rPr>
            <a:t> Assets</a:t>
          </a:r>
          <a:r>
            <a:rPr lang="en-US" sz="1000" b="1">
              <a:solidFill>
                <a:srgbClr val="0781D7"/>
              </a:solidFill>
            </a:rPr>
            <a:t> (INR</a:t>
          </a:r>
          <a:r>
            <a:rPr lang="en-US" sz="1000" b="1" baseline="0">
              <a:solidFill>
                <a:srgbClr val="0781D7"/>
              </a:solidFill>
            </a:rPr>
            <a:t> Crs)</a:t>
          </a:r>
        </a:p>
        <a:p>
          <a:endParaRPr lang="en-US" sz="1100" b="1">
            <a:solidFill>
              <a:srgbClr val="0781D7"/>
            </a:solidFill>
          </a:endParaRPr>
        </a:p>
      </xdr:txBody>
    </xdr:sp>
    <xdr:clientData/>
  </xdr:twoCellAnchor>
  <xdr:twoCellAnchor>
    <xdr:from>
      <xdr:col>2</xdr:col>
      <xdr:colOff>99396</xdr:colOff>
      <xdr:row>14</xdr:row>
      <xdr:rowOff>74546</xdr:rowOff>
    </xdr:from>
    <xdr:to>
      <xdr:col>5</xdr:col>
      <xdr:colOff>5</xdr:colOff>
      <xdr:row>14</xdr:row>
      <xdr:rowOff>74546</xdr:rowOff>
    </xdr:to>
    <xdr:cxnSp macro="">
      <xdr:nvCxnSpPr>
        <xdr:cNvPr id="20" name="Straight Connector 19">
          <a:extLst>
            <a:ext uri="{FF2B5EF4-FFF2-40B4-BE49-F238E27FC236}">
              <a16:creationId xmlns:a16="http://schemas.microsoft.com/office/drawing/2014/main" id="{BB5443F5-6E4F-432B-9B8C-171C978B2B69}"/>
            </a:ext>
          </a:extLst>
        </xdr:cNvPr>
        <xdr:cNvCxnSpPr/>
      </xdr:nvCxnSpPr>
      <xdr:spPr>
        <a:xfrm>
          <a:off x="3039722" y="2675285"/>
          <a:ext cx="2435087"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571487</xdr:colOff>
      <xdr:row>14</xdr:row>
      <xdr:rowOff>66271</xdr:rowOff>
    </xdr:from>
    <xdr:to>
      <xdr:col>8</xdr:col>
      <xdr:colOff>472095</xdr:colOff>
      <xdr:row>14</xdr:row>
      <xdr:rowOff>66271</xdr:rowOff>
    </xdr:to>
    <xdr:cxnSp macro="">
      <xdr:nvCxnSpPr>
        <xdr:cNvPr id="21" name="Straight Connector 20">
          <a:extLst>
            <a:ext uri="{FF2B5EF4-FFF2-40B4-BE49-F238E27FC236}">
              <a16:creationId xmlns:a16="http://schemas.microsoft.com/office/drawing/2014/main" id="{09FAEBDC-87BF-422A-8FBE-06B798888E1F}"/>
            </a:ext>
          </a:extLst>
        </xdr:cNvPr>
        <xdr:cNvCxnSpPr/>
      </xdr:nvCxnSpPr>
      <xdr:spPr>
        <a:xfrm>
          <a:off x="6046291" y="2667010"/>
          <a:ext cx="2435087"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0</xdr:colOff>
      <xdr:row>27</xdr:row>
      <xdr:rowOff>140799</xdr:rowOff>
    </xdr:from>
    <xdr:to>
      <xdr:col>1</xdr:col>
      <xdr:colOff>2368836</xdr:colOff>
      <xdr:row>36</xdr:row>
      <xdr:rowOff>24842</xdr:rowOff>
    </xdr:to>
    <xdr:graphicFrame macro="">
      <xdr:nvGraphicFramePr>
        <xdr:cNvPr id="31" name="Chart 30">
          <a:extLst>
            <a:ext uri="{FF2B5EF4-FFF2-40B4-BE49-F238E27FC236}">
              <a16:creationId xmlns:a16="http://schemas.microsoft.com/office/drawing/2014/main" id="{FA1521C4-57B0-4B5E-9456-565388F67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629483</xdr:colOff>
      <xdr:row>26</xdr:row>
      <xdr:rowOff>140805</xdr:rowOff>
    </xdr:from>
    <xdr:to>
      <xdr:col>1</xdr:col>
      <xdr:colOff>1780761</xdr:colOff>
      <xdr:row>27</xdr:row>
      <xdr:rowOff>182218</xdr:rowOff>
    </xdr:to>
    <xdr:sp macro="" textlink="">
      <xdr:nvSpPr>
        <xdr:cNvPr id="32" name="TextBox 31">
          <a:extLst>
            <a:ext uri="{FF2B5EF4-FFF2-40B4-BE49-F238E27FC236}">
              <a16:creationId xmlns:a16="http://schemas.microsoft.com/office/drawing/2014/main" id="{28F4EA00-499B-4EAA-BA15-4E56C718EFD7}"/>
            </a:ext>
          </a:extLst>
        </xdr:cNvPr>
        <xdr:cNvSpPr txBox="1"/>
      </xdr:nvSpPr>
      <xdr:spPr>
        <a:xfrm>
          <a:off x="753722" y="5027544"/>
          <a:ext cx="1151278" cy="231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0781D7"/>
              </a:solidFill>
            </a:rPr>
            <a:t>Retrun</a:t>
          </a:r>
          <a:r>
            <a:rPr lang="en-US" sz="1000" b="1" baseline="0">
              <a:solidFill>
                <a:srgbClr val="0781D7"/>
              </a:solidFill>
            </a:rPr>
            <a:t> on Equity</a:t>
          </a:r>
          <a:r>
            <a:rPr lang="en-US" sz="1000" b="1">
              <a:solidFill>
                <a:srgbClr val="0781D7"/>
              </a:solidFill>
            </a:rPr>
            <a:t> </a:t>
          </a:r>
          <a:endParaRPr lang="en-US" sz="1000" b="1" baseline="0">
            <a:solidFill>
              <a:srgbClr val="0781D7"/>
            </a:solidFill>
          </a:endParaRPr>
        </a:p>
        <a:p>
          <a:endParaRPr lang="en-US" sz="1100" b="1">
            <a:solidFill>
              <a:srgbClr val="0781D7"/>
            </a:solidFill>
          </a:endParaRPr>
        </a:p>
      </xdr:txBody>
    </xdr:sp>
    <xdr:clientData/>
  </xdr:twoCellAnchor>
  <xdr:twoCellAnchor>
    <xdr:from>
      <xdr:col>1</xdr:col>
      <xdr:colOff>8293</xdr:colOff>
      <xdr:row>26</xdr:row>
      <xdr:rowOff>107681</xdr:rowOff>
    </xdr:from>
    <xdr:to>
      <xdr:col>1</xdr:col>
      <xdr:colOff>2443380</xdr:colOff>
      <xdr:row>26</xdr:row>
      <xdr:rowOff>107681</xdr:rowOff>
    </xdr:to>
    <xdr:cxnSp macro="">
      <xdr:nvCxnSpPr>
        <xdr:cNvPr id="33" name="Straight Connector 32">
          <a:extLst>
            <a:ext uri="{FF2B5EF4-FFF2-40B4-BE49-F238E27FC236}">
              <a16:creationId xmlns:a16="http://schemas.microsoft.com/office/drawing/2014/main" id="{CE400BE3-76ED-4776-A246-9502421B71A4}"/>
            </a:ext>
          </a:extLst>
        </xdr:cNvPr>
        <xdr:cNvCxnSpPr/>
      </xdr:nvCxnSpPr>
      <xdr:spPr>
        <a:xfrm>
          <a:off x="132532" y="4994420"/>
          <a:ext cx="2435087"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24857</xdr:colOff>
      <xdr:row>27</xdr:row>
      <xdr:rowOff>165647</xdr:rowOff>
    </xdr:from>
    <xdr:to>
      <xdr:col>4</xdr:col>
      <xdr:colOff>786857</xdr:colOff>
      <xdr:row>36</xdr:row>
      <xdr:rowOff>49690</xdr:rowOff>
    </xdr:to>
    <xdr:graphicFrame macro="">
      <xdr:nvGraphicFramePr>
        <xdr:cNvPr id="34" name="Chart 33">
          <a:extLst>
            <a:ext uri="{FF2B5EF4-FFF2-40B4-BE49-F238E27FC236}">
              <a16:creationId xmlns:a16="http://schemas.microsoft.com/office/drawing/2014/main" id="{43F10A66-8AF4-4B1B-913F-05302B71A3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733444</xdr:colOff>
      <xdr:row>26</xdr:row>
      <xdr:rowOff>165652</xdr:rowOff>
    </xdr:from>
    <xdr:to>
      <xdr:col>4</xdr:col>
      <xdr:colOff>74544</xdr:colOff>
      <xdr:row>28</xdr:row>
      <xdr:rowOff>16565</xdr:rowOff>
    </xdr:to>
    <xdr:sp macro="" textlink="">
      <xdr:nvSpPr>
        <xdr:cNvPr id="35" name="TextBox 34">
          <a:extLst>
            <a:ext uri="{FF2B5EF4-FFF2-40B4-BE49-F238E27FC236}">
              <a16:creationId xmlns:a16="http://schemas.microsoft.com/office/drawing/2014/main" id="{8E0338AE-0D00-490F-BBA0-06D32CA2FC0A}"/>
            </a:ext>
          </a:extLst>
        </xdr:cNvPr>
        <xdr:cNvSpPr txBox="1"/>
      </xdr:nvSpPr>
      <xdr:spPr>
        <a:xfrm>
          <a:off x="3673770" y="5052391"/>
          <a:ext cx="1030752" cy="231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0781D7"/>
              </a:solidFill>
            </a:rPr>
            <a:t>Return</a:t>
          </a:r>
          <a:r>
            <a:rPr lang="en-US" sz="1000" b="1" baseline="0">
              <a:solidFill>
                <a:srgbClr val="0781D7"/>
              </a:solidFill>
            </a:rPr>
            <a:t> on Asset</a:t>
          </a:r>
        </a:p>
        <a:p>
          <a:endParaRPr lang="en-US" sz="1100" b="1">
            <a:solidFill>
              <a:srgbClr val="0781D7"/>
            </a:solidFill>
          </a:endParaRPr>
        </a:p>
      </xdr:txBody>
    </xdr:sp>
    <xdr:clientData/>
  </xdr:twoCellAnchor>
  <xdr:twoCellAnchor>
    <xdr:from>
      <xdr:col>5</xdr:col>
      <xdr:colOff>654325</xdr:colOff>
      <xdr:row>27</xdr:row>
      <xdr:rowOff>157364</xdr:rowOff>
    </xdr:from>
    <xdr:to>
      <xdr:col>8</xdr:col>
      <xdr:colOff>530096</xdr:colOff>
      <xdr:row>36</xdr:row>
      <xdr:rowOff>41407</xdr:rowOff>
    </xdr:to>
    <xdr:graphicFrame macro="">
      <xdr:nvGraphicFramePr>
        <xdr:cNvPr id="36" name="Chart 35">
          <a:extLst>
            <a:ext uri="{FF2B5EF4-FFF2-40B4-BE49-F238E27FC236}">
              <a16:creationId xmlns:a16="http://schemas.microsoft.com/office/drawing/2014/main" id="{1D25C4A6-1479-4E28-9A65-CA3E966500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107676</xdr:colOff>
      <xdr:row>26</xdr:row>
      <xdr:rowOff>157374</xdr:rowOff>
    </xdr:from>
    <xdr:to>
      <xdr:col>8</xdr:col>
      <xdr:colOff>223634</xdr:colOff>
      <xdr:row>28</xdr:row>
      <xdr:rowOff>8287</xdr:rowOff>
    </xdr:to>
    <xdr:sp macro="" textlink="">
      <xdr:nvSpPr>
        <xdr:cNvPr id="37" name="TextBox 36">
          <a:extLst>
            <a:ext uri="{FF2B5EF4-FFF2-40B4-BE49-F238E27FC236}">
              <a16:creationId xmlns:a16="http://schemas.microsoft.com/office/drawing/2014/main" id="{3246EAAC-5C25-47B2-9076-25E350D9D124}"/>
            </a:ext>
          </a:extLst>
        </xdr:cNvPr>
        <xdr:cNvSpPr txBox="1"/>
      </xdr:nvSpPr>
      <xdr:spPr>
        <a:xfrm>
          <a:off x="6427306" y="5044113"/>
          <a:ext cx="1805611" cy="2319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solidFill>
                <a:srgbClr val="0781D7"/>
              </a:solidFill>
            </a:rPr>
            <a:t>Financial Leverage (in</a:t>
          </a:r>
          <a:r>
            <a:rPr lang="en-US" sz="1000" b="1" baseline="0">
              <a:solidFill>
                <a:srgbClr val="0781D7"/>
              </a:solidFill>
            </a:rPr>
            <a:t> times)</a:t>
          </a:r>
        </a:p>
        <a:p>
          <a:endParaRPr lang="en-US" sz="1100" b="1">
            <a:solidFill>
              <a:srgbClr val="0781D7"/>
            </a:solidFill>
          </a:endParaRPr>
        </a:p>
      </xdr:txBody>
    </xdr:sp>
    <xdr:clientData/>
  </xdr:twoCellAnchor>
  <xdr:twoCellAnchor>
    <xdr:from>
      <xdr:col>2</xdr:col>
      <xdr:colOff>74558</xdr:colOff>
      <xdr:row>26</xdr:row>
      <xdr:rowOff>124245</xdr:rowOff>
    </xdr:from>
    <xdr:to>
      <xdr:col>4</xdr:col>
      <xdr:colOff>819993</xdr:colOff>
      <xdr:row>26</xdr:row>
      <xdr:rowOff>124245</xdr:rowOff>
    </xdr:to>
    <xdr:cxnSp macro="">
      <xdr:nvCxnSpPr>
        <xdr:cNvPr id="38" name="Straight Connector 37">
          <a:extLst>
            <a:ext uri="{FF2B5EF4-FFF2-40B4-BE49-F238E27FC236}">
              <a16:creationId xmlns:a16="http://schemas.microsoft.com/office/drawing/2014/main" id="{BB0CC0EF-EB74-47EC-A591-4C12EED7E8FB}"/>
            </a:ext>
          </a:extLst>
        </xdr:cNvPr>
        <xdr:cNvCxnSpPr/>
      </xdr:nvCxnSpPr>
      <xdr:spPr>
        <a:xfrm>
          <a:off x="3014884" y="5010984"/>
          <a:ext cx="2435087"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546649</xdr:colOff>
      <xdr:row>26</xdr:row>
      <xdr:rowOff>115970</xdr:rowOff>
    </xdr:from>
    <xdr:to>
      <xdr:col>8</xdr:col>
      <xdr:colOff>447257</xdr:colOff>
      <xdr:row>26</xdr:row>
      <xdr:rowOff>115970</xdr:rowOff>
    </xdr:to>
    <xdr:cxnSp macro="">
      <xdr:nvCxnSpPr>
        <xdr:cNvPr id="39" name="Straight Connector 38">
          <a:extLst>
            <a:ext uri="{FF2B5EF4-FFF2-40B4-BE49-F238E27FC236}">
              <a16:creationId xmlns:a16="http://schemas.microsoft.com/office/drawing/2014/main" id="{C98694B3-D74E-49EA-A59F-928E2D3AB9FE}"/>
            </a:ext>
          </a:extLst>
        </xdr:cNvPr>
        <xdr:cNvCxnSpPr/>
      </xdr:nvCxnSpPr>
      <xdr:spPr>
        <a:xfrm>
          <a:off x="6021453" y="5002709"/>
          <a:ext cx="2435087" cy="0"/>
        </a:xfrm>
        <a:prstGeom prst="line">
          <a:avLst/>
        </a:prstGeom>
        <a:ln w="12700"/>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c\Downloads\ITC%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ne Pager Summarised"/>
      <sheetName val="Key Highlights for Social Media"/>
      <sheetName val="Blog"/>
      <sheetName val="About the Company"/>
      <sheetName val="Commentaries"/>
      <sheetName val="Whatif Analysis"/>
      <sheetName val="Entended Analysis"/>
      <sheetName val="Charts"/>
      <sheetName val="Discounted Cash Flow"/>
      <sheetName val="TECHNICAL ANALYSIS"/>
      <sheetName val="About the Report"/>
      <sheetName val="Profit &amp; Loss"/>
      <sheetName val="Quarters"/>
      <sheetName val="Balance Sheet"/>
      <sheetName val="Cash Flow"/>
      <sheetName val="Customization"/>
      <sheetName val="Data Sheet"/>
      <sheetName val="List of Sto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E1" t="str">
            <v/>
          </cell>
        </row>
      </sheetData>
      <sheetData sheetId="17"/>
    </sheetDataSet>
  </externalBook>
</externalLink>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www.screener.in/company/DATAPATTNS/" TargetMode="External"/><Relationship Id="rId2" Type="http://schemas.openxmlformats.org/officeDocument/2006/relationships/hyperlink" Target="https://www.screener.in/company/BDL/" TargetMode="External"/><Relationship Id="rId1" Type="http://schemas.openxmlformats.org/officeDocument/2006/relationships/hyperlink" Target="https://www.screener.in/company/BEL/consolidated/" TargetMode="External"/><Relationship Id="rId5" Type="http://schemas.openxmlformats.org/officeDocument/2006/relationships/printerSettings" Target="../printerSettings/printerSettings4.bin"/><Relationship Id="rId4" Type="http://schemas.openxmlformats.org/officeDocument/2006/relationships/hyperlink" Target="https://www.screener.in/company/ZENTEC/consolidated/"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https://www.screener.in/company/BDL/" TargetMode="External"/><Relationship Id="rId7" Type="http://schemas.openxmlformats.org/officeDocument/2006/relationships/printerSettings" Target="../printerSettings/printerSettings15.bin"/><Relationship Id="rId2" Type="http://schemas.openxmlformats.org/officeDocument/2006/relationships/hyperlink" Target="https://www.screener.in/company/BEL/consolidated/" TargetMode="External"/><Relationship Id="rId1" Type="http://schemas.openxmlformats.org/officeDocument/2006/relationships/hyperlink" Target="https://www.screener.in/company/HAL/consolidated/" TargetMode="External"/><Relationship Id="rId6" Type="http://schemas.openxmlformats.org/officeDocument/2006/relationships/hyperlink" Target="https://www.screener.in/company/APOLLO/" TargetMode="External"/><Relationship Id="rId5" Type="http://schemas.openxmlformats.org/officeDocument/2006/relationships/hyperlink" Target="https://www.screener.in/company/ZENTEC/consolidated/" TargetMode="External"/><Relationship Id="rId4" Type="http://schemas.openxmlformats.org/officeDocument/2006/relationships/hyperlink" Target="https://www.screener.in/company/DATAPATT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8C5AA-2C18-4CC1-8FE9-5C990A4EEE03}">
  <sheetPr codeName="Sheet1">
    <tabColor theme="4" tint="0.79998168889431442"/>
  </sheetPr>
  <dimension ref="A2:Q118"/>
  <sheetViews>
    <sheetView showGridLines="0" zoomScale="77" zoomScaleNormal="78" workbookViewId="0">
      <pane ySplit="3" topLeftCell="A5" activePane="bottomLeft" state="frozen"/>
      <selection pane="bottomLeft" activeCell="B2" sqref="B2:M2"/>
    </sheetView>
  </sheetViews>
  <sheetFormatPr defaultRowHeight="15.75" outlineLevelRow="1" x14ac:dyDescent="0.25"/>
  <cols>
    <col min="1" max="1" width="3.140625" style="267" customWidth="1"/>
    <col min="2" max="2" width="28.85546875" style="267" bestFit="1" customWidth="1"/>
    <col min="3" max="11" width="13.28515625" style="267" bestFit="1" customWidth="1"/>
    <col min="12" max="12" width="14.5703125" style="267" bestFit="1" customWidth="1"/>
    <col min="13" max="13" width="13" style="267" bestFit="1" customWidth="1"/>
    <col min="14" max="16" width="9.140625" style="267"/>
    <col min="17" max="17" width="11.7109375" style="267" bestFit="1" customWidth="1"/>
    <col min="18" max="16384" width="9.140625" style="267"/>
  </cols>
  <sheetData>
    <row r="2" spans="1:17" x14ac:dyDescent="0.25">
      <c r="B2" s="268" t="str">
        <f>"Historical Financial Statements- "&amp;'Data Sheet'!B1</f>
        <v>Historical Financial Statements- HINDUSTAN AERONAUTICS LTD</v>
      </c>
      <c r="C2" s="268"/>
      <c r="D2" s="268"/>
      <c r="E2" s="268"/>
      <c r="F2" s="268"/>
      <c r="G2" s="268"/>
      <c r="H2" s="268"/>
      <c r="I2" s="268"/>
      <c r="J2" s="268"/>
      <c r="K2" s="268"/>
      <c r="L2" s="268"/>
      <c r="M2" s="268"/>
    </row>
    <row r="3" spans="1:17" x14ac:dyDescent="0.25">
      <c r="B3" s="269" t="s">
        <v>55</v>
      </c>
      <c r="C3" s="270">
        <f>IFERROR('Data Sheet'!B16,0)</f>
        <v>42460</v>
      </c>
      <c r="D3" s="270">
        <f>IFERROR('Data Sheet'!C16,0)</f>
        <v>42825</v>
      </c>
      <c r="E3" s="270">
        <f>IFERROR('Data Sheet'!D16,0)</f>
        <v>43190</v>
      </c>
      <c r="F3" s="270">
        <f>IFERROR('Data Sheet'!E16,0)</f>
        <v>43555</v>
      </c>
      <c r="G3" s="270">
        <f>IFERROR('Data Sheet'!F16,0)</f>
        <v>43921</v>
      </c>
      <c r="H3" s="270">
        <f>IFERROR('Data Sheet'!G16,0)</f>
        <v>44286</v>
      </c>
      <c r="I3" s="270">
        <f>IFERROR('Data Sheet'!H16,0)</f>
        <v>44651</v>
      </c>
      <c r="J3" s="270">
        <f>IFERROR('Data Sheet'!I16,0)</f>
        <v>45016</v>
      </c>
      <c r="K3" s="270">
        <f>IFERROR('Data Sheet'!J16,0)</f>
        <v>45382</v>
      </c>
      <c r="L3" s="270">
        <f>IFERROR('Data Sheet'!K16,0)</f>
        <v>45747</v>
      </c>
      <c r="M3" s="271" t="s">
        <v>56</v>
      </c>
      <c r="N3" s="272"/>
      <c r="O3" s="272"/>
      <c r="P3" s="272"/>
      <c r="Q3" s="272"/>
    </row>
    <row r="4" spans="1:17" s="273" customFormat="1" ht="15" hidden="1" x14ac:dyDescent="0.25"/>
    <row r="5" spans="1:17" x14ac:dyDescent="0.25">
      <c r="A5" s="267" t="s">
        <v>57</v>
      </c>
      <c r="B5" s="274" t="s">
        <v>58</v>
      </c>
      <c r="C5" s="274"/>
      <c r="D5" s="274"/>
      <c r="E5" s="274"/>
      <c r="F5" s="274"/>
      <c r="G5" s="274"/>
      <c r="H5" s="274"/>
      <c r="I5" s="274"/>
      <c r="J5" s="274"/>
      <c r="K5" s="274"/>
      <c r="L5" s="274"/>
      <c r="M5" s="274"/>
    </row>
    <row r="6" spans="1:17" outlineLevel="1" x14ac:dyDescent="0.25">
      <c r="B6" s="267" t="str">
        <f>'Data Sheet'!A17</f>
        <v>Sales</v>
      </c>
      <c r="C6" s="275">
        <f>IFERROR('Data Sheet'!B17,0)</f>
        <v>16758.5</v>
      </c>
      <c r="D6" s="275">
        <f>IFERROR('Data Sheet'!C17,0)</f>
        <v>17949.919999999998</v>
      </c>
      <c r="E6" s="275">
        <f>IFERROR('Data Sheet'!D17,0)</f>
        <v>18519.740000000002</v>
      </c>
      <c r="F6" s="275">
        <f>IFERROR('Data Sheet'!E17,0)</f>
        <v>20008</v>
      </c>
      <c r="G6" s="275">
        <f>IFERROR('Data Sheet'!F17,0)</f>
        <v>21445.16</v>
      </c>
      <c r="H6" s="275">
        <f>IFERROR('Data Sheet'!G17,0)</f>
        <v>22882.32</v>
      </c>
      <c r="I6" s="275">
        <f>IFERROR('Data Sheet'!H17,0)</f>
        <v>24620.02</v>
      </c>
      <c r="J6" s="275">
        <f>IFERROR('Data Sheet'!I17,0)</f>
        <v>26927.46</v>
      </c>
      <c r="K6" s="275">
        <f>IFERROR('Data Sheet'!J17,0)</f>
        <v>30381.08</v>
      </c>
      <c r="L6" s="275">
        <f>IFERROR('Data Sheet'!K17,0)</f>
        <v>30980.95</v>
      </c>
      <c r="M6" s="276">
        <f>IFERROR(SUM('Data Sheet'!H42:K42),0)</f>
        <v>32104.78</v>
      </c>
    </row>
    <row r="7" spans="1:17" outlineLevel="1" x14ac:dyDescent="0.25">
      <c r="B7" s="277" t="s">
        <v>10</v>
      </c>
      <c r="C7" s="278" t="s">
        <v>59</v>
      </c>
      <c r="D7" s="279">
        <f t="shared" ref="D7" si="0">D6/C6-1</f>
        <v>7.1093474953008773E-2</v>
      </c>
      <c r="E7" s="279">
        <f t="shared" ref="E7" si="1">E6/D6-1</f>
        <v>3.1744988278499475E-2</v>
      </c>
      <c r="F7" s="279">
        <f t="shared" ref="F7" si="2">F6/E6-1</f>
        <v>8.0360739405628712E-2</v>
      </c>
      <c r="G7" s="279">
        <f t="shared" ref="G7" si="3">G6/F6-1</f>
        <v>7.182926829268288E-2</v>
      </c>
      <c r="H7" s="279">
        <f t="shared" ref="H7" si="4">H6/G6-1</f>
        <v>6.7015587666401144E-2</v>
      </c>
      <c r="I7" s="279">
        <f t="shared" ref="I7" si="5">I6/H6-1</f>
        <v>7.59407262899916E-2</v>
      </c>
      <c r="J7" s="279">
        <f t="shared" ref="J7" si="6">J6/I6-1</f>
        <v>9.3722100956863397E-2</v>
      </c>
      <c r="K7" s="279">
        <f t="shared" ref="K7" si="7">K6/J6-1</f>
        <v>0.12825643413823662</v>
      </c>
      <c r="L7" s="279">
        <f t="shared" ref="L7" si="8">L6/K6-1</f>
        <v>1.974485436330764E-2</v>
      </c>
      <c r="M7" s="279">
        <f t="shared" ref="M7" si="9">M6/L6-1</f>
        <v>3.6274872139169245E-2</v>
      </c>
    </row>
    <row r="8" spans="1:17" outlineLevel="1" x14ac:dyDescent="0.25">
      <c r="F8" s="275"/>
      <c r="G8" s="275"/>
      <c r="H8" s="275"/>
      <c r="I8" s="275"/>
      <c r="J8" s="275"/>
      <c r="K8" s="275"/>
      <c r="L8" s="275"/>
      <c r="M8" s="280"/>
    </row>
    <row r="9" spans="1:17" outlineLevel="1" x14ac:dyDescent="0.25">
      <c r="B9" s="267" t="s">
        <v>60</v>
      </c>
      <c r="C9" s="275">
        <f>IFERROR(SUM('Data Sheet'!B18,'Data Sheet'!B20,'Data Sheet'!B21,'Data Sheet'!B22)-1*'Data Sheet'!B19,0)</f>
        <v>12512.9</v>
      </c>
      <c r="D9" s="275">
        <f>IFERROR(SUM('Data Sheet'!C18,'Data Sheet'!C20,'Data Sheet'!C21,'Data Sheet'!C22)-1*'Data Sheet'!C19,0)</f>
        <v>13838.910000000002</v>
      </c>
      <c r="E9" s="275">
        <f>IFERROR(SUM('Data Sheet'!D18,'Data Sheet'!D20,'Data Sheet'!D21,'Data Sheet'!D22)-1*'Data Sheet'!D19,0)</f>
        <v>14219.92</v>
      </c>
      <c r="F9" s="275">
        <f>IFERROR(SUM('Data Sheet'!E18,'Data Sheet'!E20,'Data Sheet'!E21,'Data Sheet'!E22)-1*'Data Sheet'!E19,0)</f>
        <v>14087.519999999999</v>
      </c>
      <c r="G9" s="275">
        <f>IFERROR(SUM('Data Sheet'!F18,'Data Sheet'!F20,'Data Sheet'!F21,'Data Sheet'!F22)-1*'Data Sheet'!F19,0)</f>
        <v>14937.2</v>
      </c>
      <c r="H9" s="275">
        <f>IFERROR(SUM('Data Sheet'!G18,'Data Sheet'!G20,'Data Sheet'!G21,'Data Sheet'!G22)-1*'Data Sheet'!G19,0)</f>
        <v>16337.81</v>
      </c>
      <c r="I9" s="275">
        <f>IFERROR(SUM('Data Sheet'!H18,'Data Sheet'!H20,'Data Sheet'!H21,'Data Sheet'!H22)-1*'Data Sheet'!H19,0)</f>
        <v>15494.019999999999</v>
      </c>
      <c r="J9" s="275">
        <f>IFERROR(SUM('Data Sheet'!I18,'Data Sheet'!I20,'Data Sheet'!I21,'Data Sheet'!I22)-1*'Data Sheet'!I19,0)</f>
        <v>16160.85</v>
      </c>
      <c r="K9" s="275">
        <f>IFERROR(SUM('Data Sheet'!J18,'Data Sheet'!J20,'Data Sheet'!J21,'Data Sheet'!J22)-1*'Data Sheet'!J19,0)</f>
        <v>17469.289999999997</v>
      </c>
      <c r="L9" s="275">
        <f>IFERROR(SUM('Data Sheet'!K18,'Data Sheet'!K20,'Data Sheet'!K21,'Data Sheet'!K22)-1*'Data Sheet'!K19,0)</f>
        <v>19124.159999999996</v>
      </c>
      <c r="M9" s="276">
        <f>IFERROR(SUM('Data Sheet'!H43:K43),0)</f>
        <v>22287.08</v>
      </c>
    </row>
    <row r="10" spans="1:17" outlineLevel="1" x14ac:dyDescent="0.25">
      <c r="B10" s="277" t="s">
        <v>61</v>
      </c>
      <c r="C10" s="279">
        <f>IFERROR(C9/C6,0)</f>
        <v>0.74665990392934922</v>
      </c>
      <c r="D10" s="279">
        <f t="shared" ref="D10:M10" si="10">IFERROR(D9/D6,0)</f>
        <v>0.77097335252747656</v>
      </c>
      <c r="E10" s="279">
        <f t="shared" si="10"/>
        <v>0.76782503426074011</v>
      </c>
      <c r="F10" s="279">
        <f t="shared" si="10"/>
        <v>0.70409436225509792</v>
      </c>
      <c r="G10" s="279">
        <f t="shared" si="10"/>
        <v>0.69653012614501364</v>
      </c>
      <c r="H10" s="279">
        <f t="shared" si="10"/>
        <v>0.71399272451394791</v>
      </c>
      <c r="I10" s="279">
        <f t="shared" si="10"/>
        <v>0.62932605253773144</v>
      </c>
      <c r="J10" s="279">
        <f t="shared" si="10"/>
        <v>0.60016243641249489</v>
      </c>
      <c r="K10" s="279">
        <f t="shared" si="10"/>
        <v>0.57500556267255798</v>
      </c>
      <c r="L10" s="279">
        <f t="shared" si="10"/>
        <v>0.61728772035718715</v>
      </c>
      <c r="M10" s="279">
        <f t="shared" si="10"/>
        <v>0.69419818481858475</v>
      </c>
    </row>
    <row r="11" spans="1:17" ht="5.25" customHeight="1" outlineLevel="1" x14ac:dyDescent="0.25">
      <c r="F11" s="273"/>
      <c r="G11" s="273"/>
      <c r="H11" s="273"/>
      <c r="I11" s="273"/>
      <c r="J11" s="273"/>
      <c r="K11" s="273"/>
      <c r="L11" s="273"/>
      <c r="M11" s="281"/>
    </row>
    <row r="12" spans="1:17" outlineLevel="1" x14ac:dyDescent="0.25">
      <c r="B12" s="282" t="s">
        <v>62</v>
      </c>
      <c r="C12" s="283">
        <f t="shared" ref="C12:E12" si="11">C6-C9</f>
        <v>4245.6000000000004</v>
      </c>
      <c r="D12" s="283">
        <f t="shared" si="11"/>
        <v>4111.0099999999966</v>
      </c>
      <c r="E12" s="283">
        <f t="shared" si="11"/>
        <v>4299.8200000000015</v>
      </c>
      <c r="F12" s="283">
        <f>F6-F9</f>
        <v>5920.4800000000014</v>
      </c>
      <c r="G12" s="283">
        <f t="shared" ref="G12:M12" si="12">G6-G9</f>
        <v>6507.9599999999991</v>
      </c>
      <c r="H12" s="283">
        <f t="shared" si="12"/>
        <v>6544.51</v>
      </c>
      <c r="I12" s="283">
        <f t="shared" si="12"/>
        <v>9126.0000000000018</v>
      </c>
      <c r="J12" s="283">
        <f t="shared" si="12"/>
        <v>10766.609999999999</v>
      </c>
      <c r="K12" s="283">
        <f t="shared" si="12"/>
        <v>12911.790000000005</v>
      </c>
      <c r="L12" s="283">
        <f t="shared" si="12"/>
        <v>11856.790000000005</v>
      </c>
      <c r="M12" s="284">
        <f t="shared" si="12"/>
        <v>9817.6999999999971</v>
      </c>
    </row>
    <row r="13" spans="1:17" outlineLevel="1" x14ac:dyDescent="0.25">
      <c r="B13" s="277" t="s">
        <v>68</v>
      </c>
      <c r="C13" s="279">
        <f>IFERROR(C12/C6,0)</f>
        <v>0.25334009607065072</v>
      </c>
      <c r="D13" s="279">
        <f t="shared" ref="D13:M13" si="13">IFERROR(D12/D6,0)</f>
        <v>0.22902664747252338</v>
      </c>
      <c r="E13" s="279">
        <f t="shared" si="13"/>
        <v>0.23217496573925991</v>
      </c>
      <c r="F13" s="279">
        <f t="shared" si="13"/>
        <v>0.29590563774490208</v>
      </c>
      <c r="G13" s="279">
        <f t="shared" si="13"/>
        <v>0.30346987385498636</v>
      </c>
      <c r="H13" s="279">
        <f t="shared" si="13"/>
        <v>0.28600727548605215</v>
      </c>
      <c r="I13" s="279">
        <f t="shared" si="13"/>
        <v>0.37067394746226856</v>
      </c>
      <c r="J13" s="279">
        <f t="shared" si="13"/>
        <v>0.39983756358750505</v>
      </c>
      <c r="K13" s="279">
        <f t="shared" si="13"/>
        <v>0.42499443732744208</v>
      </c>
      <c r="L13" s="279">
        <f t="shared" si="13"/>
        <v>0.3827122796428129</v>
      </c>
      <c r="M13" s="279">
        <f t="shared" si="13"/>
        <v>0.30580181518141525</v>
      </c>
    </row>
    <row r="14" spans="1:17" outlineLevel="1" x14ac:dyDescent="0.25">
      <c r="F14" s="273"/>
      <c r="G14" s="273"/>
      <c r="H14" s="273"/>
      <c r="I14" s="273"/>
      <c r="J14" s="273"/>
      <c r="K14" s="273"/>
      <c r="L14" s="273"/>
      <c r="M14" s="281"/>
    </row>
    <row r="15" spans="1:17" outlineLevel="1" x14ac:dyDescent="0.25">
      <c r="B15" s="267" t="s">
        <v>125</v>
      </c>
      <c r="C15" s="285">
        <f>IFERROR(SUM('Data Sheet'!B23:B24),0)</f>
        <v>1771.6999999999998</v>
      </c>
      <c r="D15" s="285">
        <f>IFERROR(SUM('Data Sheet'!C23:C24),0)</f>
        <v>880.31999999999994</v>
      </c>
      <c r="E15" s="285">
        <f>IFERROR(SUM('Data Sheet'!D23:D24),0)</f>
        <v>851.13</v>
      </c>
      <c r="F15" s="285">
        <f>IFERROR(SUM('Data Sheet'!E23:E24),0)</f>
        <v>1369.45</v>
      </c>
      <c r="G15" s="285">
        <f>IFERROR(SUM('Data Sheet'!F23:F24),0)</f>
        <v>1593.72</v>
      </c>
      <c r="H15" s="285">
        <f>IFERROR(SUM('Data Sheet'!G23:G24),0)</f>
        <v>1200.53</v>
      </c>
      <c r="I15" s="285">
        <f>IFERROR(SUM('Data Sheet'!H23:H24),0)</f>
        <v>3710.63</v>
      </c>
      <c r="J15" s="285">
        <f>IFERROR(SUM('Data Sheet'!I23:I24),0)</f>
        <v>4080.95</v>
      </c>
      <c r="K15" s="285">
        <f>IFERROR(SUM('Data Sheet'!J23:J24),0)</f>
        <v>3160.21</v>
      </c>
      <c r="L15" s="285">
        <f>IFERROR(SUM('Data Sheet'!K23:K24),0)</f>
        <v>2235.77</v>
      </c>
      <c r="M15" s="286">
        <f>M18-M12</f>
        <v>1424.2900000000009</v>
      </c>
    </row>
    <row r="16" spans="1:17" outlineLevel="1" x14ac:dyDescent="0.25">
      <c r="B16" s="277" t="s">
        <v>64</v>
      </c>
      <c r="C16" s="279">
        <f>IFERROR(C15/C6,0)</f>
        <v>0.10571948563415579</v>
      </c>
      <c r="D16" s="279">
        <f t="shared" ref="D16:M16" si="14">IFERROR(D15/D6,0)</f>
        <v>4.9043115512492533E-2</v>
      </c>
      <c r="E16" s="279">
        <f t="shared" si="14"/>
        <v>4.5957988611071213E-2</v>
      </c>
      <c r="F16" s="279">
        <f t="shared" si="14"/>
        <v>6.8445121951219517E-2</v>
      </c>
      <c r="G16" s="279">
        <f t="shared" si="14"/>
        <v>7.4316069453433789E-2</v>
      </c>
      <c r="H16" s="279">
        <f t="shared" si="14"/>
        <v>5.2465396865352815E-2</v>
      </c>
      <c r="I16" s="279">
        <f t="shared" si="14"/>
        <v>0.15071596205039639</v>
      </c>
      <c r="J16" s="279">
        <f t="shared" si="14"/>
        <v>0.15155346995223462</v>
      </c>
      <c r="K16" s="279">
        <f t="shared" si="14"/>
        <v>0.10401901446558186</v>
      </c>
      <c r="L16" s="279">
        <f t="shared" si="14"/>
        <v>7.2165960049643402E-2</v>
      </c>
      <c r="M16" s="279">
        <f t="shared" si="14"/>
        <v>4.4363798786348975E-2</v>
      </c>
    </row>
    <row r="17" spans="2:13" ht="4.5" customHeight="1" outlineLevel="1" x14ac:dyDescent="0.25">
      <c r="F17" s="273"/>
      <c r="G17" s="273"/>
      <c r="H17" s="273"/>
      <c r="I17" s="273"/>
      <c r="J17" s="273"/>
      <c r="K17" s="273"/>
      <c r="L17" s="273"/>
      <c r="M17" s="281"/>
    </row>
    <row r="18" spans="2:13" outlineLevel="1" x14ac:dyDescent="0.25">
      <c r="B18" s="287" t="s">
        <v>63</v>
      </c>
      <c r="C18" s="288">
        <f>C12-C15</f>
        <v>2473.9000000000005</v>
      </c>
      <c r="D18" s="288">
        <f t="shared" ref="D18:L18" si="15">D12-D15</f>
        <v>3230.6899999999969</v>
      </c>
      <c r="E18" s="288">
        <f t="shared" si="15"/>
        <v>3448.6900000000014</v>
      </c>
      <c r="F18" s="288">
        <f t="shared" si="15"/>
        <v>4551.0300000000016</v>
      </c>
      <c r="G18" s="288">
        <f t="shared" si="15"/>
        <v>4914.2399999999989</v>
      </c>
      <c r="H18" s="288">
        <f t="shared" si="15"/>
        <v>5343.9800000000005</v>
      </c>
      <c r="I18" s="288">
        <f t="shared" si="15"/>
        <v>5415.3700000000017</v>
      </c>
      <c r="J18" s="288">
        <f t="shared" si="15"/>
        <v>6685.6599999999989</v>
      </c>
      <c r="K18" s="288">
        <f t="shared" si="15"/>
        <v>9751.5800000000054</v>
      </c>
      <c r="L18" s="288">
        <f t="shared" si="15"/>
        <v>9621.0200000000041</v>
      </c>
      <c r="M18" s="288">
        <f>SUM('Data Sheet'!H50:K50)+SUM('Data Sheet'!H45:K45)</f>
        <v>11241.989999999998</v>
      </c>
    </row>
    <row r="19" spans="2:13" outlineLevel="1" x14ac:dyDescent="0.25">
      <c r="B19" s="277" t="s">
        <v>65</v>
      </c>
      <c r="C19" s="279">
        <f>IFERROR(C18/C6,0)</f>
        <v>0.14762061043649494</v>
      </c>
      <c r="D19" s="279">
        <f t="shared" ref="D19:M19" si="16">IFERROR(D18/D6,0)</f>
        <v>0.17998353196003086</v>
      </c>
      <c r="E19" s="279">
        <f t="shared" si="16"/>
        <v>0.18621697712818869</v>
      </c>
      <c r="F19" s="279">
        <f t="shared" si="16"/>
        <v>0.22746051579368259</v>
      </c>
      <c r="G19" s="279">
        <f t="shared" si="16"/>
        <v>0.22915380440155256</v>
      </c>
      <c r="H19" s="279">
        <f t="shared" si="16"/>
        <v>0.23354187862069933</v>
      </c>
      <c r="I19" s="279">
        <f t="shared" si="16"/>
        <v>0.2199579854118722</v>
      </c>
      <c r="J19" s="279">
        <f t="shared" si="16"/>
        <v>0.24828409363527043</v>
      </c>
      <c r="K19" s="279">
        <f t="shared" si="16"/>
        <v>0.32097542286186026</v>
      </c>
      <c r="L19" s="279">
        <f t="shared" si="16"/>
        <v>0.31054631959316947</v>
      </c>
      <c r="M19" s="279">
        <f t="shared" si="16"/>
        <v>0.35016561396776424</v>
      </c>
    </row>
    <row r="20" spans="2:13" outlineLevel="1" x14ac:dyDescent="0.25">
      <c r="B20" s="277"/>
      <c r="C20" s="279"/>
      <c r="D20" s="279"/>
      <c r="E20" s="279"/>
      <c r="F20" s="279"/>
      <c r="G20" s="279"/>
      <c r="H20" s="279"/>
      <c r="I20" s="279"/>
      <c r="J20" s="279"/>
      <c r="K20" s="279"/>
      <c r="L20" s="279"/>
      <c r="M20" s="279"/>
    </row>
    <row r="21" spans="2:13" outlineLevel="1" x14ac:dyDescent="0.25">
      <c r="B21" s="267" t="s">
        <v>4</v>
      </c>
      <c r="C21" s="289">
        <f>IFERROR('Data Sheet'!B25,0)</f>
        <v>1608.1</v>
      </c>
      <c r="D21" s="289">
        <f>IFERROR('Data Sheet'!C25,0)</f>
        <v>1058.2</v>
      </c>
      <c r="E21" s="289">
        <f>IFERROR('Data Sheet'!D25,0)</f>
        <v>775.7</v>
      </c>
      <c r="F21" s="289">
        <f>IFERROR('Data Sheet'!E25,0)</f>
        <v>376.26</v>
      </c>
      <c r="G21" s="289">
        <f>IFERROR('Data Sheet'!F25,0)</f>
        <v>422.51</v>
      </c>
      <c r="H21" s="289">
        <f>IFERROR('Data Sheet'!G25,0)</f>
        <v>364.28</v>
      </c>
      <c r="I21" s="289">
        <f>IFERROR('Data Sheet'!H25,0)</f>
        <v>984.93</v>
      </c>
      <c r="J21" s="289">
        <f>IFERROR('Data Sheet'!I25,0)</f>
        <v>1672.92</v>
      </c>
      <c r="K21" s="289">
        <f>IFERROR('Data Sheet'!J25,0)</f>
        <v>1923.1</v>
      </c>
      <c r="L21" s="289">
        <f>IFERROR('Data Sheet'!K25,0)</f>
        <v>2608.23</v>
      </c>
      <c r="M21" s="289">
        <f>IFERROR(SUM('Data Sheet'!I44:K44),0)</f>
        <v>2321.0699999999997</v>
      </c>
    </row>
    <row r="22" spans="2:13" outlineLevel="1" x14ac:dyDescent="0.25">
      <c r="B22" s="277" t="s">
        <v>8952</v>
      </c>
      <c r="C22" s="279">
        <f>IFERROR(C21/C6,0)</f>
        <v>9.5957275412477241E-2</v>
      </c>
      <c r="D22" s="279">
        <f t="shared" ref="D22:M22" si="17">IFERROR(D21/D6,0)</f>
        <v>5.8952908982324165E-2</v>
      </c>
      <c r="E22" s="279">
        <f t="shared" si="17"/>
        <v>4.1885037262942133E-2</v>
      </c>
      <c r="F22" s="279">
        <f t="shared" si="17"/>
        <v>1.8805477808876449E-2</v>
      </c>
      <c r="G22" s="279">
        <f t="shared" si="17"/>
        <v>1.9701881450173372E-2</v>
      </c>
      <c r="H22" s="279">
        <f t="shared" si="17"/>
        <v>1.5919714434550342E-2</v>
      </c>
      <c r="I22" s="279">
        <f t="shared" si="17"/>
        <v>4.0005247761780854E-2</v>
      </c>
      <c r="J22" s="279">
        <f t="shared" si="17"/>
        <v>6.2126914309778944E-2</v>
      </c>
      <c r="K22" s="279">
        <f t="shared" si="17"/>
        <v>6.3299263883969892E-2</v>
      </c>
      <c r="L22" s="279">
        <f t="shared" si="17"/>
        <v>8.4188186611449944E-2</v>
      </c>
      <c r="M22" s="279">
        <f t="shared" si="17"/>
        <v>7.2296710957059973E-2</v>
      </c>
    </row>
    <row r="23" spans="2:13" outlineLevel="1" x14ac:dyDescent="0.25">
      <c r="B23" s="277"/>
      <c r="C23" s="279"/>
      <c r="D23" s="279"/>
      <c r="E23" s="279"/>
      <c r="F23" s="279"/>
      <c r="G23" s="279"/>
      <c r="H23" s="279"/>
      <c r="I23" s="279"/>
      <c r="J23" s="279"/>
      <c r="K23" s="279"/>
      <c r="L23" s="279"/>
      <c r="M23" s="279"/>
    </row>
    <row r="24" spans="2:13" outlineLevel="1" x14ac:dyDescent="0.25">
      <c r="B24" s="267" t="s">
        <v>6</v>
      </c>
      <c r="C24" s="289">
        <f>IFERROR('Data Sheet'!B27,0)</f>
        <v>5.9</v>
      </c>
      <c r="D24" s="289">
        <f>IFERROR('Data Sheet'!C27,0)</f>
        <v>16.45</v>
      </c>
      <c r="E24" s="289">
        <f>IFERROR('Data Sheet'!D27,0)</f>
        <v>34.619999999999997</v>
      </c>
      <c r="F24" s="289">
        <f>IFERROR('Data Sheet'!E27,0)</f>
        <v>177.6</v>
      </c>
      <c r="G24" s="289">
        <f>IFERROR('Data Sheet'!F27,0)</f>
        <v>359.59</v>
      </c>
      <c r="H24" s="289">
        <f>IFERROR('Data Sheet'!G27,0)</f>
        <v>266.89</v>
      </c>
      <c r="I24" s="289">
        <f>IFERROR('Data Sheet'!H27,0)</f>
        <v>65.239999999999995</v>
      </c>
      <c r="J24" s="289">
        <f>IFERROR('Data Sheet'!I27,0)</f>
        <v>64.41</v>
      </c>
      <c r="K24" s="289">
        <f>IFERROR('Data Sheet'!J27,0)</f>
        <v>42.63</v>
      </c>
      <c r="L24" s="289">
        <f>IFERROR('Data Sheet'!K27,0)</f>
        <v>21.62</v>
      </c>
      <c r="M24" s="286">
        <f>IFERROR(SUM('Data Sheet'!H46:K46),0)</f>
        <v>9.18</v>
      </c>
    </row>
    <row r="25" spans="2:13" outlineLevel="1" x14ac:dyDescent="0.25">
      <c r="B25" s="277" t="s">
        <v>66</v>
      </c>
      <c r="C25" s="279">
        <f t="shared" ref="C25:M25" si="18">IFERROR(C24/C6,0)</f>
        <v>3.5206014858131697E-4</v>
      </c>
      <c r="D25" s="279">
        <f t="shared" si="18"/>
        <v>9.164386247960994E-4</v>
      </c>
      <c r="E25" s="279">
        <f t="shared" si="18"/>
        <v>1.8693566972322502E-3</v>
      </c>
      <c r="F25" s="279">
        <f t="shared" si="18"/>
        <v>8.8764494202319064E-3</v>
      </c>
      <c r="G25" s="279">
        <f t="shared" si="18"/>
        <v>1.6767886087117091E-2</v>
      </c>
      <c r="H25" s="279">
        <f t="shared" si="18"/>
        <v>1.1663590055553808E-2</v>
      </c>
      <c r="I25" s="279">
        <f t="shared" si="18"/>
        <v>2.6498759952266488E-3</v>
      </c>
      <c r="J25" s="279">
        <f t="shared" si="18"/>
        <v>2.3919820138995655E-3</v>
      </c>
      <c r="K25" s="279">
        <f t="shared" si="18"/>
        <v>1.4031759239632035E-3</v>
      </c>
      <c r="L25" s="279">
        <f t="shared" si="18"/>
        <v>6.9784819380942157E-4</v>
      </c>
      <c r="M25" s="279">
        <f t="shared" si="18"/>
        <v>2.8593872937300927E-4</v>
      </c>
    </row>
    <row r="26" spans="2:13" outlineLevel="1" x14ac:dyDescent="0.25">
      <c r="M26" s="280"/>
    </row>
    <row r="27" spans="2:13" outlineLevel="1" x14ac:dyDescent="0.25">
      <c r="B27" s="267" t="s">
        <v>5</v>
      </c>
      <c r="C27" s="289">
        <f>IFERROR('Data Sheet'!B26,0)</f>
        <v>862.8</v>
      </c>
      <c r="D27" s="289">
        <f>IFERROR('Data Sheet'!C26,0)</f>
        <v>680.68</v>
      </c>
      <c r="E27" s="289">
        <f>IFERROR('Data Sheet'!D26,0)</f>
        <v>947.09</v>
      </c>
      <c r="F27" s="289">
        <f>IFERROR('Data Sheet'!E26,0)</f>
        <v>1025.26</v>
      </c>
      <c r="G27" s="289">
        <f>IFERROR('Data Sheet'!F26,0)</f>
        <v>998.52</v>
      </c>
      <c r="H27" s="289">
        <f>IFERROR('Data Sheet'!G26,0)</f>
        <v>1157.8900000000001</v>
      </c>
      <c r="I27" s="289">
        <f>IFERROR('Data Sheet'!H26,0)</f>
        <v>1110.53</v>
      </c>
      <c r="J27" s="289">
        <f>IFERROR('Data Sheet'!I26,0)</f>
        <v>1784.67</v>
      </c>
      <c r="K27" s="289">
        <f>IFERROR('Data Sheet'!J26,0)</f>
        <v>1407.17</v>
      </c>
      <c r="L27" s="289">
        <f>IFERROR('Data Sheet'!K26,0)</f>
        <v>1340.37</v>
      </c>
      <c r="M27" s="286">
        <f>IFERROR(SUM('Data Sheet'!H45:K45),0)</f>
        <v>1424.29</v>
      </c>
    </row>
    <row r="28" spans="2:13" outlineLevel="1" x14ac:dyDescent="0.25">
      <c r="B28" s="277" t="s">
        <v>67</v>
      </c>
      <c r="C28" s="279">
        <f t="shared" ref="C28:M28" si="19">IFERROR(C27/C6,0)</f>
        <v>5.1484321389145805E-2</v>
      </c>
      <c r="D28" s="279">
        <f t="shared" si="19"/>
        <v>3.7921060372413919E-2</v>
      </c>
      <c r="E28" s="279">
        <f t="shared" si="19"/>
        <v>5.1139486839448065E-2</v>
      </c>
      <c r="F28" s="279">
        <f t="shared" si="19"/>
        <v>5.1242502998800482E-2</v>
      </c>
      <c r="G28" s="279">
        <f t="shared" si="19"/>
        <v>4.6561555148108009E-2</v>
      </c>
      <c r="H28" s="279">
        <f t="shared" si="19"/>
        <v>5.0601949452677882E-2</v>
      </c>
      <c r="I28" s="279">
        <f t="shared" si="19"/>
        <v>4.5106787078158343E-2</v>
      </c>
      <c r="J28" s="279">
        <f t="shared" si="19"/>
        <v>6.6276952969199471E-2</v>
      </c>
      <c r="K28" s="279">
        <f t="shared" si="19"/>
        <v>4.6317313275235771E-2</v>
      </c>
      <c r="L28" s="279">
        <f t="shared" si="19"/>
        <v>4.3264328563197701E-2</v>
      </c>
      <c r="M28" s="279">
        <f t="shared" si="19"/>
        <v>4.4363798786348947E-2</v>
      </c>
    </row>
    <row r="29" spans="2:13" ht="4.5" customHeight="1" outlineLevel="1" x14ac:dyDescent="0.25"/>
    <row r="30" spans="2:13" outlineLevel="1" x14ac:dyDescent="0.25">
      <c r="B30" s="290" t="s">
        <v>69</v>
      </c>
      <c r="C30" s="291">
        <f>IFERROR(SUM(C18,C21)-(SUM(C24,C27)),0)</f>
        <v>3213.3000000000006</v>
      </c>
      <c r="D30" s="291">
        <f t="shared" ref="D30:M30" si="20">IFERROR(SUM(D18,D21)-(SUM(D24,D27)),0)</f>
        <v>3591.7599999999966</v>
      </c>
      <c r="E30" s="291">
        <f t="shared" si="20"/>
        <v>3242.6800000000012</v>
      </c>
      <c r="F30" s="291">
        <f t="shared" si="20"/>
        <v>3724.4300000000021</v>
      </c>
      <c r="G30" s="291">
        <f t="shared" si="20"/>
        <v>3978.6399999999994</v>
      </c>
      <c r="H30" s="291">
        <f t="shared" si="20"/>
        <v>4283.4799999999996</v>
      </c>
      <c r="I30" s="291">
        <f t="shared" si="20"/>
        <v>5224.5300000000025</v>
      </c>
      <c r="J30" s="291">
        <f t="shared" si="20"/>
        <v>6509.4999999999982</v>
      </c>
      <c r="K30" s="291">
        <f t="shared" si="20"/>
        <v>10224.880000000005</v>
      </c>
      <c r="L30" s="291">
        <f t="shared" si="20"/>
        <v>10867.260000000004</v>
      </c>
      <c r="M30" s="291">
        <f t="shared" si="20"/>
        <v>12129.589999999998</v>
      </c>
    </row>
    <row r="31" spans="2:13" outlineLevel="1" x14ac:dyDescent="0.25">
      <c r="B31" s="277" t="s">
        <v>70</v>
      </c>
      <c r="C31" s="279">
        <f t="shared" ref="C31:M31" si="21">IFERROR(C30/C6,0)</f>
        <v>0.19174150431124506</v>
      </c>
      <c r="D31" s="279">
        <f t="shared" si="21"/>
        <v>0.20009894194514499</v>
      </c>
      <c r="E31" s="279">
        <f t="shared" si="21"/>
        <v>0.1750931708544505</v>
      </c>
      <c r="F31" s="279">
        <f t="shared" si="21"/>
        <v>0.18614704118352671</v>
      </c>
      <c r="G31" s="279">
        <f t="shared" si="21"/>
        <v>0.18552624461650086</v>
      </c>
      <c r="H31" s="279">
        <f t="shared" si="21"/>
        <v>0.18719605354701793</v>
      </c>
      <c r="I31" s="279">
        <f t="shared" si="21"/>
        <v>0.21220657010026808</v>
      </c>
      <c r="J31" s="279">
        <f t="shared" si="21"/>
        <v>0.2417420729619503</v>
      </c>
      <c r="K31" s="279">
        <f t="shared" si="21"/>
        <v>0.33655419754663113</v>
      </c>
      <c r="L31" s="279">
        <f t="shared" si="21"/>
        <v>0.35077232944761227</v>
      </c>
      <c r="M31" s="279">
        <f t="shared" si="21"/>
        <v>0.37781258740910229</v>
      </c>
    </row>
    <row r="32" spans="2:13" outlineLevel="1" x14ac:dyDescent="0.25"/>
    <row r="33" spans="2:17" outlineLevel="1" x14ac:dyDescent="0.25">
      <c r="B33" s="267" t="s">
        <v>8</v>
      </c>
      <c r="C33" s="289">
        <f>IFERROR('Data Sheet'!B29,0)</f>
        <v>1209</v>
      </c>
      <c r="D33" s="289">
        <f>IFERROR('Data Sheet'!C29,0)</f>
        <v>966.95</v>
      </c>
      <c r="E33" s="289">
        <f>IFERROR('Data Sheet'!D29,0)</f>
        <v>1252.43</v>
      </c>
      <c r="F33" s="289">
        <f>IFERROR('Data Sheet'!E29,0)</f>
        <v>1396.28</v>
      </c>
      <c r="G33" s="289">
        <f>IFERROR('Data Sheet'!F29,0)</f>
        <v>1095.99</v>
      </c>
      <c r="H33" s="289">
        <f>IFERROR('Data Sheet'!G29,0)</f>
        <v>1037.93</v>
      </c>
      <c r="I33" s="289">
        <f>IFERROR('Data Sheet'!H29,0)</f>
        <v>144.65</v>
      </c>
      <c r="J33" s="289">
        <f>IFERROR('Data Sheet'!I29,0)</f>
        <v>681.77</v>
      </c>
      <c r="K33" s="289">
        <f>IFERROR('Data Sheet'!J29,0)</f>
        <v>2603.9299999999998</v>
      </c>
      <c r="L33" s="289">
        <f>IFERROR('Data Sheet'!K29,0)</f>
        <v>2503.21</v>
      </c>
      <c r="M33" s="289">
        <f>IFERROR(SUM('Data Sheet'!H48:K48),0)</f>
        <v>2872.89</v>
      </c>
    </row>
    <row r="34" spans="2:17" outlineLevel="1" x14ac:dyDescent="0.25">
      <c r="B34" s="277" t="s">
        <v>71</v>
      </c>
      <c r="C34" s="279">
        <f>IFERROR(C33/C30,0)</f>
        <v>0.37624871627299034</v>
      </c>
      <c r="D34" s="279">
        <f t="shared" ref="D34:M34" si="22">IFERROR(D33/D30,0)</f>
        <v>0.26921342183219393</v>
      </c>
      <c r="E34" s="279">
        <f t="shared" si="22"/>
        <v>0.38623299246302428</v>
      </c>
      <c r="F34" s="279">
        <f t="shared" si="22"/>
        <v>0.37489763534285764</v>
      </c>
      <c r="G34" s="279">
        <f t="shared" si="22"/>
        <v>0.27546850179960997</v>
      </c>
      <c r="H34" s="279">
        <f t="shared" si="22"/>
        <v>0.24230999094194444</v>
      </c>
      <c r="I34" s="279">
        <f t="shared" si="22"/>
        <v>2.7686701004683664E-2</v>
      </c>
      <c r="J34" s="279">
        <f t="shared" si="22"/>
        <v>0.10473461863430374</v>
      </c>
      <c r="K34" s="279">
        <f t="shared" si="22"/>
        <v>0.25466606943064357</v>
      </c>
      <c r="L34" s="279">
        <f t="shared" si="22"/>
        <v>0.23034417139186872</v>
      </c>
      <c r="M34" s="279">
        <f t="shared" si="22"/>
        <v>0.23684972039450636</v>
      </c>
    </row>
    <row r="35" spans="2:17" ht="4.5" customHeight="1" outlineLevel="1" x14ac:dyDescent="0.25"/>
    <row r="36" spans="2:17" s="293" customFormat="1" outlineLevel="1" x14ac:dyDescent="0.25">
      <c r="B36" s="282" t="s">
        <v>72</v>
      </c>
      <c r="C36" s="292">
        <f>C30-C33</f>
        <v>2004.3000000000006</v>
      </c>
      <c r="D36" s="292">
        <f t="shared" ref="D36:M36" si="23">D30-D33</f>
        <v>2624.8099999999968</v>
      </c>
      <c r="E36" s="292">
        <f t="shared" si="23"/>
        <v>1990.2500000000011</v>
      </c>
      <c r="F36" s="292">
        <f t="shared" si="23"/>
        <v>2328.1500000000024</v>
      </c>
      <c r="G36" s="292">
        <f t="shared" si="23"/>
        <v>2882.6499999999996</v>
      </c>
      <c r="H36" s="292">
        <f t="shared" si="23"/>
        <v>3245.5499999999993</v>
      </c>
      <c r="I36" s="292">
        <f t="shared" si="23"/>
        <v>5079.8800000000028</v>
      </c>
      <c r="J36" s="292">
        <f t="shared" si="23"/>
        <v>5827.7299999999977</v>
      </c>
      <c r="K36" s="292">
        <f t="shared" si="23"/>
        <v>7620.9500000000044</v>
      </c>
      <c r="L36" s="292">
        <f t="shared" si="23"/>
        <v>8364.0500000000029</v>
      </c>
      <c r="M36" s="292">
        <f t="shared" si="23"/>
        <v>9256.6999999999989</v>
      </c>
    </row>
    <row r="37" spans="2:17" outlineLevel="1" x14ac:dyDescent="0.25">
      <c r="B37" s="277" t="s">
        <v>73</v>
      </c>
      <c r="C37" s="279">
        <f t="shared" ref="C37:M37" si="24">IFERROR(C36/C6,0)</f>
        <v>0.11959900945788708</v>
      </c>
      <c r="D37" s="279">
        <f t="shared" si="24"/>
        <v>0.14622962107909099</v>
      </c>
      <c r="E37" s="279">
        <f t="shared" si="24"/>
        <v>0.10746641151549649</v>
      </c>
      <c r="F37" s="279">
        <f t="shared" si="24"/>
        <v>0.11636095561775302</v>
      </c>
      <c r="G37" s="279">
        <f t="shared" si="24"/>
        <v>0.13441960796748542</v>
      </c>
      <c r="H37" s="279">
        <f t="shared" si="24"/>
        <v>0.14183657950767226</v>
      </c>
      <c r="I37" s="279">
        <f t="shared" si="24"/>
        <v>0.20633127024267253</v>
      </c>
      <c r="J37" s="279">
        <f t="shared" si="24"/>
        <v>0.21642330914241439</v>
      </c>
      <c r="K37" s="279">
        <f t="shared" si="24"/>
        <v>0.25084526290704623</v>
      </c>
      <c r="L37" s="279">
        <f t="shared" si="24"/>
        <v>0.2699739678738064</v>
      </c>
      <c r="M37" s="279">
        <f t="shared" si="24"/>
        <v>0.28832778171973145</v>
      </c>
      <c r="Q37" s="289"/>
    </row>
    <row r="38" spans="2:17" outlineLevel="1" x14ac:dyDescent="0.25"/>
    <row r="39" spans="2:17" outlineLevel="1" x14ac:dyDescent="0.25">
      <c r="B39" s="267" t="s">
        <v>39</v>
      </c>
      <c r="C39" s="267">
        <f>IFERROR('Data Sheet'!B93,0)</f>
        <v>72.3</v>
      </c>
      <c r="D39" s="267">
        <f>IFERROR('Data Sheet'!C93,0)</f>
        <v>72.3</v>
      </c>
      <c r="E39" s="267">
        <f>IFERROR('Data Sheet'!D93,0)</f>
        <v>66.88</v>
      </c>
      <c r="F39" s="267">
        <f>IFERROR('Data Sheet'!E93,0)</f>
        <v>66.88</v>
      </c>
      <c r="G39" s="267">
        <f>IFERROR('Data Sheet'!F93,0)</f>
        <v>66.88</v>
      </c>
      <c r="H39" s="267">
        <f>IFERROR('Data Sheet'!G93,0)</f>
        <v>66.88</v>
      </c>
      <c r="I39" s="267">
        <f>IFERROR('Data Sheet'!H93,0)</f>
        <v>66.88</v>
      </c>
      <c r="J39" s="267">
        <f>IFERROR('Data Sheet'!I93,0)</f>
        <v>66.88</v>
      </c>
      <c r="K39" s="267">
        <f>IFERROR('Data Sheet'!J93,0)</f>
        <v>66.88</v>
      </c>
      <c r="L39" s="267">
        <f>IFERROR('Data Sheet'!K93,0)</f>
        <v>66.88</v>
      </c>
      <c r="M39" s="267">
        <f>IFERROR('Data Sheet'!L93,0)</f>
        <v>0</v>
      </c>
    </row>
    <row r="40" spans="2:17" outlineLevel="1" x14ac:dyDescent="0.25"/>
    <row r="41" spans="2:17" outlineLevel="1" x14ac:dyDescent="0.25">
      <c r="B41" s="267" t="s">
        <v>74</v>
      </c>
      <c r="C41" s="289">
        <f>IFERROR(C36/C39,0)</f>
        <v>27.721991701244825</v>
      </c>
      <c r="D41" s="289">
        <f t="shared" ref="D41:M41" si="25">IFERROR(D36/D39,0)</f>
        <v>36.304426002766206</v>
      </c>
      <c r="E41" s="289">
        <f t="shared" si="25"/>
        <v>29.758522727272748</v>
      </c>
      <c r="F41" s="289">
        <f t="shared" si="25"/>
        <v>34.810855263157933</v>
      </c>
      <c r="G41" s="289">
        <f t="shared" si="25"/>
        <v>43.101824162679421</v>
      </c>
      <c r="H41" s="289">
        <f t="shared" si="25"/>
        <v>48.52796052631578</v>
      </c>
      <c r="I41" s="289">
        <f t="shared" si="25"/>
        <v>75.955143540669908</v>
      </c>
      <c r="J41" s="289">
        <f t="shared" si="25"/>
        <v>87.13711124401911</v>
      </c>
      <c r="K41" s="289">
        <f t="shared" si="25"/>
        <v>113.94961124401921</v>
      </c>
      <c r="L41" s="289">
        <f t="shared" si="25"/>
        <v>125.06055622009575</v>
      </c>
      <c r="M41" s="289">
        <f t="shared" si="25"/>
        <v>0</v>
      </c>
    </row>
    <row r="42" spans="2:17" outlineLevel="1" x14ac:dyDescent="0.25">
      <c r="B42" s="277" t="s">
        <v>76</v>
      </c>
      <c r="C42" s="278" t="s">
        <v>59</v>
      </c>
      <c r="D42" s="279">
        <f>IFERROR(D41/C41-1,0)</f>
        <v>0.30958938282691983</v>
      </c>
      <c r="E42" s="279">
        <f t="shared" ref="E42:M42" si="26">IFERROR(E41/D41-1,0)</f>
        <v>-0.18030592950277458</v>
      </c>
      <c r="F42" s="279">
        <f t="shared" si="26"/>
        <v>0.1697776661223469</v>
      </c>
      <c r="G42" s="279">
        <f t="shared" si="26"/>
        <v>0.23817193909326995</v>
      </c>
      <c r="H42" s="279">
        <f t="shared" si="26"/>
        <v>0.12589110714099871</v>
      </c>
      <c r="I42" s="279">
        <f t="shared" si="26"/>
        <v>0.56518309685569612</v>
      </c>
      <c r="J42" s="279">
        <f t="shared" si="26"/>
        <v>0.14721804452073561</v>
      </c>
      <c r="K42" s="279">
        <f t="shared" si="26"/>
        <v>0.3077047152150163</v>
      </c>
      <c r="L42" s="279">
        <f t="shared" si="26"/>
        <v>9.7507528588955283E-2</v>
      </c>
      <c r="M42" s="279">
        <f t="shared" si="26"/>
        <v>-1</v>
      </c>
    </row>
    <row r="43" spans="2:17" outlineLevel="1" x14ac:dyDescent="0.25"/>
    <row r="44" spans="2:17" outlineLevel="1" x14ac:dyDescent="0.25">
      <c r="B44" s="267" t="s">
        <v>75</v>
      </c>
      <c r="C44" s="289">
        <f>IFERROR('Data Sheet'!B31/'Historical FS'!C39,0)</f>
        <v>8.7000000000000011</v>
      </c>
      <c r="D44" s="289">
        <f>IFERROR('Data Sheet'!C31/'Historical FS'!D39,0)</f>
        <v>11.065006915629322</v>
      </c>
      <c r="E44" s="289">
        <f>IFERROR('Data Sheet'!D31/'Historical FS'!E39,0)</f>
        <v>16.084479665071772</v>
      </c>
      <c r="F44" s="289">
        <f>IFERROR('Data Sheet'!E31/'Historical FS'!F39,0)</f>
        <v>9.8996710526315805</v>
      </c>
      <c r="G44" s="289">
        <f>IFERROR('Data Sheet'!F31/'Historical FS'!G39,0)</f>
        <v>16.624551435406698</v>
      </c>
      <c r="H44" s="289">
        <f>IFERROR('Data Sheet'!G31/'Historical FS'!H39,0)</f>
        <v>14.999551435406699</v>
      </c>
      <c r="I44" s="289">
        <f>IFERROR('Data Sheet'!H31/'Historical FS'!I39,0)</f>
        <v>19.999401913875598</v>
      </c>
      <c r="J44" s="289">
        <f>IFERROR('Data Sheet'!I31/'Historical FS'!J39,0)</f>
        <v>27.499102870813399</v>
      </c>
      <c r="K44" s="289">
        <f>IFERROR('Data Sheet'!J31/'Historical FS'!K39,0)</f>
        <v>34.998953349282303</v>
      </c>
      <c r="L44" s="289">
        <f>IFERROR('Data Sheet'!K31/'Historical FS'!L39,0)</f>
        <v>39.998803827751196</v>
      </c>
      <c r="M44" s="289">
        <f>IFERROR('Data Sheet'!L31/'Historical FS'!M39,0)</f>
        <v>0</v>
      </c>
    </row>
    <row r="45" spans="2:17" outlineLevel="1" x14ac:dyDescent="0.25">
      <c r="B45" s="277" t="s">
        <v>77</v>
      </c>
      <c r="C45" s="278" t="s">
        <v>59</v>
      </c>
      <c r="D45" s="279">
        <f>IFERROR(D44/C44-1,0)</f>
        <v>0.27183987535969201</v>
      </c>
      <c r="E45" s="279">
        <f t="shared" ref="E45:M45" si="27">IFERROR(E44/D44-1,0)</f>
        <v>0.45363484973086132</v>
      </c>
      <c r="F45" s="279">
        <f t="shared" si="27"/>
        <v>-0.38452027925222865</v>
      </c>
      <c r="G45" s="279">
        <f t="shared" si="27"/>
        <v>0.6793034179643247</v>
      </c>
      <c r="H45" s="279">
        <f t="shared" si="27"/>
        <v>-9.7746998246166172E-2</v>
      </c>
      <c r="I45" s="279">
        <f t="shared" si="27"/>
        <v>0.33333333333333326</v>
      </c>
      <c r="J45" s="279">
        <f t="shared" si="27"/>
        <v>0.37499626184993584</v>
      </c>
      <c r="K45" s="279">
        <f t="shared" si="27"/>
        <v>0.27273073284252436</v>
      </c>
      <c r="L45" s="279">
        <f t="shared" si="27"/>
        <v>0.14285714285714257</v>
      </c>
      <c r="M45" s="279">
        <f t="shared" si="27"/>
        <v>-1</v>
      </c>
    </row>
    <row r="46" spans="2:17" outlineLevel="1" x14ac:dyDescent="0.25">
      <c r="B46" s="277" t="s">
        <v>126</v>
      </c>
      <c r="C46" s="278">
        <f>IFERROR(C44/C41,0)</f>
        <v>0.31383026493039956</v>
      </c>
      <c r="D46" s="278">
        <f t="shared" ref="D46:M46" si="28">IFERROR(D44/D41,0)</f>
        <v>0.3047839653155851</v>
      </c>
      <c r="E46" s="278">
        <f t="shared" si="28"/>
        <v>0.5404999371938195</v>
      </c>
      <c r="F46" s="278">
        <f t="shared" si="28"/>
        <v>0.28438459721237869</v>
      </c>
      <c r="G46" s="278">
        <f t="shared" si="28"/>
        <v>0.38570412641146168</v>
      </c>
      <c r="H46" s="278">
        <f t="shared" si="28"/>
        <v>0.30909090909090919</v>
      </c>
      <c r="I46" s="278">
        <f t="shared" si="28"/>
        <v>0.26330543241178905</v>
      </c>
      <c r="J46" s="278">
        <f t="shared" si="28"/>
        <v>0.31558428410375922</v>
      </c>
      <c r="K46" s="278">
        <f t="shared" si="28"/>
        <v>0.30714412245192513</v>
      </c>
      <c r="L46" s="278">
        <f t="shared" si="28"/>
        <v>0.31983548639713999</v>
      </c>
      <c r="M46" s="278">
        <f t="shared" si="28"/>
        <v>0</v>
      </c>
    </row>
    <row r="47" spans="2:17" outlineLevel="1" x14ac:dyDescent="0.25">
      <c r="B47" s="277" t="s">
        <v>120</v>
      </c>
      <c r="C47" s="278">
        <f>IFERROR(1-C46,0)</f>
        <v>0.68616973506960044</v>
      </c>
      <c r="D47" s="278">
        <f t="shared" ref="D47:M47" si="29">IFERROR(1-D46,0)</f>
        <v>0.69521603468441495</v>
      </c>
      <c r="E47" s="278">
        <f t="shared" si="29"/>
        <v>0.4595000628061805</v>
      </c>
      <c r="F47" s="278">
        <f t="shared" si="29"/>
        <v>0.71561540278762137</v>
      </c>
      <c r="G47" s="278">
        <f t="shared" si="29"/>
        <v>0.61429587358853832</v>
      </c>
      <c r="H47" s="278">
        <f t="shared" si="29"/>
        <v>0.69090909090909081</v>
      </c>
      <c r="I47" s="278">
        <f t="shared" si="29"/>
        <v>0.73669456758821095</v>
      </c>
      <c r="J47" s="278">
        <f t="shared" si="29"/>
        <v>0.68441571589624073</v>
      </c>
      <c r="K47" s="278">
        <f t="shared" si="29"/>
        <v>0.69285587754807487</v>
      </c>
      <c r="L47" s="278">
        <f t="shared" si="29"/>
        <v>0.68016451360286001</v>
      </c>
      <c r="M47" s="278">
        <f t="shared" si="29"/>
        <v>1</v>
      </c>
    </row>
    <row r="48" spans="2:17" x14ac:dyDescent="0.25">
      <c r="B48" s="277"/>
      <c r="C48" s="278"/>
      <c r="D48" s="279"/>
      <c r="E48" s="279"/>
      <c r="F48" s="279"/>
      <c r="G48" s="279"/>
      <c r="H48" s="279"/>
      <c r="I48" s="279"/>
      <c r="J48" s="279"/>
      <c r="K48" s="279"/>
      <c r="L48" s="279"/>
      <c r="M48" s="279"/>
    </row>
    <row r="50" spans="1:13" x14ac:dyDescent="0.25">
      <c r="A50" s="267" t="s">
        <v>78</v>
      </c>
      <c r="B50" s="274" t="s">
        <v>79</v>
      </c>
      <c r="C50" s="274"/>
      <c r="D50" s="274"/>
      <c r="E50" s="274"/>
      <c r="F50" s="274"/>
      <c r="G50" s="274"/>
      <c r="H50" s="274"/>
      <c r="I50" s="274"/>
      <c r="J50" s="274"/>
      <c r="K50" s="274"/>
      <c r="L50" s="274"/>
      <c r="M50" s="274"/>
    </row>
    <row r="51" spans="1:13" outlineLevel="1" x14ac:dyDescent="0.25">
      <c r="B51" s="267" t="s">
        <v>11</v>
      </c>
      <c r="C51" s="289">
        <f>IFERROR('Data Sheet'!B57,0)</f>
        <v>361.5</v>
      </c>
      <c r="D51" s="289">
        <f>IFERROR('Data Sheet'!C57,0)</f>
        <v>361.5</v>
      </c>
      <c r="E51" s="289">
        <f>IFERROR('Data Sheet'!D57,0)</f>
        <v>334.39</v>
      </c>
      <c r="F51" s="289">
        <f>IFERROR('Data Sheet'!E57,0)</f>
        <v>334.39</v>
      </c>
      <c r="G51" s="289">
        <f>IFERROR('Data Sheet'!F57,0)</f>
        <v>334.39</v>
      </c>
      <c r="H51" s="289">
        <f>IFERROR('Data Sheet'!G57,0)</f>
        <v>334.39</v>
      </c>
      <c r="I51" s="289">
        <f>IFERROR('Data Sheet'!H57,0)</f>
        <v>334.39</v>
      </c>
      <c r="J51" s="289">
        <f>IFERROR('Data Sheet'!I57,0)</f>
        <v>334.39</v>
      </c>
      <c r="K51" s="289">
        <f>IFERROR('Data Sheet'!J57,0)</f>
        <v>334.39</v>
      </c>
      <c r="L51" s="289">
        <f>IFERROR('Data Sheet'!K57,0)</f>
        <v>334.39</v>
      </c>
      <c r="M51" s="289"/>
    </row>
    <row r="52" spans="1:13" outlineLevel="1" x14ac:dyDescent="0.25">
      <c r="B52" s="267" t="s">
        <v>12</v>
      </c>
      <c r="C52" s="289">
        <f>IFERROR('Data Sheet'!B58,0)</f>
        <v>10670.9</v>
      </c>
      <c r="D52" s="289">
        <f>IFERROR('Data Sheet'!C58,0)</f>
        <v>12197.61</v>
      </c>
      <c r="E52" s="289">
        <f>IFERROR('Data Sheet'!D58,0)</f>
        <v>9176.86</v>
      </c>
      <c r="F52" s="289">
        <f>IFERROR('Data Sheet'!E58,0)</f>
        <v>11747.73</v>
      </c>
      <c r="G52" s="289">
        <f>IFERROR('Data Sheet'!F58,0)</f>
        <v>12914.12</v>
      </c>
      <c r="H52" s="289">
        <f>IFERROR('Data Sheet'!G58,0)</f>
        <v>15089.51</v>
      </c>
      <c r="I52" s="289">
        <f>IFERROR('Data Sheet'!H58,0)</f>
        <v>18978.740000000002</v>
      </c>
      <c r="J52" s="289">
        <f>IFERROR('Data Sheet'!I58,0)</f>
        <v>23237.759999999998</v>
      </c>
      <c r="K52" s="289">
        <f>IFERROR('Data Sheet'!J58,0)</f>
        <v>28803.78</v>
      </c>
      <c r="L52" s="289">
        <f>IFERROR('Data Sheet'!K58,0)</f>
        <v>34647.22</v>
      </c>
      <c r="M52" s="289"/>
    </row>
    <row r="53" spans="1:13" outlineLevel="1" x14ac:dyDescent="0.25">
      <c r="B53" s="267" t="s">
        <v>36</v>
      </c>
      <c r="C53" s="289">
        <f>IFERROR('Data Sheet'!B59,0)</f>
        <v>79.8</v>
      </c>
      <c r="D53" s="289">
        <f>IFERROR('Data Sheet'!C59,0)</f>
        <v>1022.03</v>
      </c>
      <c r="E53" s="289">
        <f>IFERROR('Data Sheet'!D59,0)</f>
        <v>904.52</v>
      </c>
      <c r="F53" s="289">
        <f>IFERROR('Data Sheet'!E59,0)</f>
        <v>4116.2</v>
      </c>
      <c r="G53" s="289">
        <f>IFERROR('Data Sheet'!F59,0)</f>
        <v>5926.97</v>
      </c>
      <c r="H53" s="289">
        <f>IFERROR('Data Sheet'!G59,0)</f>
        <v>53.28</v>
      </c>
      <c r="I53" s="289">
        <f>IFERROR('Data Sheet'!H59,0)</f>
        <v>49.27</v>
      </c>
      <c r="J53" s="289">
        <f>IFERROR('Data Sheet'!I59,0)</f>
        <v>51.69</v>
      </c>
      <c r="K53" s="289">
        <f>IFERROR('Data Sheet'!J59,0)</f>
        <v>50.12</v>
      </c>
      <c r="L53" s="289">
        <f>IFERROR('Data Sheet'!K59,0)</f>
        <v>51.44</v>
      </c>
      <c r="M53" s="289"/>
    </row>
    <row r="54" spans="1:13" outlineLevel="1" x14ac:dyDescent="0.25">
      <c r="B54" s="267" t="s">
        <v>37</v>
      </c>
      <c r="C54" s="289">
        <f>IFERROR('Data Sheet'!B60,0)</f>
        <v>45419.7</v>
      </c>
      <c r="D54" s="289">
        <f>IFERROR('Data Sheet'!C60,0)</f>
        <v>38162.559999999998</v>
      </c>
      <c r="E54" s="289">
        <f>IFERROR('Data Sheet'!D60,0)</f>
        <v>38046.839999999997</v>
      </c>
      <c r="F54" s="289">
        <f>IFERROR('Data Sheet'!E60,0)</f>
        <v>35298.01</v>
      </c>
      <c r="G54" s="289">
        <f>IFERROR('Data Sheet'!F60,0)</f>
        <v>35027.18</v>
      </c>
      <c r="H54" s="289">
        <f>IFERROR('Data Sheet'!G60,0)</f>
        <v>37619.24</v>
      </c>
      <c r="I54" s="289">
        <f>IFERROR('Data Sheet'!H60,0)</f>
        <v>40891.94</v>
      </c>
      <c r="J54" s="289">
        <f>IFERROR('Data Sheet'!I60,0)</f>
        <v>45652.160000000003</v>
      </c>
      <c r="K54" s="289">
        <f>IFERROR('Data Sheet'!J60,0)</f>
        <v>51722.55</v>
      </c>
      <c r="L54" s="289">
        <f>IFERROR('Data Sheet'!K60,0)</f>
        <v>73665.41</v>
      </c>
      <c r="M54" s="289"/>
    </row>
    <row r="55" spans="1:13" outlineLevel="1" x14ac:dyDescent="0.25">
      <c r="B55" s="282" t="s">
        <v>80</v>
      </c>
      <c r="C55" s="292">
        <f>IFERROR(SUM(C51:C54),0)</f>
        <v>56531.899999999994</v>
      </c>
      <c r="D55" s="292">
        <f t="shared" ref="D55:L55" si="30">IFERROR(SUM(D51:D54),0)</f>
        <v>51743.7</v>
      </c>
      <c r="E55" s="292">
        <f t="shared" si="30"/>
        <v>48462.61</v>
      </c>
      <c r="F55" s="292">
        <f t="shared" si="30"/>
        <v>51496.33</v>
      </c>
      <c r="G55" s="292">
        <f t="shared" si="30"/>
        <v>54202.66</v>
      </c>
      <c r="H55" s="292">
        <f t="shared" si="30"/>
        <v>53096.42</v>
      </c>
      <c r="I55" s="292">
        <f t="shared" si="30"/>
        <v>60254.340000000004</v>
      </c>
      <c r="J55" s="292">
        <f t="shared" si="30"/>
        <v>69276</v>
      </c>
      <c r="K55" s="292">
        <f t="shared" si="30"/>
        <v>80910.84</v>
      </c>
      <c r="L55" s="292">
        <f t="shared" si="30"/>
        <v>108698.46</v>
      </c>
      <c r="M55" s="289"/>
    </row>
    <row r="56" spans="1:13" outlineLevel="1" x14ac:dyDescent="0.25">
      <c r="B56" s="293"/>
    </row>
    <row r="57" spans="1:13" outlineLevel="1" x14ac:dyDescent="0.25">
      <c r="B57" s="267" t="s">
        <v>83</v>
      </c>
      <c r="C57" s="289">
        <f>IFERROR('Data Sheet'!B62,0)</f>
        <v>6925.2</v>
      </c>
      <c r="D57" s="289">
        <f>IFERROR('Data Sheet'!C62,0)</f>
        <v>7349.56</v>
      </c>
      <c r="E57" s="289">
        <f>IFERROR('Data Sheet'!D62,0)</f>
        <v>7566.22</v>
      </c>
      <c r="F57" s="289">
        <f>IFERROR('Data Sheet'!E62,0)</f>
        <v>7459.35</v>
      </c>
      <c r="G57" s="289">
        <f>IFERROR('Data Sheet'!F62,0)</f>
        <v>7357.49</v>
      </c>
      <c r="H57" s="289">
        <f>IFERROR('Data Sheet'!G62,0)</f>
        <v>7165.88</v>
      </c>
      <c r="I57" s="289">
        <f>IFERROR('Data Sheet'!H62,0)</f>
        <v>6765.88</v>
      </c>
      <c r="J57" s="289">
        <f>IFERROR('Data Sheet'!I62,0)</f>
        <v>6834.4</v>
      </c>
      <c r="K57" s="289">
        <f>IFERROR('Data Sheet'!J62,0)</f>
        <v>6736.89</v>
      </c>
      <c r="L57" s="289">
        <f>IFERROR('Data Sheet'!K62,0)</f>
        <v>6670.8</v>
      </c>
    </row>
    <row r="58" spans="1:13" outlineLevel="1" x14ac:dyDescent="0.25">
      <c r="B58" s="267" t="s">
        <v>15</v>
      </c>
      <c r="C58" s="289">
        <f>IFERROR('Data Sheet'!B63,0)</f>
        <v>1025.4000000000001</v>
      </c>
      <c r="D58" s="289">
        <f>IFERROR('Data Sheet'!C63,0)</f>
        <v>1389.4</v>
      </c>
      <c r="E58" s="289">
        <f>IFERROR('Data Sheet'!D63,0)</f>
        <v>1461.72</v>
      </c>
      <c r="F58" s="289">
        <f>IFERROR('Data Sheet'!E63,0)</f>
        <v>1502.11</v>
      </c>
      <c r="G58" s="289">
        <f>IFERROR('Data Sheet'!F63,0)</f>
        <v>2042.69</v>
      </c>
      <c r="H58" s="289">
        <f>IFERROR('Data Sheet'!G63,0)</f>
        <v>1949.6</v>
      </c>
      <c r="I58" s="289">
        <f>IFERROR('Data Sheet'!H63,0)</f>
        <v>2472.94</v>
      </c>
      <c r="J58" s="289">
        <f>IFERROR('Data Sheet'!I63,0)</f>
        <v>1885</v>
      </c>
      <c r="K58" s="289">
        <f>IFERROR('Data Sheet'!J63,0)</f>
        <v>2493.4299999999998</v>
      </c>
      <c r="L58" s="289">
        <f>IFERROR('Data Sheet'!K63,0)</f>
        <v>3097.75</v>
      </c>
    </row>
    <row r="59" spans="1:13" outlineLevel="1" x14ac:dyDescent="0.25">
      <c r="B59" s="267" t="s">
        <v>16</v>
      </c>
      <c r="C59" s="289">
        <f>IFERROR('Data Sheet'!B64,0)</f>
        <v>915.8</v>
      </c>
      <c r="D59" s="289">
        <f>IFERROR('Data Sheet'!C64,0)</f>
        <v>993.99</v>
      </c>
      <c r="E59" s="289">
        <f>IFERROR('Data Sheet'!D64,0)</f>
        <v>1010.11</v>
      </c>
      <c r="F59" s="289">
        <f>IFERROR('Data Sheet'!E64,0)</f>
        <v>909.64</v>
      </c>
      <c r="G59" s="289">
        <f>IFERROR('Data Sheet'!F64,0)</f>
        <v>990.8</v>
      </c>
      <c r="H59" s="289">
        <f>IFERROR('Data Sheet'!G64,0)</f>
        <v>1121.32</v>
      </c>
      <c r="I59" s="289">
        <f>IFERROR('Data Sheet'!H64,0)</f>
        <v>1362.7</v>
      </c>
      <c r="J59" s="289">
        <f>IFERROR('Data Sheet'!I64,0)</f>
        <v>1457.92</v>
      </c>
      <c r="K59" s="289">
        <f>IFERROR('Data Sheet'!J64,0)</f>
        <v>1591.33</v>
      </c>
      <c r="L59" s="289">
        <f>IFERROR('Data Sheet'!K64,0)</f>
        <v>1754.2</v>
      </c>
    </row>
    <row r="60" spans="1:13" outlineLevel="1" x14ac:dyDescent="0.25">
      <c r="B60" s="267" t="s">
        <v>38</v>
      </c>
      <c r="C60" s="289">
        <f>IFERROR('Data Sheet'!B65-SUM('Data Sheet'!B67:B69),0)</f>
        <v>5543.5</v>
      </c>
      <c r="D60" s="289">
        <f>IFERROR('Data Sheet'!C65-SUM('Data Sheet'!C67:C69),0)</f>
        <v>5121.8000000000029</v>
      </c>
      <c r="E60" s="289">
        <f>IFERROR('Data Sheet'!D65-SUM('Data Sheet'!D67:D69),0)</f>
        <v>4996.7699999999968</v>
      </c>
      <c r="F60" s="289">
        <f>IFERROR('Data Sheet'!E65-SUM('Data Sheet'!E67:E69),0)</f>
        <v>8596.7699999999968</v>
      </c>
      <c r="G60" s="289">
        <f>IFERROR('Data Sheet'!F65-SUM('Data Sheet'!F67:F69),0)</f>
        <v>11899.21</v>
      </c>
      <c r="H60" s="289">
        <f>IFERROR('Data Sheet'!G65-SUM('Data Sheet'!G67:G69),0)</f>
        <v>12008.810000000005</v>
      </c>
      <c r="I60" s="289">
        <f>IFERROR('Data Sheet'!H65-SUM('Data Sheet'!H67:H69),0)</f>
        <v>14453.93</v>
      </c>
      <c r="J60" s="289">
        <f>IFERROR('Data Sheet'!I65-SUM('Data Sheet'!I67:I69),0)</f>
        <v>19842</v>
      </c>
      <c r="K60" s="289">
        <f>IFERROR('Data Sheet'!J65-SUM('Data Sheet'!J67:J69),0)</f>
        <v>23007.53</v>
      </c>
      <c r="L60" s="289">
        <f>IFERROR('Data Sheet'!K65-SUM('Data Sheet'!K67:K69),0)</f>
        <v>30238.36</v>
      </c>
    </row>
    <row r="61" spans="1:13" outlineLevel="1" x14ac:dyDescent="0.25">
      <c r="B61" s="282" t="s">
        <v>82</v>
      </c>
      <c r="C61" s="292">
        <f>IFERROR(SUM(C57:C60),0)</f>
        <v>14409.9</v>
      </c>
      <c r="D61" s="292">
        <f t="shared" ref="D61:L61" si="31">IFERROR(SUM(D57:D60),0)</f>
        <v>14854.750000000004</v>
      </c>
      <c r="E61" s="292">
        <f t="shared" si="31"/>
        <v>15034.819999999998</v>
      </c>
      <c r="F61" s="292">
        <f t="shared" si="31"/>
        <v>18467.869999999995</v>
      </c>
      <c r="G61" s="292">
        <f t="shared" si="31"/>
        <v>22290.19</v>
      </c>
      <c r="H61" s="292">
        <f t="shared" si="31"/>
        <v>22245.610000000004</v>
      </c>
      <c r="I61" s="292">
        <f t="shared" si="31"/>
        <v>25055.45</v>
      </c>
      <c r="J61" s="292">
        <f t="shared" si="31"/>
        <v>30019.32</v>
      </c>
      <c r="K61" s="292">
        <f t="shared" si="31"/>
        <v>33829.18</v>
      </c>
      <c r="L61" s="292">
        <f t="shared" si="31"/>
        <v>41761.11</v>
      </c>
    </row>
    <row r="62" spans="1:13" outlineLevel="1" x14ac:dyDescent="0.25"/>
    <row r="63" spans="1:13" outlineLevel="1" x14ac:dyDescent="0.25">
      <c r="B63" s="267" t="s">
        <v>43</v>
      </c>
      <c r="C63" s="289">
        <f>IFERROR('Data Sheet'!B67,0)</f>
        <v>4836.8999999999996</v>
      </c>
      <c r="D63" s="289">
        <f>IFERROR('Data Sheet'!C67,0)</f>
        <v>4220.16</v>
      </c>
      <c r="E63" s="289">
        <f>IFERROR('Data Sheet'!D67,0)</f>
        <v>6751.54</v>
      </c>
      <c r="F63" s="289">
        <f>IFERROR('Data Sheet'!E67,0)</f>
        <v>12458</v>
      </c>
      <c r="G63" s="289">
        <f>IFERROR('Data Sheet'!F67,0)</f>
        <v>11234.73</v>
      </c>
      <c r="H63" s="289">
        <f>IFERROR('Data Sheet'!G67,0)</f>
        <v>5668.05</v>
      </c>
      <c r="I63" s="289">
        <f>IFERROR('Data Sheet'!H67,0)</f>
        <v>4641.53</v>
      </c>
      <c r="J63" s="289">
        <f>IFERROR('Data Sheet'!I67,0)</f>
        <v>4719.18</v>
      </c>
      <c r="K63" s="289">
        <f>IFERROR('Data Sheet'!J67,0)</f>
        <v>4616.8500000000004</v>
      </c>
      <c r="L63" s="289">
        <f>IFERROR('Data Sheet'!K67,0)</f>
        <v>4647.79</v>
      </c>
    </row>
    <row r="64" spans="1:13" outlineLevel="1" x14ac:dyDescent="0.25">
      <c r="B64" s="267" t="s">
        <v>30</v>
      </c>
      <c r="C64" s="289">
        <f>IFERROR('Data Sheet'!B68,0)</f>
        <v>23981.7</v>
      </c>
      <c r="D64" s="289">
        <f>IFERROR('Data Sheet'!C68,0)</f>
        <v>21519.73</v>
      </c>
      <c r="E64" s="289">
        <f>IFERROR('Data Sheet'!D68,0)</f>
        <v>20130.73</v>
      </c>
      <c r="F64" s="289">
        <f>IFERROR('Data Sheet'!E68,0)</f>
        <v>20446.8</v>
      </c>
      <c r="G64" s="289">
        <f>IFERROR('Data Sheet'!F68,0)</f>
        <v>20361.18</v>
      </c>
      <c r="H64" s="289">
        <f>IFERROR('Data Sheet'!G68,0)</f>
        <v>18005.41</v>
      </c>
      <c r="I64" s="289">
        <f>IFERROR('Data Sheet'!H68,0)</f>
        <v>16209.64</v>
      </c>
      <c r="J64" s="289">
        <f>IFERROR('Data Sheet'!I68,0)</f>
        <v>14220.89</v>
      </c>
      <c r="K64" s="289">
        <f>IFERROR('Data Sheet'!J68,0)</f>
        <v>16033.2</v>
      </c>
      <c r="L64" s="289">
        <f>IFERROR('Data Sheet'!K68,0)</f>
        <v>24107.31</v>
      </c>
    </row>
    <row r="65" spans="1:13" outlineLevel="1" x14ac:dyDescent="0.25">
      <c r="B65" s="267" t="s">
        <v>52</v>
      </c>
      <c r="C65" s="289">
        <f>IFERROR('Data Sheet'!B69,0)</f>
        <v>13303.4</v>
      </c>
      <c r="D65" s="289">
        <f>IFERROR('Data Sheet'!C69,0)</f>
        <v>11149.06</v>
      </c>
      <c r="E65" s="289">
        <f>IFERROR('Data Sheet'!D69,0)</f>
        <v>6545.52</v>
      </c>
      <c r="F65" s="289">
        <f>IFERROR('Data Sheet'!E69,0)</f>
        <v>123.66</v>
      </c>
      <c r="G65" s="289">
        <f>IFERROR('Data Sheet'!F69,0)</f>
        <v>316.56</v>
      </c>
      <c r="H65" s="289">
        <f>IFERROR('Data Sheet'!G69,0)</f>
        <v>7177.35</v>
      </c>
      <c r="I65" s="289">
        <f>IFERROR('Data Sheet'!H69,0)</f>
        <v>14347.72</v>
      </c>
      <c r="J65" s="289">
        <f>IFERROR('Data Sheet'!I69,0)</f>
        <v>20316.61</v>
      </c>
      <c r="K65" s="289">
        <f>IFERROR('Data Sheet'!J69,0)</f>
        <v>26431.61</v>
      </c>
      <c r="L65" s="289">
        <f>IFERROR('Data Sheet'!K69,0)</f>
        <v>38182.25</v>
      </c>
    </row>
    <row r="66" spans="1:13" outlineLevel="1" x14ac:dyDescent="0.25">
      <c r="B66" s="282" t="s">
        <v>84</v>
      </c>
      <c r="C66" s="292">
        <f>IFERROR(SUM(C63:C65),0)</f>
        <v>42122</v>
      </c>
      <c r="D66" s="292">
        <f t="shared" ref="D66:L66" si="32">IFERROR(SUM(D63:D65),0)</f>
        <v>36888.949999999997</v>
      </c>
      <c r="E66" s="292">
        <f t="shared" si="32"/>
        <v>33427.79</v>
      </c>
      <c r="F66" s="292">
        <f t="shared" si="32"/>
        <v>33028.460000000006</v>
      </c>
      <c r="G66" s="292">
        <f t="shared" si="32"/>
        <v>31912.47</v>
      </c>
      <c r="H66" s="292">
        <f t="shared" si="32"/>
        <v>30850.809999999998</v>
      </c>
      <c r="I66" s="292">
        <f t="shared" si="32"/>
        <v>35198.89</v>
      </c>
      <c r="J66" s="292">
        <f t="shared" si="32"/>
        <v>39256.68</v>
      </c>
      <c r="K66" s="292">
        <f t="shared" si="32"/>
        <v>47081.66</v>
      </c>
      <c r="L66" s="292">
        <f t="shared" si="32"/>
        <v>66937.350000000006</v>
      </c>
    </row>
    <row r="67" spans="1:13" outlineLevel="1" x14ac:dyDescent="0.25"/>
    <row r="68" spans="1:13" outlineLevel="1" x14ac:dyDescent="0.25">
      <c r="B68" s="282" t="s">
        <v>81</v>
      </c>
      <c r="C68" s="292">
        <f>IFERROR(C61+C66,0)</f>
        <v>56531.9</v>
      </c>
      <c r="D68" s="292">
        <f t="shared" ref="D68:L68" si="33">IFERROR(D61+D66,0)</f>
        <v>51743.7</v>
      </c>
      <c r="E68" s="292">
        <f t="shared" si="33"/>
        <v>48462.61</v>
      </c>
      <c r="F68" s="292">
        <f t="shared" si="33"/>
        <v>51496.33</v>
      </c>
      <c r="G68" s="292">
        <f t="shared" si="33"/>
        <v>54202.66</v>
      </c>
      <c r="H68" s="292">
        <f t="shared" si="33"/>
        <v>53096.42</v>
      </c>
      <c r="I68" s="292">
        <f t="shared" si="33"/>
        <v>60254.34</v>
      </c>
      <c r="J68" s="292">
        <f t="shared" si="33"/>
        <v>69276</v>
      </c>
      <c r="K68" s="292">
        <f t="shared" si="33"/>
        <v>80910.84</v>
      </c>
      <c r="L68" s="292">
        <f t="shared" si="33"/>
        <v>108698.46</v>
      </c>
    </row>
    <row r="69" spans="1:13" outlineLevel="1" x14ac:dyDescent="0.25">
      <c r="B69" s="294" t="s">
        <v>85</v>
      </c>
      <c r="C69" s="294" t="b">
        <f t="shared" ref="C69:L69" si="34">C68=C55</f>
        <v>1</v>
      </c>
      <c r="D69" s="294" t="b">
        <f t="shared" si="34"/>
        <v>1</v>
      </c>
      <c r="E69" s="294" t="b">
        <f t="shared" si="34"/>
        <v>1</v>
      </c>
      <c r="F69" s="294" t="b">
        <f t="shared" si="34"/>
        <v>1</v>
      </c>
      <c r="G69" s="294" t="b">
        <f t="shared" si="34"/>
        <v>1</v>
      </c>
      <c r="H69" s="294" t="b">
        <f t="shared" si="34"/>
        <v>1</v>
      </c>
      <c r="I69" s="294" t="b">
        <f t="shared" si="34"/>
        <v>1</v>
      </c>
      <c r="J69" s="294" t="b">
        <f t="shared" si="34"/>
        <v>1</v>
      </c>
      <c r="K69" s="294" t="b">
        <f t="shared" si="34"/>
        <v>1</v>
      </c>
      <c r="L69" s="294" t="b">
        <f t="shared" si="34"/>
        <v>1</v>
      </c>
    </row>
    <row r="71" spans="1:13" x14ac:dyDescent="0.25">
      <c r="A71" s="267" t="s">
        <v>57</v>
      </c>
      <c r="B71" s="274" t="s">
        <v>108</v>
      </c>
      <c r="C71" s="274"/>
      <c r="D71" s="274"/>
      <c r="E71" s="274"/>
      <c r="F71" s="274"/>
      <c r="G71" s="274"/>
      <c r="H71" s="274"/>
      <c r="I71" s="274"/>
      <c r="J71" s="274"/>
      <c r="K71" s="274"/>
      <c r="L71" s="274"/>
      <c r="M71" s="274"/>
    </row>
    <row r="72" spans="1:13" ht="31.5" outlineLevel="1" x14ac:dyDescent="0.25">
      <c r="B72" s="295" t="s">
        <v>18</v>
      </c>
      <c r="C72" s="296">
        <f>IFERROR('Cash Flow Data'!C23,0)</f>
        <v>0</v>
      </c>
      <c r="D72" s="297">
        <f>IFERROR('Data Sheet'!C82,0)</f>
        <v>-404.5</v>
      </c>
      <c r="E72" s="297">
        <f>IFERROR('Data Sheet'!D82,0)</f>
        <v>-747.6</v>
      </c>
      <c r="F72" s="297">
        <f>IFERROR('Data Sheet'!E82,0)</f>
        <v>-7700.28</v>
      </c>
      <c r="G72" s="297">
        <f>IFERROR('Data Sheet'!F82,0)</f>
        <v>1527.39</v>
      </c>
      <c r="H72" s="297">
        <f>IFERROR('Data Sheet'!G82,0)</f>
        <v>15117</v>
      </c>
      <c r="I72" s="297">
        <f>IFERROR('Data Sheet'!H82,0)</f>
        <v>10173.129999999999</v>
      </c>
      <c r="J72" s="297">
        <f>IFERROR('Data Sheet'!I82,0)</f>
        <v>8829.7199999999993</v>
      </c>
      <c r="K72" s="297">
        <f>IFERROR('Data Sheet'!J82,0)</f>
        <v>8222.82</v>
      </c>
      <c r="L72" s="297">
        <f>IFERROR('Data Sheet'!K82,0)</f>
        <v>13643.46</v>
      </c>
      <c r="M72" s="297">
        <f>IFERROR('Data Sheet'!L82,0)</f>
        <v>0</v>
      </c>
    </row>
    <row r="73" spans="1:13" outlineLevel="1" x14ac:dyDescent="0.25"/>
    <row r="74" spans="1:13" ht="31.5" outlineLevel="1" x14ac:dyDescent="0.25">
      <c r="B74" s="295" t="s">
        <v>19</v>
      </c>
      <c r="C74" s="297">
        <f>IFERROR('Cash Flow Data'!C25,0)</f>
        <v>0</v>
      </c>
      <c r="D74" s="297">
        <f>IFERROR('Data Sheet'!C83,0)</f>
        <v>3011.8</v>
      </c>
      <c r="E74" s="297">
        <f>IFERROR('Data Sheet'!D83,0)</f>
        <v>597</v>
      </c>
      <c r="F74" s="297">
        <f>IFERROR('Data Sheet'!E83,0)</f>
        <v>5294.17</v>
      </c>
      <c r="G74" s="297">
        <f>IFERROR('Data Sheet'!F83,0)</f>
        <v>-1338.88</v>
      </c>
      <c r="H74" s="297">
        <f>IFERROR('Data Sheet'!G83,0)</f>
        <v>-1179.99</v>
      </c>
      <c r="I74" s="297">
        <f>IFERROR('Data Sheet'!H83,0)</f>
        <v>-12785.23</v>
      </c>
      <c r="J74" s="297">
        <f>IFERROR('Data Sheet'!I83,0)</f>
        <v>-5728.02</v>
      </c>
      <c r="K74" s="297">
        <f>IFERROR('Data Sheet'!J83,0)</f>
        <v>-6410.05</v>
      </c>
      <c r="L74" s="297">
        <f>IFERROR('Data Sheet'!K83,0)</f>
        <v>-10771.09</v>
      </c>
      <c r="M74" s="297">
        <f>IFERROR('Data Sheet'!L83,0)</f>
        <v>0</v>
      </c>
    </row>
    <row r="75" spans="1:13" outlineLevel="1" x14ac:dyDescent="0.25"/>
    <row r="76" spans="1:13" outlineLevel="1" x14ac:dyDescent="0.25">
      <c r="B76" s="298" t="s">
        <v>20</v>
      </c>
      <c r="C76" s="297">
        <f>IFERROR('Cash Flow Data'!C27,0)</f>
        <v>0</v>
      </c>
      <c r="D76" s="297">
        <f>IFERROR('Data Sheet'!C84,0)</f>
        <v>-164.28</v>
      </c>
      <c r="E76" s="297">
        <f>IFERROR('Data Sheet'!D84,0)</f>
        <v>-2540.35</v>
      </c>
      <c r="F76" s="297">
        <f>IFERROR('Data Sheet'!E84,0)</f>
        <v>2326.11</v>
      </c>
      <c r="G76" s="297">
        <f>IFERROR('Data Sheet'!F84,0)</f>
        <v>63.94</v>
      </c>
      <c r="H76" s="297">
        <f>IFERROR('Data Sheet'!G84,0)</f>
        <v>-7070.18</v>
      </c>
      <c r="I76" s="297">
        <f>IFERROR('Data Sheet'!H84,0)</f>
        <v>-1463.68</v>
      </c>
      <c r="J76" s="297">
        <f>IFERROR('Data Sheet'!I84,0)</f>
        <v>-1731.3</v>
      </c>
      <c r="K76" s="297">
        <f>IFERROR('Data Sheet'!J84,0)</f>
        <v>-1998.85</v>
      </c>
      <c r="L76" s="297">
        <f>IFERROR('Data Sheet'!K84,0)</f>
        <v>-2578.5100000000002</v>
      </c>
      <c r="M76" s="297">
        <f>IFERROR('Data Sheet'!L84,0)</f>
        <v>0</v>
      </c>
    </row>
    <row r="77" spans="1:13" outlineLevel="1" x14ac:dyDescent="0.25">
      <c r="B77" s="299" t="s">
        <v>21</v>
      </c>
      <c r="C77" s="297">
        <f>IFERROR('Cash Flow Data'!C29,0)</f>
        <v>0</v>
      </c>
      <c r="D77" s="297">
        <f>IFERROR('Data Sheet'!C85,0)</f>
        <v>2443.02</v>
      </c>
      <c r="E77" s="297">
        <f>IFERROR('Data Sheet'!D85,0)</f>
        <v>-2690.95</v>
      </c>
      <c r="F77" s="297">
        <f>IFERROR('Data Sheet'!E85,0)</f>
        <v>-80</v>
      </c>
      <c r="G77" s="297">
        <f>IFERROR('Data Sheet'!F85,0)</f>
        <v>252.45</v>
      </c>
      <c r="H77" s="297">
        <f>IFERROR('Data Sheet'!G85,0)</f>
        <v>6866.83</v>
      </c>
      <c r="I77" s="297">
        <f>IFERROR('Data Sheet'!H85,0)</f>
        <v>-4075.78</v>
      </c>
      <c r="J77" s="297">
        <f>IFERROR('Data Sheet'!I85,0)</f>
        <v>1370.4</v>
      </c>
      <c r="K77" s="297">
        <f>IFERROR('Data Sheet'!J85,0)</f>
        <v>-186.08</v>
      </c>
      <c r="L77" s="297">
        <f>IFERROR('Data Sheet'!K85,0)</f>
        <v>293.86</v>
      </c>
      <c r="M77" s="297">
        <f>IFERROR('Data Sheet'!L85,0)</f>
        <v>0</v>
      </c>
    </row>
    <row r="79" spans="1:13" x14ac:dyDescent="0.25">
      <c r="A79" s="267" t="s">
        <v>57</v>
      </c>
      <c r="B79" s="274" t="s">
        <v>576</v>
      </c>
      <c r="C79" s="274"/>
      <c r="D79" s="274"/>
      <c r="E79" s="274"/>
      <c r="F79" s="274"/>
      <c r="G79" s="274"/>
      <c r="H79" s="274"/>
      <c r="I79" s="274"/>
      <c r="J79" s="274"/>
      <c r="K79" s="274"/>
      <c r="L79" s="274"/>
      <c r="M79" s="274"/>
    </row>
    <row r="80" spans="1:13" outlineLevel="1" x14ac:dyDescent="0.25"/>
    <row r="81" spans="2:12" outlineLevel="1" x14ac:dyDescent="0.25">
      <c r="B81" s="300" t="s">
        <v>575</v>
      </c>
      <c r="C81" s="301">
        <v>42460</v>
      </c>
      <c r="D81" s="301">
        <v>42825</v>
      </c>
      <c r="E81" s="301">
        <v>43190</v>
      </c>
      <c r="F81" s="301">
        <v>43555</v>
      </c>
      <c r="G81" s="301">
        <v>43921</v>
      </c>
      <c r="H81" s="301">
        <v>44286</v>
      </c>
      <c r="I81" s="301">
        <v>44651</v>
      </c>
      <c r="J81" s="301">
        <v>45016</v>
      </c>
      <c r="K81" s="301">
        <v>45382</v>
      </c>
      <c r="L81" s="301">
        <v>45747</v>
      </c>
    </row>
    <row r="82" spans="2:12" ht="4.5" customHeight="1" outlineLevel="1" x14ac:dyDescent="0.25">
      <c r="C82" s="302"/>
      <c r="D82" s="302"/>
      <c r="E82" s="302"/>
      <c r="F82" s="302"/>
      <c r="G82" s="302"/>
      <c r="H82" s="302"/>
      <c r="I82" s="302"/>
      <c r="J82" s="302"/>
      <c r="K82" s="302"/>
      <c r="L82" s="302"/>
    </row>
    <row r="83" spans="2:12" outlineLevel="1" x14ac:dyDescent="0.25">
      <c r="B83" s="267" t="str">
        <f>'Data Sheet'!A17</f>
        <v>Sales</v>
      </c>
      <c r="C83" s="303">
        <f>'Data Sheet'!B17/'Data Sheet'!B$17</f>
        <v>1</v>
      </c>
      <c r="D83" s="303">
        <f>'Data Sheet'!C17/'Data Sheet'!C$17</f>
        <v>1</v>
      </c>
      <c r="E83" s="303">
        <f>'Data Sheet'!D17/'Data Sheet'!D$17</f>
        <v>1</v>
      </c>
      <c r="F83" s="303">
        <f>'Data Sheet'!C17/'Data Sheet'!C$17</f>
        <v>1</v>
      </c>
      <c r="G83" s="303">
        <f>'Data Sheet'!F17/'Data Sheet'!F$17</f>
        <v>1</v>
      </c>
      <c r="H83" s="303">
        <f>'Data Sheet'!G17/'Data Sheet'!G$17</f>
        <v>1</v>
      </c>
      <c r="I83" s="303">
        <f>'Data Sheet'!H17/'Data Sheet'!H$17</f>
        <v>1</v>
      </c>
      <c r="J83" s="303">
        <f>'Data Sheet'!I17/'Data Sheet'!I$17</f>
        <v>1</v>
      </c>
      <c r="K83" s="303">
        <f>'Data Sheet'!J17/'Data Sheet'!J$17</f>
        <v>1</v>
      </c>
      <c r="L83" s="303">
        <f>'Data Sheet'!K17/'Data Sheet'!K$17</f>
        <v>1</v>
      </c>
    </row>
    <row r="84" spans="2:12" outlineLevel="1" x14ac:dyDescent="0.25">
      <c r="B84" s="267" t="str">
        <f>'Data Sheet'!A18</f>
        <v>Raw Material Cost</v>
      </c>
      <c r="C84" s="304">
        <f>'Data Sheet'!B18/'Data Sheet'!B$17</f>
        <v>0.54751916937673417</v>
      </c>
      <c r="D84" s="304">
        <f>'Data Sheet'!C18/'Data Sheet'!C$17</f>
        <v>0.46939540677618624</v>
      </c>
      <c r="E84" s="304">
        <f>'Data Sheet'!D18/'Data Sheet'!D$17</f>
        <v>0.4164637300523657</v>
      </c>
      <c r="F84" s="304">
        <f>'Data Sheet'!E18/'Data Sheet'!C$17</f>
        <v>0.4067845427723355</v>
      </c>
      <c r="G84" s="304">
        <f>'Data Sheet'!F18/'Data Sheet'!F$17</f>
        <v>0.39557830298305069</v>
      </c>
      <c r="H84" s="304">
        <f>'Data Sheet'!G18/'Data Sheet'!G$17</f>
        <v>0.37006125253033784</v>
      </c>
      <c r="I84" s="304">
        <f>'Data Sheet'!H18/'Data Sheet'!H$17</f>
        <v>0.37171943808331592</v>
      </c>
      <c r="J84" s="304">
        <f>'Data Sheet'!I18/'Data Sheet'!I$17</f>
        <v>0.39130909487935361</v>
      </c>
      <c r="K84" s="304">
        <f>'Data Sheet'!J18/'Data Sheet'!J$17</f>
        <v>0.41864509095792507</v>
      </c>
      <c r="L84" s="304">
        <f>'Data Sheet'!K18/'Data Sheet'!K$17</f>
        <v>0.63229694376705681</v>
      </c>
    </row>
    <row r="85" spans="2:12" outlineLevel="1" x14ac:dyDescent="0.25">
      <c r="B85" s="267" t="str">
        <f>'Data Sheet'!A19</f>
        <v>Change in Inventory</v>
      </c>
      <c r="C85" s="304">
        <f>'Data Sheet'!B19/'Data Sheet'!B$17</f>
        <v>3.3559089417310617E-2</v>
      </c>
      <c r="D85" s="304">
        <f>'Data Sheet'!C19/'Data Sheet'!C$17</f>
        <v>-2.846363660673697E-2</v>
      </c>
      <c r="E85" s="304">
        <f>'Data Sheet'!D19/'Data Sheet'!D$17</f>
        <v>-3.9343964872077031E-2</v>
      </c>
      <c r="F85" s="304">
        <f>'Data Sheet'!E19/'Data Sheet'!C$17</f>
        <v>-6.530112669025824E-2</v>
      </c>
      <c r="G85" s="304">
        <f>'Data Sheet'!F19/'Data Sheet'!F$17</f>
        <v>-2.9642119713725611E-2</v>
      </c>
      <c r="H85" s="304">
        <f>'Data Sheet'!G19/'Data Sheet'!G$17</f>
        <v>-0.10742529603641589</v>
      </c>
      <c r="I85" s="304">
        <f>'Data Sheet'!H19/'Data Sheet'!H$17</f>
        <v>-2.4057657142439362E-2</v>
      </c>
      <c r="J85" s="304">
        <f>'Data Sheet'!I19/'Data Sheet'!I$17</f>
        <v>2.5651138280402237E-2</v>
      </c>
      <c r="K85" s="304">
        <f>'Data Sheet'!J19/'Data Sheet'!J$17</f>
        <v>6.4469070882272786E-2</v>
      </c>
      <c r="L85" s="304">
        <f>'Data Sheet'!K19/'Data Sheet'!K$17</f>
        <v>0.24614448556290236</v>
      </c>
    </row>
    <row r="86" spans="2:12" outlineLevel="1" x14ac:dyDescent="0.25">
      <c r="B86" s="267" t="str">
        <f>'Data Sheet'!A20</f>
        <v>Power and Fuel</v>
      </c>
      <c r="C86" s="304">
        <f>'Data Sheet'!B20/'Data Sheet'!B$17</f>
        <v>1.3951129277679985E-2</v>
      </c>
      <c r="D86" s="304">
        <f>'Data Sheet'!C20/'Data Sheet'!C$17</f>
        <v>9.5749730360915261E-3</v>
      </c>
      <c r="E86" s="304">
        <f>'Data Sheet'!D20/'Data Sheet'!D$17</f>
        <v>9.491493941059647E-3</v>
      </c>
      <c r="F86" s="304">
        <f>'Data Sheet'!E20/'Data Sheet'!C$17</f>
        <v>1.0151020171677646E-2</v>
      </c>
      <c r="G86" s="304">
        <f>'Data Sheet'!F20/'Data Sheet'!F$17</f>
        <v>7.0584691370920065E-3</v>
      </c>
      <c r="H86" s="304">
        <f>'Data Sheet'!G20/'Data Sheet'!G$17</f>
        <v>8.0144845452733808E-3</v>
      </c>
      <c r="I86" s="304">
        <f>'Data Sheet'!H20/'Data Sheet'!H$17</f>
        <v>8.1425604040939042E-3</v>
      </c>
      <c r="J86" s="304">
        <f>'Data Sheet'!I20/'Data Sheet'!I$17</f>
        <v>7.5220611227349334E-3</v>
      </c>
      <c r="K86" s="304">
        <f>'Data Sheet'!J20/'Data Sheet'!J$17</f>
        <v>6.9279959764432329E-3</v>
      </c>
      <c r="L86" s="304">
        <f>'Data Sheet'!K20/'Data Sheet'!K$17</f>
        <v>6.842269200912173E-3</v>
      </c>
    </row>
    <row r="87" spans="2:12" outlineLevel="1" x14ac:dyDescent="0.25">
      <c r="B87" s="267" t="str">
        <f>'Data Sheet'!A21</f>
        <v>Other Mfr. Exp</v>
      </c>
      <c r="C87" s="304">
        <f>'Data Sheet'!B21/'Data Sheet'!B$17</f>
        <v>2.335531222961482E-2</v>
      </c>
      <c r="D87" s="304">
        <f>'Data Sheet'!C21/'Data Sheet'!C$17</f>
        <v>6.4625357661761168E-2</v>
      </c>
      <c r="E87" s="304">
        <f>'Data Sheet'!D21/'Data Sheet'!D$17</f>
        <v>6.9764478335009011E-2</v>
      </c>
      <c r="F87" s="304">
        <f>'Data Sheet'!E21/'Data Sheet'!C$17</f>
        <v>6.2416991273498722E-2</v>
      </c>
      <c r="G87" s="304">
        <f>'Data Sheet'!F21/'Data Sheet'!F$17</f>
        <v>4.1468098162942127E-2</v>
      </c>
      <c r="H87" s="304">
        <f>'Data Sheet'!G21/'Data Sheet'!G$17</f>
        <v>4.0347744459477884E-2</v>
      </c>
      <c r="I87" s="304">
        <f>'Data Sheet'!H21/'Data Sheet'!H$17</f>
        <v>3.8387052488178322E-2</v>
      </c>
      <c r="J87" s="304">
        <f>'Data Sheet'!I21/'Data Sheet'!I$17</f>
        <v>4.4626934735025138E-2</v>
      </c>
      <c r="K87" s="304">
        <f>'Data Sheet'!J21/'Data Sheet'!J$17</f>
        <v>3.9757309483402163E-2</v>
      </c>
      <c r="L87" s="304">
        <f>'Data Sheet'!K21/'Data Sheet'!K$17</f>
        <v>3.9328684239831255E-2</v>
      </c>
    </row>
    <row r="88" spans="2:12" outlineLevel="1" x14ac:dyDescent="0.25">
      <c r="B88" s="267" t="str">
        <f>'Data Sheet'!A22</f>
        <v>Employee Cost</v>
      </c>
      <c r="C88" s="304">
        <f>'Data Sheet'!B22/'Data Sheet'!B$17</f>
        <v>0.19539338246263091</v>
      </c>
      <c r="D88" s="304">
        <f>'Data Sheet'!C22/'Data Sheet'!C$17</f>
        <v>0.19891397844670061</v>
      </c>
      <c r="E88" s="304">
        <f>'Data Sheet'!D22/'Data Sheet'!D$17</f>
        <v>0.23276136706022871</v>
      </c>
      <c r="F88" s="304">
        <f>'Data Sheet'!E22/'Data Sheet'!C$17</f>
        <v>0.24016987262338774</v>
      </c>
      <c r="G88" s="304">
        <f>'Data Sheet'!F22/'Data Sheet'!F$17</f>
        <v>0.22278313614820314</v>
      </c>
      <c r="H88" s="304">
        <f>'Data Sheet'!G22/'Data Sheet'!G$17</f>
        <v>0.18814394694244291</v>
      </c>
      <c r="I88" s="304">
        <f>'Data Sheet'!H22/'Data Sheet'!H$17</f>
        <v>0.18701934441970397</v>
      </c>
      <c r="J88" s="304">
        <f>'Data Sheet'!I22/'Data Sheet'!I$17</f>
        <v>0.18235548395578344</v>
      </c>
      <c r="K88" s="304">
        <f>'Data Sheet'!J22/'Data Sheet'!J$17</f>
        <v>0.17414423713706029</v>
      </c>
      <c r="L88" s="304">
        <f>'Data Sheet'!K22/'Data Sheet'!K$17</f>
        <v>0.1849643087122893</v>
      </c>
    </row>
    <row r="89" spans="2:12" outlineLevel="1" x14ac:dyDescent="0.25">
      <c r="B89" s="267" t="str">
        <f>'Data Sheet'!A23</f>
        <v>Selling and admin</v>
      </c>
      <c r="C89" s="304">
        <f>'Data Sheet'!B23/'Data Sheet'!B$17</f>
        <v>1.352030312975505E-2</v>
      </c>
      <c r="D89" s="304">
        <f>'Data Sheet'!C23/'Data Sheet'!C$17</f>
        <v>1.2384456309554585E-2</v>
      </c>
      <c r="E89" s="304">
        <f>'Data Sheet'!D23/'Data Sheet'!D$17</f>
        <v>1.1333852419094436E-2</v>
      </c>
      <c r="F89" s="304">
        <f>'Data Sheet'!E23/'Data Sheet'!C$17</f>
        <v>1.9612900781730506E-2</v>
      </c>
      <c r="G89" s="304">
        <f>'Data Sheet'!F23/'Data Sheet'!F$17</f>
        <v>7.2533849129593816E-3</v>
      </c>
      <c r="H89" s="304">
        <f>'Data Sheet'!G23/'Data Sheet'!G$17</f>
        <v>6.0461526628418794E-3</v>
      </c>
      <c r="I89" s="304">
        <f>'Data Sheet'!H23/'Data Sheet'!H$17</f>
        <v>7.3070614889833557E-3</v>
      </c>
      <c r="J89" s="304">
        <f>'Data Sheet'!I23/'Data Sheet'!I$17</f>
        <v>8.0066965098082032E-3</v>
      </c>
      <c r="K89" s="304">
        <f>'Data Sheet'!J23/'Data Sheet'!J$17</f>
        <v>7.9552800624599247E-3</v>
      </c>
      <c r="L89" s="304">
        <f>'Data Sheet'!K23/'Data Sheet'!K$17</f>
        <v>1.000905395089563E-2</v>
      </c>
    </row>
    <row r="90" spans="2:12" outlineLevel="1" x14ac:dyDescent="0.25">
      <c r="B90" s="267" t="str">
        <f>'Data Sheet'!A24</f>
        <v>Other Expenses</v>
      </c>
      <c r="C90" s="304">
        <f>'Data Sheet'!B24/'Data Sheet'!B$17</f>
        <v>9.2199182504400748E-2</v>
      </c>
      <c r="D90" s="304">
        <f>'Data Sheet'!C24/'Data Sheet'!C$17</f>
        <v>3.6658659202937954E-2</v>
      </c>
      <c r="E90" s="304">
        <f>'Data Sheet'!D24/'Data Sheet'!D$17</f>
        <v>3.4624136191976775E-2</v>
      </c>
      <c r="F90" s="304">
        <f>'Data Sheet'!E24/'Data Sheet'!C$17</f>
        <v>5.6679918350611036E-2</v>
      </c>
      <c r="G90" s="304">
        <f>'Data Sheet'!F24/'Data Sheet'!F$17</f>
        <v>6.7062684540474399E-2</v>
      </c>
      <c r="H90" s="304">
        <f>'Data Sheet'!G24/'Data Sheet'!G$17</f>
        <v>4.6419244202510937E-2</v>
      </c>
      <c r="I90" s="304">
        <f>'Data Sheet'!H24/'Data Sheet'!H$17</f>
        <v>0.14340890056141303</v>
      </c>
      <c r="J90" s="304">
        <f>'Data Sheet'!I24/'Data Sheet'!I$17</f>
        <v>0.14354677344242645</v>
      </c>
      <c r="K90" s="304">
        <f>'Data Sheet'!J24/'Data Sheet'!J$17</f>
        <v>9.6063734403121936E-2</v>
      </c>
      <c r="L90" s="304">
        <f>'Data Sheet'!K24/'Data Sheet'!K$17</f>
        <v>6.2156906098747779E-2</v>
      </c>
    </row>
    <row r="91" spans="2:12" outlineLevel="1" x14ac:dyDescent="0.25">
      <c r="B91" s="267" t="str">
        <f>'Data Sheet'!A25</f>
        <v>Other Income</v>
      </c>
      <c r="C91" s="304">
        <f>'Data Sheet'!B25/'Data Sheet'!B$17</f>
        <v>9.5957275412477241E-2</v>
      </c>
      <c r="D91" s="304">
        <f>'Data Sheet'!C25/'Data Sheet'!C$17</f>
        <v>5.8952908982324165E-2</v>
      </c>
      <c r="E91" s="304">
        <f>'Data Sheet'!D25/'Data Sheet'!D$17</f>
        <v>4.1885037262942133E-2</v>
      </c>
      <c r="F91" s="304">
        <f>'Data Sheet'!E25/'Data Sheet'!C$17</f>
        <v>2.0961653310989689E-2</v>
      </c>
      <c r="G91" s="304">
        <f>'Data Sheet'!F25/'Data Sheet'!F$17</f>
        <v>1.9701881450173372E-2</v>
      </c>
      <c r="H91" s="304">
        <f>'Data Sheet'!G25/'Data Sheet'!G$17</f>
        <v>1.5919714434550342E-2</v>
      </c>
      <c r="I91" s="304">
        <f>'Data Sheet'!H25/'Data Sheet'!H$17</f>
        <v>4.0005247761780854E-2</v>
      </c>
      <c r="J91" s="304">
        <f>'Data Sheet'!I25/'Data Sheet'!I$17</f>
        <v>6.2126914309778944E-2</v>
      </c>
      <c r="K91" s="304">
        <f>'Data Sheet'!J25/'Data Sheet'!J$17</f>
        <v>6.3299263883969892E-2</v>
      </c>
      <c r="L91" s="304">
        <f>'Data Sheet'!K25/'Data Sheet'!K$17</f>
        <v>8.4188186611449944E-2</v>
      </c>
    </row>
    <row r="92" spans="2:12" outlineLevel="1" x14ac:dyDescent="0.25">
      <c r="B92" s="267" t="str">
        <f>'Data Sheet'!A26</f>
        <v>Depreciation</v>
      </c>
      <c r="C92" s="304">
        <f>'Data Sheet'!B26/'Data Sheet'!B$17</f>
        <v>5.1484321389145805E-2</v>
      </c>
      <c r="D92" s="304">
        <f>'Data Sheet'!C26/'Data Sheet'!C$17</f>
        <v>3.7921060372413919E-2</v>
      </c>
      <c r="E92" s="304">
        <f>'Data Sheet'!D26/'Data Sheet'!D$17</f>
        <v>5.1139486839448065E-2</v>
      </c>
      <c r="F92" s="304">
        <f>'Data Sheet'!E26/'Data Sheet'!C$17</f>
        <v>5.7117803310544009E-2</v>
      </c>
      <c r="G92" s="304">
        <f>'Data Sheet'!F26/'Data Sheet'!F$17</f>
        <v>4.6561555148108009E-2</v>
      </c>
      <c r="H92" s="304">
        <f>'Data Sheet'!G26/'Data Sheet'!G$17</f>
        <v>5.0601949452677882E-2</v>
      </c>
      <c r="I92" s="304">
        <f>'Data Sheet'!H26/'Data Sheet'!H$17</f>
        <v>4.5106787078158343E-2</v>
      </c>
      <c r="J92" s="304">
        <f>'Data Sheet'!I26/'Data Sheet'!I$17</f>
        <v>6.6276952969199471E-2</v>
      </c>
      <c r="K92" s="304">
        <f>'Data Sheet'!J26/'Data Sheet'!J$17</f>
        <v>4.6317313275235771E-2</v>
      </c>
      <c r="L92" s="304">
        <f>'Data Sheet'!K26/'Data Sheet'!K$17</f>
        <v>4.3264328563197701E-2</v>
      </c>
    </row>
    <row r="93" spans="2:12" outlineLevel="1" x14ac:dyDescent="0.25">
      <c r="B93" s="267" t="str">
        <f>'Data Sheet'!A27</f>
        <v>Interest</v>
      </c>
      <c r="C93" s="304">
        <f>'Data Sheet'!B27/'Data Sheet'!B$17</f>
        <v>3.5206014858131697E-4</v>
      </c>
      <c r="D93" s="304">
        <f>'Data Sheet'!C27/'Data Sheet'!C$17</f>
        <v>9.164386247960994E-4</v>
      </c>
      <c r="E93" s="304">
        <f>'Data Sheet'!D27/'Data Sheet'!D$17</f>
        <v>1.8693566972322502E-3</v>
      </c>
      <c r="F93" s="304">
        <f>'Data Sheet'!E27/'Data Sheet'!C$17</f>
        <v>9.8941945145159423E-3</v>
      </c>
      <c r="G93" s="304">
        <f>'Data Sheet'!F27/'Data Sheet'!F$17</f>
        <v>1.6767886087117091E-2</v>
      </c>
      <c r="H93" s="304">
        <f>'Data Sheet'!G27/'Data Sheet'!G$17</f>
        <v>1.1663590055553808E-2</v>
      </c>
      <c r="I93" s="304">
        <f>'Data Sheet'!H27/'Data Sheet'!H$17</f>
        <v>2.6498759952266488E-3</v>
      </c>
      <c r="J93" s="304">
        <f>'Data Sheet'!I27/'Data Sheet'!I$17</f>
        <v>2.3919820138995655E-3</v>
      </c>
      <c r="K93" s="304">
        <f>'Data Sheet'!J27/'Data Sheet'!J$17</f>
        <v>1.4031759239632035E-3</v>
      </c>
      <c r="L93" s="304">
        <f>'Data Sheet'!K27/'Data Sheet'!K$17</f>
        <v>6.9784819380942157E-4</v>
      </c>
    </row>
    <row r="94" spans="2:12" outlineLevel="1" x14ac:dyDescent="0.25">
      <c r="B94" s="267" t="str">
        <f>'Data Sheet'!A28</f>
        <v>Profit before tax</v>
      </c>
      <c r="C94" s="304">
        <f>'Data Sheet'!B28/'Data Sheet'!B$17</f>
        <v>0.19174150431124506</v>
      </c>
      <c r="D94" s="304">
        <f>'Data Sheet'!C28/'Data Sheet'!C$17</f>
        <v>0.20009894194514519</v>
      </c>
      <c r="E94" s="304">
        <f>'Data Sheet'!D28/'Data Sheet'!D$17</f>
        <v>0.17509317085445042</v>
      </c>
      <c r="F94" s="304">
        <f>'Data Sheet'!E28/'Data Sheet'!C$17</f>
        <v>0.20750287466462247</v>
      </c>
      <c r="G94" s="304">
        <f>'Data Sheet'!F28/'Data Sheet'!F$17</f>
        <v>0.18552624461650088</v>
      </c>
      <c r="H94" s="304">
        <f>'Data Sheet'!G28/'Data Sheet'!G$17</f>
        <v>0.18719605354701793</v>
      </c>
      <c r="I94" s="304">
        <f>'Data Sheet'!H28/'Data Sheet'!H$17</f>
        <v>0.21220657010026797</v>
      </c>
      <c r="J94" s="304">
        <f>'Data Sheet'!I28/'Data Sheet'!I$17</f>
        <v>0.24174207296195038</v>
      </c>
      <c r="K94" s="304">
        <f>'Data Sheet'!J28/'Data Sheet'!J$17</f>
        <v>0.33655419754663096</v>
      </c>
      <c r="L94" s="304">
        <f>'Data Sheet'!K28/'Data Sheet'!K$17</f>
        <v>0.35077232944761216</v>
      </c>
    </row>
    <row r="95" spans="2:12" outlineLevel="1" x14ac:dyDescent="0.25">
      <c r="B95" s="267" t="str">
        <f>'Data Sheet'!A29</f>
        <v>Tax</v>
      </c>
      <c r="C95" s="304">
        <f>'Data Sheet'!B29/'Data Sheet'!B$17</f>
        <v>7.2142494853357997E-2</v>
      </c>
      <c r="D95" s="304">
        <f>'Data Sheet'!C29/'Data Sheet'!C$17</f>
        <v>5.3869320866054005E-2</v>
      </c>
      <c r="E95" s="304">
        <f>'Data Sheet'!D29/'Data Sheet'!D$17</f>
        <v>6.7626759338953998E-2</v>
      </c>
      <c r="F95" s="304">
        <f>'Data Sheet'!E29/'Data Sheet'!C$17</f>
        <v>7.7787533314911714E-2</v>
      </c>
      <c r="G95" s="304">
        <f>'Data Sheet'!F29/'Data Sheet'!F$17</f>
        <v>5.1106636649015443E-2</v>
      </c>
      <c r="H95" s="304">
        <f>'Data Sheet'!G29/'Data Sheet'!G$17</f>
        <v>4.5359474039345662E-2</v>
      </c>
      <c r="I95" s="304">
        <f>'Data Sheet'!H29/'Data Sheet'!H$17</f>
        <v>5.8752998575955662E-3</v>
      </c>
      <c r="J95" s="304">
        <f>'Data Sheet'!I29/'Data Sheet'!I$17</f>
        <v>2.5318763819535895E-2</v>
      </c>
      <c r="K95" s="304">
        <f>'Data Sheet'!J29/'Data Sheet'!J$17</f>
        <v>8.5708934639584886E-2</v>
      </c>
      <c r="L95" s="304">
        <f>'Data Sheet'!K29/'Data Sheet'!K$17</f>
        <v>8.0798361573805835E-2</v>
      </c>
    </row>
    <row r="96" spans="2:12" outlineLevel="1" x14ac:dyDescent="0.25">
      <c r="B96" s="267" t="str">
        <f>'Data Sheet'!A30</f>
        <v>Net profit</v>
      </c>
      <c r="C96" s="304">
        <f>'Data Sheet'!B30/'Data Sheet'!B$17</f>
        <v>0.11959900945788704</v>
      </c>
      <c r="D96" s="304">
        <f>'Data Sheet'!C30/'Data Sheet'!C$17</f>
        <v>0.14622962107909118</v>
      </c>
      <c r="E96" s="304">
        <f>'Data Sheet'!D30/'Data Sheet'!D$17</f>
        <v>0.10747829073194332</v>
      </c>
      <c r="F96" s="304">
        <f>'Data Sheet'!E30/'Data Sheet'!C$17</f>
        <v>0.12972926898838549</v>
      </c>
      <c r="G96" s="304">
        <f>'Data Sheet'!F30/'Data Sheet'!F$17</f>
        <v>0.13442753516411163</v>
      </c>
      <c r="H96" s="304">
        <f>'Data Sheet'!G30/'Data Sheet'!G$17</f>
        <v>0.14185406025263173</v>
      </c>
      <c r="I96" s="304">
        <f>'Data Sheet'!H30/'Data Sheet'!H$17</f>
        <v>0.20633776901887163</v>
      </c>
      <c r="J96" s="304">
        <f>'Data Sheet'!I30/'Data Sheet'!I$17</f>
        <v>0.21642368051052718</v>
      </c>
      <c r="K96" s="304">
        <f>'Data Sheet'!J30/'Data Sheet'!J$17</f>
        <v>0.25084855442926979</v>
      </c>
      <c r="L96" s="304">
        <f>'Data Sheet'!K30/'Data Sheet'!K$17</f>
        <v>0.2699765501057908</v>
      </c>
    </row>
    <row r="97" spans="1:13" outlineLevel="1" x14ac:dyDescent="0.25">
      <c r="B97" s="267" t="str">
        <f>'Data Sheet'!A31</f>
        <v>Dividend Amount</v>
      </c>
      <c r="C97" s="304">
        <f>'Data Sheet'!B31/'Data Sheet'!B$17</f>
        <v>3.7533788823582062E-2</v>
      </c>
      <c r="D97" s="304">
        <f>'Data Sheet'!C31/'Data Sheet'!C$17</f>
        <v>4.4568443759080825E-2</v>
      </c>
      <c r="E97" s="304">
        <f>'Data Sheet'!D31/'Data Sheet'!D$17</f>
        <v>5.8085588674571025E-2</v>
      </c>
      <c r="F97" s="304">
        <f>'Data Sheet'!E31/'Data Sheet'!C$17</f>
        <v>3.6885401160562284E-2</v>
      </c>
      <c r="G97" s="304">
        <f>'Data Sheet'!F31/'Data Sheet'!F$17</f>
        <v>5.184619746367012E-2</v>
      </c>
      <c r="H97" s="304">
        <f>'Data Sheet'!G31/'Data Sheet'!G$17</f>
        <v>4.3840397302371437E-2</v>
      </c>
      <c r="I97" s="304">
        <f>'Data Sheet'!H31/'Data Sheet'!H$17</f>
        <v>5.4328144331320605E-2</v>
      </c>
      <c r="J97" s="304">
        <f>'Data Sheet'!I31/'Data Sheet'!I$17</f>
        <v>6.8299795079075423E-2</v>
      </c>
      <c r="K97" s="304">
        <f>'Data Sheet'!J31/'Data Sheet'!J$17</f>
        <v>7.7045648146807158E-2</v>
      </c>
      <c r="L97" s="304">
        <f>'Data Sheet'!K31/'Data Sheet'!K$17</f>
        <v>8.6347255329484729E-2</v>
      </c>
    </row>
    <row r="98" spans="1:13" outlineLevel="1" x14ac:dyDescent="0.25">
      <c r="B98" s="267" t="str">
        <f>B18</f>
        <v>EBITDA</v>
      </c>
      <c r="C98" s="305">
        <f>C18/'Data Sheet'!B$17</f>
        <v>0.14762061043649494</v>
      </c>
      <c r="D98" s="305">
        <f>D18/'Data Sheet'!C$17</f>
        <v>0.17998353196003086</v>
      </c>
      <c r="E98" s="305">
        <f>E18/'Data Sheet'!D$17</f>
        <v>0.18621697712818869</v>
      </c>
      <c r="F98" s="305">
        <f>F18/'Data Sheet'!C$17</f>
        <v>0.25354040575111209</v>
      </c>
      <c r="G98" s="305">
        <f>G18/'Data Sheet'!F$17</f>
        <v>0.22915380440155256</v>
      </c>
      <c r="H98" s="305">
        <f>H18/'Data Sheet'!G$17</f>
        <v>0.23354187862069933</v>
      </c>
      <c r="I98" s="305">
        <f>I18/'Data Sheet'!H$17</f>
        <v>0.2199579854118722</v>
      </c>
      <c r="J98" s="305">
        <f>J18/'Data Sheet'!I$17</f>
        <v>0.24828409363527043</v>
      </c>
      <c r="K98" s="305">
        <f>K18/'Data Sheet'!J$17</f>
        <v>0.32097542286186026</v>
      </c>
      <c r="L98" s="305">
        <f>L18/'Data Sheet'!K$17</f>
        <v>0.31054631959316947</v>
      </c>
    </row>
    <row r="101" spans="1:13" x14ac:dyDescent="0.25">
      <c r="A101" s="267" t="s">
        <v>57</v>
      </c>
      <c r="B101" s="274" t="s">
        <v>577</v>
      </c>
      <c r="C101" s="274"/>
      <c r="D101" s="274"/>
      <c r="E101" s="274"/>
      <c r="F101" s="274"/>
      <c r="G101" s="274"/>
      <c r="H101" s="274"/>
      <c r="I101" s="274"/>
      <c r="J101" s="274"/>
      <c r="K101" s="274"/>
      <c r="L101" s="274"/>
      <c r="M101" s="274"/>
    </row>
    <row r="103" spans="1:13" outlineLevel="1" x14ac:dyDescent="0.25">
      <c r="B103" s="300" t="s">
        <v>195</v>
      </c>
      <c r="C103" s="301">
        <v>42460</v>
      </c>
      <c r="D103" s="301">
        <v>42825</v>
      </c>
      <c r="E103" s="301">
        <v>43190</v>
      </c>
      <c r="F103" s="301">
        <v>43555</v>
      </c>
      <c r="G103" s="301">
        <v>43921</v>
      </c>
      <c r="H103" s="301">
        <v>44286</v>
      </c>
      <c r="I103" s="301">
        <v>44651</v>
      </c>
      <c r="J103" s="301">
        <v>45016</v>
      </c>
      <c r="K103" s="301">
        <v>45382</v>
      </c>
      <c r="L103" s="301">
        <v>45747</v>
      </c>
    </row>
    <row r="104" spans="1:13" ht="4.5" customHeight="1" outlineLevel="1" x14ac:dyDescent="0.25">
      <c r="B104" s="306"/>
      <c r="C104" s="307"/>
      <c r="D104" s="307"/>
      <c r="E104" s="307"/>
      <c r="F104" s="307"/>
      <c r="G104" s="307"/>
      <c r="H104" s="307"/>
      <c r="I104" s="307"/>
      <c r="J104" s="307"/>
      <c r="K104" s="307"/>
      <c r="L104" s="307"/>
    </row>
    <row r="105" spans="1:13" outlineLevel="1" x14ac:dyDescent="0.25">
      <c r="B105" s="267" t="str">
        <f>'Data Sheet'!A57</f>
        <v>Equity Share Capital</v>
      </c>
      <c r="C105" s="304">
        <f>'Data Sheet'!B57/'Data Sheet'!B$61</f>
        <v>6.3946196749092108E-3</v>
      </c>
      <c r="D105" s="304">
        <f>'Data Sheet'!C57/'Data Sheet'!C$61</f>
        <v>6.9863577594953593E-3</v>
      </c>
      <c r="E105" s="304">
        <f>'Data Sheet'!D57/'Data Sheet'!D$61</f>
        <v>6.8999585453610526E-3</v>
      </c>
      <c r="F105" s="304">
        <f>'Data Sheet'!E57/'Data Sheet'!E$61</f>
        <v>6.4934724474540219E-3</v>
      </c>
      <c r="G105" s="304">
        <f>'Data Sheet'!F57/'Data Sheet'!F$61</f>
        <v>6.1692544240448711E-3</v>
      </c>
      <c r="H105" s="304">
        <f>'Data Sheet'!G57/'Data Sheet'!G$61</f>
        <v>6.2977880617939965E-3</v>
      </c>
      <c r="I105" s="304">
        <f>'Data Sheet'!H57/'Data Sheet'!H$61</f>
        <v>5.5496417353505158E-3</v>
      </c>
      <c r="J105" s="304">
        <f>'Data Sheet'!I57/'Data Sheet'!I$61</f>
        <v>4.826924187308736E-3</v>
      </c>
      <c r="K105" s="304">
        <f>'Data Sheet'!J57/'Data Sheet'!J$61</f>
        <v>4.1328207691330356E-3</v>
      </c>
      <c r="L105" s="304">
        <f>'Data Sheet'!K57/'Data Sheet'!K$61</f>
        <v>3.0763085327979805E-3</v>
      </c>
    </row>
    <row r="106" spans="1:13" outlineLevel="1" x14ac:dyDescent="0.25">
      <c r="B106" s="267" t="str">
        <f>'Data Sheet'!A58</f>
        <v>Reserves</v>
      </c>
      <c r="C106" s="304">
        <f>'Data Sheet'!B58/'Data Sheet'!B$61</f>
        <v>0.18875891310923565</v>
      </c>
      <c r="D106" s="304">
        <f>'Data Sheet'!C58/'Data Sheet'!C$61</f>
        <v>0.23573130641991202</v>
      </c>
      <c r="E106" s="304">
        <f>'Data Sheet'!D58/'Data Sheet'!D$61</f>
        <v>0.18935959082682507</v>
      </c>
      <c r="F106" s="304">
        <f>'Data Sheet'!E58/'Data Sheet'!E$61</f>
        <v>0.22812751899018821</v>
      </c>
      <c r="G106" s="304">
        <f>'Data Sheet'!F58/'Data Sheet'!F$61</f>
        <v>0.2382562036623295</v>
      </c>
      <c r="H106" s="304">
        <f>'Data Sheet'!G58/'Data Sheet'!G$61</f>
        <v>0.28419072321636751</v>
      </c>
      <c r="I106" s="304">
        <f>'Data Sheet'!H58/'Data Sheet'!H$61</f>
        <v>0.314977145214768</v>
      </c>
      <c r="J106" s="304">
        <f>'Data Sheet'!I58/'Data Sheet'!I$61</f>
        <v>0.33543738091113806</v>
      </c>
      <c r="K106" s="304">
        <f>'Data Sheet'!J58/'Data Sheet'!J$61</f>
        <v>0.35599407940889011</v>
      </c>
      <c r="L106" s="304">
        <f>'Data Sheet'!K58/'Data Sheet'!K$61</f>
        <v>0.3187461901484161</v>
      </c>
    </row>
    <row r="107" spans="1:13" outlineLevel="1" x14ac:dyDescent="0.25">
      <c r="B107" s="267" t="str">
        <f>'Data Sheet'!A59</f>
        <v>Borrowings</v>
      </c>
      <c r="C107" s="304">
        <f>'Data Sheet'!B59/'Data Sheet'!B$61</f>
        <v>1.4115923929675102E-3</v>
      </c>
      <c r="D107" s="304">
        <f>'Data Sheet'!C59/'Data Sheet'!C$61</f>
        <v>1.9751776544777434E-2</v>
      </c>
      <c r="E107" s="304">
        <f>'Data Sheet'!D59/'Data Sheet'!D$61</f>
        <v>1.8664285724602946E-2</v>
      </c>
      <c r="F107" s="304">
        <f>'Data Sheet'!E59/'Data Sheet'!E$61</f>
        <v>7.9931909710847349E-2</v>
      </c>
      <c r="G107" s="304">
        <f>'Data Sheet'!F59/'Data Sheet'!F$61</f>
        <v>0.10934832349556275</v>
      </c>
      <c r="H107" s="304">
        <f>'Data Sheet'!G59/'Data Sheet'!G$61</f>
        <v>1.0034574835742222E-3</v>
      </c>
      <c r="I107" s="304">
        <f>'Data Sheet'!H59/'Data Sheet'!H$61</f>
        <v>8.1770043452471654E-4</v>
      </c>
      <c r="J107" s="304">
        <f>'Data Sheet'!I59/'Data Sheet'!I$61</f>
        <v>7.4614585137710025E-4</v>
      </c>
      <c r="K107" s="304">
        <f>'Data Sheet'!J59/'Data Sheet'!J$61</f>
        <v>6.1944728295986048E-4</v>
      </c>
      <c r="L107" s="304">
        <f>'Data Sheet'!K59/'Data Sheet'!K$61</f>
        <v>4.7323577537345052E-4</v>
      </c>
    </row>
    <row r="108" spans="1:13" outlineLevel="1" x14ac:dyDescent="0.25">
      <c r="B108" s="267" t="str">
        <f>'Data Sheet'!A60</f>
        <v>Other Liabilities</v>
      </c>
      <c r="C108" s="304">
        <f>'Data Sheet'!B60/'Data Sheet'!B$61</f>
        <v>0.80343487482288756</v>
      </c>
      <c r="D108" s="304">
        <f>'Data Sheet'!C60/'Data Sheet'!C$61</f>
        <v>0.73753055927581523</v>
      </c>
      <c r="E108" s="304">
        <f>'Data Sheet'!D60/'Data Sheet'!D$61</f>
        <v>0.78507616490321086</v>
      </c>
      <c r="F108" s="304">
        <f>'Data Sheet'!E60/'Data Sheet'!E$61</f>
        <v>0.68544709885151045</v>
      </c>
      <c r="G108" s="304">
        <f>'Data Sheet'!F60/'Data Sheet'!F$61</f>
        <v>0.64622621841806283</v>
      </c>
      <c r="H108" s="304">
        <f>'Data Sheet'!G60/'Data Sheet'!G$61</f>
        <v>0.70850803123826422</v>
      </c>
      <c r="I108" s="304">
        <f>'Data Sheet'!H60/'Data Sheet'!H$61</f>
        <v>0.67865551261535695</v>
      </c>
      <c r="J108" s="304">
        <f>'Data Sheet'!I60/'Data Sheet'!I$61</f>
        <v>0.65898954905017615</v>
      </c>
      <c r="K108" s="304">
        <f>'Data Sheet'!J60/'Data Sheet'!J$61</f>
        <v>0.63925365253901711</v>
      </c>
      <c r="L108" s="304">
        <f>'Data Sheet'!K60/'Data Sheet'!K$61</f>
        <v>0.67770426554341245</v>
      </c>
    </row>
    <row r="109" spans="1:13" outlineLevel="1" x14ac:dyDescent="0.25">
      <c r="B109" s="308" t="s">
        <v>80</v>
      </c>
      <c r="C109" s="309">
        <f>'Data Sheet'!B61/'Data Sheet'!B$61</f>
        <v>1</v>
      </c>
      <c r="D109" s="309">
        <f>'Data Sheet'!C61/'Data Sheet'!C$61</f>
        <v>1</v>
      </c>
      <c r="E109" s="309">
        <f>'Data Sheet'!D61/'Data Sheet'!D$61</f>
        <v>1</v>
      </c>
      <c r="F109" s="309">
        <f>'Data Sheet'!E61/'Data Sheet'!E$61</f>
        <v>1</v>
      </c>
      <c r="G109" s="309">
        <f>'Data Sheet'!F61/'Data Sheet'!F$61</f>
        <v>1</v>
      </c>
      <c r="H109" s="309">
        <f>'Data Sheet'!G61/'Data Sheet'!G$61</f>
        <v>1</v>
      </c>
      <c r="I109" s="309">
        <f>'Data Sheet'!H61/'Data Sheet'!H$61</f>
        <v>1</v>
      </c>
      <c r="J109" s="309">
        <f>'Data Sheet'!I61/'Data Sheet'!I$61</f>
        <v>1</v>
      </c>
      <c r="K109" s="309">
        <f>'Data Sheet'!J61/'Data Sheet'!J$61</f>
        <v>1</v>
      </c>
      <c r="L109" s="309">
        <f>'Data Sheet'!K61/'Data Sheet'!K$61</f>
        <v>1</v>
      </c>
    </row>
    <row r="110" spans="1:13" outlineLevel="1" x14ac:dyDescent="0.25">
      <c r="B110" s="306"/>
    </row>
    <row r="111" spans="1:13" outlineLevel="1" x14ac:dyDescent="0.25">
      <c r="B111" s="267" t="str">
        <f>'Data Sheet'!A62</f>
        <v>Net Block</v>
      </c>
      <c r="C111" s="304">
        <f>'Data Sheet'!B62/'Data Sheet'!B$66</f>
        <v>0.12250074736564665</v>
      </c>
      <c r="D111" s="304">
        <f>'Data Sheet'!C62/'Data Sheet'!C$66</f>
        <v>0.14203777464696188</v>
      </c>
      <c r="E111" s="304">
        <f>'Data Sheet'!D62/'Data Sheet'!D$66</f>
        <v>0.15612489711140196</v>
      </c>
      <c r="F111" s="304">
        <f>'Data Sheet'!E62/'Data Sheet'!E$66</f>
        <v>0.1448520700407194</v>
      </c>
      <c r="G111" s="304">
        <f>'Data Sheet'!F62/'Data Sheet'!F$66</f>
        <v>0.13574038617292949</v>
      </c>
      <c r="H111" s="304">
        <f>'Data Sheet'!G62/'Data Sheet'!G$66</f>
        <v>0.13495975811551891</v>
      </c>
      <c r="I111" s="304">
        <f>'Data Sheet'!H62/'Data Sheet'!H$66</f>
        <v>0.1122886749734542</v>
      </c>
      <c r="J111" s="304">
        <f>'Data Sheet'!I62/'Data Sheet'!I$66</f>
        <v>9.8654656735377322E-2</v>
      </c>
      <c r="K111" s="304">
        <f>'Data Sheet'!J62/'Data Sheet'!J$66</f>
        <v>8.3263132603740131E-2</v>
      </c>
      <c r="L111" s="304">
        <f>'Data Sheet'!K62/'Data Sheet'!K$66</f>
        <v>6.1369774695980053E-2</v>
      </c>
    </row>
    <row r="112" spans="1:13" outlineLevel="1" x14ac:dyDescent="0.25">
      <c r="B112" s="267" t="str">
        <f>'Data Sheet'!A63</f>
        <v>Capital Work in Progress</v>
      </c>
      <c r="C112" s="304">
        <f>'Data Sheet'!B63/'Data Sheet'!B$66</f>
        <v>1.8138431575800567E-2</v>
      </c>
      <c r="D112" s="304">
        <f>'Data Sheet'!C63/'Data Sheet'!C$66</f>
        <v>2.6851578066508584E-2</v>
      </c>
      <c r="E112" s="304">
        <f>'Data Sheet'!D63/'Data Sheet'!D$66</f>
        <v>3.0161809279359901E-2</v>
      </c>
      <c r="F112" s="304">
        <f>'Data Sheet'!E63/'Data Sheet'!E$66</f>
        <v>2.9169263130013341E-2</v>
      </c>
      <c r="G112" s="304">
        <f>'Data Sheet'!F63/'Data Sheet'!F$66</f>
        <v>3.7686157838010166E-2</v>
      </c>
      <c r="H112" s="304">
        <f>'Data Sheet'!G63/'Data Sheet'!G$66</f>
        <v>3.6718106418474165E-2</v>
      </c>
      <c r="I112" s="304">
        <f>'Data Sheet'!H63/'Data Sheet'!H$66</f>
        <v>4.1041690938777194E-2</v>
      </c>
      <c r="J112" s="304">
        <f>'Data Sheet'!I63/'Data Sheet'!I$66</f>
        <v>2.7210000577400542E-2</v>
      </c>
      <c r="K112" s="304">
        <f>'Data Sheet'!J63/'Data Sheet'!J$66</f>
        <v>3.0817007955917897E-2</v>
      </c>
      <c r="L112" s="304">
        <f>'Data Sheet'!K63/'Data Sheet'!K$66</f>
        <v>2.8498563825099268E-2</v>
      </c>
    </row>
    <row r="113" spans="2:12" outlineLevel="1" x14ac:dyDescent="0.25">
      <c r="B113" s="267" t="str">
        <f>'Data Sheet'!A64</f>
        <v>Investments</v>
      </c>
      <c r="C113" s="304">
        <f>'Data Sheet'!B64/'Data Sheet'!B$66</f>
        <v>1.6199703176436667E-2</v>
      </c>
      <c r="D113" s="304">
        <f>'Data Sheet'!C64/'Data Sheet'!C$66</f>
        <v>1.9209874825341058E-2</v>
      </c>
      <c r="E113" s="304">
        <f>'Data Sheet'!D64/'Data Sheet'!D$66</f>
        <v>2.0843078818908019E-2</v>
      </c>
      <c r="F113" s="304">
        <f>'Data Sheet'!E64/'Data Sheet'!E$66</f>
        <v>1.766417140794305E-2</v>
      </c>
      <c r="G113" s="304">
        <f>'Data Sheet'!F64/'Data Sheet'!F$66</f>
        <v>1.8279545690193064E-2</v>
      </c>
      <c r="H113" s="304">
        <f>'Data Sheet'!G64/'Data Sheet'!G$66</f>
        <v>2.1118561289066192E-2</v>
      </c>
      <c r="I113" s="304">
        <f>'Data Sheet'!H64/'Data Sheet'!H$66</f>
        <v>2.2615798297682791E-2</v>
      </c>
      <c r="J113" s="304">
        <f>'Data Sheet'!I64/'Data Sheet'!I$66</f>
        <v>2.1045094982389285E-2</v>
      </c>
      <c r="K113" s="304">
        <f>'Data Sheet'!J64/'Data Sheet'!J$66</f>
        <v>1.9667698419643154E-2</v>
      </c>
      <c r="L113" s="304">
        <f>'Data Sheet'!K64/'Data Sheet'!K$66</f>
        <v>1.6138223117420431E-2</v>
      </c>
    </row>
    <row r="114" spans="2:12" outlineLevel="1" x14ac:dyDescent="0.25">
      <c r="B114" s="267" t="str">
        <f>'Data Sheet'!A65</f>
        <v>Other Assets</v>
      </c>
      <c r="C114" s="304">
        <f>('Data Sheet'!B65-SUM('Data Sheet'!B67:B69))/'Data Sheet'!B$66</f>
        <v>9.8059679579140274E-2</v>
      </c>
      <c r="D114" s="304">
        <f>('Data Sheet'!C65-SUM('Data Sheet'!C67:C69))/'Data Sheet'!C$66</f>
        <v>9.8984030906178008E-2</v>
      </c>
      <c r="E114" s="304">
        <f>('Data Sheet'!D65-SUM('Data Sheet'!D67:D69))/'Data Sheet'!D$66</f>
        <v>0.10310567259996926</v>
      </c>
      <c r="F114" s="304">
        <f>('Data Sheet'!E65-SUM('Data Sheet'!E67:E69))/'Data Sheet'!E$66</f>
        <v>0.16693946927868444</v>
      </c>
      <c r="G114" s="304">
        <f>('Data Sheet'!F65-SUM('Data Sheet'!F67:F69))/'Data Sheet'!F$66</f>
        <v>0.21953184585405952</v>
      </c>
      <c r="H114" s="304">
        <f>('Data Sheet'!G65-SUM('Data Sheet'!G67:G69))/'Data Sheet'!G$66</f>
        <v>0.22616986229956756</v>
      </c>
      <c r="I114" s="304">
        <f>('Data Sheet'!H65-SUM('Data Sheet'!H67:H69))/'Data Sheet'!H$66</f>
        <v>0.23988197364704353</v>
      </c>
      <c r="J114" s="304">
        <f>('Data Sheet'!I65-SUM('Data Sheet'!I67:I69))/'Data Sheet'!I$66</f>
        <v>0.28641953923436686</v>
      </c>
      <c r="K114" s="304">
        <f>('Data Sheet'!J65-SUM('Data Sheet'!J67:J69))/'Data Sheet'!J$66</f>
        <v>0.28435658312285472</v>
      </c>
      <c r="L114" s="304">
        <f>('Data Sheet'!K65-SUM('Data Sheet'!K67:K69))/'Data Sheet'!K$66</f>
        <v>0.2781857259063284</v>
      </c>
    </row>
    <row r="115" spans="2:12" outlineLevel="1" x14ac:dyDescent="0.25">
      <c r="B115" s="267" t="str">
        <f>'Data Sheet'!A67</f>
        <v>Receivables</v>
      </c>
      <c r="C115" s="304">
        <f>'Data Sheet'!B67/'Data Sheet'!B$66</f>
        <v>8.5560541924117176E-2</v>
      </c>
      <c r="D115" s="304">
        <f>'Data Sheet'!C67/'Data Sheet'!C$66</f>
        <v>8.15589144185669E-2</v>
      </c>
      <c r="E115" s="304">
        <f>'Data Sheet'!D67/'Data Sheet'!D$66</f>
        <v>0.1393144116670563</v>
      </c>
      <c r="F115" s="304">
        <f>'Data Sheet'!E67/'Data Sheet'!E$66</f>
        <v>0.24192015236813963</v>
      </c>
      <c r="G115" s="304">
        <f>'Data Sheet'!F67/'Data Sheet'!F$66</f>
        <v>0.20727266890591714</v>
      </c>
      <c r="H115" s="304">
        <f>'Data Sheet'!G67/'Data Sheet'!G$66</f>
        <v>0.1067501349431845</v>
      </c>
      <c r="I115" s="304">
        <f>'Data Sheet'!H67/'Data Sheet'!H$66</f>
        <v>7.7032293441435085E-2</v>
      </c>
      <c r="J115" s="304">
        <f>'Data Sheet'!I67/'Data Sheet'!I$66</f>
        <v>6.8121427334141699E-2</v>
      </c>
      <c r="K115" s="304">
        <f>'Data Sheet'!J67/'Data Sheet'!J$66</f>
        <v>5.7060957468739675E-2</v>
      </c>
      <c r="L115" s="304">
        <f>'Data Sheet'!K67/'Data Sheet'!K$66</f>
        <v>4.2758563460788677E-2</v>
      </c>
    </row>
    <row r="116" spans="2:12" outlineLevel="1" x14ac:dyDescent="0.25">
      <c r="B116" s="267" t="str">
        <f>'Data Sheet'!A68</f>
        <v>Inventory</v>
      </c>
      <c r="C116" s="304">
        <f>'Data Sheet'!B68/'Data Sheet'!B$66</f>
        <v>0.42421535451665343</v>
      </c>
      <c r="D116" s="304">
        <f>'Data Sheet'!C68/'Data Sheet'!C$66</f>
        <v>0.41589082342391442</v>
      </c>
      <c r="E116" s="304">
        <f>'Data Sheet'!D68/'Data Sheet'!D$66</f>
        <v>0.4153868312086369</v>
      </c>
      <c r="F116" s="304">
        <f>'Data Sheet'!E68/'Data Sheet'!E$66</f>
        <v>0.39705353760161161</v>
      </c>
      <c r="G116" s="304">
        <f>'Data Sheet'!F68/'Data Sheet'!F$66</f>
        <v>0.37564909176044126</v>
      </c>
      <c r="H116" s="304">
        <f>'Data Sheet'!G68/'Data Sheet'!G$66</f>
        <v>0.33910779672151153</v>
      </c>
      <c r="I116" s="304">
        <f>'Data Sheet'!H68/'Data Sheet'!H$66</f>
        <v>0.26902028965880298</v>
      </c>
      <c r="J116" s="304">
        <f>'Data Sheet'!I68/'Data Sheet'!I$66</f>
        <v>0.20527874011201569</v>
      </c>
      <c r="K116" s="304">
        <f>'Data Sheet'!J68/'Data Sheet'!J$66</f>
        <v>0.19815886227358412</v>
      </c>
      <c r="L116" s="304">
        <f>'Data Sheet'!K68/'Data Sheet'!K$66</f>
        <v>0.22178152293969941</v>
      </c>
    </row>
    <row r="117" spans="2:12" outlineLevel="1" x14ac:dyDescent="0.25">
      <c r="B117" s="267" t="str">
        <f>'Data Sheet'!A69</f>
        <v>Cash &amp; Bank</v>
      </c>
      <c r="C117" s="304">
        <f>'Data Sheet'!B69/'Data Sheet'!B$66</f>
        <v>0.23532554186220522</v>
      </c>
      <c r="D117" s="304">
        <f>'Data Sheet'!C69/'Data Sheet'!C$66</f>
        <v>0.21546700371252925</v>
      </c>
      <c r="E117" s="304">
        <f>'Data Sheet'!D69/'Data Sheet'!D$66</f>
        <v>0.13506329931466754</v>
      </c>
      <c r="F117" s="304">
        <f>'Data Sheet'!E69/'Data Sheet'!E$66</f>
        <v>2.4013361728884366E-3</v>
      </c>
      <c r="G117" s="304">
        <f>'Data Sheet'!F69/'Data Sheet'!F$66</f>
        <v>5.8403037784492493E-3</v>
      </c>
      <c r="H117" s="304">
        <f>'Data Sheet'!G69/'Data Sheet'!G$66</f>
        <v>0.13517578021267726</v>
      </c>
      <c r="I117" s="304">
        <f>'Data Sheet'!H69/'Data Sheet'!H$66</f>
        <v>0.23811927904280422</v>
      </c>
      <c r="J117" s="304">
        <f>'Data Sheet'!I69/'Data Sheet'!I$66</f>
        <v>0.29327054102430855</v>
      </c>
      <c r="K117" s="304">
        <f>'Data Sheet'!J69/'Data Sheet'!J$66</f>
        <v>0.32667575815552036</v>
      </c>
      <c r="L117" s="304">
        <f>'Data Sheet'!K69/'Data Sheet'!K$66</f>
        <v>0.35126762605468376</v>
      </c>
    </row>
    <row r="118" spans="2:12" outlineLevel="1" x14ac:dyDescent="0.25">
      <c r="B118" s="293" t="s">
        <v>81</v>
      </c>
      <c r="C118" s="309">
        <f>'Data Sheet'!B66/'Data Sheet'!B$66</f>
        <v>1</v>
      </c>
      <c r="D118" s="309">
        <f>'Data Sheet'!C66/'Data Sheet'!C$66</f>
        <v>1</v>
      </c>
      <c r="E118" s="309">
        <f>'Data Sheet'!D66/'Data Sheet'!D$66</f>
        <v>1</v>
      </c>
      <c r="F118" s="309">
        <f>'Data Sheet'!E66/'Data Sheet'!E$66</f>
        <v>1</v>
      </c>
      <c r="G118" s="309">
        <f>'Data Sheet'!F66/'Data Sheet'!F$66</f>
        <v>1</v>
      </c>
      <c r="H118" s="309">
        <f>'Data Sheet'!G66/'Data Sheet'!G$66</f>
        <v>1</v>
      </c>
      <c r="I118" s="309">
        <f>'Data Sheet'!H66/'Data Sheet'!H$66</f>
        <v>1</v>
      </c>
      <c r="J118" s="309">
        <f>'Data Sheet'!I66/'Data Sheet'!I$66</f>
        <v>1</v>
      </c>
      <c r="K118" s="309">
        <f>'Data Sheet'!J66/'Data Sheet'!J$66</f>
        <v>1</v>
      </c>
      <c r="L118" s="309">
        <f>'Data Sheet'!K66/'Data Sheet'!K$66</f>
        <v>1</v>
      </c>
    </row>
  </sheetData>
  <sheetProtection sheet="1" objects="1" scenarios="1"/>
  <mergeCells count="1">
    <mergeCell ref="B2:M2"/>
  </mergeCells>
  <pageMargins left="0.7" right="0.7" top="0.75" bottom="0.75" header="0.3" footer="0.3"/>
  <pageSetup orientation="portrait" r:id="rId1"/>
  <ignoredErrors>
    <ignoredError sqref="M9 M6 C15:D15 M18 M24 M27 E15:L15 M33 M21"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9C695-FEFE-4EA4-AD73-5B4B539CEBBF}">
  <sheetPr codeName="Sheet2">
    <tabColor theme="2" tint="-0.249977111117893"/>
  </sheetPr>
  <dimension ref="B2:P41"/>
  <sheetViews>
    <sheetView showGridLines="0" zoomScale="80" zoomScaleNormal="80" zoomScaleSheetLayoutView="40" workbookViewId="0">
      <pane ySplit="3" topLeftCell="A4" activePane="bottomLeft" state="frozen"/>
      <selection pane="bottomLeft" activeCell="E40" sqref="E40"/>
    </sheetView>
  </sheetViews>
  <sheetFormatPr defaultRowHeight="15" x14ac:dyDescent="0.25"/>
  <cols>
    <col min="1" max="1" width="1.85546875" customWidth="1"/>
    <col min="2" max="2" width="31.28515625" bestFit="1" customWidth="1"/>
    <col min="3" max="5" width="8.42578125" bestFit="1" customWidth="1"/>
    <col min="6" max="6" width="9.42578125" bestFit="1" customWidth="1"/>
    <col min="7" max="7" width="8.42578125" bestFit="1" customWidth="1"/>
    <col min="8" max="12" width="10.85546875" bestFit="1" customWidth="1"/>
    <col min="13" max="13" width="9.42578125" bestFit="1" customWidth="1"/>
    <col min="14" max="14" width="22.42578125" customWidth="1"/>
    <col min="15" max="15" width="9.85546875" bestFit="1" customWidth="1"/>
    <col min="16" max="16" width="8.5703125" bestFit="1" customWidth="1"/>
  </cols>
  <sheetData>
    <row r="2" spans="2:16" ht="15.75" x14ac:dyDescent="0.25">
      <c r="B2" s="248" t="str">
        <f>"Ratio Analysis- "&amp;'Data Sheet'!B1</f>
        <v>Ratio Analysis- HINDUSTAN AERONAUTICS LTD</v>
      </c>
      <c r="C2" s="248"/>
      <c r="D2" s="248"/>
      <c r="E2" s="248"/>
      <c r="F2" s="248"/>
      <c r="G2" s="248"/>
      <c r="H2" s="248"/>
      <c r="I2" s="248"/>
      <c r="J2" s="248"/>
      <c r="K2" s="248"/>
      <c r="L2" s="248"/>
      <c r="M2" s="248"/>
      <c r="N2" s="248"/>
      <c r="O2" s="248"/>
      <c r="P2" s="248"/>
    </row>
    <row r="3" spans="2:16" ht="15.75" x14ac:dyDescent="0.25">
      <c r="B3" s="9" t="s">
        <v>55</v>
      </c>
      <c r="C3" s="10">
        <f>IFERROR('Data Sheet'!B16,0)</f>
        <v>42460</v>
      </c>
      <c r="D3" s="10">
        <f>IFERROR('Data Sheet'!C16,0)</f>
        <v>42825</v>
      </c>
      <c r="E3" s="10">
        <f>IFERROR('Data Sheet'!D16,0)</f>
        <v>43190</v>
      </c>
      <c r="F3" s="10">
        <f>IFERROR('Data Sheet'!E16,0)</f>
        <v>43555</v>
      </c>
      <c r="G3" s="10">
        <f>IFERROR('Data Sheet'!F16,0)</f>
        <v>43921</v>
      </c>
      <c r="H3" s="10">
        <f>IFERROR('Data Sheet'!G16,0)</f>
        <v>44286</v>
      </c>
      <c r="I3" s="10">
        <f>IFERROR('Data Sheet'!H16,0)</f>
        <v>44651</v>
      </c>
      <c r="J3" s="10">
        <f>IFERROR('Data Sheet'!I16,0)</f>
        <v>45016</v>
      </c>
      <c r="K3" s="10">
        <f>IFERROR('Data Sheet'!J16,0)</f>
        <v>45382</v>
      </c>
      <c r="L3" s="10">
        <f>IFERROR('Data Sheet'!K16,0)</f>
        <v>45747</v>
      </c>
      <c r="M3" s="11" t="str">
        <f>'Historical FS'!M3</f>
        <v>LTM</v>
      </c>
      <c r="N3" s="45" t="s">
        <v>142</v>
      </c>
      <c r="O3" s="45" t="s">
        <v>140</v>
      </c>
      <c r="P3" s="45" t="s">
        <v>141</v>
      </c>
    </row>
    <row r="4" spans="2:16" ht="4.5" customHeight="1" x14ac:dyDescent="0.25"/>
    <row r="5" spans="2:16" x14ac:dyDescent="0.25">
      <c r="B5" s="25" t="s">
        <v>10</v>
      </c>
      <c r="C5" s="25">
        <f>IFERROR('Historical FS'!C6/0-1,0)</f>
        <v>0</v>
      </c>
      <c r="D5" s="26">
        <f>IFERROR('Historical FS'!D7,0)</f>
        <v>7.1093474953008773E-2</v>
      </c>
      <c r="E5" s="26">
        <f>IFERROR('Historical FS'!E7,0)</f>
        <v>3.1744988278499475E-2</v>
      </c>
      <c r="F5" s="26">
        <f>IFERROR('Historical FS'!F7,0)</f>
        <v>8.0360739405628712E-2</v>
      </c>
      <c r="G5" s="26">
        <f>IFERROR('Historical FS'!G7,0)</f>
        <v>7.182926829268288E-2</v>
      </c>
      <c r="H5" s="26">
        <f>IFERROR('Historical FS'!H7,0)</f>
        <v>6.7015587666401144E-2</v>
      </c>
      <c r="I5" s="26">
        <f>IFERROR('Historical FS'!I7,0)</f>
        <v>7.59407262899916E-2</v>
      </c>
      <c r="J5" s="26">
        <f>IFERROR('Historical FS'!J7,0)</f>
        <v>9.3722100956863397E-2</v>
      </c>
      <c r="K5" s="26">
        <f>IFERROR('Historical FS'!K7,0)</f>
        <v>0.12825643413823662</v>
      </c>
      <c r="L5" s="26">
        <f>IFERROR('Historical FS'!L7,0)</f>
        <v>1.974485436330764E-2</v>
      </c>
      <c r="M5" s="26">
        <f>IFERROR('Historical FS'!M7,0)</f>
        <v>3.6274872139169245E-2</v>
      </c>
      <c r="N5" s="46"/>
      <c r="O5" s="46">
        <f>IFERROR(AVERAGE(D5:M5),0)</f>
        <v>6.7598304648378946E-2</v>
      </c>
      <c r="P5" s="46">
        <f>IFERROR(MEDIAN(C5:M5),0)</f>
        <v>7.1093474953008773E-2</v>
      </c>
    </row>
    <row r="6" spans="2:16" x14ac:dyDescent="0.25">
      <c r="B6" s="27" t="s">
        <v>63</v>
      </c>
      <c r="C6" s="27">
        <f>IFERROR('Historical FS'!C7/0-1,0)</f>
        <v>0</v>
      </c>
      <c r="D6" s="28">
        <f>IFERROR('Historical FS'!D18/'Historical FS'!C18-1,0)</f>
        <v>0.30590969723917549</v>
      </c>
      <c r="E6" s="28">
        <f>IFERROR('Historical FS'!E18/'Historical FS'!D18-1,0)</f>
        <v>6.747784529001688E-2</v>
      </c>
      <c r="F6" s="28">
        <f>IFERROR('Historical FS'!F18/'Historical FS'!E18-1,0)</f>
        <v>0.31964021121063357</v>
      </c>
      <c r="G6" s="28">
        <f>IFERROR('Historical FS'!G18/'Historical FS'!F18-1,0)</f>
        <v>7.9808307130473155E-2</v>
      </c>
      <c r="H6" s="28">
        <f>IFERROR('Historical FS'!H18/'Historical FS'!G18-1,0)</f>
        <v>8.7447906492153837E-2</v>
      </c>
      <c r="I6" s="28">
        <f>IFERROR('Historical FS'!I18/'Historical FS'!H18-1,0)</f>
        <v>1.3358957181726305E-2</v>
      </c>
      <c r="J6" s="28">
        <f>IFERROR('Historical FS'!J18/'Historical FS'!I18-1,0)</f>
        <v>0.23457122966667043</v>
      </c>
      <c r="K6" s="28">
        <f>IFERROR('Historical FS'!K18/'Historical FS'!J18-1,0)</f>
        <v>0.45858150130278941</v>
      </c>
      <c r="L6" s="28">
        <f>IFERROR('Historical FS'!L18/'Historical FS'!K18-1,0)</f>
        <v>-1.3388599591040773E-2</v>
      </c>
      <c r="M6" s="28">
        <f>IFERROR('Historical FS'!M18/'Historical FS'!L18-1,0)</f>
        <v>0.16848213598973838</v>
      </c>
      <c r="N6" s="28"/>
      <c r="O6" s="28">
        <f t="shared" ref="O6:O9" si="0">IFERROR(AVERAGE(D6:M6),0)</f>
        <v>0.17218891919123366</v>
      </c>
      <c r="P6" s="28">
        <f t="shared" ref="P6:P9" si="1">IFERROR(MEDIAN(C6:M6),0)</f>
        <v>8.7447906492153837E-2</v>
      </c>
    </row>
    <row r="7" spans="2:16" x14ac:dyDescent="0.25">
      <c r="B7" s="27" t="s">
        <v>109</v>
      </c>
      <c r="C7" s="27">
        <f>IFERROR('Historical FS'!C8/0-1,0)</f>
        <v>0</v>
      </c>
      <c r="D7" s="28">
        <f>IFERROR('Historical FS'!D30/'Historical FS'!C30-1,0)</f>
        <v>0.11777923007499957</v>
      </c>
      <c r="E7" s="28">
        <f>IFERROR('Historical FS'!E30/'Historical FS'!D30-1,0)</f>
        <v>-9.7189121767600195E-2</v>
      </c>
      <c r="F7" s="28">
        <f>IFERROR('Historical FS'!F30/'Historical FS'!E30-1,0)</f>
        <v>0.14856538418838761</v>
      </c>
      <c r="G7" s="28">
        <f>IFERROR('Historical FS'!G30/'Historical FS'!F30-1,0)</f>
        <v>6.8254739651435914E-2</v>
      </c>
      <c r="H7" s="28">
        <f>IFERROR('Historical FS'!H30/'Historical FS'!G30-1,0)</f>
        <v>7.6619146240926694E-2</v>
      </c>
      <c r="I7" s="28">
        <f>IFERROR('Historical FS'!I30/'Historical FS'!H30-1,0)</f>
        <v>0.21969286654776088</v>
      </c>
      <c r="J7" s="28">
        <f>IFERROR('Historical FS'!J30/'Historical FS'!I30-1,0)</f>
        <v>0.24594939640503455</v>
      </c>
      <c r="K7" s="28">
        <f>IFERROR('Historical FS'!K30/'Historical FS'!J30-1,0)</f>
        <v>0.57076273139258116</v>
      </c>
      <c r="L7" s="28">
        <f>IFERROR('Historical FS'!L30/'Historical FS'!K30-1,0)</f>
        <v>6.2825187190460818E-2</v>
      </c>
      <c r="M7" s="28">
        <f>IFERROR('Historical FS'!M30/'Historical FS'!L30-1,0)</f>
        <v>0.11615899499965887</v>
      </c>
      <c r="N7" s="28"/>
      <c r="O7" s="28">
        <f t="shared" si="0"/>
        <v>0.15294185549236458</v>
      </c>
      <c r="P7" s="28">
        <f t="shared" si="1"/>
        <v>0.11615899499965887</v>
      </c>
    </row>
    <row r="8" spans="2:16" x14ac:dyDescent="0.25">
      <c r="B8" s="27" t="s">
        <v>110</v>
      </c>
      <c r="C8" s="27">
        <f>IFERROR('Historical FS'!C9/0-1,0)</f>
        <v>0</v>
      </c>
      <c r="D8" s="28">
        <f>IFERROR('Historical FS'!D36/'Historical FS'!C36-1,0)</f>
        <v>0.30958938282692006</v>
      </c>
      <c r="E8" s="28">
        <f>IFERROR('Historical FS'!E36/'Historical FS'!D36-1,0)</f>
        <v>-0.24175464128832047</v>
      </c>
      <c r="F8" s="28">
        <f>IFERROR('Historical FS'!F36/'Historical FS'!E36-1,0)</f>
        <v>0.1697776661223469</v>
      </c>
      <c r="G8" s="28">
        <f>IFERROR('Historical FS'!G36/'Historical FS'!F36-1,0)</f>
        <v>0.23817193909327017</v>
      </c>
      <c r="H8" s="28">
        <f>IFERROR('Historical FS'!H36/'Historical FS'!G36-1,0)</f>
        <v>0.12589110714099871</v>
      </c>
      <c r="I8" s="28">
        <f>IFERROR('Historical FS'!I36/'Historical FS'!H36-1,0)</f>
        <v>0.5651830968556959</v>
      </c>
      <c r="J8" s="28">
        <f>IFERROR('Historical FS'!J36/'Historical FS'!I36-1,0)</f>
        <v>0.14721804452073561</v>
      </c>
      <c r="K8" s="28">
        <f>IFERROR('Historical FS'!K36/'Historical FS'!J36-1,0)</f>
        <v>0.3077047152150163</v>
      </c>
      <c r="L8" s="28">
        <f>IFERROR('Historical FS'!L36/'Historical FS'!K36-1,0)</f>
        <v>9.7507528588955283E-2</v>
      </c>
      <c r="M8" s="28">
        <f>IFERROR('Historical FS'!M36/'Historical FS'!L36-1,0)</f>
        <v>0.10672461307620051</v>
      </c>
      <c r="N8" s="28"/>
      <c r="O8" s="28">
        <f t="shared" si="0"/>
        <v>0.1826013452151819</v>
      </c>
      <c r="P8" s="28">
        <f t="shared" si="1"/>
        <v>0.14721804452073561</v>
      </c>
    </row>
    <row r="9" spans="2:16" x14ac:dyDescent="0.25">
      <c r="B9" s="29" t="s">
        <v>111</v>
      </c>
      <c r="C9" s="29">
        <f>IFERROR('Historical FS'!C10/0-1,0)</f>
        <v>0</v>
      </c>
      <c r="D9" s="30">
        <f>IFERROR('Historical FS'!D44/'Historical FS'!C44-1,0)</f>
        <v>0.27183987535969201</v>
      </c>
      <c r="E9" s="30">
        <f>IFERROR('Historical FS'!E44/'Historical FS'!D44-1,0)</f>
        <v>0.45363484973086132</v>
      </c>
      <c r="F9" s="30">
        <f>IFERROR('Historical FS'!F44/'Historical FS'!E44-1,0)</f>
        <v>-0.38452027925222865</v>
      </c>
      <c r="G9" s="30">
        <f>IFERROR('Historical FS'!G44/'Historical FS'!F44-1,0)</f>
        <v>0.6793034179643247</v>
      </c>
      <c r="H9" s="30">
        <f>IFERROR('Historical FS'!H44/'Historical FS'!G44-1,0)</f>
        <v>-9.7746998246166172E-2</v>
      </c>
      <c r="I9" s="30">
        <f>IFERROR('Historical FS'!I44/'Historical FS'!H44-1,0)</f>
        <v>0.33333333333333326</v>
      </c>
      <c r="J9" s="30">
        <f>IFERROR('Historical FS'!J44/'Historical FS'!I44-1,0)</f>
        <v>0.37499626184993584</v>
      </c>
      <c r="K9" s="30">
        <f>IFERROR('Historical FS'!K44/'Historical FS'!J44-1,0)</f>
        <v>0.27273073284252436</v>
      </c>
      <c r="L9" s="30">
        <f>IFERROR('Historical FS'!L44/'Historical FS'!K44-1,0)</f>
        <v>0.14285714285714257</v>
      </c>
      <c r="M9" s="30">
        <f>IFERROR('Historical FS'!M44/'Historical FS'!L44-1,0)</f>
        <v>-1</v>
      </c>
      <c r="N9" s="47"/>
      <c r="O9" s="47">
        <f t="shared" si="0"/>
        <v>0.10464283364394192</v>
      </c>
      <c r="P9" s="47">
        <f t="shared" si="1"/>
        <v>0.27183987535969201</v>
      </c>
    </row>
    <row r="10" spans="2:16" x14ac:dyDescent="0.25">
      <c r="O10" s="23"/>
      <c r="P10" s="23"/>
    </row>
    <row r="11" spans="2:16" x14ac:dyDescent="0.25">
      <c r="B11" s="25" t="s">
        <v>112</v>
      </c>
      <c r="C11" s="31">
        <f>'Historical FS'!C13</f>
        <v>0.25334009607065072</v>
      </c>
      <c r="D11" s="31">
        <f>'Historical FS'!D13</f>
        <v>0.22902664747252338</v>
      </c>
      <c r="E11" s="31">
        <f>'Historical FS'!E13</f>
        <v>0.23217496573925991</v>
      </c>
      <c r="F11" s="31">
        <f>'Historical FS'!F13</f>
        <v>0.29590563774490208</v>
      </c>
      <c r="G11" s="31">
        <f>'Historical FS'!G13</f>
        <v>0.30346987385498636</v>
      </c>
      <c r="H11" s="31">
        <f>'Historical FS'!H13</f>
        <v>0.28600727548605215</v>
      </c>
      <c r="I11" s="31">
        <f>'Historical FS'!I13</f>
        <v>0.37067394746226856</v>
      </c>
      <c r="J11" s="31">
        <f>'Historical FS'!J13</f>
        <v>0.39983756358750505</v>
      </c>
      <c r="K11" s="31">
        <f>'Historical FS'!K13</f>
        <v>0.42499443732744208</v>
      </c>
      <c r="L11" s="31">
        <f>'Historical FS'!L13</f>
        <v>0.3827122796428129</v>
      </c>
      <c r="M11" s="31">
        <f>'Historical FS'!M13</f>
        <v>0.30580181518141525</v>
      </c>
      <c r="N11" s="48"/>
      <c r="O11" s="46">
        <f>IFERROR(AVERAGE(C11:M11),0)</f>
        <v>0.31672223086998347</v>
      </c>
      <c r="P11" s="46">
        <f t="shared" ref="P11:P15" si="2">IFERROR(MEDIAN(C11:M11),0)</f>
        <v>0.30346987385498636</v>
      </c>
    </row>
    <row r="12" spans="2:16" x14ac:dyDescent="0.25">
      <c r="B12" s="27" t="s">
        <v>113</v>
      </c>
      <c r="C12" s="32">
        <f>'Historical FS'!C19</f>
        <v>0.14762061043649494</v>
      </c>
      <c r="D12" s="32">
        <f>'Historical FS'!D19</f>
        <v>0.17998353196003086</v>
      </c>
      <c r="E12" s="32">
        <f>'Historical FS'!E19</f>
        <v>0.18621697712818869</v>
      </c>
      <c r="F12" s="32">
        <f>'Historical FS'!F19</f>
        <v>0.22746051579368259</v>
      </c>
      <c r="G12" s="32">
        <f>'Historical FS'!G19</f>
        <v>0.22915380440155256</v>
      </c>
      <c r="H12" s="32">
        <f>'Historical FS'!H19</f>
        <v>0.23354187862069933</v>
      </c>
      <c r="I12" s="32">
        <f>'Historical FS'!I19</f>
        <v>0.2199579854118722</v>
      </c>
      <c r="J12" s="32">
        <f>'Historical FS'!J19</f>
        <v>0.24828409363527043</v>
      </c>
      <c r="K12" s="32">
        <f>'Historical FS'!K19</f>
        <v>0.32097542286186026</v>
      </c>
      <c r="L12" s="32">
        <f>'Historical FS'!L19</f>
        <v>0.31054631959316947</v>
      </c>
      <c r="M12" s="32">
        <f>'Historical FS'!M19</f>
        <v>0.35016561396776424</v>
      </c>
      <c r="N12" s="27"/>
      <c r="O12" s="28">
        <f t="shared" ref="O12:O40" si="3">IFERROR(AVERAGE(C12:M12),0)</f>
        <v>0.24126425034641688</v>
      </c>
      <c r="P12" s="28">
        <f t="shared" si="2"/>
        <v>0.22915380440155256</v>
      </c>
    </row>
    <row r="13" spans="2:16" x14ac:dyDescent="0.25">
      <c r="B13" s="27" t="s">
        <v>124</v>
      </c>
      <c r="C13" s="32">
        <f>IFERROR((('Historical FS'!C18-'Historical FS'!C27)/'Historical FS'!C6),0)</f>
        <v>9.6136289047349138E-2</v>
      </c>
      <c r="D13" s="32">
        <f>IFERROR((('Historical FS'!D18-'Historical FS'!D27)/'Historical FS'!D6),0)</f>
        <v>0.14206247158761695</v>
      </c>
      <c r="E13" s="32">
        <f>IFERROR((('Historical FS'!E18-'Historical FS'!E27)/'Historical FS'!E6),0)</f>
        <v>0.13507749028874061</v>
      </c>
      <c r="F13" s="32">
        <f>IFERROR((('Historical FS'!F18-'Historical FS'!F27)/'Historical FS'!F6),0)</f>
        <v>0.17621801279488211</v>
      </c>
      <c r="G13" s="32">
        <f>IFERROR((('Historical FS'!G18-'Historical FS'!G27)/'Historical FS'!G6),0)</f>
        <v>0.18259224925344456</v>
      </c>
      <c r="H13" s="32">
        <f>IFERROR((('Historical FS'!H18-'Historical FS'!H27)/'Historical FS'!H6),0)</f>
        <v>0.18293992916802143</v>
      </c>
      <c r="I13" s="32">
        <f>IFERROR((('Historical FS'!I18-'Historical FS'!I27)/'Historical FS'!I6),0)</f>
        <v>0.17485119833371385</v>
      </c>
      <c r="J13" s="32">
        <f>IFERROR((('Historical FS'!J18-'Historical FS'!J27)/'Historical FS'!J6),0)</f>
        <v>0.18200714066607096</v>
      </c>
      <c r="K13" s="32">
        <f>IFERROR((('Historical FS'!K18-'Historical FS'!K27)/'Historical FS'!K6),0)</f>
        <v>0.27465810958662445</v>
      </c>
      <c r="L13" s="32">
        <f>IFERROR((('Historical FS'!L18-'Historical FS'!L27)/'Historical FS'!L6),0)</f>
        <v>0.2672819910299718</v>
      </c>
      <c r="M13" s="32">
        <f>IFERROR((('Historical FS'!M18-'Historical FS'!M27)/'Historical FS'!M6),0)</f>
        <v>0.30580181518141525</v>
      </c>
      <c r="N13" s="27"/>
      <c r="O13" s="28">
        <f t="shared" si="3"/>
        <v>0.19269333608525915</v>
      </c>
      <c r="P13" s="28">
        <f t="shared" si="2"/>
        <v>0.18200714066607096</v>
      </c>
    </row>
    <row r="14" spans="2:16" x14ac:dyDescent="0.25">
      <c r="B14" s="27" t="s">
        <v>114</v>
      </c>
      <c r="C14" s="32">
        <f>'Historical FS'!C31</f>
        <v>0.19174150431124506</v>
      </c>
      <c r="D14" s="32">
        <f>'Historical FS'!D31</f>
        <v>0.20009894194514499</v>
      </c>
      <c r="E14" s="32">
        <f>'Historical FS'!E31</f>
        <v>0.1750931708544505</v>
      </c>
      <c r="F14" s="32">
        <f>'Historical FS'!F31</f>
        <v>0.18614704118352671</v>
      </c>
      <c r="G14" s="32">
        <f>'Historical FS'!G31</f>
        <v>0.18552624461650086</v>
      </c>
      <c r="H14" s="32">
        <f>'Historical FS'!H31</f>
        <v>0.18719605354701793</v>
      </c>
      <c r="I14" s="32">
        <f>'Historical FS'!I31</f>
        <v>0.21220657010026808</v>
      </c>
      <c r="J14" s="32">
        <f>'Historical FS'!J31</f>
        <v>0.2417420729619503</v>
      </c>
      <c r="K14" s="32">
        <f>'Historical FS'!K31</f>
        <v>0.33655419754663113</v>
      </c>
      <c r="L14" s="32">
        <f>'Historical FS'!L31</f>
        <v>0.35077232944761227</v>
      </c>
      <c r="M14" s="32">
        <f>'Historical FS'!M31</f>
        <v>0.37781258740910229</v>
      </c>
      <c r="N14" s="27"/>
      <c r="O14" s="28">
        <f t="shared" si="3"/>
        <v>0.24044461035667727</v>
      </c>
      <c r="P14" s="28">
        <f t="shared" si="2"/>
        <v>0.20009894194514499</v>
      </c>
    </row>
    <row r="15" spans="2:16" x14ac:dyDescent="0.25">
      <c r="B15" s="29" t="s">
        <v>115</v>
      </c>
      <c r="C15" s="33">
        <f>'Historical FS'!C37</f>
        <v>0.11959900945788708</v>
      </c>
      <c r="D15" s="33">
        <f>'Historical FS'!D37</f>
        <v>0.14622962107909099</v>
      </c>
      <c r="E15" s="33">
        <f>'Historical FS'!E37</f>
        <v>0.10746641151549649</v>
      </c>
      <c r="F15" s="33">
        <f>'Historical FS'!F37</f>
        <v>0.11636095561775302</v>
      </c>
      <c r="G15" s="33">
        <f>'Historical FS'!G37</f>
        <v>0.13441960796748542</v>
      </c>
      <c r="H15" s="33">
        <f>'Historical FS'!H37</f>
        <v>0.14183657950767226</v>
      </c>
      <c r="I15" s="33">
        <f>'Historical FS'!I37</f>
        <v>0.20633127024267253</v>
      </c>
      <c r="J15" s="33">
        <f>'Historical FS'!J37</f>
        <v>0.21642330914241439</v>
      </c>
      <c r="K15" s="33">
        <f>'Historical FS'!K37</f>
        <v>0.25084526290704623</v>
      </c>
      <c r="L15" s="33">
        <f>'Historical FS'!L37</f>
        <v>0.2699739678738064</v>
      </c>
      <c r="M15" s="33">
        <f>'Historical FS'!M37</f>
        <v>0.28832778171973145</v>
      </c>
      <c r="N15" s="49"/>
      <c r="O15" s="47">
        <f t="shared" si="3"/>
        <v>0.18161943427555058</v>
      </c>
      <c r="P15" s="47">
        <f t="shared" si="2"/>
        <v>0.14622962107909099</v>
      </c>
    </row>
    <row r="16" spans="2:16" x14ac:dyDescent="0.25">
      <c r="O16" s="23"/>
      <c r="P16" s="23"/>
    </row>
    <row r="17" spans="2:16" x14ac:dyDescent="0.25">
      <c r="B17" s="34" t="s">
        <v>117</v>
      </c>
      <c r="C17" s="31">
        <f>'Historical FS'!C16</f>
        <v>0.10571948563415579</v>
      </c>
      <c r="D17" s="31">
        <f>'Historical FS'!D16</f>
        <v>4.9043115512492533E-2</v>
      </c>
      <c r="E17" s="31">
        <f>'Historical FS'!E16</f>
        <v>4.5957988611071213E-2</v>
      </c>
      <c r="F17" s="31">
        <f>'Historical FS'!F16</f>
        <v>6.8445121951219517E-2</v>
      </c>
      <c r="G17" s="31">
        <f>'Historical FS'!G16</f>
        <v>7.4316069453433789E-2</v>
      </c>
      <c r="H17" s="31">
        <f>'Historical FS'!H16</f>
        <v>5.2465396865352815E-2</v>
      </c>
      <c r="I17" s="31">
        <f>'Historical FS'!I16</f>
        <v>0.15071596205039639</v>
      </c>
      <c r="J17" s="31">
        <f>'Historical FS'!J16</f>
        <v>0.15155346995223462</v>
      </c>
      <c r="K17" s="31">
        <f>'Historical FS'!K16</f>
        <v>0.10401901446558186</v>
      </c>
      <c r="L17" s="31">
        <f>'Historical FS'!L16</f>
        <v>7.2165960049643402E-2</v>
      </c>
      <c r="M17" s="31">
        <f>'Historical FS'!M16</f>
        <v>4.4363798786348975E-2</v>
      </c>
      <c r="N17" s="48"/>
      <c r="O17" s="46">
        <f t="shared" si="3"/>
        <v>8.3524125757448262E-2</v>
      </c>
      <c r="P17" s="46">
        <f t="shared" ref="P17:P19" si="4">IFERROR(MEDIAN(C17:M17),0)</f>
        <v>7.2165960049643402E-2</v>
      </c>
    </row>
    <row r="18" spans="2:16" x14ac:dyDescent="0.25">
      <c r="B18" s="35" t="s">
        <v>118</v>
      </c>
      <c r="C18" s="32">
        <f>'Historical FS'!C28</f>
        <v>5.1484321389145805E-2</v>
      </c>
      <c r="D18" s="32">
        <f>'Historical FS'!D28</f>
        <v>3.7921060372413919E-2</v>
      </c>
      <c r="E18" s="32">
        <f>'Historical FS'!E28</f>
        <v>5.1139486839448065E-2</v>
      </c>
      <c r="F18" s="32">
        <f>'Historical FS'!F28</f>
        <v>5.1242502998800482E-2</v>
      </c>
      <c r="G18" s="32">
        <f>'Historical FS'!G28</f>
        <v>4.6561555148108009E-2</v>
      </c>
      <c r="H18" s="32">
        <f>'Historical FS'!H28</f>
        <v>5.0601949452677882E-2</v>
      </c>
      <c r="I18" s="32">
        <f>'Historical FS'!I28</f>
        <v>4.5106787078158343E-2</v>
      </c>
      <c r="J18" s="32">
        <f>'Historical FS'!J28</f>
        <v>6.6276952969199471E-2</v>
      </c>
      <c r="K18" s="32">
        <f>'Historical FS'!K28</f>
        <v>4.6317313275235771E-2</v>
      </c>
      <c r="L18" s="32">
        <f>'Historical FS'!L28</f>
        <v>4.3264328563197701E-2</v>
      </c>
      <c r="M18" s="32">
        <f>'Historical FS'!M28</f>
        <v>4.4363798786348947E-2</v>
      </c>
      <c r="N18" s="27"/>
      <c r="O18" s="28">
        <f t="shared" si="3"/>
        <v>4.8570914261157672E-2</v>
      </c>
      <c r="P18" s="28">
        <f t="shared" si="4"/>
        <v>4.6561555148108009E-2</v>
      </c>
    </row>
    <row r="19" spans="2:16" x14ac:dyDescent="0.25">
      <c r="B19" s="36" t="s">
        <v>116</v>
      </c>
      <c r="C19" s="33">
        <f>C13</f>
        <v>9.6136289047349138E-2</v>
      </c>
      <c r="D19" s="33">
        <f t="shared" ref="D19:M19" si="5">D13</f>
        <v>0.14206247158761695</v>
      </c>
      <c r="E19" s="33">
        <f t="shared" si="5"/>
        <v>0.13507749028874061</v>
      </c>
      <c r="F19" s="33">
        <f t="shared" si="5"/>
        <v>0.17621801279488211</v>
      </c>
      <c r="G19" s="33">
        <f t="shared" si="5"/>
        <v>0.18259224925344456</v>
      </c>
      <c r="H19" s="33">
        <f t="shared" si="5"/>
        <v>0.18293992916802143</v>
      </c>
      <c r="I19" s="33">
        <f t="shared" si="5"/>
        <v>0.17485119833371385</v>
      </c>
      <c r="J19" s="33">
        <f t="shared" si="5"/>
        <v>0.18200714066607096</v>
      </c>
      <c r="K19" s="33">
        <f t="shared" si="5"/>
        <v>0.27465810958662445</v>
      </c>
      <c r="L19" s="33">
        <f t="shared" si="5"/>
        <v>0.2672819910299718</v>
      </c>
      <c r="M19" s="33">
        <f t="shared" si="5"/>
        <v>0.30580181518141525</v>
      </c>
      <c r="N19" s="49"/>
      <c r="O19" s="47">
        <f t="shared" si="3"/>
        <v>0.19269333608525915</v>
      </c>
      <c r="P19" s="47">
        <f t="shared" si="4"/>
        <v>0.18200714066607096</v>
      </c>
    </row>
    <row r="20" spans="2:16" x14ac:dyDescent="0.25">
      <c r="O20" s="23"/>
      <c r="P20" s="23"/>
    </row>
    <row r="21" spans="2:16" x14ac:dyDescent="0.25">
      <c r="B21" s="25" t="s">
        <v>119</v>
      </c>
      <c r="C21" s="26">
        <f>IFERROR(('Historical FS'!C18-'Historical FS'!C27)/(SUM('Historical FS'!C51:C53)),0)</f>
        <v>0.144984791490434</v>
      </c>
      <c r="D21" s="26">
        <f>IFERROR(('Historical FS'!D18-'Historical FS'!D27)/(SUM('Historical FS'!D51:D53)),0)</f>
        <v>0.18776111578262183</v>
      </c>
      <c r="E21" s="26">
        <f>IFERROR(('Historical FS'!E18-'Historical FS'!E27)/(SUM('Historical FS'!E51:E53)),0)</f>
        <v>0.24017427420152337</v>
      </c>
      <c r="F21" s="26">
        <f>IFERROR(('Historical FS'!F18-'Historical FS'!F27)/(SUM('Historical FS'!F51:F53)),0)</f>
        <v>0.21766269588451156</v>
      </c>
      <c r="G21" s="26">
        <f>IFERROR(('Historical FS'!G18-'Historical FS'!G27)/(SUM('Historical FS'!G51:G53)),0)</f>
        <v>0.20420453620978452</v>
      </c>
      <c r="H21" s="26">
        <f>IFERROR(('Historical FS'!H18-'Historical FS'!H27)/(SUM('Historical FS'!H51:H53)),0)</f>
        <v>0.27046852204342137</v>
      </c>
      <c r="I21" s="26">
        <f>IFERROR(('Historical FS'!I18-'Historical FS'!I27)/(SUM('Historical FS'!I51:I53)),0)</f>
        <v>0.22232987646159574</v>
      </c>
      <c r="J21" s="26">
        <f>IFERROR(('Historical FS'!J18-'Historical FS'!J27)/(SUM('Historical FS'!J51:J53)),0)</f>
        <v>0.20745949854045742</v>
      </c>
      <c r="K21" s="26">
        <f>IFERROR(('Historical FS'!K18-'Historical FS'!K27)/(SUM('Historical FS'!K51:K53)),0)</f>
        <v>0.28588211231284893</v>
      </c>
      <c r="L21" s="26">
        <f>IFERROR(('Historical FS'!L18-'Historical FS'!L27)/(SUM('Historical FS'!L51:L53)),0)</f>
        <v>0.23636680220534623</v>
      </c>
      <c r="M21" s="26">
        <f>IFERROR(('Historical FS'!M18-'Historical FS'!M27)/(SUM('Historical FS'!M51:M53)),0)</f>
        <v>0</v>
      </c>
      <c r="N21" s="48"/>
      <c r="O21" s="46">
        <f t="shared" si="3"/>
        <v>0.20157220228477685</v>
      </c>
      <c r="P21" s="46">
        <f t="shared" ref="P21:P25" si="6">IFERROR(MEDIAN(C21:M21),0)</f>
        <v>0.21766269588451156</v>
      </c>
    </row>
    <row r="22" spans="2:16" x14ac:dyDescent="0.25">
      <c r="B22" s="27" t="s">
        <v>121</v>
      </c>
      <c r="C22" s="32">
        <f>'Historical FS'!C47</f>
        <v>0.68616973506960044</v>
      </c>
      <c r="D22" s="32">
        <f>'Historical FS'!D47</f>
        <v>0.69521603468441495</v>
      </c>
      <c r="E22" s="32">
        <f>'Historical FS'!E47</f>
        <v>0.4595000628061805</v>
      </c>
      <c r="F22" s="32">
        <f>'Historical FS'!F47</f>
        <v>0.71561540278762137</v>
      </c>
      <c r="G22" s="32">
        <f>'Historical FS'!G47</f>
        <v>0.61429587358853832</v>
      </c>
      <c r="H22" s="32">
        <f>'Historical FS'!H47</f>
        <v>0.69090909090909081</v>
      </c>
      <c r="I22" s="32">
        <f>'Historical FS'!I47</f>
        <v>0.73669456758821095</v>
      </c>
      <c r="J22" s="32">
        <f>'Historical FS'!J47</f>
        <v>0.68441571589624073</v>
      </c>
      <c r="K22" s="32">
        <f>'Historical FS'!K47</f>
        <v>0.69285587754807487</v>
      </c>
      <c r="L22" s="32">
        <f>'Historical FS'!L47</f>
        <v>0.68016451360286001</v>
      </c>
      <c r="M22" s="32">
        <f>'Historical FS'!M47</f>
        <v>1</v>
      </c>
      <c r="N22" s="27"/>
      <c r="O22" s="28">
        <f t="shared" si="3"/>
        <v>0.69598517040734853</v>
      </c>
      <c r="P22" s="28">
        <f t="shared" si="6"/>
        <v>0.69090909090909081</v>
      </c>
    </row>
    <row r="23" spans="2:16" x14ac:dyDescent="0.25">
      <c r="B23" s="27" t="s">
        <v>122</v>
      </c>
      <c r="C23" s="28">
        <f>IFERROR('Historical FS'!C36/SUM('Historical FS'!C51:C53),0)</f>
        <v>0.18036932380626705</v>
      </c>
      <c r="D23" s="28">
        <f>IFERROR('Historical FS'!D36/SUM('Historical FS'!D51:D53),0)</f>
        <v>0.19326875358033246</v>
      </c>
      <c r="E23" s="28">
        <f>IFERROR('Historical FS'!E36/SUM('Historical FS'!E51:E53),0)</f>
        <v>0.19108044820498157</v>
      </c>
      <c r="F23" s="28">
        <f>IFERROR('Historical FS'!F36/SUM('Historical FS'!F51:F53),0)</f>
        <v>0.14372786807520796</v>
      </c>
      <c r="G23" s="28">
        <f>IFERROR('Historical FS'!G36/SUM('Historical FS'!G51:G53),0)</f>
        <v>0.15033000477693387</v>
      </c>
      <c r="H23" s="28">
        <f>IFERROR('Historical FS'!H36/SUM('Historical FS'!H51:H53),0)</f>
        <v>0.20969905370358161</v>
      </c>
      <c r="I23" s="28">
        <f>IFERROR('Historical FS'!I36/SUM('Historical FS'!I51:I53),0)</f>
        <v>0.26235797215221268</v>
      </c>
      <c r="J23" s="28">
        <f>IFERROR('Historical FS'!J36/SUM('Historical FS'!J51:J53),0)</f>
        <v>0.24668851465299454</v>
      </c>
      <c r="K23" s="28">
        <f>IFERROR('Historical FS'!K36/SUM('Historical FS'!K51:K53),0)</f>
        <v>0.26109614506365414</v>
      </c>
      <c r="L23" s="28">
        <f>IFERROR('Historical FS'!L36/SUM('Historical FS'!L51:L53),0)</f>
        <v>0.238747411372975</v>
      </c>
      <c r="M23" s="28">
        <f>IFERROR('Historical FS'!M36/SUM('Historical FS'!M51:M53),0)</f>
        <v>0</v>
      </c>
      <c r="N23" s="27"/>
      <c r="O23" s="28">
        <f t="shared" si="3"/>
        <v>0.18885140867174008</v>
      </c>
      <c r="P23" s="28">
        <f t="shared" si="6"/>
        <v>0.19326875358033246</v>
      </c>
    </row>
    <row r="24" spans="2:16" x14ac:dyDescent="0.25">
      <c r="B24" s="27" t="s">
        <v>123</v>
      </c>
      <c r="C24" s="28">
        <f>IFERROR(C22*C23,0)</f>
        <v>0.12376397113082924</v>
      </c>
      <c r="D24" s="28">
        <f t="shared" ref="D24:M24" si="7">IFERROR(D22*D23,0)</f>
        <v>0.13436353649251806</v>
      </c>
      <c r="E24" s="28">
        <f t="shared" si="7"/>
        <v>8.7801477951222159E-2</v>
      </c>
      <c r="F24" s="28">
        <f t="shared" si="7"/>
        <v>0.10285387620444605</v>
      </c>
      <c r="G24" s="28">
        <f t="shared" si="7"/>
        <v>9.2347101611015725E-2</v>
      </c>
      <c r="H24" s="28">
        <f t="shared" si="7"/>
        <v>0.14488298255883819</v>
      </c>
      <c r="I24" s="28">
        <f t="shared" si="7"/>
        <v>0.1932776928479942</v>
      </c>
      <c r="J24" s="28">
        <f t="shared" si="7"/>
        <v>0.16883749635960954</v>
      </c>
      <c r="K24" s="28">
        <f t="shared" si="7"/>
        <v>0.18090199871249754</v>
      </c>
      <c r="L24" s="28">
        <f t="shared" si="7"/>
        <v>0.16238751693044148</v>
      </c>
      <c r="M24" s="28">
        <f t="shared" si="7"/>
        <v>0</v>
      </c>
      <c r="N24" s="27"/>
      <c r="O24" s="28">
        <f t="shared" si="3"/>
        <v>0.12649251370903747</v>
      </c>
      <c r="P24" s="28">
        <f t="shared" si="6"/>
        <v>0.13436353649251806</v>
      </c>
    </row>
    <row r="25" spans="2:16" x14ac:dyDescent="0.25">
      <c r="B25" s="29" t="s">
        <v>127</v>
      </c>
      <c r="C25" s="37">
        <f>IFERROR(('Historical FS'!C18-'Historical FS'!C27)/'Historical FS'!C24,0)</f>
        <v>273.06779661016958</v>
      </c>
      <c r="D25" s="37">
        <f>IFERROR(('Historical FS'!D18-'Historical FS'!D27)/'Historical FS'!D24,0)</f>
        <v>155.01580547112445</v>
      </c>
      <c r="E25" s="37">
        <f>IFERROR(('Historical FS'!E18-'Historical FS'!E27)/'Historical FS'!E24,0)</f>
        <v>72.258809936452963</v>
      </c>
      <c r="F25" s="37">
        <f>IFERROR(('Historical FS'!F18-'Historical FS'!F27)/'Historical FS'!F24,0)</f>
        <v>19.852308558558565</v>
      </c>
      <c r="G25" s="37">
        <f>IFERROR(('Historical FS'!G18-'Historical FS'!G27)/'Historical FS'!G24,0)</f>
        <v>10.889401818738005</v>
      </c>
      <c r="H25" s="37">
        <f>IFERROR(('Historical FS'!H18-'Historical FS'!H27)/'Historical FS'!H24,0)</f>
        <v>15.684701562441457</v>
      </c>
      <c r="I25" s="37">
        <f>IFERROR(('Historical FS'!I18-'Historical FS'!I27)/'Historical FS'!I24,0)</f>
        <v>65.98467198038017</v>
      </c>
      <c r="J25" s="37">
        <f>IFERROR(('Historical FS'!J18-'Historical FS'!J27)/'Historical FS'!J24,0)</f>
        <v>76.090513895357844</v>
      </c>
      <c r="K25" s="37">
        <f>IFERROR(('Historical FS'!K18-'Historical FS'!K27)/'Historical FS'!K24,0)</f>
        <v>195.74032371569328</v>
      </c>
      <c r="L25" s="37">
        <f>IFERROR(('Historical FS'!L18-'Historical FS'!L27)/'Historical FS'!L24,0)</f>
        <v>383.00878815911216</v>
      </c>
      <c r="M25" s="37">
        <f>IFERROR(('Historical FS'!M18-'Historical FS'!M27)/'Historical FS'!M24,0)</f>
        <v>1069.4662309368189</v>
      </c>
      <c r="N25" s="49"/>
      <c r="O25" s="50">
        <f t="shared" si="3"/>
        <v>212.45994114953157</v>
      </c>
      <c r="P25" s="50">
        <f t="shared" si="6"/>
        <v>76.090513895357844</v>
      </c>
    </row>
    <row r="26" spans="2:16" x14ac:dyDescent="0.25">
      <c r="O26" s="23"/>
      <c r="P26" s="23"/>
    </row>
    <row r="27" spans="2:16" x14ac:dyDescent="0.25">
      <c r="B27" s="25" t="s">
        <v>128</v>
      </c>
      <c r="C27" s="38">
        <f>IFERROR('Historical FS'!C6/'Historical FS'!C63,0)</f>
        <v>3.4647191382910543</v>
      </c>
      <c r="D27" s="38">
        <f>IFERROR('Historical FS'!D6/(('Historical FS'!D63+'Historical FS'!C63)/2),0)</f>
        <v>3.9637409932141332</v>
      </c>
      <c r="E27" s="38">
        <f>IFERROR('Historical FS'!E6/(('Historical FS'!E63+'Historical FS'!D63)/2),0)</f>
        <v>3.3759107522079534</v>
      </c>
      <c r="F27" s="38">
        <f>IFERROR('Historical FS'!F6/(('Historical FS'!F63+'Historical FS'!E63)/2),0)</f>
        <v>2.0831316106476261</v>
      </c>
      <c r="G27" s="38">
        <f>IFERROR('Historical FS'!G6/(('Historical FS'!G63+'Historical FS'!F63)/2),0)</f>
        <v>1.8102734467492771</v>
      </c>
      <c r="H27" s="38">
        <f>IFERROR('Historical FS'!H6/(('Historical FS'!H63+'Historical FS'!G63)/2),0)</f>
        <v>2.7075214846315223</v>
      </c>
      <c r="I27" s="38">
        <f>IFERROR('Historical FS'!I6/(('Historical FS'!I63+'Historical FS'!H63)/2),0)</f>
        <v>4.7761441300227556</v>
      </c>
      <c r="J27" s="38">
        <f>IFERROR('Historical FS'!J6/(('Historical FS'!J63+'Historical FS'!I63)/2),0)</f>
        <v>5.7532943548085562</v>
      </c>
      <c r="K27" s="38">
        <f>IFERROR('Historical FS'!K6/(('Historical FS'!K63+'Historical FS'!J63)/2),0)</f>
        <v>6.5083509800204151</v>
      </c>
      <c r="L27" s="38">
        <f>IFERROR('Historical FS'!L6/(('Historical FS'!L63+'Historical FS'!K63)/2),0)</f>
        <v>6.6879986702127665</v>
      </c>
      <c r="M27" s="38">
        <f>IFERROR('Historical FS'!M6/(('Historical FS'!M63+'Historical FS'!L63)/2),0)</f>
        <v>13.815073400476354</v>
      </c>
      <c r="N27" s="48"/>
      <c r="O27" s="51">
        <f t="shared" si="3"/>
        <v>4.9951053601165825</v>
      </c>
      <c r="P27" s="51">
        <f t="shared" ref="P27:P31" si="8">IFERROR(MEDIAN(C27:M27),0)</f>
        <v>3.9637409932141332</v>
      </c>
    </row>
    <row r="28" spans="2:16" x14ac:dyDescent="0.25">
      <c r="B28" s="27" t="s">
        <v>129</v>
      </c>
      <c r="C28" s="39">
        <f>IFERROR('Historical FS'!C6/'Historical FS'!C54,0)</f>
        <v>0.36896985228876461</v>
      </c>
      <c r="D28" s="39">
        <f>IFERROR('Historical FS'!D6/(('Historical FS'!D54+'Historical FS'!C54)/2),0)</f>
        <v>0.42951506695320274</v>
      </c>
      <c r="E28" s="39">
        <f>IFERROR('Historical FS'!E6/(('Historical FS'!E54+'Historical FS'!D54)/2),0)</f>
        <v>0.48602245917170328</v>
      </c>
      <c r="F28" s="39">
        <f>IFERROR('Historical FS'!F6/(('Historical FS'!F54+'Historical FS'!E54)/2),0)</f>
        <v>0.54558704530720281</v>
      </c>
      <c r="G28" s="39">
        <f>IFERROR('Historical FS'!G6/(('Historical FS'!G54+'Historical FS'!F54)/2),0)</f>
        <v>0.60988559007092624</v>
      </c>
      <c r="H28" s="39">
        <f>IFERROR('Historical FS'!H6/(('Historical FS'!H54+'Historical FS'!G54)/2),0)</f>
        <v>0.62996414689120261</v>
      </c>
      <c r="I28" s="39">
        <f>IFERROR('Historical FS'!I6/(('Historical FS'!I54+'Historical FS'!H54)/2),0)</f>
        <v>0.62717233392747385</v>
      </c>
      <c r="J28" s="39">
        <f>IFERROR('Historical FS'!J6/(('Historical FS'!J54+'Historical FS'!I54)/2),0)</f>
        <v>0.62228297480706363</v>
      </c>
      <c r="K28" s="39">
        <f>IFERROR('Historical FS'!K6/(('Historical FS'!K54+'Historical FS'!J54)/2),0)</f>
        <v>0.62400350152519068</v>
      </c>
      <c r="L28" s="39">
        <f>IFERROR('Historical FS'!L6/(('Historical FS'!L54+'Historical FS'!K54)/2),0)</f>
        <v>0.49416148089497586</v>
      </c>
      <c r="M28" s="39">
        <f>IFERROR('Historical FS'!M6/(('Historical FS'!M54+'Historical FS'!L54)/2),0)</f>
        <v>0.87163785554169848</v>
      </c>
      <c r="N28" s="27"/>
      <c r="O28" s="39">
        <f t="shared" si="3"/>
        <v>0.57356384612540035</v>
      </c>
      <c r="P28" s="39">
        <f t="shared" si="8"/>
        <v>0.60988559007092624</v>
      </c>
    </row>
    <row r="29" spans="2:16" x14ac:dyDescent="0.25">
      <c r="B29" s="27" t="s">
        <v>130</v>
      </c>
      <c r="C29" s="39">
        <f>IFERROR('Historical FS'!C6/'Historical FS'!C64,0)</f>
        <v>0.69880367113257191</v>
      </c>
      <c r="D29" s="39">
        <f>IFERROR('Historical FS'!D6/(('Historical FS'!D64+'Historical FS'!C64)/2),0)</f>
        <v>0.78898267592908611</v>
      </c>
      <c r="E29" s="39">
        <f>IFERROR('Historical FS'!E6/(('Historical FS'!E64+'Historical FS'!D64)/2),0)</f>
        <v>0.88929341956847541</v>
      </c>
      <c r="F29" s="39">
        <f>IFERROR('Historical FS'!F6/(('Historical FS'!F64+'Historical FS'!E64)/2),0)</f>
        <v>0.98616155295800412</v>
      </c>
      <c r="G29" s="39">
        <f>IFERROR('Historical FS'!G6/(('Historical FS'!G64+'Historical FS'!F64)/2),0)</f>
        <v>1.051027764667597</v>
      </c>
      <c r="H29" s="39">
        <f>IFERROR('Historical FS'!H6/(('Historical FS'!H64+'Historical FS'!G64)/2),0)</f>
        <v>1.1928253201548535</v>
      </c>
      <c r="I29" s="39">
        <f>IFERROR('Historical FS'!I6/(('Historical FS'!I64+'Historical FS'!H64)/2),0)</f>
        <v>1.4391339483648276</v>
      </c>
      <c r="J29" s="39">
        <f>IFERROR('Historical FS'!J6/(('Historical FS'!J64+'Historical FS'!I64)/2),0)</f>
        <v>1.7697660868870835</v>
      </c>
      <c r="K29" s="39">
        <f>IFERROR('Historical FS'!K6/(('Historical FS'!K64+'Historical FS'!J64)/2),0)</f>
        <v>2.0083948980121367</v>
      </c>
      <c r="L29" s="39">
        <f>IFERROR('Historical FS'!L6/(('Historical FS'!L64+'Historical FS'!K64)/2),0)</f>
        <v>1.5436251308217059</v>
      </c>
      <c r="M29" s="39">
        <f>IFERROR('Historical FS'!M6/(('Historical FS'!M64+'Historical FS'!L64)/2),0)</f>
        <v>2.6634892072155703</v>
      </c>
      <c r="N29" s="27"/>
      <c r="O29" s="39">
        <f t="shared" si="3"/>
        <v>1.3665003341556285</v>
      </c>
      <c r="P29" s="39">
        <f t="shared" si="8"/>
        <v>1.1928253201548535</v>
      </c>
    </row>
    <row r="30" spans="2:16" x14ac:dyDescent="0.25">
      <c r="B30" s="27" t="s">
        <v>131</v>
      </c>
      <c r="C30" s="39">
        <f>IFERROR('Historical FS'!C6/'Historical FS'!C57,0)</f>
        <v>2.4199301103217237</v>
      </c>
      <c r="D30" s="39">
        <f>IFERROR('Historical FS'!D6/(('Historical FS'!D57+'Historical FS'!C57)/2),0)</f>
        <v>2.5149172385385112</v>
      </c>
      <c r="E30" s="39">
        <f>IFERROR('Historical FS'!E6/(('Historical FS'!E57+'Historical FS'!D57)/2),0)</f>
        <v>2.4832412384736164</v>
      </c>
      <c r="F30" s="39">
        <f>IFERROR('Historical FS'!F6/(('Historical FS'!F57+'Historical FS'!E57)/2),0)</f>
        <v>2.6631934761875922</v>
      </c>
      <c r="G30" s="39">
        <f>IFERROR('Historical FS'!G6/(('Historical FS'!G57+'Historical FS'!F57)/2),0)</f>
        <v>2.894700894387737</v>
      </c>
      <c r="H30" s="39">
        <f>IFERROR('Historical FS'!H6/(('Historical FS'!H57+'Historical FS'!G57)/2),0)</f>
        <v>3.1511033596197029</v>
      </c>
      <c r="I30" s="39">
        <f>IFERROR('Historical FS'!I6/(('Historical FS'!I57+'Historical FS'!H57)/2),0)</f>
        <v>3.5343732593728285</v>
      </c>
      <c r="J30" s="39">
        <f>IFERROR('Historical FS'!J6/(('Historical FS'!J57+'Historical FS'!I57)/2),0)</f>
        <v>3.9598390621369561</v>
      </c>
      <c r="K30" s="39">
        <f>IFERROR('Historical FS'!K6/(('Historical FS'!K57+'Historical FS'!J57)/2),0)</f>
        <v>4.4772575046292582</v>
      </c>
      <c r="L30" s="39">
        <f>IFERROR('Historical FS'!L6/(('Historical FS'!L57+'Historical FS'!K57)/2),0)</f>
        <v>4.6213702733282167</v>
      </c>
      <c r="M30" s="39">
        <f>IFERROR('Historical FS'!M6/(('Historical FS'!M57+'Historical FS'!L57)/2),0)</f>
        <v>9.6254662109492113</v>
      </c>
      <c r="N30" s="27"/>
      <c r="O30" s="39">
        <f t="shared" si="3"/>
        <v>3.8495811479950319</v>
      </c>
      <c r="P30" s="39">
        <f t="shared" si="8"/>
        <v>3.1511033596197029</v>
      </c>
    </row>
    <row r="31" spans="2:16" x14ac:dyDescent="0.25">
      <c r="B31" s="29" t="s">
        <v>132</v>
      </c>
      <c r="C31" s="37">
        <f>IFERROR(('Historical FS'!C6)/('Historical FS'!C51+'Historical FS'!C52),0)</f>
        <v>1.5190257786157138</v>
      </c>
      <c r="D31" s="37">
        <f>IFERROR(('Historical FS'!D6)/(('Historical FS'!D51+'Historical FS'!D52)+('Historical FS'!C51+'Historical FS'!C52)/2),0)</f>
        <v>0.99306291289056714</v>
      </c>
      <c r="E31" s="37">
        <f>IFERROR(('Historical FS'!E6)/(('Historical FS'!E51+'Historical FS'!E52)+('Historical FS'!D51+'Historical FS'!D52)/2),0)</f>
        <v>1.1728179785641075</v>
      </c>
      <c r="F31" s="37">
        <f>IFERROR(('Historical FS'!F6)/(('Historical FS'!F51+'Historical FS'!F52)+('Historical FS'!E51+'Historical FS'!E52)/2),0)</f>
        <v>1.1882826352341125</v>
      </c>
      <c r="G31" s="37">
        <f>IFERROR(('Historical FS'!G6)/(('Historical FS'!G51+'Historical FS'!G52)+('Historical FS'!F51+'Historical FS'!F52)/2),0)</f>
        <v>1.1117489918126739</v>
      </c>
      <c r="H31" s="37">
        <f>IFERROR(('Historical FS'!H6)/(('Historical FS'!H51+'Historical FS'!H52)+('Historical FS'!G51+'Historical FS'!G52)/2),0)</f>
        <v>1.0378337779283573</v>
      </c>
      <c r="I31" s="37">
        <f>IFERROR(('Historical FS'!I6)/(('Historical FS'!I51+'Historical FS'!I52)+('Historical FS'!H51+'Historical FS'!H52)/2),0)</f>
        <v>0.91100636889881548</v>
      </c>
      <c r="J31" s="37">
        <f>IFERROR(('Historical FS'!J6)/(('Historical FS'!J51+'Historical FS'!J52)+('Historical FS'!I51+'Historical FS'!I52)/2),0)</f>
        <v>0.8103671779062176</v>
      </c>
      <c r="K31" s="37">
        <f>IFERROR(('Historical FS'!K6)/(('Historical FS'!K51+'Historical FS'!K52)+('Historical FS'!J51+'Historical FS'!J52)/2),0)</f>
        <v>0.74237362228673998</v>
      </c>
      <c r="L31" s="37">
        <f>IFERROR(('Historical FS'!L6)/(('Historical FS'!L51+'Historical FS'!L52)+('Historical FS'!K51+'Historical FS'!K52)/2),0)</f>
        <v>0.62523744621543653</v>
      </c>
      <c r="M31" s="37">
        <f>IFERROR(('Historical FS'!M6)/(('Historical FS'!M51+'Historical FS'!M52)+('Historical FS'!L51+'Historical FS'!L52)/2),0)</f>
        <v>1.8355232935247976</v>
      </c>
      <c r="N31" s="49"/>
      <c r="O31" s="50">
        <f t="shared" si="3"/>
        <v>1.0861163621706853</v>
      </c>
      <c r="P31" s="50">
        <f t="shared" si="8"/>
        <v>1.0378337779283573</v>
      </c>
    </row>
    <row r="32" spans="2:16" x14ac:dyDescent="0.25">
      <c r="C32" s="24"/>
      <c r="D32" s="24"/>
      <c r="E32" s="24"/>
      <c r="F32" s="24"/>
      <c r="G32" s="24"/>
      <c r="H32" s="24"/>
      <c r="I32" s="24"/>
      <c r="J32" s="24"/>
      <c r="K32" s="24"/>
      <c r="L32" s="24"/>
      <c r="M32" s="24"/>
      <c r="O32" s="23"/>
      <c r="P32" s="23"/>
    </row>
    <row r="33" spans="2:16" x14ac:dyDescent="0.25">
      <c r="B33" s="25" t="s">
        <v>134</v>
      </c>
      <c r="C33" s="40">
        <f>IFERROR(365/C27:C27,0)</f>
        <v>105.34764447892114</v>
      </c>
      <c r="D33" s="40">
        <f t="shared" ref="D33:M33" si="9">IFERROR(365/D27:D27,0)</f>
        <v>92.084725168691563</v>
      </c>
      <c r="E33" s="40">
        <f t="shared" si="9"/>
        <v>108.11897197260868</v>
      </c>
      <c r="F33" s="40">
        <f t="shared" si="9"/>
        <v>175.21696571371453</v>
      </c>
      <c r="G33" s="40">
        <f t="shared" si="9"/>
        <v>201.62699765354978</v>
      </c>
      <c r="H33" s="40">
        <f t="shared" si="9"/>
        <v>134.80964124267118</v>
      </c>
      <c r="I33" s="40">
        <f t="shared" si="9"/>
        <v>76.421479348920101</v>
      </c>
      <c r="J33" s="40">
        <f t="shared" si="9"/>
        <v>63.441913013704223</v>
      </c>
      <c r="K33" s="40">
        <f t="shared" si="9"/>
        <v>56.081794162682833</v>
      </c>
      <c r="L33" s="40">
        <f t="shared" si="9"/>
        <v>54.575369702994898</v>
      </c>
      <c r="M33" s="40">
        <f t="shared" si="9"/>
        <v>26.420416990865537</v>
      </c>
      <c r="N33" s="48"/>
      <c r="O33" s="52">
        <f t="shared" si="3"/>
        <v>99.467810859029498</v>
      </c>
      <c r="P33" s="52">
        <f t="shared" ref="P33:P36" si="10">IFERROR(MEDIAN(C33:M33),0)</f>
        <v>92.084725168691563</v>
      </c>
    </row>
    <row r="34" spans="2:16" x14ac:dyDescent="0.25">
      <c r="B34" s="27" t="s">
        <v>133</v>
      </c>
      <c r="C34" s="41">
        <f>IFERROR(365/C28,0)</f>
        <v>989.2407136676909</v>
      </c>
      <c r="D34" s="41">
        <f t="shared" ref="D34:M34" si="11">IFERROR(365/D28,0)</f>
        <v>849.79556733400489</v>
      </c>
      <c r="E34" s="41">
        <f t="shared" si="11"/>
        <v>750.9941014290697</v>
      </c>
      <c r="F34" s="41">
        <f t="shared" si="11"/>
        <v>669.00415458816485</v>
      </c>
      <c r="G34" s="41">
        <f t="shared" si="11"/>
        <v>598.47290367616745</v>
      </c>
      <c r="H34" s="41">
        <f t="shared" si="11"/>
        <v>579.39805273241529</v>
      </c>
      <c r="I34" s="41">
        <f t="shared" si="11"/>
        <v>581.9772018869196</v>
      </c>
      <c r="J34" s="41">
        <f t="shared" si="11"/>
        <v>586.54987325206321</v>
      </c>
      <c r="K34" s="41">
        <f t="shared" si="11"/>
        <v>584.93261513415587</v>
      </c>
      <c r="L34" s="41">
        <f t="shared" si="11"/>
        <v>738.62495178488723</v>
      </c>
      <c r="M34" s="41">
        <f t="shared" si="11"/>
        <v>418.75189068419104</v>
      </c>
      <c r="N34" s="27"/>
      <c r="O34" s="41">
        <f t="shared" si="3"/>
        <v>667.97654783361202</v>
      </c>
      <c r="P34" s="41">
        <f t="shared" si="10"/>
        <v>598.47290367616745</v>
      </c>
    </row>
    <row r="35" spans="2:16" x14ac:dyDescent="0.25">
      <c r="B35" s="27" t="s">
        <v>135</v>
      </c>
      <c r="C35" s="41">
        <f>IFERROR(365/C29,0)</f>
        <v>522.3212399677775</v>
      </c>
      <c r="D35" s="41">
        <f t="shared" ref="D35:M35" si="12">IFERROR(365/D29,0)</f>
        <v>462.62105764259678</v>
      </c>
      <c r="E35" s="41">
        <f t="shared" si="12"/>
        <v>410.43821079561587</v>
      </c>
      <c r="F35" s="41">
        <f t="shared" si="12"/>
        <v>370.12191248500596</v>
      </c>
      <c r="G35" s="41">
        <f t="shared" si="12"/>
        <v>347.27912265518182</v>
      </c>
      <c r="H35" s="41">
        <f t="shared" si="12"/>
        <v>305.99618723101503</v>
      </c>
      <c r="I35" s="41">
        <f t="shared" si="12"/>
        <v>253.62475842830349</v>
      </c>
      <c r="J35" s="41">
        <f t="shared" si="12"/>
        <v>206.24194502563554</v>
      </c>
      <c r="K35" s="41">
        <f t="shared" si="12"/>
        <v>181.73716750688257</v>
      </c>
      <c r="L35" s="41">
        <f t="shared" si="12"/>
        <v>236.456373190622</v>
      </c>
      <c r="M35" s="41">
        <f t="shared" si="12"/>
        <v>137.03828760078719</v>
      </c>
      <c r="N35" s="27"/>
      <c r="O35" s="41">
        <f t="shared" si="3"/>
        <v>312.17056932085666</v>
      </c>
      <c r="P35" s="41">
        <f t="shared" si="10"/>
        <v>305.99618723101503</v>
      </c>
    </row>
    <row r="36" spans="2:16" x14ac:dyDescent="0.25">
      <c r="B36" s="29" t="s">
        <v>136</v>
      </c>
      <c r="C36" s="42">
        <f>IFERROR((C33+C35-C34),0)</f>
        <v>-361.5718292209923</v>
      </c>
      <c r="D36" s="42">
        <f t="shared" ref="D36:M36" si="13">IFERROR((D33+D35-D34),0)</f>
        <v>-295.08978452271651</v>
      </c>
      <c r="E36" s="42">
        <f t="shared" si="13"/>
        <v>-232.43691866084521</v>
      </c>
      <c r="F36" s="42">
        <f t="shared" si="13"/>
        <v>-123.66527638944433</v>
      </c>
      <c r="G36" s="42">
        <f t="shared" si="13"/>
        <v>-49.566783367435846</v>
      </c>
      <c r="H36" s="42">
        <f t="shared" si="13"/>
        <v>-138.59222425872906</v>
      </c>
      <c r="I36" s="42">
        <f t="shared" si="13"/>
        <v>-251.93096410969599</v>
      </c>
      <c r="J36" s="42">
        <f t="shared" si="13"/>
        <v>-316.86601521272343</v>
      </c>
      <c r="K36" s="42">
        <f t="shared" si="13"/>
        <v>-347.11365346459047</v>
      </c>
      <c r="L36" s="42">
        <f t="shared" si="13"/>
        <v>-447.59320889127031</v>
      </c>
      <c r="M36" s="42">
        <f t="shared" si="13"/>
        <v>-255.29318609253832</v>
      </c>
      <c r="N36" s="49"/>
      <c r="O36" s="53">
        <f t="shared" si="3"/>
        <v>-256.33816765372563</v>
      </c>
      <c r="P36" s="53">
        <f t="shared" si="10"/>
        <v>-255.29318609253832</v>
      </c>
    </row>
    <row r="37" spans="2:16" x14ac:dyDescent="0.25">
      <c r="O37" s="23"/>
      <c r="P37" s="23"/>
    </row>
    <row r="38" spans="2:16" x14ac:dyDescent="0.25">
      <c r="B38" s="25" t="s">
        <v>137</v>
      </c>
      <c r="C38" s="43">
        <f>IFERROR('Historical FS'!C72/'Historical FS'!C6,0)</f>
        <v>0</v>
      </c>
      <c r="D38" s="26">
        <f>IFERROR('Historical FS'!D72/'Historical FS'!D6,0)</f>
        <v>-2.253491937568524E-2</v>
      </c>
      <c r="E38" s="26">
        <f>IFERROR('Historical FS'!E72/'Historical FS'!E6,0)</f>
        <v>-4.0367737344044786E-2</v>
      </c>
      <c r="F38" s="26">
        <f>IFERROR('Historical FS'!F72/'Historical FS'!F6,0)</f>
        <v>-0.38486005597760892</v>
      </c>
      <c r="G38" s="26">
        <f>IFERROR('Historical FS'!G72/'Historical FS'!G6,0)</f>
        <v>7.1223063852169907E-2</v>
      </c>
      <c r="H38" s="26">
        <f>IFERROR('Historical FS'!H72/'Historical FS'!H6,0)</f>
        <v>0.66064105387915217</v>
      </c>
      <c r="I38" s="26">
        <f>IFERROR('Historical FS'!I72/'Historical FS'!I6,0)</f>
        <v>0.41320559447149102</v>
      </c>
      <c r="J38" s="26">
        <f>IFERROR('Historical FS'!J72/'Historical FS'!J6,0)</f>
        <v>0.32790764520678889</v>
      </c>
      <c r="K38" s="26">
        <f>IFERROR('Historical FS'!K72/'Historical FS'!K6,0)</f>
        <v>0.27065594771482776</v>
      </c>
      <c r="L38" s="26">
        <f>IFERROR('Historical FS'!L72/'Historical FS'!L6,0)</f>
        <v>0.44038223488950462</v>
      </c>
      <c r="M38" s="43">
        <f>IFERROR('Historical FS'!M72/'Historical FS'!M6,0)</f>
        <v>0</v>
      </c>
      <c r="N38" s="48"/>
      <c r="O38" s="46">
        <f t="shared" si="3"/>
        <v>0.15784116611969048</v>
      </c>
      <c r="P38" s="46">
        <f t="shared" ref="P38:P40" si="14">IFERROR(MEDIAN(C38:M38),0)</f>
        <v>7.1223063852169907E-2</v>
      </c>
    </row>
    <row r="39" spans="2:16" x14ac:dyDescent="0.25">
      <c r="B39" s="27" t="s">
        <v>138</v>
      </c>
      <c r="C39" s="44">
        <f>IFERROR('Historical FS'!C72/'Historical FS'!C68,0)</f>
        <v>0</v>
      </c>
      <c r="D39" s="28">
        <f>IFERROR('Historical FS'!D72/'Historical FS'!D68,0)</f>
        <v>-7.8173768014270333E-3</v>
      </c>
      <c r="E39" s="28">
        <f>IFERROR('Historical FS'!E72/'Historical FS'!E68,0)</f>
        <v>-1.5426325573467875E-2</v>
      </c>
      <c r="F39" s="28">
        <f>IFERROR('Historical FS'!F72/'Historical FS'!F68,0)</f>
        <v>-0.14953065587392345</v>
      </c>
      <c r="G39" s="28">
        <f>IFERROR('Historical FS'!G72/'Historical FS'!G68,0)</f>
        <v>2.8179244339668938E-2</v>
      </c>
      <c r="H39" s="28">
        <f>IFERROR('Historical FS'!H72/'Historical FS'!H68,0)</f>
        <v>0.28470846057041133</v>
      </c>
      <c r="I39" s="28">
        <f>IFERROR('Historical FS'!I72/'Historical FS'!I68,0)</f>
        <v>0.16883646887510509</v>
      </c>
      <c r="J39" s="28">
        <f>IFERROR('Historical FS'!J72/'Historical FS'!J68,0)</f>
        <v>0.12745712800970033</v>
      </c>
      <c r="K39" s="28">
        <f>IFERROR('Historical FS'!K72/'Historical FS'!K68,0)</f>
        <v>0.10162816255522746</v>
      </c>
      <c r="L39" s="28">
        <f>IFERROR('Historical FS'!L72/'Historical FS'!L68,0)</f>
        <v>0.12551658965545601</v>
      </c>
      <c r="M39" s="44">
        <f>IFERROR('Historical FS'!M72/'Historical FS'!M68,0)</f>
        <v>0</v>
      </c>
      <c r="N39" s="27"/>
      <c r="O39" s="28">
        <f t="shared" si="3"/>
        <v>6.0322881432431891E-2</v>
      </c>
      <c r="P39" s="28">
        <f t="shared" si="14"/>
        <v>2.8179244339668938E-2</v>
      </c>
    </row>
    <row r="40" spans="2:16" ht="15.75" thickBot="1" x14ac:dyDescent="0.3">
      <c r="B40" s="70" t="s">
        <v>139</v>
      </c>
      <c r="C40" s="71">
        <f>IFERROR('Historical FS'!C72/'Historical FS'!C53,0)</f>
        <v>0</v>
      </c>
      <c r="D40" s="68">
        <f>IFERROR('Historical FS'!D72/'Historical FS'!D53,0)</f>
        <v>-0.39578094576480144</v>
      </c>
      <c r="E40" s="68">
        <f>IFERROR('Historical FS'!E72/'Historical FS'!E53,0)</f>
        <v>-0.82651572104541637</v>
      </c>
      <c r="F40" s="68">
        <f>IFERROR('Historical FS'!F72/'Historical FS'!F53,0)</f>
        <v>-1.8707254263641222</v>
      </c>
      <c r="G40" s="68">
        <f>IFERROR('Historical FS'!G72/'Historical FS'!G53,0)</f>
        <v>0.25770165868900974</v>
      </c>
      <c r="H40" s="68">
        <f>IFERROR('Historical FS'!H72/'Historical FS'!H53,0)</f>
        <v>283.72747747747746</v>
      </c>
      <c r="I40" s="68">
        <f>IFERROR('Historical FS'!I72/'Historical FS'!I53,0)</f>
        <v>206.47716663283941</v>
      </c>
      <c r="J40" s="68">
        <f>IFERROR('Historical FS'!J72/'Historical FS'!J53,0)</f>
        <v>170.8206616366802</v>
      </c>
      <c r="K40" s="68">
        <f>IFERROR('Historical FS'!K72/'Historical FS'!K53,0)</f>
        <v>164.06264964086193</v>
      </c>
      <c r="L40" s="68">
        <f>IFERROR('Historical FS'!L72/'Historical FS'!L53,0)</f>
        <v>265.2305598755832</v>
      </c>
      <c r="M40" s="71">
        <f>IFERROR('Historical FS'!M72/'Historical FS'!M53,0)</f>
        <v>0</v>
      </c>
      <c r="N40" s="70"/>
      <c r="O40" s="68">
        <f t="shared" si="3"/>
        <v>98.862108620814254</v>
      </c>
      <c r="P40" s="68">
        <f t="shared" si="14"/>
        <v>0.25770165868900974</v>
      </c>
    </row>
    <row r="41" spans="2:16" ht="15.75" thickTop="1" x14ac:dyDescent="0.25"/>
  </sheetData>
  <sheetProtection sheet="1" objects="1" scenarios="1"/>
  <mergeCells count="1">
    <mergeCell ref="B2:P2"/>
  </mergeCells>
  <pageMargins left="0.7" right="0.7" top="0.75" bottom="0.75" header="0.3" footer="0.3"/>
  <pageSetup orientation="portrait" r:id="rId1"/>
  <extLst>
    <ext xmlns:x14="http://schemas.microsoft.com/office/spreadsheetml/2009/9/main" uri="{05C60535-1F16-4fd2-B633-F4F36F0B64E0}">
      <x14:sparklineGroups xmlns:xm="http://schemas.microsoft.com/office/excel/2006/main">
        <x14:sparklineGroup displayEmptyCellsAs="gap" markers="1" xr2:uid="{4DEFBE30-504D-49A7-A5BA-00F555347DE2}">
          <x14:colorSeries theme="4"/>
          <x14:colorNegative rgb="FF000000"/>
          <x14:colorAxis rgb="FF000000"/>
          <x14:colorMarkers rgb="FF000000"/>
          <x14:colorFirst rgb="FF000000"/>
          <x14:colorLast rgb="FF000000"/>
          <x14:colorHigh rgb="FF000000"/>
          <x14:colorLow rgb="FF000000"/>
          <x14:sparklines>
            <x14:sparkline>
              <xm:f>'Financial Ratios'!D5:M5</xm:f>
              <xm:sqref>N5</xm:sqref>
            </x14:sparkline>
            <x14:sparkline>
              <xm:f>'Financial Ratios'!D6:M6</xm:f>
              <xm:sqref>N6</xm:sqref>
            </x14:sparkline>
            <x14:sparkline>
              <xm:f>'Financial Ratios'!D7:M7</xm:f>
              <xm:sqref>N7</xm:sqref>
            </x14:sparkline>
            <x14:sparkline>
              <xm:f>'Financial Ratios'!D8:M8</xm:f>
              <xm:sqref>N8</xm:sqref>
            </x14:sparkline>
            <x14:sparkline>
              <xm:f>'Financial Ratios'!D9:M9</xm:f>
              <xm:sqref>N9</xm:sqref>
            </x14:sparkline>
          </x14:sparklines>
        </x14:sparklineGroup>
        <x14:sparklineGroup displayEmptyCellsAs="gap" markers="1" xr2:uid="{659D22B6-7175-4298-AF83-334878DC4888}">
          <x14:colorSeries theme="4"/>
          <x14:colorNegative rgb="FF000000"/>
          <x14:colorAxis rgb="FF000000"/>
          <x14:colorMarkers rgb="FF000000"/>
          <x14:colorFirst rgb="FF000000"/>
          <x14:colorLast rgb="FF000000"/>
          <x14:colorHigh rgb="FF000000"/>
          <x14:colorLow rgb="FF000000"/>
          <x14:sparklines>
            <x14:sparkline>
              <xm:f>'Financial Ratios'!C11:M11</xm:f>
              <xm:sqref>N11</xm:sqref>
            </x14:sparkline>
            <x14:sparkline>
              <xm:f>'Financial Ratios'!C12:M12</xm:f>
              <xm:sqref>N12</xm:sqref>
            </x14:sparkline>
            <x14:sparkline>
              <xm:f>'Financial Ratios'!C13:M13</xm:f>
              <xm:sqref>N13</xm:sqref>
            </x14:sparkline>
            <x14:sparkline>
              <xm:f>'Financial Ratios'!C14:M14</xm:f>
              <xm:sqref>N14</xm:sqref>
            </x14:sparkline>
            <x14:sparkline>
              <xm:f>'Financial Ratios'!C15:M15</xm:f>
              <xm:sqref>N15</xm:sqref>
            </x14:sparkline>
          </x14:sparklines>
        </x14:sparklineGroup>
        <x14:sparklineGroup displayEmptyCellsAs="gap" markers="1" xr2:uid="{43DB0372-6BC7-4360-A593-214179BC9723}">
          <x14:colorSeries theme="4"/>
          <x14:colorNegative rgb="FF000000"/>
          <x14:colorAxis rgb="FF000000"/>
          <x14:colorMarkers rgb="FF000000"/>
          <x14:colorFirst rgb="FF000000"/>
          <x14:colorLast rgb="FF000000"/>
          <x14:colorHigh rgb="FF000000"/>
          <x14:colorLow rgb="FF000000"/>
          <x14:sparklines>
            <x14:sparkline>
              <xm:f>'Financial Ratios'!C38:M38</xm:f>
              <xm:sqref>N38</xm:sqref>
            </x14:sparkline>
            <x14:sparkline>
              <xm:f>'Financial Ratios'!C39:M39</xm:f>
              <xm:sqref>N39</xm:sqref>
            </x14:sparkline>
            <x14:sparkline>
              <xm:f>'Financial Ratios'!C40:M40</xm:f>
              <xm:sqref>N40</xm:sqref>
            </x14:sparkline>
            <x14:sparkline>
              <xm:f>'Financial Ratios'!C33:M33</xm:f>
              <xm:sqref>N33</xm:sqref>
            </x14:sparkline>
            <x14:sparkline>
              <xm:f>'Financial Ratios'!C34:M34</xm:f>
              <xm:sqref>N34</xm:sqref>
            </x14:sparkline>
            <x14:sparkline>
              <xm:f>'Financial Ratios'!C35:M35</xm:f>
              <xm:sqref>N35</xm:sqref>
            </x14:sparkline>
            <x14:sparkline>
              <xm:f>'Financial Ratios'!C36:M36</xm:f>
              <xm:sqref>N36</xm:sqref>
            </x14:sparkline>
            <x14:sparkline>
              <xm:f>'Financial Ratios'!C27:M27</xm:f>
              <xm:sqref>N27</xm:sqref>
            </x14:sparkline>
            <x14:sparkline>
              <xm:f>'Financial Ratios'!C28:M28</xm:f>
              <xm:sqref>N28</xm:sqref>
            </x14:sparkline>
            <x14:sparkline>
              <xm:f>'Financial Ratios'!C29:M29</xm:f>
              <xm:sqref>N29</xm:sqref>
            </x14:sparkline>
            <x14:sparkline>
              <xm:f>'Financial Ratios'!C30:M30</xm:f>
              <xm:sqref>N30</xm:sqref>
            </x14:sparkline>
            <x14:sparkline>
              <xm:f>'Financial Ratios'!C31:M31</xm:f>
              <xm:sqref>N31</xm:sqref>
            </x14:sparkline>
            <x14:sparkline>
              <xm:f>'Financial Ratios'!C21:M21</xm:f>
              <xm:sqref>N21</xm:sqref>
            </x14:sparkline>
            <x14:sparkline>
              <xm:f>'Financial Ratios'!C22:M22</xm:f>
              <xm:sqref>N22</xm:sqref>
            </x14:sparkline>
            <x14:sparkline>
              <xm:f>'Financial Ratios'!C23:M23</xm:f>
              <xm:sqref>N23</xm:sqref>
            </x14:sparkline>
            <x14:sparkline>
              <xm:f>'Financial Ratios'!C24:M24</xm:f>
              <xm:sqref>N24</xm:sqref>
            </x14:sparkline>
            <x14:sparkline>
              <xm:f>'Financial Ratios'!C25:M25</xm:f>
              <xm:sqref>N25</xm:sqref>
            </x14:sparkline>
            <x14:sparkline>
              <xm:f>'Financial Ratios'!C17:M17</xm:f>
              <xm:sqref>N17</xm:sqref>
            </x14:sparkline>
            <x14:sparkline>
              <xm:f>'Financial Ratios'!C18:M18</xm:f>
              <xm:sqref>N18</xm:sqref>
            </x14:sparkline>
            <x14:sparkline>
              <xm:f>'Financial Ratios'!C19:M19</xm:f>
              <xm:sqref>N19</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AFE3E-1D03-412C-80E5-F9A916DDBEDE}">
  <sheetPr codeName="Sheet3">
    <tabColor theme="2" tint="-0.499984740745262"/>
  </sheetPr>
  <dimension ref="B1:Q39"/>
  <sheetViews>
    <sheetView showGridLines="0" zoomScale="80" zoomScaleNormal="80" workbookViewId="0">
      <pane ySplit="3" topLeftCell="A4" activePane="bottomLeft" state="frozen"/>
      <selection pane="bottomLeft" activeCell="F35" sqref="F35"/>
    </sheetView>
  </sheetViews>
  <sheetFormatPr defaultRowHeight="15" x14ac:dyDescent="0.25"/>
  <cols>
    <col min="1" max="1" width="1.85546875" customWidth="1"/>
    <col min="2" max="2" width="28.42578125" bestFit="1" customWidth="1"/>
    <col min="3" max="17" width="13.7109375" bestFit="1" customWidth="1"/>
  </cols>
  <sheetData>
    <row r="1" spans="2:17" x14ac:dyDescent="0.25">
      <c r="B1" s="249" t="str">
        <f>'Data Sheet'!$B$1&amp;" - "&amp;" Linear Regression Forecasting"</f>
        <v>HINDUSTAN AERONAUTICS LTD -  Linear Regression Forecasting</v>
      </c>
      <c r="C1" s="249"/>
      <c r="D1" s="249"/>
      <c r="E1" s="249"/>
      <c r="F1" s="249"/>
      <c r="G1" s="249"/>
      <c r="H1" s="249"/>
      <c r="I1" s="249"/>
      <c r="J1" s="249"/>
      <c r="K1" s="249"/>
      <c r="L1" s="249"/>
      <c r="M1" s="249"/>
      <c r="N1" s="249"/>
      <c r="O1" s="249"/>
      <c r="P1" s="249"/>
      <c r="Q1" s="249"/>
    </row>
    <row r="2" spans="2:17" x14ac:dyDescent="0.25">
      <c r="B2" s="56" t="s">
        <v>143</v>
      </c>
      <c r="C2" s="57">
        <f>'Data Sheet'!B16</f>
        <v>42460</v>
      </c>
      <c r="D2" s="57">
        <f>C2+365</f>
        <v>42825</v>
      </c>
      <c r="E2" s="57">
        <f t="shared" ref="E2:L2" si="0">D2+365</f>
        <v>43190</v>
      </c>
      <c r="F2" s="57">
        <f t="shared" si="0"/>
        <v>43555</v>
      </c>
      <c r="G2" s="57">
        <f t="shared" si="0"/>
        <v>43920</v>
      </c>
      <c r="H2" s="57">
        <f t="shared" si="0"/>
        <v>44285</v>
      </c>
      <c r="I2" s="57">
        <f t="shared" si="0"/>
        <v>44650</v>
      </c>
      <c r="J2" s="57">
        <f t="shared" si="0"/>
        <v>45015</v>
      </c>
      <c r="K2" s="57">
        <f t="shared" si="0"/>
        <v>45380</v>
      </c>
      <c r="L2" s="57">
        <f t="shared" si="0"/>
        <v>45745</v>
      </c>
      <c r="M2" s="58">
        <f>L2+365</f>
        <v>46110</v>
      </c>
      <c r="N2" s="58">
        <f t="shared" ref="N2:Q2" si="1">M2+365</f>
        <v>46475</v>
      </c>
      <c r="O2" s="58">
        <f t="shared" si="1"/>
        <v>46840</v>
      </c>
      <c r="P2" s="58">
        <f t="shared" si="1"/>
        <v>47205</v>
      </c>
      <c r="Q2" s="58">
        <f t="shared" si="1"/>
        <v>47570</v>
      </c>
    </row>
    <row r="3" spans="2:17" x14ac:dyDescent="0.25">
      <c r="B3" s="59" t="s">
        <v>144</v>
      </c>
      <c r="C3" s="59">
        <f>1</f>
        <v>1</v>
      </c>
      <c r="D3" s="59">
        <f>C3+1</f>
        <v>2</v>
      </c>
      <c r="E3" s="59">
        <f t="shared" ref="E3:Q3" si="2">D3+1</f>
        <v>3</v>
      </c>
      <c r="F3" s="59">
        <f t="shared" si="2"/>
        <v>4</v>
      </c>
      <c r="G3" s="59">
        <f t="shared" si="2"/>
        <v>5</v>
      </c>
      <c r="H3" s="59">
        <f t="shared" si="2"/>
        <v>6</v>
      </c>
      <c r="I3" s="59">
        <f t="shared" si="2"/>
        <v>7</v>
      </c>
      <c r="J3" s="59">
        <f t="shared" si="2"/>
        <v>8</v>
      </c>
      <c r="K3" s="59">
        <f t="shared" si="2"/>
        <v>9</v>
      </c>
      <c r="L3" s="59">
        <f t="shared" si="2"/>
        <v>10</v>
      </c>
      <c r="M3" s="60">
        <f t="shared" si="2"/>
        <v>11</v>
      </c>
      <c r="N3" s="60">
        <f t="shared" si="2"/>
        <v>12</v>
      </c>
      <c r="O3" s="60">
        <f t="shared" si="2"/>
        <v>13</v>
      </c>
      <c r="P3" s="60">
        <f t="shared" si="2"/>
        <v>14</v>
      </c>
      <c r="Q3" s="60">
        <f t="shared" si="2"/>
        <v>15</v>
      </c>
    </row>
    <row r="4" spans="2:17" ht="4.5" customHeight="1" x14ac:dyDescent="0.25">
      <c r="M4" s="54"/>
      <c r="N4" s="54"/>
      <c r="O4" s="54"/>
      <c r="P4" s="54"/>
      <c r="Q4" s="54"/>
    </row>
    <row r="5" spans="2:17" ht="15.75" x14ac:dyDescent="0.25">
      <c r="B5" s="8" t="str">
        <f>'Data Sheet'!A17</f>
        <v>Sales</v>
      </c>
      <c r="C5" s="12">
        <f>IFERROR('Historical FS'!C6,0)</f>
        <v>16758.5</v>
      </c>
      <c r="D5" s="12">
        <f>IFERROR('Historical FS'!D6,0)</f>
        <v>17949.919999999998</v>
      </c>
      <c r="E5" s="12">
        <f>IFERROR('Historical FS'!E6,0)</f>
        <v>18519.740000000002</v>
      </c>
      <c r="F5" s="12">
        <f>IFERROR('Historical FS'!F6,0)</f>
        <v>20008</v>
      </c>
      <c r="G5" s="12">
        <f>IFERROR('Historical FS'!G6,0)</f>
        <v>21445.16</v>
      </c>
      <c r="H5" s="12">
        <f>IFERROR('Historical FS'!H6,0)</f>
        <v>22882.32</v>
      </c>
      <c r="I5" s="12">
        <f>IFERROR('Historical FS'!I6,0)</f>
        <v>24620.02</v>
      </c>
      <c r="J5" s="12">
        <f>IFERROR('Historical FS'!J6,0)</f>
        <v>26927.46</v>
      </c>
      <c r="K5" s="12">
        <f>IFERROR('Historical FS'!K6,0)</f>
        <v>30381.08</v>
      </c>
      <c r="L5" s="12">
        <f>IFERROR('Historical FS'!L6,0)</f>
        <v>30980.95</v>
      </c>
      <c r="M5" s="63">
        <f>_xlfn.FORECAST.LINEAR($M$3,$C$5:$L$5,$C$3:$L$3)</f>
        <v>32125.048000000003</v>
      </c>
      <c r="N5" s="63">
        <f t="shared" ref="N5:Q5" si="3">_xlfn.FORECAST.LINEAR(N3,$C$5:$L$5,$C$3:$L$3)</f>
        <v>33775.54490909091</v>
      </c>
      <c r="O5" s="63">
        <f t="shared" si="3"/>
        <v>35426.041818181817</v>
      </c>
      <c r="P5" s="63">
        <f t="shared" si="3"/>
        <v>37076.538727272724</v>
      </c>
      <c r="Q5" s="63">
        <f t="shared" si="3"/>
        <v>38727.035636363638</v>
      </c>
    </row>
    <row r="6" spans="2:17" x14ac:dyDescent="0.25">
      <c r="B6" s="13" t="s">
        <v>10</v>
      </c>
      <c r="C6" s="23">
        <f>IFERROR(C5/C5-1,0)</f>
        <v>0</v>
      </c>
      <c r="D6" s="23">
        <f>IFERROR(D5/C5-1,0)</f>
        <v>7.1093474953008773E-2</v>
      </c>
      <c r="E6" s="23">
        <f t="shared" ref="E6:Q6" si="4">IFERROR(E5/D5-1,0)</f>
        <v>3.1744988278499475E-2</v>
      </c>
      <c r="F6" s="23">
        <f t="shared" si="4"/>
        <v>8.0360739405628712E-2</v>
      </c>
      <c r="G6" s="23">
        <f t="shared" si="4"/>
        <v>7.182926829268288E-2</v>
      </c>
      <c r="H6" s="23">
        <f t="shared" si="4"/>
        <v>6.7015587666401144E-2</v>
      </c>
      <c r="I6" s="23">
        <f t="shared" si="4"/>
        <v>7.59407262899916E-2</v>
      </c>
      <c r="J6" s="23">
        <f t="shared" si="4"/>
        <v>9.3722100956863397E-2</v>
      </c>
      <c r="K6" s="23">
        <f t="shared" si="4"/>
        <v>0.12825643413823662</v>
      </c>
      <c r="L6" s="23">
        <f t="shared" si="4"/>
        <v>1.974485436330764E-2</v>
      </c>
      <c r="M6" s="55">
        <f t="shared" si="4"/>
        <v>3.6929080612440934E-2</v>
      </c>
      <c r="N6" s="55">
        <f t="shared" si="4"/>
        <v>5.1377258925524583E-2</v>
      </c>
      <c r="O6" s="55">
        <f t="shared" si="4"/>
        <v>4.8866625646849737E-2</v>
      </c>
      <c r="P6" s="55">
        <f t="shared" si="4"/>
        <v>4.6589932839852688E-2</v>
      </c>
      <c r="Q6" s="55">
        <f t="shared" si="4"/>
        <v>4.4515938265748733E-2</v>
      </c>
    </row>
    <row r="7" spans="2:17" ht="15.75" x14ac:dyDescent="0.25">
      <c r="B7" s="8"/>
      <c r="M7" s="54"/>
      <c r="N7" s="54"/>
      <c r="O7" s="54"/>
      <c r="P7" s="54"/>
      <c r="Q7" s="54"/>
    </row>
    <row r="8" spans="2:17" ht="15.75" x14ac:dyDescent="0.25">
      <c r="B8" s="8" t="s">
        <v>60</v>
      </c>
      <c r="C8" s="12">
        <f>IFERROR('Historical FS'!C9,0)</f>
        <v>12512.9</v>
      </c>
      <c r="D8" s="12">
        <f>IFERROR('Historical FS'!D9,0)</f>
        <v>13838.910000000002</v>
      </c>
      <c r="E8" s="12">
        <f>IFERROR('Historical FS'!E9,0)</f>
        <v>14219.92</v>
      </c>
      <c r="F8" s="12">
        <f>IFERROR('Historical FS'!F9,0)</f>
        <v>14087.519999999999</v>
      </c>
      <c r="G8" s="12">
        <f>IFERROR('Historical FS'!G9,0)</f>
        <v>14937.2</v>
      </c>
      <c r="H8" s="12">
        <f>IFERROR('Historical FS'!H9,0)</f>
        <v>16337.81</v>
      </c>
      <c r="I8" s="12">
        <f>IFERROR('Historical FS'!I9,0)</f>
        <v>15494.019999999999</v>
      </c>
      <c r="J8" s="12">
        <f>IFERROR('Historical FS'!J9,0)</f>
        <v>16160.85</v>
      </c>
      <c r="K8" s="12">
        <f>IFERROR('Historical FS'!K9,0)</f>
        <v>17469.289999999997</v>
      </c>
      <c r="L8" s="12">
        <f>IFERROR('Historical FS'!L9,0)</f>
        <v>19124.159999999996</v>
      </c>
      <c r="M8" s="63">
        <f>_xlfn.FORECAST.LINEAR(M3,$C$8:$L$8,$C$3:$L$3)</f>
        <v>18759.55</v>
      </c>
      <c r="N8" s="63">
        <f t="shared" ref="N8:Q8" si="5">_xlfn.FORECAST.LINEAR(N3,$C$8:$L$8,$C$3:$L$3)</f>
        <v>19367.057636363636</v>
      </c>
      <c r="O8" s="63">
        <f t="shared" si="5"/>
        <v>19974.565272727272</v>
      </c>
      <c r="P8" s="63">
        <f t="shared" si="5"/>
        <v>20582.072909090908</v>
      </c>
      <c r="Q8" s="63">
        <f t="shared" si="5"/>
        <v>21189.580545454544</v>
      </c>
    </row>
    <row r="9" spans="2:17" x14ac:dyDescent="0.25">
      <c r="B9" s="13" t="s">
        <v>145</v>
      </c>
      <c r="C9" s="23">
        <f>IFERROR(C8/C8-1,0)</f>
        <v>0</v>
      </c>
      <c r="D9" s="23">
        <f>IFERROR(D8/C8-1,0)</f>
        <v>0.10597143747652438</v>
      </c>
      <c r="E9" s="23">
        <f t="shared" ref="E9:Q9" si="6">IFERROR(E8/D8-1,0)</f>
        <v>2.753179260505334E-2</v>
      </c>
      <c r="F9" s="23">
        <f t="shared" si="6"/>
        <v>-9.3108821990560697E-3</v>
      </c>
      <c r="G9" s="23">
        <f t="shared" si="6"/>
        <v>6.0314377548355003E-2</v>
      </c>
      <c r="H9" s="23">
        <f t="shared" si="6"/>
        <v>9.3766569370430819E-2</v>
      </c>
      <c r="I9" s="23">
        <f t="shared" si="6"/>
        <v>-5.1646456899670179E-2</v>
      </c>
      <c r="J9" s="23">
        <f t="shared" si="6"/>
        <v>4.303789461998897E-2</v>
      </c>
      <c r="K9" s="23">
        <f t="shared" si="6"/>
        <v>8.0963563178916731E-2</v>
      </c>
      <c r="L9" s="23">
        <f t="shared" si="6"/>
        <v>9.4730238034860026E-2</v>
      </c>
      <c r="M9" s="55">
        <f t="shared" si="6"/>
        <v>-1.906541254622407E-2</v>
      </c>
      <c r="N9" s="55">
        <f t="shared" si="6"/>
        <v>3.238391306633881E-2</v>
      </c>
      <c r="O9" s="55">
        <f t="shared" si="6"/>
        <v>3.1368091517576691E-2</v>
      </c>
      <c r="P9" s="55">
        <f t="shared" si="6"/>
        <v>3.0414060484866168E-2</v>
      </c>
      <c r="Q9" s="55">
        <f t="shared" si="6"/>
        <v>2.951634847699447E-2</v>
      </c>
    </row>
    <row r="10" spans="2:17" ht="4.5" customHeight="1" x14ac:dyDescent="0.25">
      <c r="B10" s="8"/>
      <c r="M10" s="54"/>
      <c r="N10" s="54"/>
      <c r="O10" s="54"/>
      <c r="P10" s="54"/>
      <c r="Q10" s="54"/>
    </row>
    <row r="11" spans="2:17" ht="15.75" x14ac:dyDescent="0.25">
      <c r="B11" s="19" t="s">
        <v>62</v>
      </c>
      <c r="C11" s="22">
        <f>IFERROR('Historical FS'!C12,0)</f>
        <v>4245.6000000000004</v>
      </c>
      <c r="D11" s="22">
        <f>IFERROR('Historical FS'!D12,0)</f>
        <v>4111.0099999999966</v>
      </c>
      <c r="E11" s="22">
        <f>IFERROR('Historical FS'!E12,0)</f>
        <v>4299.8200000000015</v>
      </c>
      <c r="F11" s="22">
        <f>IFERROR('Historical FS'!F12,0)</f>
        <v>5920.4800000000014</v>
      </c>
      <c r="G11" s="22">
        <f>IFERROR('Historical FS'!G12,0)</f>
        <v>6507.9599999999991</v>
      </c>
      <c r="H11" s="22">
        <f>IFERROR('Historical FS'!H12,0)</f>
        <v>6544.51</v>
      </c>
      <c r="I11" s="22">
        <f>IFERROR('Historical FS'!I12,0)</f>
        <v>9126.0000000000018</v>
      </c>
      <c r="J11" s="22">
        <f>IFERROR('Historical FS'!J12,0)</f>
        <v>10766.609999999999</v>
      </c>
      <c r="K11" s="22">
        <f>IFERROR('Historical FS'!K12,0)</f>
        <v>12911.790000000005</v>
      </c>
      <c r="L11" s="22">
        <f>IFERROR('Historical FS'!L12,0)</f>
        <v>11856.790000000005</v>
      </c>
      <c r="M11" s="65">
        <f>_xlfn.FORECAST.LINEAR(M3,$C$11:$L$11,$C$3:$L$3)</f>
        <v>13365.498000000003</v>
      </c>
      <c r="N11" s="65">
        <f t="shared" ref="N11:Q11" si="7">_xlfn.FORECAST.LINEAR(N3,$C$11:$L$11,$C$3:$L$3)</f>
        <v>14408.487272727276</v>
      </c>
      <c r="O11" s="65">
        <f t="shared" si="7"/>
        <v>15451.476545454549</v>
      </c>
      <c r="P11" s="65">
        <f t="shared" si="7"/>
        <v>16494.465818181823</v>
      </c>
      <c r="Q11" s="65">
        <f t="shared" si="7"/>
        <v>17537.455090909098</v>
      </c>
    </row>
    <row r="12" spans="2:17" x14ac:dyDescent="0.25">
      <c r="B12" s="13" t="s">
        <v>146</v>
      </c>
      <c r="C12" s="23">
        <f>IFERROR(C11/C11-1,0)</f>
        <v>0</v>
      </c>
      <c r="D12" s="23">
        <f>IFERROR(D11/C11-1,0)</f>
        <v>-3.1701055210100804E-2</v>
      </c>
      <c r="E12" s="23">
        <f t="shared" ref="E12:Q12" si="8">IFERROR(E11/D11-1,0)</f>
        <v>4.5927886334502954E-2</v>
      </c>
      <c r="F12" s="23">
        <f t="shared" si="8"/>
        <v>0.37691345219102179</v>
      </c>
      <c r="G12" s="23">
        <f t="shared" si="8"/>
        <v>9.922844093722083E-2</v>
      </c>
      <c r="H12" s="23">
        <f t="shared" si="8"/>
        <v>5.6161992390857396E-3</v>
      </c>
      <c r="I12" s="23">
        <f t="shared" si="8"/>
        <v>0.39445122705901614</v>
      </c>
      <c r="J12" s="23">
        <f t="shared" si="8"/>
        <v>0.17977317554240591</v>
      </c>
      <c r="K12" s="23">
        <f t="shared" si="8"/>
        <v>0.19924377310964236</v>
      </c>
      <c r="L12" s="23">
        <f t="shared" si="8"/>
        <v>-8.1708268179702448E-2</v>
      </c>
      <c r="M12" s="55">
        <f t="shared" si="8"/>
        <v>0.12724422040029371</v>
      </c>
      <c r="N12" s="55">
        <f t="shared" si="8"/>
        <v>7.8035945441559562E-2</v>
      </c>
      <c r="O12" s="55">
        <f t="shared" si="8"/>
        <v>7.2387146060882257E-2</v>
      </c>
      <c r="P12" s="55">
        <f t="shared" si="8"/>
        <v>6.7500945275944968E-2</v>
      </c>
      <c r="Q12" s="55">
        <f t="shared" si="8"/>
        <v>6.3232679628678179E-2</v>
      </c>
    </row>
    <row r="13" spans="2:17" ht="15.75" x14ac:dyDescent="0.25">
      <c r="B13" s="8"/>
      <c r="M13" s="54"/>
      <c r="N13" s="54"/>
      <c r="O13" s="54"/>
      <c r="P13" s="54"/>
      <c r="Q13" s="54"/>
    </row>
    <row r="14" spans="2:17" ht="15.75" x14ac:dyDescent="0.25">
      <c r="B14" s="8" t="s">
        <v>125</v>
      </c>
      <c r="C14" s="12">
        <f>IFERROR('Historical FS'!C15,0)</f>
        <v>1771.6999999999998</v>
      </c>
      <c r="D14" s="12">
        <f>IFERROR('Historical FS'!D15,0)</f>
        <v>880.31999999999994</v>
      </c>
      <c r="E14" s="12">
        <f>IFERROR('Historical FS'!E15,0)</f>
        <v>851.13</v>
      </c>
      <c r="F14" s="12">
        <f>IFERROR('Historical FS'!F15,0)</f>
        <v>1369.45</v>
      </c>
      <c r="G14" s="12">
        <f>IFERROR('Historical FS'!G15,0)</f>
        <v>1593.72</v>
      </c>
      <c r="H14" s="12">
        <f>IFERROR('Historical FS'!H15,0)</f>
        <v>1200.53</v>
      </c>
      <c r="I14" s="12">
        <f>IFERROR('Historical FS'!I15,0)</f>
        <v>3710.63</v>
      </c>
      <c r="J14" s="12">
        <f>IFERROR('Historical FS'!J15,0)</f>
        <v>4080.95</v>
      </c>
      <c r="K14" s="12">
        <f>IFERROR('Historical FS'!K15,0)</f>
        <v>3160.21</v>
      </c>
      <c r="L14" s="12">
        <f>IFERROR('Historical FS'!L15,0)</f>
        <v>2235.77</v>
      </c>
      <c r="M14" s="63">
        <f>_xlfn.FORECAST.LINEAR(M3,$C$14:$L$14,$C$3:$L$3)</f>
        <v>3515.9513333333334</v>
      </c>
      <c r="N14" s="63">
        <f t="shared" ref="N14:Q14" si="9">_xlfn.FORECAST.LINEAR(N3,$C$14:$L$14,$C$3:$L$3)</f>
        <v>3776.0441212121204</v>
      </c>
      <c r="O14" s="63">
        <f t="shared" si="9"/>
        <v>4036.1369090909084</v>
      </c>
      <c r="P14" s="63">
        <f t="shared" si="9"/>
        <v>4296.2296969696963</v>
      </c>
      <c r="Q14" s="63">
        <f t="shared" si="9"/>
        <v>4556.3224848484842</v>
      </c>
    </row>
    <row r="15" spans="2:17" x14ac:dyDescent="0.25">
      <c r="B15" s="13" t="s">
        <v>147</v>
      </c>
      <c r="C15" s="61">
        <f>IFERROR(C14/C14-1,0)</f>
        <v>0</v>
      </c>
      <c r="D15" s="23">
        <f>IFERROR(D14/C14-1,0)</f>
        <v>-0.50312129593046229</v>
      </c>
      <c r="E15" s="23">
        <f t="shared" ref="E15" si="10">IFERROR(E14/D14-1,0)</f>
        <v>-3.3158396946564861E-2</v>
      </c>
      <c r="F15" s="23">
        <f t="shared" ref="F15" si="11">IFERROR(F14/E14-1,0)</f>
        <v>0.60897865190981415</v>
      </c>
      <c r="G15" s="23">
        <f t="shared" ref="G15" si="12">IFERROR(G14/F14-1,0)</f>
        <v>0.1637664755923911</v>
      </c>
      <c r="H15" s="23">
        <f t="shared" ref="H15" si="13">IFERROR(H14/G14-1,0)</f>
        <v>-0.24671209497276814</v>
      </c>
      <c r="I15" s="23">
        <f t="shared" ref="I15" si="14">IFERROR(I14/H14-1,0)</f>
        <v>2.0908265516063742</v>
      </c>
      <c r="J15" s="23">
        <f t="shared" ref="J15" si="15">IFERROR(J14/I14-1,0)</f>
        <v>9.9799764460482443E-2</v>
      </c>
      <c r="K15" s="23">
        <f t="shared" ref="K15" si="16">IFERROR(K14/J14-1,0)</f>
        <v>-0.22561903478356748</v>
      </c>
      <c r="L15" s="23">
        <f t="shared" ref="L15" si="17">IFERROR(L14/K14-1,0)</f>
        <v>-0.29252486385398435</v>
      </c>
      <c r="M15" s="55">
        <f t="shared" ref="M15" si="18">IFERROR(M14/L14-1,0)</f>
        <v>0.57259080018666197</v>
      </c>
      <c r="N15" s="55">
        <f t="shared" ref="N15" si="19">IFERROR(N14/M14-1,0)</f>
        <v>7.397508191110358E-2</v>
      </c>
      <c r="O15" s="55">
        <f t="shared" ref="O15" si="20">IFERROR(O14/N14-1,0)</f>
        <v>6.8879700429797186E-2</v>
      </c>
      <c r="P15" s="55">
        <f t="shared" ref="P15" si="21">IFERROR(P14/O14-1,0)</f>
        <v>6.4441022130086845E-2</v>
      </c>
      <c r="Q15" s="55">
        <f t="shared" ref="Q15" si="22">IFERROR(Q14/P14-1,0)</f>
        <v>6.0539777019427587E-2</v>
      </c>
    </row>
    <row r="16" spans="2:17" ht="4.5" customHeight="1" x14ac:dyDescent="0.25">
      <c r="B16" s="8"/>
      <c r="M16" s="54"/>
      <c r="N16" s="54"/>
      <c r="O16" s="54"/>
      <c r="P16" s="54"/>
      <c r="Q16" s="54"/>
    </row>
    <row r="17" spans="2:17" ht="15.75" x14ac:dyDescent="0.25">
      <c r="B17" s="20" t="s">
        <v>63</v>
      </c>
      <c r="C17" s="22">
        <f>IFERROR('Historical FS'!C18,0)</f>
        <v>2473.9000000000005</v>
      </c>
      <c r="D17" s="22">
        <f>IFERROR('Historical FS'!D18,0)</f>
        <v>3230.6899999999969</v>
      </c>
      <c r="E17" s="22">
        <f>IFERROR('Historical FS'!E18,0)</f>
        <v>3448.6900000000014</v>
      </c>
      <c r="F17" s="22">
        <f>IFERROR('Historical FS'!F18,0)</f>
        <v>4551.0300000000016</v>
      </c>
      <c r="G17" s="22">
        <f>IFERROR('Historical FS'!G18,0)</f>
        <v>4914.2399999999989</v>
      </c>
      <c r="H17" s="22">
        <f>IFERROR('Historical FS'!H18,0)</f>
        <v>5343.9800000000005</v>
      </c>
      <c r="I17" s="22">
        <f>IFERROR('Historical FS'!I18,0)</f>
        <v>5415.3700000000017</v>
      </c>
      <c r="J17" s="22">
        <f>IFERROR('Historical FS'!J18,0)</f>
        <v>6685.6599999999989</v>
      </c>
      <c r="K17" s="22">
        <f>IFERROR('Historical FS'!K18,0)</f>
        <v>9751.5800000000054</v>
      </c>
      <c r="L17" s="22">
        <f>IFERROR('Historical FS'!L18,0)</f>
        <v>9621.0200000000041</v>
      </c>
      <c r="M17" s="65">
        <f>_xlfn.FORECAST.LINEAR(M3,$C$17:$L$17,$C$3:$L$3)</f>
        <v>9849.5466666666689</v>
      </c>
      <c r="N17" s="65">
        <f t="shared" ref="N17:Q17" si="23">_xlfn.FORECAST.LINEAR(N3,$C$17:$L$17,$C$3:$L$3)</f>
        <v>10632.443151515155</v>
      </c>
      <c r="O17" s="65">
        <f t="shared" si="23"/>
        <v>11415.33963636364</v>
      </c>
      <c r="P17" s="65">
        <f t="shared" si="23"/>
        <v>12198.236121212125</v>
      </c>
      <c r="Q17" s="65">
        <f t="shared" si="23"/>
        <v>12981.132606060612</v>
      </c>
    </row>
    <row r="18" spans="2:17" x14ac:dyDescent="0.25">
      <c r="B18" s="13" t="s">
        <v>148</v>
      </c>
      <c r="C18" s="61">
        <f>IFERROR(C17/C17-1,0)</f>
        <v>0</v>
      </c>
      <c r="D18" s="23">
        <f>IFERROR(D17/C17-1,0)</f>
        <v>0.30590969723917549</v>
      </c>
      <c r="E18" s="23">
        <f t="shared" ref="E18" si="24">IFERROR(E17/D17-1,0)</f>
        <v>6.747784529001688E-2</v>
      </c>
      <c r="F18" s="23">
        <f t="shared" ref="F18" si="25">IFERROR(F17/E17-1,0)</f>
        <v>0.31964021121063357</v>
      </c>
      <c r="G18" s="23">
        <f t="shared" ref="G18" si="26">IFERROR(G17/F17-1,0)</f>
        <v>7.9808307130473155E-2</v>
      </c>
      <c r="H18" s="23">
        <f t="shared" ref="H18" si="27">IFERROR(H17/G17-1,0)</f>
        <v>8.7447906492153837E-2</v>
      </c>
      <c r="I18" s="23">
        <f t="shared" ref="I18" si="28">IFERROR(I17/H17-1,0)</f>
        <v>1.3358957181726305E-2</v>
      </c>
      <c r="J18" s="23">
        <f t="shared" ref="J18" si="29">IFERROR(J17/I17-1,0)</f>
        <v>0.23457122966667043</v>
      </c>
      <c r="K18" s="23">
        <f t="shared" ref="K18" si="30">IFERROR(K17/J17-1,0)</f>
        <v>0.45858150130278941</v>
      </c>
      <c r="L18" s="23">
        <f t="shared" ref="L18" si="31">IFERROR(L17/K17-1,0)</f>
        <v>-1.3388599591040773E-2</v>
      </c>
      <c r="M18" s="55">
        <f t="shared" ref="M18" si="32">IFERROR(M17/L17-1,0)</f>
        <v>2.3752852261679669E-2</v>
      </c>
      <c r="N18" s="55">
        <f t="shared" ref="N18" si="33">IFERROR(N17/M17-1,0)</f>
        <v>7.9485534851873263E-2</v>
      </c>
      <c r="O18" s="55">
        <f t="shared" ref="O18" si="34">IFERROR(O17/N17-1,0)</f>
        <v>7.3632792923695956E-2</v>
      </c>
      <c r="P18" s="55">
        <f t="shared" ref="P18" si="35">IFERROR(P17/O17-1,0)</f>
        <v>6.8582846396839869E-2</v>
      </c>
      <c r="Q18" s="55">
        <f t="shared" ref="Q18" si="36">IFERROR(Q17/P17-1,0)</f>
        <v>6.4181122341702146E-2</v>
      </c>
    </row>
    <row r="19" spans="2:17" ht="15.75" x14ac:dyDescent="0.25">
      <c r="B19" s="8"/>
      <c r="M19" s="54"/>
      <c r="N19" s="54"/>
      <c r="O19" s="54"/>
      <c r="P19" s="54"/>
      <c r="Q19" s="54"/>
    </row>
    <row r="20" spans="2:17" ht="15.75" x14ac:dyDescent="0.25">
      <c r="B20" s="8" t="s">
        <v>6</v>
      </c>
      <c r="C20" s="12">
        <f>IFERROR('Historical FS'!C24,0)</f>
        <v>5.9</v>
      </c>
      <c r="D20" s="12">
        <f>IFERROR('Historical FS'!D24,0)</f>
        <v>16.45</v>
      </c>
      <c r="E20" s="12">
        <f>IFERROR('Historical FS'!E24,0)</f>
        <v>34.619999999999997</v>
      </c>
      <c r="F20" s="12">
        <f>IFERROR('Historical FS'!F24,0)</f>
        <v>177.6</v>
      </c>
      <c r="G20" s="12">
        <f>IFERROR('Historical FS'!G24,0)</f>
        <v>359.59</v>
      </c>
      <c r="H20" s="12">
        <f>IFERROR('Historical FS'!H24,0)</f>
        <v>266.89</v>
      </c>
      <c r="I20" s="12">
        <f>IFERROR('Historical FS'!I24,0)</f>
        <v>65.239999999999995</v>
      </c>
      <c r="J20" s="12">
        <f>IFERROR('Historical FS'!J24,0)</f>
        <v>64.41</v>
      </c>
      <c r="K20" s="12">
        <f>IFERROR('Historical FS'!K24,0)</f>
        <v>42.63</v>
      </c>
      <c r="L20" s="12">
        <f>IFERROR('Historical FS'!L24,0)</f>
        <v>21.62</v>
      </c>
      <c r="M20" s="63">
        <f>_xlfn.FORECAST.LINEAR(M3,$C$20:$L$20,$C$3:$L$3)</f>
        <v>106.95866666666664</v>
      </c>
      <c r="N20" s="63">
        <f t="shared" ref="N20:Q20" si="37">_xlfn.FORECAST.LINEAR(N3,$C$20:$L$20,$C$3:$L$3)</f>
        <v>107.22478787878786</v>
      </c>
      <c r="O20" s="63">
        <f t="shared" si="37"/>
        <v>107.49090909090907</v>
      </c>
      <c r="P20" s="63">
        <f t="shared" si="37"/>
        <v>107.75703030303029</v>
      </c>
      <c r="Q20" s="63">
        <f t="shared" si="37"/>
        <v>108.0231515151515</v>
      </c>
    </row>
    <row r="21" spans="2:17" x14ac:dyDescent="0.25">
      <c r="B21" s="13" t="s">
        <v>149</v>
      </c>
      <c r="C21" s="61">
        <f>IFERROR(C20/C20-1,0)</f>
        <v>0</v>
      </c>
      <c r="D21" s="23">
        <f>IFERROR(D20/C20-1,0)</f>
        <v>1.7881355932203387</v>
      </c>
      <c r="E21" s="23">
        <f t="shared" ref="E21" si="38">IFERROR(E20/D20-1,0)</f>
        <v>1.1045592705167171</v>
      </c>
      <c r="F21" s="23">
        <f t="shared" ref="F21" si="39">IFERROR(F20/E20-1,0)</f>
        <v>4.1299826689774699</v>
      </c>
      <c r="G21" s="23">
        <f t="shared" ref="G21" si="40">IFERROR(G20/F20-1,0)</f>
        <v>1.0247184684684685</v>
      </c>
      <c r="H21" s="23">
        <f t="shared" ref="H21" si="41">IFERROR(H20/G20-1,0)</f>
        <v>-0.25779359826469028</v>
      </c>
      <c r="I21" s="23">
        <f t="shared" ref="I21" si="42">IFERROR(I20/H20-1,0)</f>
        <v>-0.75555472291955494</v>
      </c>
      <c r="J21" s="23">
        <f t="shared" ref="J21" si="43">IFERROR(J20/I20-1,0)</f>
        <v>-1.2722256284487976E-2</v>
      </c>
      <c r="K21" s="23">
        <f t="shared" ref="K21" si="44">IFERROR(K20/J20-1,0)</f>
        <v>-0.33814625058220771</v>
      </c>
      <c r="L21" s="23">
        <f t="shared" ref="L21" si="45">IFERROR(L20/K20-1,0)</f>
        <v>-0.49284541402768001</v>
      </c>
      <c r="M21" s="55">
        <f t="shared" ref="M21" si="46">IFERROR(M20/L20-1,0)</f>
        <v>3.9472093740363849</v>
      </c>
      <c r="N21" s="55">
        <f t="shared" ref="N21" si="47">IFERROR(N20/M20-1,0)</f>
        <v>2.4880752576186271E-3</v>
      </c>
      <c r="O21" s="55">
        <f t="shared" ref="O21" si="48">IFERROR(O20/N20-1,0)</f>
        <v>2.481900103379564E-3</v>
      </c>
      <c r="P21" s="55">
        <f t="shared" ref="P21" si="49">IFERROR(P20/O20-1,0)</f>
        <v>2.4757555254850683E-3</v>
      </c>
      <c r="Q21" s="55">
        <f t="shared" ref="Q21" si="50">IFERROR(Q20/P20-1,0)</f>
        <v>2.4696412973967963E-3</v>
      </c>
    </row>
    <row r="22" spans="2:17" ht="15.75" x14ac:dyDescent="0.25">
      <c r="B22" s="8"/>
      <c r="M22" s="54"/>
      <c r="N22" s="54"/>
      <c r="O22" s="54"/>
      <c r="P22" s="54"/>
      <c r="Q22" s="54"/>
    </row>
    <row r="23" spans="2:17" ht="15.75" x14ac:dyDescent="0.25">
      <c r="B23" s="8" t="s">
        <v>5</v>
      </c>
      <c r="C23" s="12">
        <f>IFERROR('Historical FS'!C27,0)</f>
        <v>862.8</v>
      </c>
      <c r="D23" s="12">
        <f>IFERROR('Historical FS'!D27,0)</f>
        <v>680.68</v>
      </c>
      <c r="E23" s="12">
        <f>IFERROR('Historical FS'!E27,0)</f>
        <v>947.09</v>
      </c>
      <c r="F23" s="12">
        <f>IFERROR('Historical FS'!F27,0)</f>
        <v>1025.26</v>
      </c>
      <c r="G23" s="12">
        <f>IFERROR('Historical FS'!G27,0)</f>
        <v>998.52</v>
      </c>
      <c r="H23" s="12">
        <f>IFERROR('Historical FS'!H27,0)</f>
        <v>1157.8900000000001</v>
      </c>
      <c r="I23" s="12">
        <f>IFERROR('Historical FS'!I27,0)</f>
        <v>1110.53</v>
      </c>
      <c r="J23" s="12">
        <f>IFERROR('Historical FS'!J27,0)</f>
        <v>1784.67</v>
      </c>
      <c r="K23" s="12">
        <f>IFERROR('Historical FS'!K27,0)</f>
        <v>1407.17</v>
      </c>
      <c r="L23" s="12">
        <f>IFERROR('Historical FS'!L27,0)</f>
        <v>1340.37</v>
      </c>
      <c r="M23" s="63">
        <f>_xlfn.FORECAST.LINEAR(M3,$C$23:$L$23,$C$3:$L$3)</f>
        <v>1597.7193333333335</v>
      </c>
      <c r="N23" s="63">
        <f t="shared" ref="N23:Q23" si="51">_xlfn.FORECAST.LINEAR(N3,$C$23:$L$23,$C$3:$L$3)</f>
        <v>1682.4868484848485</v>
      </c>
      <c r="O23" s="63">
        <f t="shared" si="51"/>
        <v>1767.2543636363635</v>
      </c>
      <c r="P23" s="63">
        <f t="shared" si="51"/>
        <v>1852.0218787878789</v>
      </c>
      <c r="Q23" s="63">
        <f t="shared" si="51"/>
        <v>1936.7893939393939</v>
      </c>
    </row>
    <row r="24" spans="2:17" x14ac:dyDescent="0.25">
      <c r="B24" s="13" t="s">
        <v>150</v>
      </c>
      <c r="C24" s="61">
        <f>IFERROR(C23/C23-1,0)</f>
        <v>0</v>
      </c>
      <c r="D24" s="23">
        <f>IFERROR(D23/C23-1,0)</f>
        <v>-0.21108020398701899</v>
      </c>
      <c r="E24" s="23">
        <f t="shared" ref="E24" si="52">IFERROR(E23/D23-1,0)</f>
        <v>0.39138802374096504</v>
      </c>
      <c r="F24" s="23">
        <f t="shared" ref="F24" si="53">IFERROR(F23/E23-1,0)</f>
        <v>8.2537034495137718E-2</v>
      </c>
      <c r="G24" s="23">
        <f t="shared" ref="G24" si="54">IFERROR(G23/F23-1,0)</f>
        <v>-2.6081189161773599E-2</v>
      </c>
      <c r="H24" s="23">
        <f t="shared" ref="H24" si="55">IFERROR(H23/G23-1,0)</f>
        <v>0.15960621720145829</v>
      </c>
      <c r="I24" s="23">
        <f t="shared" ref="I24" si="56">IFERROR(I23/H23-1,0)</f>
        <v>-4.0901985508122629E-2</v>
      </c>
      <c r="J24" s="23">
        <f t="shared" ref="J24" si="57">IFERROR(J23/I23-1,0)</f>
        <v>0.60704348374199713</v>
      </c>
      <c r="K24" s="23">
        <f t="shared" ref="K24" si="58">IFERROR(K23/J23-1,0)</f>
        <v>-0.21152369905920987</v>
      </c>
      <c r="L24" s="23">
        <f t="shared" ref="L24" si="59">IFERROR(L23/K23-1,0)</f>
        <v>-4.7471165530817316E-2</v>
      </c>
      <c r="M24" s="55">
        <f t="shared" ref="M24" si="60">IFERROR(M23/L23-1,0)</f>
        <v>0.19199872671973672</v>
      </c>
      <c r="N24" s="55">
        <f t="shared" ref="N24" si="61">IFERROR(N23/M23-1,0)</f>
        <v>5.305532291122983E-2</v>
      </c>
      <c r="O24" s="55">
        <f t="shared" ref="O24" si="62">IFERROR(O23/N23-1,0)</f>
        <v>5.0382275039981383E-2</v>
      </c>
      <c r="P24" s="55">
        <f t="shared" ref="P24" si="63">IFERROR(P23/O23-1,0)</f>
        <v>4.796565615891013E-2</v>
      </c>
      <c r="Q24" s="55">
        <f t="shared" ref="Q24" si="64">IFERROR(Q23/P23-1,0)</f>
        <v>4.577025580658578E-2</v>
      </c>
    </row>
    <row r="25" spans="2:17" ht="4.5" customHeight="1" x14ac:dyDescent="0.25">
      <c r="B25" s="8"/>
      <c r="M25" s="54"/>
      <c r="N25" s="54"/>
      <c r="O25" s="54"/>
      <c r="P25" s="54"/>
      <c r="Q25" s="54"/>
    </row>
    <row r="26" spans="2:17" ht="15.75" x14ac:dyDescent="0.25">
      <c r="B26" s="21" t="s">
        <v>69</v>
      </c>
      <c r="C26" s="22">
        <f>IFERROR('Historical FS'!C30,0)</f>
        <v>3213.3000000000006</v>
      </c>
      <c r="D26" s="22">
        <f>IFERROR('Historical FS'!D30,0)</f>
        <v>3591.7599999999966</v>
      </c>
      <c r="E26" s="22">
        <f>IFERROR('Historical FS'!E30,0)</f>
        <v>3242.6800000000012</v>
      </c>
      <c r="F26" s="22">
        <f>IFERROR('Historical FS'!F30,0)</f>
        <v>3724.4300000000021</v>
      </c>
      <c r="G26" s="22">
        <f>IFERROR('Historical FS'!G30,0)</f>
        <v>3978.6399999999994</v>
      </c>
      <c r="H26" s="22">
        <f>IFERROR('Historical FS'!H30,0)</f>
        <v>4283.4799999999996</v>
      </c>
      <c r="I26" s="22">
        <f>IFERROR('Historical FS'!I30,0)</f>
        <v>5224.5300000000025</v>
      </c>
      <c r="J26" s="22">
        <f>IFERROR('Historical FS'!J30,0)</f>
        <v>6509.4999999999982</v>
      </c>
      <c r="K26" s="22">
        <f>IFERROR('Historical FS'!K30,0)</f>
        <v>10224.880000000005</v>
      </c>
      <c r="L26" s="22">
        <f>IFERROR('Historical FS'!L30,0)</f>
        <v>10867.260000000004</v>
      </c>
      <c r="M26" s="65">
        <f>_xlfn.FORECAST.LINEAR(M3,$C$26:$L$26,$C$3:$L$3)</f>
        <v>10034.603333333336</v>
      </c>
      <c r="N26" s="65">
        <f t="shared" ref="N26:Q26" si="65">_xlfn.FORECAST.LINEAR(N3,$C$26:$L$26,$C$3:$L$3)</f>
        <v>10861.61375757576</v>
      </c>
      <c r="O26" s="65">
        <f t="shared" si="65"/>
        <v>11688.624181818186</v>
      </c>
      <c r="P26" s="65">
        <f t="shared" si="65"/>
        <v>12515.63460606061</v>
      </c>
      <c r="Q26" s="65">
        <f t="shared" si="65"/>
        <v>13342.645030303036</v>
      </c>
    </row>
    <row r="27" spans="2:17" x14ac:dyDescent="0.25">
      <c r="B27" s="13" t="s">
        <v>109</v>
      </c>
      <c r="C27" s="61">
        <f>IFERROR(C26/C26-1,0)</f>
        <v>0</v>
      </c>
      <c r="D27" s="23">
        <f>IFERROR(D26/C26-1,0)</f>
        <v>0.11777923007499957</v>
      </c>
      <c r="E27" s="23">
        <f t="shared" ref="E27" si="66">IFERROR(E26/D26-1,0)</f>
        <v>-9.7189121767600195E-2</v>
      </c>
      <c r="F27" s="23">
        <f t="shared" ref="F27" si="67">IFERROR(F26/E26-1,0)</f>
        <v>0.14856538418838761</v>
      </c>
      <c r="G27" s="23">
        <f t="shared" ref="G27" si="68">IFERROR(G26/F26-1,0)</f>
        <v>6.8254739651435914E-2</v>
      </c>
      <c r="H27" s="23">
        <f t="shared" ref="H27" si="69">IFERROR(H26/G26-1,0)</f>
        <v>7.6619146240926694E-2</v>
      </c>
      <c r="I27" s="23">
        <f t="shared" ref="I27" si="70">IFERROR(I26/H26-1,0)</f>
        <v>0.21969286654776088</v>
      </c>
      <c r="J27" s="23">
        <f t="shared" ref="J27" si="71">IFERROR(J26/I26-1,0)</f>
        <v>0.24594939640503455</v>
      </c>
      <c r="K27" s="23">
        <f t="shared" ref="K27" si="72">IFERROR(K26/J26-1,0)</f>
        <v>0.57076273139258116</v>
      </c>
      <c r="L27" s="23">
        <f t="shared" ref="L27" si="73">IFERROR(L26/K26-1,0)</f>
        <v>6.2825187190460818E-2</v>
      </c>
      <c r="M27" s="55">
        <f t="shared" ref="M27" si="74">IFERROR(M26/L26-1,0)</f>
        <v>-7.662066304355164E-2</v>
      </c>
      <c r="N27" s="55">
        <f t="shared" ref="N27" si="75">IFERROR(N26/M26-1,0)</f>
        <v>8.2415856090218176E-2</v>
      </c>
      <c r="O27" s="55">
        <f t="shared" ref="O27" si="76">IFERROR(O26/N26-1,0)</f>
        <v>7.6140658533875971E-2</v>
      </c>
      <c r="P27" s="55">
        <f t="shared" ref="P27" si="77">IFERROR(P26/O26-1,0)</f>
        <v>7.0753444663645748E-2</v>
      </c>
      <c r="Q27" s="55">
        <f t="shared" ref="Q27" si="78">IFERROR(Q26/P26-1,0)</f>
        <v>6.6078185427525415E-2</v>
      </c>
    </row>
    <row r="28" spans="2:17" ht="15.75" x14ac:dyDescent="0.25">
      <c r="B28" s="8"/>
      <c r="M28" s="54"/>
      <c r="N28" s="54"/>
      <c r="O28" s="54"/>
      <c r="P28" s="54"/>
      <c r="Q28" s="54"/>
    </row>
    <row r="29" spans="2:17" ht="15.75" x14ac:dyDescent="0.25">
      <c r="B29" s="8" t="s">
        <v>8</v>
      </c>
      <c r="C29" s="12">
        <f>IFERROR('Historical FS'!C33,0)</f>
        <v>1209</v>
      </c>
      <c r="D29" s="12">
        <f>IFERROR('Historical FS'!D33,0)</f>
        <v>966.95</v>
      </c>
      <c r="E29" s="12">
        <f>IFERROR('Historical FS'!E33,0)</f>
        <v>1252.43</v>
      </c>
      <c r="F29" s="12">
        <f>IFERROR('Historical FS'!F33,0)</f>
        <v>1396.28</v>
      </c>
      <c r="G29" s="12">
        <f>IFERROR('Historical FS'!G33,0)</f>
        <v>1095.99</v>
      </c>
      <c r="H29" s="12">
        <f>IFERROR('Historical FS'!H33,0)</f>
        <v>1037.93</v>
      </c>
      <c r="I29" s="12">
        <f>IFERROR('Historical FS'!I33,0)</f>
        <v>144.65</v>
      </c>
      <c r="J29" s="12">
        <f>IFERROR('Historical FS'!J33,0)</f>
        <v>681.77</v>
      </c>
      <c r="K29" s="12">
        <f>IFERROR('Historical FS'!K33,0)</f>
        <v>2603.9299999999998</v>
      </c>
      <c r="L29" s="12">
        <f>IFERROR('Historical FS'!L33,0)</f>
        <v>2503.21</v>
      </c>
      <c r="M29" s="63">
        <f>_xlfn.FORECAST.LINEAR(M3,$C$29:$L$29,$C$3:$L$3)</f>
        <v>1837.2306666666664</v>
      </c>
      <c r="N29" s="63">
        <f t="shared" ref="N29:Q29" si="79">_xlfn.FORECAST.LINEAR(N3,$C$29:$L$29,$C$3:$L$3)</f>
        <v>1936.8700606060602</v>
      </c>
      <c r="O29" s="63">
        <f t="shared" si="79"/>
        <v>2036.5094545454544</v>
      </c>
      <c r="P29" s="63">
        <f t="shared" si="79"/>
        <v>2136.1488484848483</v>
      </c>
      <c r="Q29" s="63">
        <f t="shared" si="79"/>
        <v>2235.7882424242421</v>
      </c>
    </row>
    <row r="30" spans="2:17" x14ac:dyDescent="0.25">
      <c r="B30" s="13" t="s">
        <v>71</v>
      </c>
      <c r="C30" s="23">
        <f>IFERROR(C29/C29-1,0)</f>
        <v>0</v>
      </c>
      <c r="D30" s="23">
        <f>IFERROR(D29/C29-1,0)</f>
        <v>-0.20020678246484691</v>
      </c>
      <c r="E30" s="23">
        <f t="shared" ref="E30" si="80">IFERROR(E29/D29-1,0)</f>
        <v>0.29523760277160149</v>
      </c>
      <c r="F30" s="23">
        <f t="shared" ref="F30" si="81">IFERROR(F29/E29-1,0)</f>
        <v>0.1148567185391598</v>
      </c>
      <c r="G30" s="23">
        <f t="shared" ref="G30" si="82">IFERROR(G29/F29-1,0)</f>
        <v>-0.21506431374795887</v>
      </c>
      <c r="H30" s="23">
        <f t="shared" ref="H30" si="83">IFERROR(H29/G29-1,0)</f>
        <v>-5.2974935902699749E-2</v>
      </c>
      <c r="I30" s="23">
        <f t="shared" ref="I30" si="84">IFERROR(I29/H29-1,0)</f>
        <v>-0.86063607372366158</v>
      </c>
      <c r="J30" s="23">
        <f t="shared" ref="J30" si="85">IFERROR(J29/I29-1,0)</f>
        <v>3.7132388524023501</v>
      </c>
      <c r="K30" s="23">
        <f t="shared" ref="K30" si="86">IFERROR(K29/J29-1,0)</f>
        <v>2.8193672352846266</v>
      </c>
      <c r="L30" s="23">
        <f t="shared" ref="L30" si="87">IFERROR(L29/K29-1,0)</f>
        <v>-3.8679995237967169E-2</v>
      </c>
      <c r="M30" s="55">
        <f t="shared" ref="M30" si="88">IFERROR(M29/L29-1,0)</f>
        <v>-0.26605012497286828</v>
      </c>
      <c r="N30" s="55">
        <f t="shared" ref="N30" si="89">IFERROR(N29/M29-1,0)</f>
        <v>5.423346983434163E-2</v>
      </c>
      <c r="O30" s="55">
        <f t="shared" ref="O30" si="90">IFERROR(O29/N29-1,0)</f>
        <v>5.1443509797562958E-2</v>
      </c>
      <c r="P30" s="55">
        <f t="shared" ref="P30" si="91">IFERROR(P29/O29-1,0)</f>
        <v>4.8926556032922175E-2</v>
      </c>
      <c r="Q30" s="55">
        <f t="shared" ref="Q30" si="92">IFERROR(Q29/P29-1,0)</f>
        <v>4.6644405894311625E-2</v>
      </c>
    </row>
    <row r="31" spans="2:17" ht="4.5" customHeight="1" x14ac:dyDescent="0.25">
      <c r="B31" s="8"/>
      <c r="M31" s="54"/>
      <c r="N31" s="54"/>
      <c r="O31" s="54"/>
      <c r="P31" s="54"/>
      <c r="Q31" s="54"/>
    </row>
    <row r="32" spans="2:17" ht="15.75" x14ac:dyDescent="0.25">
      <c r="B32" s="20" t="s">
        <v>72</v>
      </c>
      <c r="C32" s="22">
        <f>IFERROR('Historical FS'!C36,0)</f>
        <v>2004.3000000000006</v>
      </c>
      <c r="D32" s="22">
        <f>IFERROR('Historical FS'!D36,0)</f>
        <v>2624.8099999999968</v>
      </c>
      <c r="E32" s="22">
        <f>IFERROR('Historical FS'!E36,0)</f>
        <v>1990.2500000000011</v>
      </c>
      <c r="F32" s="22">
        <f>IFERROR('Historical FS'!F36,0)</f>
        <v>2328.1500000000024</v>
      </c>
      <c r="G32" s="22">
        <f>IFERROR('Historical FS'!G36,0)</f>
        <v>2882.6499999999996</v>
      </c>
      <c r="H32" s="22">
        <f>IFERROR('Historical FS'!H36,0)</f>
        <v>3245.5499999999993</v>
      </c>
      <c r="I32" s="22">
        <f>IFERROR('Historical FS'!I36,0)</f>
        <v>5079.8800000000028</v>
      </c>
      <c r="J32" s="22">
        <f>IFERROR('Historical FS'!J36,0)</f>
        <v>5827.7299999999977</v>
      </c>
      <c r="K32" s="22">
        <f>IFERROR('Historical FS'!K36,0)</f>
        <v>7620.9500000000044</v>
      </c>
      <c r="L32" s="22">
        <f>IFERROR('Historical FS'!L36,0)</f>
        <v>8364.0500000000029</v>
      </c>
      <c r="M32" s="65">
        <f>_xlfn.FORECAST.LINEAR(M3,$C$32:$L$32,$C$3:$L$3)</f>
        <v>8197.3726666666698</v>
      </c>
      <c r="N32" s="65">
        <f t="shared" ref="N32:Q32" si="93">_xlfn.FORECAST.LINEAR(N3,$C$32:$L$32,$C$3:$L$3)</f>
        <v>8924.743696969701</v>
      </c>
      <c r="O32" s="65">
        <f t="shared" si="93"/>
        <v>9652.1147272727321</v>
      </c>
      <c r="P32" s="65">
        <f t="shared" si="93"/>
        <v>10379.48575757576</v>
      </c>
      <c r="Q32" s="65">
        <f t="shared" si="93"/>
        <v>11106.856787878791</v>
      </c>
    </row>
    <row r="33" spans="2:17" x14ac:dyDescent="0.25">
      <c r="B33" s="13" t="s">
        <v>73</v>
      </c>
      <c r="C33" s="23">
        <f>IFERROR(C32/C32-1,0)</f>
        <v>0</v>
      </c>
      <c r="D33" s="23">
        <f>IFERROR(D32/C32-1,0)</f>
        <v>0.30958938282692006</v>
      </c>
      <c r="E33" s="23">
        <f t="shared" ref="E33" si="94">IFERROR(E32/D32-1,0)</f>
        <v>-0.24175464128832047</v>
      </c>
      <c r="F33" s="23">
        <f t="shared" ref="F33" si="95">IFERROR(F32/E32-1,0)</f>
        <v>0.1697776661223469</v>
      </c>
      <c r="G33" s="23">
        <f t="shared" ref="G33" si="96">IFERROR(G32/F32-1,0)</f>
        <v>0.23817193909327017</v>
      </c>
      <c r="H33" s="23">
        <f t="shared" ref="H33" si="97">IFERROR(H32/G32-1,0)</f>
        <v>0.12589110714099871</v>
      </c>
      <c r="I33" s="23">
        <f t="shared" ref="I33" si="98">IFERROR(I32/H32-1,0)</f>
        <v>0.5651830968556959</v>
      </c>
      <c r="J33" s="23">
        <f t="shared" ref="J33" si="99">IFERROR(J32/I32-1,0)</f>
        <v>0.14721804452073561</v>
      </c>
      <c r="K33" s="23">
        <f t="shared" ref="K33" si="100">IFERROR(K32/J32-1,0)</f>
        <v>0.3077047152150163</v>
      </c>
      <c r="L33" s="23">
        <f t="shared" ref="L33" si="101">IFERROR(L32/K32-1,0)</f>
        <v>9.7507528588955283E-2</v>
      </c>
      <c r="M33" s="55">
        <f t="shared" ref="M33" si="102">IFERROR(M32/L32-1,0)</f>
        <v>-1.9927826033241391E-2</v>
      </c>
      <c r="N33" s="55">
        <f t="shared" ref="N33" si="103">IFERROR(N32/M32-1,0)</f>
        <v>8.873221456196223E-2</v>
      </c>
      <c r="O33" s="55">
        <f t="shared" ref="O33" si="104">IFERROR(O32/N32-1,0)</f>
        <v>8.150049514026958E-2</v>
      </c>
      <c r="P33" s="55">
        <f t="shared" ref="P33" si="105">IFERROR(P32/O32-1,0)</f>
        <v>7.5358721985327115E-2</v>
      </c>
      <c r="Q33" s="55">
        <f t="shared" ref="Q33" si="106">IFERROR(Q32/P32-1,0)</f>
        <v>7.007775214414047E-2</v>
      </c>
    </row>
    <row r="34" spans="2:17" x14ac:dyDescent="0.25">
      <c r="M34" s="54"/>
      <c r="N34" s="54"/>
      <c r="O34" s="54"/>
      <c r="P34" s="54"/>
      <c r="Q34" s="54"/>
    </row>
    <row r="35" spans="2:17" x14ac:dyDescent="0.25">
      <c r="B35" t="str">
        <f>'Historical FS'!B39</f>
        <v>No. of Equity Shares</v>
      </c>
      <c r="C35" s="62">
        <f>'Historical FS'!C39</f>
        <v>72.3</v>
      </c>
      <c r="D35" s="62">
        <f>'Historical FS'!D39</f>
        <v>72.3</v>
      </c>
      <c r="E35" s="62">
        <f>'Historical FS'!E39</f>
        <v>66.88</v>
      </c>
      <c r="F35" s="62">
        <f>'Historical FS'!F39</f>
        <v>66.88</v>
      </c>
      <c r="G35" s="62">
        <f>'Historical FS'!G39</f>
        <v>66.88</v>
      </c>
      <c r="H35" s="62">
        <f>'Historical FS'!H39</f>
        <v>66.88</v>
      </c>
      <c r="I35" s="62">
        <f>'Historical FS'!I39</f>
        <v>66.88</v>
      </c>
      <c r="J35" s="62">
        <f>'Historical FS'!J39</f>
        <v>66.88</v>
      </c>
      <c r="K35" s="62">
        <f>'Historical FS'!K39</f>
        <v>66.88</v>
      </c>
      <c r="L35" s="62">
        <f>'Historical FS'!L39</f>
        <v>66.88</v>
      </c>
      <c r="M35" s="64">
        <f>L35</f>
        <v>66.88</v>
      </c>
      <c r="N35" s="64">
        <f t="shared" ref="N35:Q35" si="107">M35</f>
        <v>66.88</v>
      </c>
      <c r="O35" s="64">
        <f t="shared" si="107"/>
        <v>66.88</v>
      </c>
      <c r="P35" s="64">
        <f t="shared" si="107"/>
        <v>66.88</v>
      </c>
      <c r="Q35" s="64">
        <f t="shared" si="107"/>
        <v>66.88</v>
      </c>
    </row>
    <row r="36" spans="2:17" x14ac:dyDescent="0.25">
      <c r="M36" s="54"/>
      <c r="N36" s="54"/>
      <c r="O36" s="54"/>
      <c r="P36" s="54"/>
      <c r="Q36" s="54"/>
    </row>
    <row r="37" spans="2:17" ht="15.75" x14ac:dyDescent="0.25">
      <c r="B37" t="str">
        <f>'Historical FS'!B41</f>
        <v>Earnings Per Share</v>
      </c>
      <c r="C37" s="12">
        <f>IFERROR(C32/C35,0)</f>
        <v>27.721991701244825</v>
      </c>
      <c r="D37" s="12">
        <f t="shared" ref="D37:Q37" si="108">IFERROR(D32/D35,0)</f>
        <v>36.304426002766206</v>
      </c>
      <c r="E37" s="12">
        <f t="shared" si="108"/>
        <v>29.758522727272748</v>
      </c>
      <c r="F37" s="12">
        <f t="shared" si="108"/>
        <v>34.810855263157933</v>
      </c>
      <c r="G37" s="12">
        <f t="shared" si="108"/>
        <v>43.101824162679421</v>
      </c>
      <c r="H37" s="12">
        <f t="shared" si="108"/>
        <v>48.52796052631578</v>
      </c>
      <c r="I37" s="12">
        <f t="shared" si="108"/>
        <v>75.955143540669908</v>
      </c>
      <c r="J37" s="12">
        <f t="shared" si="108"/>
        <v>87.13711124401911</v>
      </c>
      <c r="K37" s="12">
        <f t="shared" si="108"/>
        <v>113.94961124401921</v>
      </c>
      <c r="L37" s="12">
        <f t="shared" si="108"/>
        <v>125.06055622009575</v>
      </c>
      <c r="M37" s="63">
        <f t="shared" si="108"/>
        <v>122.56837121212126</v>
      </c>
      <c r="N37" s="63">
        <f t="shared" si="108"/>
        <v>133.44413422502544</v>
      </c>
      <c r="O37" s="63">
        <f t="shared" si="108"/>
        <v>144.31989723792961</v>
      </c>
      <c r="P37" s="63">
        <f t="shared" si="108"/>
        <v>155.19566025083373</v>
      </c>
      <c r="Q37" s="63">
        <f t="shared" si="108"/>
        <v>166.0714232637379</v>
      </c>
    </row>
    <row r="38" spans="2:17" ht="15.75" thickBot="1" x14ac:dyDescent="0.3">
      <c r="B38" s="66" t="str">
        <f>'Historical FS'!B42</f>
        <v>EPS growth</v>
      </c>
      <c r="C38" s="67">
        <f>C37/C37-1</f>
        <v>0</v>
      </c>
      <c r="D38" s="68">
        <f>IFERROR(D37/C37-1,0)</f>
        <v>0.30958938282691983</v>
      </c>
      <c r="E38" s="68">
        <f t="shared" ref="E38:Q38" si="109">IFERROR(E37/D37-1,0)</f>
        <v>-0.18030592950277458</v>
      </c>
      <c r="F38" s="68">
        <f t="shared" si="109"/>
        <v>0.1697776661223469</v>
      </c>
      <c r="G38" s="68">
        <f t="shared" si="109"/>
        <v>0.23817193909326995</v>
      </c>
      <c r="H38" s="68">
        <f t="shared" si="109"/>
        <v>0.12589110714099871</v>
      </c>
      <c r="I38" s="68">
        <f t="shared" si="109"/>
        <v>0.56518309685569612</v>
      </c>
      <c r="J38" s="68">
        <f t="shared" si="109"/>
        <v>0.14721804452073561</v>
      </c>
      <c r="K38" s="68">
        <f t="shared" si="109"/>
        <v>0.3077047152150163</v>
      </c>
      <c r="L38" s="68">
        <f t="shared" si="109"/>
        <v>9.7507528588955283E-2</v>
      </c>
      <c r="M38" s="69">
        <f t="shared" si="109"/>
        <v>-1.9927826033241502E-2</v>
      </c>
      <c r="N38" s="69">
        <f t="shared" si="109"/>
        <v>8.873221456196223E-2</v>
      </c>
      <c r="O38" s="69">
        <f t="shared" si="109"/>
        <v>8.150049514026958E-2</v>
      </c>
      <c r="P38" s="69">
        <f t="shared" si="109"/>
        <v>7.5358721985327115E-2</v>
      </c>
      <c r="Q38" s="69">
        <f t="shared" si="109"/>
        <v>7.007775214414047E-2</v>
      </c>
    </row>
    <row r="39" spans="2:17" ht="15.75" thickTop="1" x14ac:dyDescent="0.25"/>
  </sheetData>
  <sheetProtection sheet="1" objects="1" scenarios="1"/>
  <mergeCells count="1">
    <mergeCell ref="B1:Q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55745-C1E8-4A28-9D1A-F224A6506660}">
  <sheetPr codeName="Sheet4">
    <tabColor theme="7" tint="0.39997558519241921"/>
  </sheetPr>
  <dimension ref="A1:P43"/>
  <sheetViews>
    <sheetView showGridLines="0" zoomScale="114" zoomScaleNormal="70" workbookViewId="0">
      <pane ySplit="4" topLeftCell="A10" activePane="bottomLeft" state="frozen"/>
      <selection pane="bottomLeft" activeCell="M23" sqref="M23"/>
    </sheetView>
  </sheetViews>
  <sheetFormatPr defaultRowHeight="15" x14ac:dyDescent="0.25"/>
  <cols>
    <col min="1" max="1" width="1.85546875" customWidth="1"/>
    <col min="2" max="2" width="19.140625" customWidth="1"/>
    <col min="3" max="3" width="9.28515625" customWidth="1"/>
    <col min="4" max="4" width="8.7109375" customWidth="1"/>
    <col min="5" max="5" width="11.42578125" bestFit="1" customWidth="1"/>
    <col min="6" max="6" width="9.5703125" bestFit="1" customWidth="1"/>
    <col min="7" max="7" width="16.7109375" customWidth="1"/>
    <col min="8" max="8" width="8.7109375" bestFit="1" customWidth="1"/>
    <col min="9" max="9" width="8.140625" bestFit="1" customWidth="1"/>
    <col min="10" max="11" width="10.28515625" bestFit="1" customWidth="1"/>
  </cols>
  <sheetData>
    <row r="1" spans="1:16" x14ac:dyDescent="0.25">
      <c r="L1" s="94"/>
      <c r="M1" s="94"/>
      <c r="N1" s="94"/>
      <c r="O1" s="94"/>
      <c r="P1" s="94"/>
    </row>
    <row r="2" spans="1:16" ht="18.75" x14ac:dyDescent="0.3">
      <c r="B2" s="250" t="s">
        <v>151</v>
      </c>
      <c r="C2" s="250"/>
      <c r="D2" s="250"/>
      <c r="E2" s="250"/>
      <c r="F2" s="250"/>
      <c r="G2" s="250"/>
      <c r="H2" s="250"/>
      <c r="I2" s="250"/>
      <c r="J2" s="250"/>
      <c r="K2" s="250"/>
      <c r="L2" s="95"/>
      <c r="M2" s="95"/>
      <c r="N2" s="95"/>
      <c r="O2" s="95"/>
      <c r="P2" s="95"/>
    </row>
    <row r="4" spans="1:16" x14ac:dyDescent="0.25">
      <c r="B4" s="72" t="s">
        <v>152</v>
      </c>
    </row>
    <row r="5" spans="1:16" ht="15.75" thickBot="1" x14ac:dyDescent="0.3">
      <c r="B5" s="17" t="s">
        <v>153</v>
      </c>
    </row>
    <row r="6" spans="1:16" x14ac:dyDescent="0.25">
      <c r="B6" s="90"/>
      <c r="C6" s="90"/>
      <c r="D6" s="90"/>
      <c r="E6" s="90"/>
      <c r="F6" s="90"/>
      <c r="G6" s="90"/>
      <c r="H6" s="91" t="s">
        <v>159</v>
      </c>
      <c r="I6" s="91" t="s">
        <v>161</v>
      </c>
      <c r="J6" s="91" t="s">
        <v>164</v>
      </c>
      <c r="K6" s="91" t="s">
        <v>167</v>
      </c>
    </row>
    <row r="7" spans="1:16" ht="17.25" x14ac:dyDescent="0.25">
      <c r="B7" s="27" t="s">
        <v>154</v>
      </c>
      <c r="C7" s="27"/>
      <c r="D7" s="27" t="s">
        <v>155</v>
      </c>
      <c r="E7" s="27" t="s">
        <v>156</v>
      </c>
      <c r="F7" s="27" t="s">
        <v>157</v>
      </c>
      <c r="G7" s="110" t="s">
        <v>158</v>
      </c>
      <c r="H7" s="27" t="s">
        <v>160</v>
      </c>
      <c r="I7" s="27" t="s">
        <v>162</v>
      </c>
      <c r="J7" s="27" t="s">
        <v>165</v>
      </c>
      <c r="K7" s="27" t="s">
        <v>166</v>
      </c>
    </row>
    <row r="8" spans="1:16" ht="4.5" customHeight="1" x14ac:dyDescent="0.25">
      <c r="B8" s="73"/>
      <c r="C8" s="73"/>
      <c r="D8" s="73"/>
      <c r="E8" s="73"/>
      <c r="F8" s="73"/>
      <c r="G8" s="73"/>
      <c r="H8" s="73"/>
      <c r="I8" s="73"/>
      <c r="J8" s="73"/>
      <c r="K8" s="73"/>
    </row>
    <row r="9" spans="1:16" ht="4.5" customHeight="1" x14ac:dyDescent="0.25">
      <c r="B9" s="27"/>
      <c r="C9" s="27"/>
      <c r="D9" s="27"/>
      <c r="E9" s="27"/>
      <c r="F9" s="27"/>
      <c r="G9" s="27"/>
      <c r="H9" s="27"/>
      <c r="I9" s="27"/>
      <c r="J9" s="27"/>
      <c r="K9" s="27"/>
    </row>
    <row r="10" spans="1:16" x14ac:dyDescent="0.25">
      <c r="B10" s="259" t="str">
        <f>'Peer data'!C3</f>
        <v>Hind.Aeronautics</v>
      </c>
      <c r="C10" s="259"/>
      <c r="D10" s="259" t="s">
        <v>172</v>
      </c>
      <c r="E10" s="260">
        <f>'Peer data'!F3</f>
        <v>11.4</v>
      </c>
      <c r="F10" s="260">
        <f>'Peer data'!J3</f>
        <v>334.39</v>
      </c>
      <c r="G10" s="261">
        <v>0.3</v>
      </c>
      <c r="H10" s="176">
        <f>E10/F10</f>
        <v>3.4091928586381173E-2</v>
      </c>
      <c r="I10" s="176">
        <f>E10/(E10+F10)</f>
        <v>3.2967986350096887E-2</v>
      </c>
      <c r="J10" s="265">
        <f>Beta!M8</f>
        <v>1.6170792976119297</v>
      </c>
      <c r="K10" s="177">
        <f>J10/(1+(1-G10)*H10)</f>
        <v>1.5793882242265771</v>
      </c>
    </row>
    <row r="11" spans="1:16" x14ac:dyDescent="0.25">
      <c r="B11" s="262" t="str">
        <f>'Peer data'!C4</f>
        <v>Bharat Electron</v>
      </c>
      <c r="C11" s="262"/>
      <c r="D11" s="262" t="s">
        <v>172</v>
      </c>
      <c r="E11" s="263">
        <f>'Peer data'!F4</f>
        <v>58.89</v>
      </c>
      <c r="F11" s="263">
        <f>'Peer data'!J4</f>
        <v>730.98</v>
      </c>
      <c r="G11" s="264">
        <v>0.3</v>
      </c>
      <c r="H11" s="55">
        <f>E11/F11</f>
        <v>8.056307970122302E-2</v>
      </c>
      <c r="I11" s="55">
        <f>E11/(E11+F11)</f>
        <v>7.4556572600554524E-2</v>
      </c>
      <c r="J11" s="266">
        <f>Beta!AI8</f>
        <v>1.2462382022003764</v>
      </c>
      <c r="K11" s="64">
        <f>J11/(1+(1-G11)*H11)</f>
        <v>1.179709481890683</v>
      </c>
    </row>
    <row r="12" spans="1:16" x14ac:dyDescent="0.25">
      <c r="A12" s="74"/>
      <c r="B12" s="262" t="str">
        <f>'Peer data'!C5</f>
        <v>Bharat Dynamics</v>
      </c>
      <c r="C12" s="262"/>
      <c r="D12" s="262" t="s">
        <v>172</v>
      </c>
      <c r="E12" s="263">
        <f>'Peer data'!F5</f>
        <v>1.24</v>
      </c>
      <c r="F12" s="263">
        <f>'Peer data'!J5</f>
        <v>182.38</v>
      </c>
      <c r="G12" s="264">
        <v>0.3</v>
      </c>
      <c r="H12" s="55">
        <f t="shared" ref="H12:H14" si="0">E12/F12</f>
        <v>6.7989911174470884E-3</v>
      </c>
      <c r="I12" s="55">
        <f t="shared" ref="I12:I14" si="1">E12/(E12+F12)</f>
        <v>6.7530770068619976E-3</v>
      </c>
      <c r="J12" s="266">
        <f>Beta!BD8</f>
        <v>1.4662859576350844</v>
      </c>
      <c r="K12" s="64">
        <f t="shared" ref="K12:K14" si="2">J12/(1+(1-G12)*H12)</f>
        <v>1.4593405273371971</v>
      </c>
    </row>
    <row r="13" spans="1:16" x14ac:dyDescent="0.25">
      <c r="A13" s="74"/>
      <c r="B13" s="262" t="str">
        <f>'Peer data'!C6</f>
        <v>Data Pattern</v>
      </c>
      <c r="C13" s="262"/>
      <c r="D13" s="262" t="s">
        <v>172</v>
      </c>
      <c r="E13" s="263">
        <f>'Peer data'!F6</f>
        <v>5.81</v>
      </c>
      <c r="F13" s="263">
        <f>'Peer data'!J6</f>
        <v>11.2</v>
      </c>
      <c r="G13" s="264">
        <v>0.3</v>
      </c>
      <c r="H13" s="55">
        <f t="shared" si="0"/>
        <v>0.51875000000000004</v>
      </c>
      <c r="I13" s="55">
        <f t="shared" si="1"/>
        <v>0.34156378600823045</v>
      </c>
      <c r="J13" s="266">
        <f>Beta!BX8</f>
        <v>1.8927245908754302</v>
      </c>
      <c r="K13" s="64">
        <f t="shared" si="2"/>
        <v>1.3885187278315856</v>
      </c>
    </row>
    <row r="14" spans="1:16" x14ac:dyDescent="0.25">
      <c r="A14" s="75"/>
      <c r="B14" s="262" t="str">
        <f>'Peer data'!C7</f>
        <v>Zen Technologies</v>
      </c>
      <c r="C14" s="262"/>
      <c r="D14" s="262" t="s">
        <v>172</v>
      </c>
      <c r="E14" s="263">
        <f>'Peer data'!F7</f>
        <v>17.95</v>
      </c>
      <c r="F14" s="263">
        <f>'Peer data'!J7</f>
        <v>9.0299999999999994</v>
      </c>
      <c r="G14" s="264">
        <v>0.3</v>
      </c>
      <c r="H14" s="55">
        <f t="shared" si="0"/>
        <v>1.9878183831672205</v>
      </c>
      <c r="I14" s="55">
        <f t="shared" si="1"/>
        <v>0.6653076352853966</v>
      </c>
      <c r="J14" s="266">
        <f>Beta!CR8</f>
        <v>0.97933054945283637</v>
      </c>
      <c r="K14" s="64">
        <f t="shared" si="2"/>
        <v>0.40950937075985705</v>
      </c>
    </row>
    <row r="16" spans="1:16" x14ac:dyDescent="0.25">
      <c r="F16" s="76" t="s">
        <v>173</v>
      </c>
      <c r="G16" s="78">
        <f>AVERAGE(G10:G14)</f>
        <v>0.3</v>
      </c>
      <c r="H16" s="78">
        <f>AVERAGE(H10:H14)</f>
        <v>0.5256044765144543</v>
      </c>
      <c r="I16" s="78">
        <f>AVERAGE(I10:I14)</f>
        <v>0.22422981145022808</v>
      </c>
      <c r="J16" s="80">
        <f>AVERAGE(J10:J14)</f>
        <v>1.4403317195551313</v>
      </c>
      <c r="K16" s="80">
        <f>AVERAGE(K10:K14)</f>
        <v>1.20329326640918</v>
      </c>
    </row>
    <row r="17" spans="2:11" x14ac:dyDescent="0.25">
      <c r="F17" s="77" t="s">
        <v>141</v>
      </c>
      <c r="G17" s="79">
        <f>MEDIAN(G10:G14)</f>
        <v>0.3</v>
      </c>
      <c r="H17" s="79">
        <f>MEDIAN(H10:H14)</f>
        <v>8.056307970122302E-2</v>
      </c>
      <c r="I17" s="79">
        <f>MEDIAN(I10:I14)</f>
        <v>7.4556572600554524E-2</v>
      </c>
      <c r="J17" s="81">
        <f>MEDIAN(J10:J14)</f>
        <v>1.4662859576350844</v>
      </c>
      <c r="K17" s="81">
        <f>MEDIAN(K10:K14)</f>
        <v>1.3885187278315856</v>
      </c>
    </row>
    <row r="20" spans="2:11" x14ac:dyDescent="0.25">
      <c r="B20" s="77" t="s">
        <v>174</v>
      </c>
      <c r="C20" s="77"/>
      <c r="D20" s="77"/>
      <c r="E20" s="77"/>
      <c r="G20" s="77" t="s">
        <v>178</v>
      </c>
      <c r="H20" s="77"/>
      <c r="I20" s="77"/>
      <c r="J20" s="73"/>
      <c r="K20" s="73"/>
    </row>
    <row r="21" spans="2:11" ht="4.5" customHeight="1" x14ac:dyDescent="0.25"/>
    <row r="22" spans="2:11" x14ac:dyDescent="0.25">
      <c r="B22" t="s">
        <v>175</v>
      </c>
      <c r="E22" s="264">
        <f>IFERROR('Data Sheet'!K27/'Data Sheet'!K59,0)</f>
        <v>0.42029548989113535</v>
      </c>
      <c r="G22" t="s">
        <v>179</v>
      </c>
      <c r="K22" s="264">
        <v>6.5299999999999997E-2</v>
      </c>
    </row>
    <row r="23" spans="2:11" x14ac:dyDescent="0.25">
      <c r="B23" t="s">
        <v>176</v>
      </c>
      <c r="E23" s="111">
        <f>30%</f>
        <v>0.3</v>
      </c>
      <c r="G23" t="s">
        <v>180</v>
      </c>
      <c r="K23" s="264">
        <v>8.7999999999999995E-2</v>
      </c>
    </row>
    <row r="24" spans="2:11" ht="17.25" x14ac:dyDescent="0.25">
      <c r="B24" s="25" t="s">
        <v>177</v>
      </c>
      <c r="C24" s="25"/>
      <c r="D24" s="25"/>
      <c r="E24" s="82">
        <f>E22*(1-E23)</f>
        <v>0.29420684292379473</v>
      </c>
      <c r="G24" t="s">
        <v>181</v>
      </c>
      <c r="K24" s="62">
        <f>K33</f>
        <v>1.6694564436558745</v>
      </c>
    </row>
    <row r="25" spans="2:11" x14ac:dyDescent="0.25">
      <c r="G25" s="25" t="s">
        <v>178</v>
      </c>
      <c r="H25" s="25"/>
      <c r="I25" s="25"/>
      <c r="J25" s="25"/>
      <c r="K25" s="86">
        <f>K22+(K23*K24)</f>
        <v>0.21221216704171694</v>
      </c>
    </row>
    <row r="28" spans="2:11" x14ac:dyDescent="0.25">
      <c r="B28" s="77" t="s">
        <v>182</v>
      </c>
      <c r="C28" s="77"/>
      <c r="D28" s="77"/>
      <c r="E28" s="77"/>
      <c r="G28" s="77" t="s">
        <v>163</v>
      </c>
      <c r="H28" s="77"/>
      <c r="I28" s="77"/>
      <c r="J28" s="77"/>
      <c r="K28" s="77"/>
    </row>
    <row r="29" spans="2:11" ht="4.5" customHeight="1" x14ac:dyDescent="0.25"/>
    <row r="30" spans="2:11" x14ac:dyDescent="0.25">
      <c r="D30" s="99" t="s">
        <v>183</v>
      </c>
      <c r="E30" s="99" t="s">
        <v>184</v>
      </c>
      <c r="G30" t="s">
        <v>187</v>
      </c>
      <c r="K30" s="62">
        <f>K17</f>
        <v>1.3885187278315856</v>
      </c>
    </row>
    <row r="31" spans="2:11" x14ac:dyDescent="0.25">
      <c r="B31" t="s">
        <v>185</v>
      </c>
      <c r="C31" s="263">
        <f>E10</f>
        <v>11.4</v>
      </c>
      <c r="D31" s="23">
        <f>C31/$C$33</f>
        <v>3.2967986350096887E-2</v>
      </c>
      <c r="E31" s="264">
        <f>I16</f>
        <v>0.22422981145022808</v>
      </c>
      <c r="G31" t="s">
        <v>188</v>
      </c>
      <c r="K31" s="83">
        <f>E35</f>
        <v>0.28904154188936321</v>
      </c>
    </row>
    <row r="32" spans="2:11" x14ac:dyDescent="0.25">
      <c r="B32" t="s">
        <v>44</v>
      </c>
      <c r="C32" s="263">
        <f>F10</f>
        <v>334.39</v>
      </c>
      <c r="D32" s="23">
        <f>C32/$C$33</f>
        <v>0.96703201364990321</v>
      </c>
      <c r="E32" s="83">
        <f>E33-E31</f>
        <v>0.77577018854977187</v>
      </c>
      <c r="G32" t="s">
        <v>176</v>
      </c>
      <c r="K32" s="83">
        <f>E23</f>
        <v>0.3</v>
      </c>
    </row>
    <row r="33" spans="2:11" x14ac:dyDescent="0.25">
      <c r="B33" s="25" t="s">
        <v>186</v>
      </c>
      <c r="C33" s="88">
        <f>SUM(C31:C32)</f>
        <v>345.78999999999996</v>
      </c>
      <c r="D33" s="26">
        <f>C33/$C$33</f>
        <v>1</v>
      </c>
      <c r="E33" s="31">
        <f>D33</f>
        <v>1</v>
      </c>
      <c r="G33" s="25" t="s">
        <v>163</v>
      </c>
      <c r="H33" s="25"/>
      <c r="I33" s="25"/>
      <c r="J33" s="25"/>
      <c r="K33" s="87">
        <f>K30*(1+(1-K32)*K31)</f>
        <v>1.6694564436558745</v>
      </c>
    </row>
    <row r="35" spans="2:11" x14ac:dyDescent="0.25">
      <c r="B35" t="s">
        <v>189</v>
      </c>
      <c r="D35" s="84">
        <f>D31/D32</f>
        <v>3.4091928586381173E-2</v>
      </c>
      <c r="E35" s="84">
        <f>E31/E32</f>
        <v>0.28904154188936321</v>
      </c>
      <c r="G35" s="77" t="s">
        <v>151</v>
      </c>
      <c r="H35" s="77"/>
      <c r="I35" s="77"/>
      <c r="J35" s="77"/>
      <c r="K35" s="77"/>
    </row>
    <row r="36" spans="2:11" ht="4.5" customHeight="1" x14ac:dyDescent="0.25">
      <c r="G36" s="85"/>
      <c r="H36" s="85"/>
      <c r="I36" s="85"/>
      <c r="J36" s="85"/>
      <c r="K36" s="85"/>
    </row>
    <row r="37" spans="2:11" x14ac:dyDescent="0.25">
      <c r="B37" s="92" t="s">
        <v>190</v>
      </c>
      <c r="G37" t="s">
        <v>570</v>
      </c>
      <c r="J37" s="89"/>
      <c r="K37" s="116">
        <f>K25</f>
        <v>0.21221216704171694</v>
      </c>
    </row>
    <row r="38" spans="2:11" x14ac:dyDescent="0.25">
      <c r="B38" s="93" t="s">
        <v>191</v>
      </c>
      <c r="G38" t="s">
        <v>571</v>
      </c>
      <c r="K38" s="83">
        <f>E32</f>
        <v>0.77577018854977187</v>
      </c>
    </row>
    <row r="39" spans="2:11" x14ac:dyDescent="0.25">
      <c r="B39" s="93" t="s">
        <v>192</v>
      </c>
    </row>
    <row r="40" spans="2:11" x14ac:dyDescent="0.25">
      <c r="B40" s="93" t="s">
        <v>193</v>
      </c>
      <c r="G40" t="s">
        <v>572</v>
      </c>
      <c r="K40" s="83">
        <f>E24</f>
        <v>0.29420684292379473</v>
      </c>
    </row>
    <row r="41" spans="2:11" x14ac:dyDescent="0.25">
      <c r="B41" s="93" t="s">
        <v>194</v>
      </c>
      <c r="G41" t="s">
        <v>573</v>
      </c>
      <c r="K41" s="83">
        <f>E31</f>
        <v>0.22422981145022808</v>
      </c>
    </row>
    <row r="43" spans="2:11" x14ac:dyDescent="0.25">
      <c r="G43" s="117" t="s">
        <v>574</v>
      </c>
      <c r="H43" s="117"/>
      <c r="I43" s="117"/>
      <c r="J43" s="117"/>
      <c r="K43" s="118">
        <f>(K37*K38)+(K40*K41)</f>
        <v>0.2305978177546778</v>
      </c>
    </row>
  </sheetData>
  <sheetProtection sheet="1" objects="1" scenarios="1"/>
  <mergeCells count="1">
    <mergeCell ref="B2:K2"/>
  </mergeCells>
  <hyperlinks>
    <hyperlink ref="B11" r:id="rId1" display="https://www.screener.in/company/BEL/consolidated/" xr:uid="{3E07DD30-1E79-4267-90F0-2FCA7A660D3E}"/>
    <hyperlink ref="B12" r:id="rId2" display="https://www.screener.in/company/BDL/" xr:uid="{CB1AE697-1D5D-480A-A9EC-31669C305DC1}"/>
    <hyperlink ref="B13" r:id="rId3" display="https://www.screener.in/company/DATAPATTNS/" xr:uid="{78C85A2C-B010-415C-8FCF-5CF9DEDFD3ED}"/>
    <hyperlink ref="B14" r:id="rId4" display="https://www.screener.in/company/ZENTEC/consolidated/" xr:uid="{4A611268-37AA-4FA2-88BD-CEBEEE347318}"/>
  </hyperlinks>
  <pageMargins left="0.25" right="0.25" top="0.75" bottom="0.75" header="0.3" footer="0.3"/>
  <pageSetup paperSize="3"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0C3CD-AF37-473A-B22F-CA6C34CBC6A0}">
  <sheetPr codeName="Sheet5">
    <tabColor theme="7" tint="-0.249977111117893"/>
  </sheetPr>
  <dimension ref="A2:I62"/>
  <sheetViews>
    <sheetView showGridLines="0" zoomScaleNormal="100" workbookViewId="0">
      <pane ySplit="2" topLeftCell="A29" activePane="bottomLeft" state="frozen"/>
      <selection pane="bottomLeft" activeCell="I45" sqref="E45:I45"/>
    </sheetView>
  </sheetViews>
  <sheetFormatPr defaultRowHeight="15.75" outlineLevelRow="2" x14ac:dyDescent="0.25"/>
  <cols>
    <col min="1" max="1" width="1.85546875" style="8" customWidth="1"/>
    <col min="2" max="2" width="14.42578125" style="8" customWidth="1"/>
    <col min="3" max="4" width="9.140625" style="8"/>
    <col min="5" max="6" width="19.140625" style="8" bestFit="1" customWidth="1"/>
    <col min="7" max="9" width="19.7109375" style="8" bestFit="1" customWidth="1"/>
    <col min="10" max="16384" width="9.140625" style="8"/>
  </cols>
  <sheetData>
    <row r="2" spans="1:9" x14ac:dyDescent="0.25">
      <c r="B2" s="122" t="s">
        <v>603</v>
      </c>
      <c r="C2" s="122"/>
      <c r="D2" s="122"/>
      <c r="E2" s="123">
        <v>44256</v>
      </c>
      <c r="F2" s="123">
        <v>44621</v>
      </c>
      <c r="G2" s="123">
        <v>44986</v>
      </c>
      <c r="H2" s="123">
        <v>45352</v>
      </c>
      <c r="I2" s="123">
        <v>45717</v>
      </c>
    </row>
    <row r="3" spans="1:9" outlineLevel="1" x14ac:dyDescent="0.25"/>
    <row r="4" spans="1:9" outlineLevel="2" x14ac:dyDescent="0.25">
      <c r="B4" s="14" t="s">
        <v>604</v>
      </c>
    </row>
    <row r="5" spans="1:9" outlineLevel="2" x14ac:dyDescent="0.25">
      <c r="B5" s="21" t="str">
        <f>'Raw FS'!B31</f>
        <v>Inventories</v>
      </c>
      <c r="C5" s="21"/>
      <c r="D5" s="21"/>
      <c r="E5" s="150">
        <f>VLOOKUP($B5,'Raw FS'!$B$2:$G$36,2,0)</f>
        <v>18005</v>
      </c>
      <c r="F5" s="150">
        <f>VLOOKUP($B5,'Raw FS'!$B$2:$G$36,3,0)</f>
        <v>16210</v>
      </c>
      <c r="G5" s="150">
        <f>VLOOKUP($B5,'Raw FS'!$B$2:$G$36,4,0)</f>
        <v>14221</v>
      </c>
      <c r="H5" s="150">
        <f>VLOOKUP($B5,'Raw FS'!$B$2:$G$36,5,0)</f>
        <v>16033</v>
      </c>
      <c r="I5" s="150">
        <f>VLOOKUP($B5,'Raw FS'!$B$2:$G$36,6,0)</f>
        <v>24107</v>
      </c>
    </row>
    <row r="6" spans="1:9" outlineLevel="2" x14ac:dyDescent="0.25">
      <c r="B6" s="21" t="str">
        <f>'Raw FS'!B32</f>
        <v>Trade receivables </v>
      </c>
      <c r="C6" s="21"/>
      <c r="D6" s="21"/>
      <c r="E6" s="150">
        <f>VLOOKUP($B6,'Raw FS'!$B$2:$G$36,2,0)</f>
        <v>5668</v>
      </c>
      <c r="F6" s="150">
        <f>VLOOKUP($B6,'Raw FS'!$B$2:$G$36,3,0)</f>
        <v>4642</v>
      </c>
      <c r="G6" s="150">
        <f>VLOOKUP($B6,'Raw FS'!$B$2:$G$36,4,0)</f>
        <v>4719</v>
      </c>
      <c r="H6" s="150">
        <f>VLOOKUP($B6,'Raw FS'!$B$2:$G$36,5,0)</f>
        <v>4617</v>
      </c>
      <c r="I6" s="150">
        <f>VLOOKUP($B6,'Raw FS'!$B$2:$G$36,6,0)</f>
        <v>4648</v>
      </c>
    </row>
    <row r="7" spans="1:9" outlineLevel="2" x14ac:dyDescent="0.25">
      <c r="B7" s="21" t="str">
        <f>'Raw FS'!B34</f>
        <v>Loans n Advances</v>
      </c>
      <c r="C7" s="21"/>
      <c r="D7" s="21"/>
      <c r="E7" s="150">
        <f>VLOOKUP($B7,'Raw FS'!$B$2:$G$36,2,0)</f>
        <v>951</v>
      </c>
      <c r="F7" s="150">
        <f>VLOOKUP($B7,'Raw FS'!$B$2:$G$36,3,0)</f>
        <v>-962</v>
      </c>
      <c r="G7" s="150">
        <f>VLOOKUP($B7,'Raw FS'!$B$2:$G$36,4,0)</f>
        <v>-1093</v>
      </c>
      <c r="H7" s="150">
        <f>VLOOKUP($B7,'Raw FS'!$B$2:$G$36,5,0)</f>
        <v>-41</v>
      </c>
      <c r="I7" s="150">
        <f>VLOOKUP($B7,'Raw FS'!$B$2:$G$36,6,0)</f>
        <v>-186</v>
      </c>
    </row>
    <row r="8" spans="1:9" outlineLevel="2" x14ac:dyDescent="0.25">
      <c r="B8" s="21" t="str">
        <f>'Raw FS'!B35</f>
        <v>Other asset items</v>
      </c>
      <c r="E8" s="150">
        <f>VLOOKUP($B8,'Raw FS'!$B$2:$G$36,2,0)</f>
        <v>11058</v>
      </c>
      <c r="F8" s="150">
        <f>VLOOKUP($B8,'Raw FS'!$B$2:$G$36,3,0)</f>
        <v>15416</v>
      </c>
      <c r="G8" s="150">
        <f>VLOOKUP($B8,'Raw FS'!$B$2:$G$36,4,0)</f>
        <v>20935</v>
      </c>
      <c r="H8" s="150">
        <f>VLOOKUP($B8,'Raw FS'!$B$2:$G$36,5,0)</f>
        <v>23049</v>
      </c>
      <c r="I8" s="150">
        <f>VLOOKUP($B8,'Raw FS'!$B$2:$G$36,6,0)</f>
        <v>30424</v>
      </c>
    </row>
    <row r="9" spans="1:9" outlineLevel="2" x14ac:dyDescent="0.25">
      <c r="B9" s="144" t="s">
        <v>84</v>
      </c>
      <c r="C9" s="144"/>
      <c r="D9" s="144"/>
      <c r="E9" s="151">
        <f>SUM(E5:E8)</f>
        <v>35682</v>
      </c>
      <c r="F9" s="151">
        <f t="shared" ref="F9:I9" si="0">SUM(F5:F8)</f>
        <v>35306</v>
      </c>
      <c r="G9" s="151">
        <f t="shared" si="0"/>
        <v>38782</v>
      </c>
      <c r="H9" s="151">
        <f t="shared" si="0"/>
        <v>43658</v>
      </c>
      <c r="I9" s="151">
        <f t="shared" si="0"/>
        <v>58993</v>
      </c>
    </row>
    <row r="10" spans="1:9" outlineLevel="2" x14ac:dyDescent="0.25">
      <c r="E10" s="152"/>
      <c r="F10" s="152"/>
      <c r="G10" s="152"/>
      <c r="H10" s="152"/>
      <c r="I10" s="152"/>
    </row>
    <row r="11" spans="1:9" outlineLevel="2" x14ac:dyDescent="0.25">
      <c r="B11" s="14" t="s">
        <v>605</v>
      </c>
      <c r="E11" s="152"/>
      <c r="F11" s="152"/>
      <c r="G11" s="152"/>
      <c r="H11" s="152"/>
      <c r="I11" s="152"/>
    </row>
    <row r="12" spans="1:9" outlineLevel="2" x14ac:dyDescent="0.25">
      <c r="B12" s="21" t="s">
        <v>584</v>
      </c>
      <c r="C12" s="21"/>
      <c r="D12" s="21"/>
      <c r="E12" s="150">
        <f>VLOOKUP($B12,'Raw FS'!$B$2:$G$36,2,0)</f>
        <v>2256</v>
      </c>
      <c r="F12" s="150">
        <f>VLOOKUP($B12,'Raw FS'!$B$2:$G$36,3,0)</f>
        <v>2558</v>
      </c>
      <c r="G12" s="150">
        <f>VLOOKUP($B12,'Raw FS'!$B$2:$G$36,4,0)</f>
        <v>3135</v>
      </c>
      <c r="H12" s="150">
        <f>VLOOKUP($B12,'Raw FS'!$B$2:$G$36,5,0)</f>
        <v>3413</v>
      </c>
      <c r="I12" s="150">
        <f>VLOOKUP($B12,'Raw FS'!$B$2:$G$36,6,0)</f>
        <v>5106</v>
      </c>
    </row>
    <row r="13" spans="1:9" outlineLevel="2" x14ac:dyDescent="0.25">
      <c r="B13" s="21" t="s">
        <v>585</v>
      </c>
      <c r="C13" s="21"/>
      <c r="D13" s="21"/>
      <c r="E13" s="150">
        <f>VLOOKUP($B13,'Raw FS'!$B$2:$G$36,2,0)</f>
        <v>16553</v>
      </c>
      <c r="F13" s="150">
        <f>VLOOKUP($B13,'Raw FS'!$B$2:$G$36,3,0)</f>
        <v>4352</v>
      </c>
      <c r="G13" s="150">
        <f>VLOOKUP($B13,'Raw FS'!$B$2:$G$36,4,0)</f>
        <v>5540</v>
      </c>
      <c r="H13" s="150">
        <f>VLOOKUP($B13,'Raw FS'!$B$2:$G$36,5,0)</f>
        <v>7363</v>
      </c>
      <c r="I13" s="150">
        <f>VLOOKUP($B13,'Raw FS'!$B$2:$G$36,6,0)</f>
        <v>9789</v>
      </c>
    </row>
    <row r="14" spans="1:9" outlineLevel="2" x14ac:dyDescent="0.25">
      <c r="B14" s="21" t="s">
        <v>586</v>
      </c>
      <c r="C14" s="21"/>
      <c r="D14" s="21"/>
      <c r="E14" s="150">
        <f>VLOOKUP($B14,'Raw FS'!$B$2:$G$36,2,0)</f>
        <v>18806</v>
      </c>
      <c r="F14" s="150">
        <f>VLOOKUP($B14,'Raw FS'!$B$2:$G$36,3,0)</f>
        <v>33979</v>
      </c>
      <c r="G14" s="150">
        <f>VLOOKUP($B14,'Raw FS'!$B$2:$G$36,4,0)</f>
        <v>36974</v>
      </c>
      <c r="H14" s="150">
        <f>VLOOKUP($B14,'Raw FS'!$B$2:$G$36,5,0)</f>
        <v>40943</v>
      </c>
      <c r="I14" s="150">
        <f>VLOOKUP($B14,'Raw FS'!$B$2:$G$36,6,0)</f>
        <v>58767</v>
      </c>
    </row>
    <row r="15" spans="1:9" outlineLevel="2" x14ac:dyDescent="0.25">
      <c r="B15" s="144" t="s">
        <v>612</v>
      </c>
      <c r="C15" s="144"/>
      <c r="D15" s="144"/>
      <c r="E15" s="151">
        <f>SUM(E12:E14)</f>
        <v>37615</v>
      </c>
      <c r="F15" s="151">
        <f t="shared" ref="F15:I15" si="1">SUM(F12:F14)</f>
        <v>40889</v>
      </c>
      <c r="G15" s="151">
        <f t="shared" si="1"/>
        <v>45649</v>
      </c>
      <c r="H15" s="151">
        <f t="shared" si="1"/>
        <v>51719</v>
      </c>
      <c r="I15" s="151">
        <f t="shared" si="1"/>
        <v>73662</v>
      </c>
    </row>
    <row r="16" spans="1:9" outlineLevel="1" x14ac:dyDescent="0.25">
      <c r="A16" s="8" t="s">
        <v>195</v>
      </c>
      <c r="E16" s="152"/>
      <c r="F16" s="152"/>
      <c r="G16" s="152"/>
      <c r="H16" s="152"/>
      <c r="I16" s="152"/>
    </row>
    <row r="17" spans="1:9" ht="16.5" outlineLevel="1" thickBot="1" x14ac:dyDescent="0.3">
      <c r="A17" s="8" t="s">
        <v>57</v>
      </c>
      <c r="B17" s="145" t="s">
        <v>606</v>
      </c>
      <c r="C17" s="145"/>
      <c r="D17" s="145"/>
      <c r="E17" s="153">
        <f>E9-E15</f>
        <v>-1933</v>
      </c>
      <c r="F17" s="153">
        <f t="shared" ref="F17:I17" si="2">F9-F15</f>
        <v>-5583</v>
      </c>
      <c r="G17" s="153">
        <f t="shared" si="2"/>
        <v>-6867</v>
      </c>
      <c r="H17" s="153">
        <f t="shared" si="2"/>
        <v>-8061</v>
      </c>
      <c r="I17" s="153">
        <f t="shared" si="2"/>
        <v>-14669</v>
      </c>
    </row>
    <row r="18" spans="1:9" outlineLevel="1" x14ac:dyDescent="0.25">
      <c r="E18" s="152"/>
      <c r="F18" s="152"/>
      <c r="G18" s="152"/>
      <c r="H18" s="152"/>
      <c r="I18" s="152"/>
    </row>
    <row r="19" spans="1:9" outlineLevel="2" x14ac:dyDescent="0.25">
      <c r="B19" s="14" t="s">
        <v>607</v>
      </c>
      <c r="E19" s="152"/>
      <c r="F19" s="152"/>
      <c r="G19" s="152"/>
      <c r="H19" s="152"/>
      <c r="I19" s="152"/>
    </row>
    <row r="20" spans="1:9" outlineLevel="2" x14ac:dyDescent="0.25">
      <c r="B20" s="21" t="str">
        <f>'Raw FS'!B17</f>
        <v>Land</v>
      </c>
      <c r="C20" s="21"/>
      <c r="D20" s="21"/>
      <c r="E20" s="150">
        <f>VLOOKUP($B20,'Raw FS'!$B$2:$G$36,2,0)</f>
        <v>33</v>
      </c>
      <c r="F20" s="150">
        <f>VLOOKUP($B20,'Raw FS'!$B$2:$G$36,3,0)</f>
        <v>28</v>
      </c>
      <c r="G20" s="150">
        <f>VLOOKUP($B20,'Raw FS'!$B$2:$G$36,4,0)</f>
        <v>28</v>
      </c>
      <c r="H20" s="150">
        <f>VLOOKUP($B20,'Raw FS'!$B$2:$G$36,5,0)</f>
        <v>28</v>
      </c>
      <c r="I20" s="150">
        <f>VLOOKUP($B20,'Raw FS'!$B$2:$G$36,6,0)</f>
        <v>28</v>
      </c>
    </row>
    <row r="21" spans="1:9" outlineLevel="2" x14ac:dyDescent="0.25">
      <c r="B21" s="21" t="str">
        <f>'Raw FS'!B18</f>
        <v>Building</v>
      </c>
      <c r="C21" s="21"/>
      <c r="D21" s="21"/>
      <c r="E21" s="150">
        <f>VLOOKUP($B21,'Raw FS'!$B$2:$G$36,2,0)</f>
        <v>1432</v>
      </c>
      <c r="F21" s="150">
        <f>VLOOKUP($B21,'Raw FS'!$B$2:$G$36,3,0)</f>
        <v>1456</v>
      </c>
      <c r="G21" s="150">
        <f>VLOOKUP($B21,'Raw FS'!$B$2:$G$36,4,0)</f>
        <v>1866</v>
      </c>
      <c r="H21" s="150">
        <f>VLOOKUP($B21,'Raw FS'!$B$2:$G$36,5,0)</f>
        <v>1892</v>
      </c>
      <c r="I21" s="150">
        <f>VLOOKUP($B21,'Raw FS'!$B$2:$G$36,6,0)</f>
        <v>1979</v>
      </c>
    </row>
    <row r="22" spans="1:9" outlineLevel="2" x14ac:dyDescent="0.25">
      <c r="B22" s="21" t="str">
        <f>'Raw FS'!B19</f>
        <v>Plant Machinery</v>
      </c>
      <c r="C22" s="21"/>
      <c r="D22" s="21"/>
      <c r="E22" s="150">
        <f>VLOOKUP($B22,'Raw FS'!$B$2:$G$36,2,0)</f>
        <v>2275</v>
      </c>
      <c r="F22" s="150">
        <f>VLOOKUP($B22,'Raw FS'!$B$2:$G$36,3,0)</f>
        <v>2364</v>
      </c>
      <c r="G22" s="150">
        <f>VLOOKUP($B22,'Raw FS'!$B$2:$G$36,4,0)</f>
        <v>2496</v>
      </c>
      <c r="H22" s="150">
        <f>VLOOKUP($B22,'Raw FS'!$B$2:$G$36,5,0)</f>
        <v>2711</v>
      </c>
      <c r="I22" s="150">
        <f>VLOOKUP($B22,'Raw FS'!$B$2:$G$36,6,0)</f>
        <v>2951</v>
      </c>
    </row>
    <row r="23" spans="1:9" outlineLevel="2" x14ac:dyDescent="0.25">
      <c r="B23" s="21" t="str">
        <f>'Raw FS'!B20</f>
        <v>Equipments</v>
      </c>
      <c r="C23" s="21"/>
      <c r="D23" s="21"/>
      <c r="E23" s="150">
        <f>VLOOKUP($B23,'Raw FS'!$B$2:$G$36,2,0)</f>
        <v>5915</v>
      </c>
      <c r="F23" s="150">
        <f>VLOOKUP($B23,'Raw FS'!$B$2:$G$36,3,0)</f>
        <v>6212</v>
      </c>
      <c r="G23" s="150">
        <f>VLOOKUP($B23,'Raw FS'!$B$2:$G$36,4,0)</f>
        <v>6752</v>
      </c>
      <c r="H23" s="150">
        <f>VLOOKUP($B23,'Raw FS'!$B$2:$G$36,5,0)</f>
        <v>7254</v>
      </c>
      <c r="I23" s="150">
        <f>VLOOKUP($B23,'Raw FS'!$B$2:$G$36,6,0)</f>
        <v>7815</v>
      </c>
    </row>
    <row r="24" spans="1:9" outlineLevel="2" x14ac:dyDescent="0.25">
      <c r="B24" s="21" t="str">
        <f>'Raw FS'!B21</f>
        <v>Furniture n fittings</v>
      </c>
      <c r="C24" s="21"/>
      <c r="D24" s="21"/>
      <c r="E24" s="150">
        <f>VLOOKUP($B24,'Raw FS'!$B$2:$G$36,2,0)</f>
        <v>85</v>
      </c>
      <c r="F24" s="150">
        <f>VLOOKUP($B24,'Raw FS'!$B$2:$G$36,3,0)</f>
        <v>90</v>
      </c>
      <c r="G24" s="150">
        <f>VLOOKUP($B24,'Raw FS'!$B$2:$G$36,4,0)</f>
        <v>103</v>
      </c>
      <c r="H24" s="150">
        <f>VLOOKUP($B24,'Raw FS'!$B$2:$G$36,5,0)</f>
        <v>112</v>
      </c>
      <c r="I24" s="150">
        <f>VLOOKUP($B24,'Raw FS'!$B$2:$G$36,6,0)</f>
        <v>130</v>
      </c>
    </row>
    <row r="25" spans="1:9" outlineLevel="2" x14ac:dyDescent="0.25">
      <c r="B25" s="21" t="str">
        <f>'Raw FS'!B22</f>
        <v>Railway sidings</v>
      </c>
      <c r="C25" s="21"/>
      <c r="D25" s="21"/>
      <c r="E25" s="150">
        <f>VLOOKUP($B25,'Raw FS'!$B$2:$G$36,2,0)</f>
        <v>0</v>
      </c>
      <c r="F25" s="150">
        <f>VLOOKUP($B25,'Raw FS'!$B$2:$G$36,3,0)</f>
        <v>0</v>
      </c>
      <c r="G25" s="150">
        <f>VLOOKUP($B25,'Raw FS'!$B$2:$G$36,4,0)</f>
        <v>0</v>
      </c>
      <c r="H25" s="150">
        <f>VLOOKUP($B25,'Raw FS'!$B$2:$G$36,5,0)</f>
        <v>0</v>
      </c>
      <c r="I25" s="150">
        <f>VLOOKUP($B25,'Raw FS'!$B$2:$G$36,6,0)</f>
        <v>0</v>
      </c>
    </row>
    <row r="26" spans="1:9" outlineLevel="2" x14ac:dyDescent="0.25">
      <c r="B26" s="21" t="str">
        <f>'Raw FS'!B23</f>
        <v>Vehicles</v>
      </c>
      <c r="C26" s="21"/>
      <c r="D26" s="21"/>
      <c r="E26" s="150">
        <f>VLOOKUP($B26,'Raw FS'!$B$2:$G$36,2,0)</f>
        <v>412</v>
      </c>
      <c r="F26" s="150">
        <f>VLOOKUP($B26,'Raw FS'!$B$2:$G$36,3,0)</f>
        <v>415</v>
      </c>
      <c r="G26" s="150">
        <f>VLOOKUP($B26,'Raw FS'!$B$2:$G$36,4,0)</f>
        <v>483</v>
      </c>
      <c r="H26" s="150">
        <f>VLOOKUP($B26,'Raw FS'!$B$2:$G$36,5,0)</f>
        <v>490</v>
      </c>
      <c r="I26" s="150">
        <f>VLOOKUP($B26,'Raw FS'!$B$2:$G$36,6,0)</f>
        <v>497</v>
      </c>
    </row>
    <row r="27" spans="1:9" outlineLevel="2" x14ac:dyDescent="0.25">
      <c r="B27" s="21" t="str">
        <f>'Raw FS'!B24</f>
        <v>Intangible Assets</v>
      </c>
      <c r="C27" s="21"/>
      <c r="D27" s="21"/>
      <c r="E27" s="150">
        <f>VLOOKUP($B27,'Raw FS'!$B$2:$G$36,2,0)</f>
        <v>2507</v>
      </c>
      <c r="F27" s="150">
        <f>VLOOKUP($B27,'Raw FS'!$B$2:$G$36,3,0)</f>
        <v>2919</v>
      </c>
      <c r="G27" s="150">
        <f>VLOOKUP($B27,'Raw FS'!$B$2:$G$36,4,0)</f>
        <v>3287</v>
      </c>
      <c r="H27" s="150">
        <f>VLOOKUP($B27,'Raw FS'!$B$2:$G$36,5,0)</f>
        <v>3788</v>
      </c>
      <c r="I27" s="150">
        <f>VLOOKUP($B27,'Raw FS'!$B$2:$G$36,6,0)</f>
        <v>4089</v>
      </c>
    </row>
    <row r="28" spans="1:9" outlineLevel="2" x14ac:dyDescent="0.25">
      <c r="B28" s="21" t="str">
        <f>'Raw FS'!B25</f>
        <v>Other fixed assets</v>
      </c>
      <c r="C28" s="21"/>
      <c r="D28" s="21"/>
      <c r="E28" s="150">
        <f>VLOOKUP($B28,'Raw FS'!$B$2:$G$36,2,0)</f>
        <v>513</v>
      </c>
      <c r="F28" s="150">
        <f>VLOOKUP($B28,'Raw FS'!$B$2:$G$36,3,0)</f>
        <v>519</v>
      </c>
      <c r="G28" s="150">
        <f>VLOOKUP($B28,'Raw FS'!$B$2:$G$36,4,0)</f>
        <v>842</v>
      </c>
      <c r="H28" s="150">
        <f>VLOOKUP($B28,'Raw FS'!$B$2:$G$36,5,0)</f>
        <v>892</v>
      </c>
      <c r="I28" s="150">
        <f>VLOOKUP($B28,'Raw FS'!$B$2:$G$36,6,0)</f>
        <v>954</v>
      </c>
    </row>
    <row r="29" spans="1:9" outlineLevel="2" x14ac:dyDescent="0.25">
      <c r="B29" s="144" t="s">
        <v>596</v>
      </c>
      <c r="C29" s="144"/>
      <c r="D29" s="144"/>
      <c r="E29" s="151">
        <f>SUM(E20:E28)</f>
        <v>13172</v>
      </c>
      <c r="F29" s="151">
        <f t="shared" ref="F29:I29" si="3">SUM(F20:F28)</f>
        <v>14003</v>
      </c>
      <c r="G29" s="151">
        <f t="shared" si="3"/>
        <v>15857</v>
      </c>
      <c r="H29" s="151">
        <f t="shared" si="3"/>
        <v>17167</v>
      </c>
      <c r="I29" s="151">
        <f t="shared" si="3"/>
        <v>18443</v>
      </c>
    </row>
    <row r="30" spans="1:9" outlineLevel="2" x14ac:dyDescent="0.25">
      <c r="B30" s="21" t="str">
        <f>'Raw FS'!B27</f>
        <v>Accumulated Depreciation</v>
      </c>
      <c r="C30" s="21"/>
      <c r="D30" s="21"/>
      <c r="E30" s="150">
        <f>-VLOOKUP($B30,'Raw FS'!$B$2:$G$36,2,0)</f>
        <v>-6006</v>
      </c>
      <c r="F30" s="150">
        <f>-VLOOKUP($B30,'Raw FS'!$B$2:$G$36,3,0)</f>
        <v>-7237</v>
      </c>
      <c r="G30" s="150">
        <f>-VLOOKUP($B30,'Raw FS'!$B$2:$G$36,4,0)</f>
        <v>-9023</v>
      </c>
      <c r="H30" s="150">
        <f>-VLOOKUP($B30,'Raw FS'!$B$2:$G$36,5,0)</f>
        <v>-10431</v>
      </c>
      <c r="I30" s="150">
        <f>-VLOOKUP($B30,'Raw FS'!$B$2:$G$36,6,0)</f>
        <v>-11774</v>
      </c>
    </row>
    <row r="31" spans="1:9" ht="16.5" outlineLevel="1" thickBot="1" x14ac:dyDescent="0.3">
      <c r="A31" s="8" t="s">
        <v>57</v>
      </c>
      <c r="B31" s="145" t="s">
        <v>608</v>
      </c>
      <c r="C31" s="145"/>
      <c r="D31" s="145"/>
      <c r="E31" s="153">
        <f>E29+E30</f>
        <v>7166</v>
      </c>
      <c r="F31" s="153">
        <f t="shared" ref="F31:I31" si="4">F29+F30</f>
        <v>6766</v>
      </c>
      <c r="G31" s="153">
        <f t="shared" si="4"/>
        <v>6834</v>
      </c>
      <c r="H31" s="153">
        <f t="shared" si="4"/>
        <v>6736</v>
      </c>
      <c r="I31" s="153">
        <f t="shared" si="4"/>
        <v>6669</v>
      </c>
    </row>
    <row r="32" spans="1:9" outlineLevel="1" x14ac:dyDescent="0.25">
      <c r="E32" s="152"/>
      <c r="F32" s="152"/>
      <c r="G32" s="152"/>
      <c r="H32" s="152"/>
      <c r="I32" s="152"/>
    </row>
    <row r="33" spans="1:9" outlineLevel="1" x14ac:dyDescent="0.25">
      <c r="A33" s="8" t="s">
        <v>57</v>
      </c>
      <c r="B33" s="154" t="s">
        <v>609</v>
      </c>
      <c r="C33" s="154"/>
      <c r="D33" s="154"/>
      <c r="E33" s="155">
        <f>E31+E17</f>
        <v>5233</v>
      </c>
      <c r="F33" s="155">
        <f t="shared" ref="F33:I33" si="5">F31+F17</f>
        <v>1183</v>
      </c>
      <c r="G33" s="155">
        <f t="shared" si="5"/>
        <v>-33</v>
      </c>
      <c r="H33" s="155">
        <f t="shared" si="5"/>
        <v>-1325</v>
      </c>
      <c r="I33" s="155">
        <f t="shared" si="5"/>
        <v>-8000</v>
      </c>
    </row>
    <row r="34" spans="1:9" outlineLevel="1" x14ac:dyDescent="0.25">
      <c r="B34" s="154" t="s">
        <v>610</v>
      </c>
      <c r="C34" s="154"/>
      <c r="D34" s="154"/>
      <c r="E34" s="154">
        <f>'Historical FS'!H30+'Historical FS'!I24</f>
        <v>4348.7199999999993</v>
      </c>
      <c r="F34" s="154">
        <f>'Historical FS'!I30+'Historical FS'!J24</f>
        <v>5288.9400000000023</v>
      </c>
      <c r="G34" s="154">
        <f>'Historical FS'!J30+'Historical FS'!K24</f>
        <v>6552.1299999999983</v>
      </c>
      <c r="H34" s="154">
        <f>'Historical FS'!K30+'Historical FS'!L24</f>
        <v>10246.500000000005</v>
      </c>
      <c r="I34" s="154">
        <f>'Historical FS'!L30+'Historical FS'!M24</f>
        <v>10876.440000000004</v>
      </c>
    </row>
    <row r="35" spans="1:9" outlineLevel="1" x14ac:dyDescent="0.25">
      <c r="E35" s="8" t="s">
        <v>195</v>
      </c>
    </row>
    <row r="36" spans="1:9" ht="16.5" thickBot="1" x14ac:dyDescent="0.3">
      <c r="A36" s="8" t="s">
        <v>57</v>
      </c>
      <c r="B36" s="145" t="s">
        <v>611</v>
      </c>
      <c r="C36" s="145"/>
      <c r="D36" s="145"/>
      <c r="E36" s="146">
        <f>E34/E33</f>
        <v>0.83101853621249744</v>
      </c>
      <c r="F36" s="146">
        <f t="shared" ref="F36:I36" si="6">F34/F33</f>
        <v>4.4707861369399851</v>
      </c>
      <c r="G36" s="146">
        <f t="shared" si="6"/>
        <v>-198.54939393939389</v>
      </c>
      <c r="H36" s="146">
        <f t="shared" si="6"/>
        <v>-7.7332075471698154</v>
      </c>
      <c r="I36" s="146">
        <f t="shared" si="6"/>
        <v>-1.3595550000000005</v>
      </c>
    </row>
    <row r="39" spans="1:9" x14ac:dyDescent="0.25">
      <c r="B39" s="122" t="s">
        <v>613</v>
      </c>
      <c r="C39" s="122"/>
      <c r="D39" s="122"/>
      <c r="E39" s="123">
        <v>44256</v>
      </c>
      <c r="F39" s="123">
        <v>44621</v>
      </c>
      <c r="G39" s="123">
        <v>44986</v>
      </c>
      <c r="H39" s="123">
        <v>45352</v>
      </c>
      <c r="I39" s="123">
        <v>45717</v>
      </c>
    </row>
    <row r="40" spans="1:9" outlineLevel="1" x14ac:dyDescent="0.25"/>
    <row r="41" spans="1:9" outlineLevel="1" x14ac:dyDescent="0.25">
      <c r="B41" s="21" t="s">
        <v>623</v>
      </c>
      <c r="C41" s="21"/>
      <c r="D41" s="21"/>
      <c r="E41" s="150">
        <f>-SUM('Raw FS'!L12:L13)</f>
        <v>1208</v>
      </c>
      <c r="F41" s="150">
        <f>-SUM('Raw FS'!M12:M13)</f>
        <v>1498</v>
      </c>
      <c r="G41" s="150">
        <f>-SUM('Raw FS'!N12:N13)</f>
        <v>1776</v>
      </c>
      <c r="H41" s="150">
        <f>-SUM('Raw FS'!O12:O13)</f>
        <v>1747</v>
      </c>
      <c r="I41" s="150">
        <f>-SUM('Raw FS'!P12:P13)</f>
        <v>1754</v>
      </c>
    </row>
    <row r="42" spans="1:9" outlineLevel="1" x14ac:dyDescent="0.25">
      <c r="B42" s="21" t="s">
        <v>624</v>
      </c>
      <c r="C42" s="21"/>
      <c r="D42" s="21"/>
      <c r="E42" s="150"/>
      <c r="F42" s="150">
        <f>F17-E17</f>
        <v>-3650</v>
      </c>
      <c r="G42" s="150">
        <f t="shared" ref="G42:I42" si="7">G17-F17</f>
        <v>-1284</v>
      </c>
      <c r="H42" s="150">
        <f t="shared" si="7"/>
        <v>-1194</v>
      </c>
      <c r="I42" s="150">
        <f t="shared" si="7"/>
        <v>-6608</v>
      </c>
    </row>
    <row r="43" spans="1:9" outlineLevel="1" x14ac:dyDescent="0.25">
      <c r="B43" s="21"/>
      <c r="C43" s="21"/>
      <c r="D43" s="21"/>
      <c r="E43" s="150"/>
      <c r="F43" s="150"/>
      <c r="G43" s="150"/>
      <c r="H43" s="150"/>
      <c r="I43" s="150"/>
    </row>
    <row r="44" spans="1:9" outlineLevel="1" x14ac:dyDescent="0.25">
      <c r="B44" s="21" t="s">
        <v>610</v>
      </c>
      <c r="C44" s="21"/>
      <c r="D44" s="21"/>
      <c r="E44" s="150">
        <f>E34</f>
        <v>4348.7199999999993</v>
      </c>
      <c r="F44" s="150">
        <f t="shared" ref="F44:I44" si="8">F34</f>
        <v>5288.9400000000023</v>
      </c>
      <c r="G44" s="150">
        <f t="shared" si="8"/>
        <v>6552.1299999999983</v>
      </c>
      <c r="H44" s="150">
        <f t="shared" si="8"/>
        <v>10246.500000000005</v>
      </c>
      <c r="I44" s="150">
        <f t="shared" si="8"/>
        <v>10876.440000000004</v>
      </c>
    </row>
    <row r="45" spans="1:9" outlineLevel="1" x14ac:dyDescent="0.25">
      <c r="B45" s="21" t="s">
        <v>625</v>
      </c>
      <c r="C45" s="21"/>
      <c r="D45" s="21"/>
      <c r="E45" s="310">
        <v>0.25</v>
      </c>
      <c r="F45" s="310">
        <v>0.25</v>
      </c>
      <c r="G45" s="310">
        <v>0.25</v>
      </c>
      <c r="H45" s="310">
        <v>0.25</v>
      </c>
      <c r="I45" s="310">
        <v>0.25</v>
      </c>
    </row>
    <row r="46" spans="1:9" outlineLevel="1" x14ac:dyDescent="0.25">
      <c r="B46" s="21" t="s">
        <v>628</v>
      </c>
      <c r="C46" s="21"/>
      <c r="D46" s="21"/>
      <c r="E46" s="150">
        <f>E44*(1-E45)</f>
        <v>3261.5399999999995</v>
      </c>
      <c r="F46" s="150">
        <f t="shared" ref="F46:I46" si="9">F44*(1-F45)</f>
        <v>3966.7050000000017</v>
      </c>
      <c r="G46" s="150">
        <f t="shared" si="9"/>
        <v>4914.0974999999989</v>
      </c>
      <c r="H46" s="150">
        <f t="shared" si="9"/>
        <v>7684.8750000000036</v>
      </c>
      <c r="I46" s="150">
        <f t="shared" si="9"/>
        <v>8157.3300000000036</v>
      </c>
    </row>
    <row r="47" spans="1:9" outlineLevel="1" x14ac:dyDescent="0.25">
      <c r="B47" s="21"/>
      <c r="C47" s="21"/>
      <c r="D47" s="21"/>
      <c r="E47" s="150"/>
      <c r="F47" s="150"/>
      <c r="G47" s="150"/>
      <c r="H47" s="150"/>
      <c r="I47" s="150"/>
    </row>
    <row r="48" spans="1:9" outlineLevel="1" x14ac:dyDescent="0.25">
      <c r="B48" s="8" t="s">
        <v>626</v>
      </c>
      <c r="E48" s="152"/>
      <c r="F48" s="152">
        <f>SUM(F41:F42)</f>
        <v>-2152</v>
      </c>
      <c r="G48" s="152">
        <f t="shared" ref="G48:I48" si="10">SUM(G41:G42)</f>
        <v>492</v>
      </c>
      <c r="H48" s="152">
        <f t="shared" si="10"/>
        <v>553</v>
      </c>
      <c r="I48" s="152">
        <f t="shared" si="10"/>
        <v>-4854</v>
      </c>
    </row>
    <row r="49" spans="2:9" ht="16.5" thickBot="1" x14ac:dyDescent="0.3">
      <c r="B49" s="145" t="s">
        <v>627</v>
      </c>
      <c r="C49" s="145"/>
      <c r="D49" s="145"/>
      <c r="E49" s="145"/>
      <c r="F49" s="148">
        <f>F48/F46</f>
        <v>-0.54251576560394565</v>
      </c>
      <c r="G49" s="148">
        <f t="shared" ref="G49:I49" si="11">G48/G46</f>
        <v>0.10012011361190944</v>
      </c>
      <c r="H49" s="148">
        <f t="shared" si="11"/>
        <v>7.1959530896728935E-2</v>
      </c>
      <c r="I49" s="148">
        <f t="shared" si="11"/>
        <v>-0.59504764426595436</v>
      </c>
    </row>
    <row r="51" spans="2:9" x14ac:dyDescent="0.25">
      <c r="H51" s="14" t="s">
        <v>629</v>
      </c>
      <c r="I51" s="147">
        <f>AVERAGE(F49:I49)</f>
        <v>-0.24137094134031542</v>
      </c>
    </row>
    <row r="52" spans="2:9" x14ac:dyDescent="0.25">
      <c r="H52" s="14" t="s">
        <v>630</v>
      </c>
      <c r="I52" s="147">
        <f>MEDIAN(F49:I49)</f>
        <v>-0.23527811735360837</v>
      </c>
    </row>
    <row r="54" spans="2:9" x14ac:dyDescent="0.25">
      <c r="B54" s="122" t="s">
        <v>631</v>
      </c>
      <c r="C54" s="122"/>
      <c r="D54" s="122"/>
      <c r="E54" s="123">
        <v>44256</v>
      </c>
      <c r="F54" s="123">
        <v>44621</v>
      </c>
      <c r="G54" s="123">
        <v>44986</v>
      </c>
      <c r="H54" s="123">
        <v>45352</v>
      </c>
      <c r="I54" s="123">
        <v>45717</v>
      </c>
    </row>
    <row r="55" spans="2:9" outlineLevel="1" x14ac:dyDescent="0.25"/>
    <row r="56" spans="2:9" outlineLevel="1" x14ac:dyDescent="0.25">
      <c r="B56" s="21" t="str">
        <f>B49</f>
        <v>Reinvestment Rate</v>
      </c>
      <c r="C56" s="21"/>
      <c r="D56" s="21"/>
      <c r="E56" s="21"/>
      <c r="F56" s="156">
        <f>F49</f>
        <v>-0.54251576560394565</v>
      </c>
      <c r="G56" s="156">
        <f t="shared" ref="G56:I56" si="12">G49</f>
        <v>0.10012011361190944</v>
      </c>
      <c r="H56" s="156">
        <f t="shared" si="12"/>
        <v>7.1959530896728935E-2</v>
      </c>
      <c r="I56" s="156">
        <f t="shared" si="12"/>
        <v>-0.59504764426595436</v>
      </c>
    </row>
    <row r="57" spans="2:9" outlineLevel="1" x14ac:dyDescent="0.25">
      <c r="B57" s="21" t="str">
        <f>B36</f>
        <v>Return on Invested Capital</v>
      </c>
      <c r="C57" s="21"/>
      <c r="D57" s="21"/>
      <c r="E57" s="21"/>
      <c r="F57" s="157">
        <f>F36</f>
        <v>4.4707861369399851</v>
      </c>
      <c r="G57" s="157">
        <f t="shared" ref="G57:I57" si="13">G36</f>
        <v>-198.54939393939389</v>
      </c>
      <c r="H57" s="157">
        <f t="shared" si="13"/>
        <v>-7.7332075471698154</v>
      </c>
      <c r="I57" s="157">
        <f t="shared" si="13"/>
        <v>-1.3595550000000005</v>
      </c>
    </row>
    <row r="58" spans="2:9" outlineLevel="1" x14ac:dyDescent="0.25"/>
    <row r="59" spans="2:9" ht="16.5" thickBot="1" x14ac:dyDescent="0.3">
      <c r="B59" s="145" t="s">
        <v>632</v>
      </c>
      <c r="C59" s="145"/>
      <c r="D59" s="145"/>
      <c r="E59" s="145"/>
      <c r="F59" s="149">
        <f>F56*F57</f>
        <v>-2.4254719639335027</v>
      </c>
      <c r="G59" s="149">
        <f t="shared" ref="G59:I59" si="14">G56*G57</f>
        <v>-19.878787878787879</v>
      </c>
      <c r="H59" s="149">
        <f t="shared" si="14"/>
        <v>-0.55647798742138377</v>
      </c>
      <c r="I59" s="149">
        <f t="shared" si="14"/>
        <v>0.80899999999999983</v>
      </c>
    </row>
    <row r="61" spans="2:9" x14ac:dyDescent="0.25">
      <c r="H61" s="14" t="s">
        <v>629</v>
      </c>
      <c r="I61" s="147">
        <f>AVERAGE(F59:I59)</f>
        <v>-5.5129344575356916</v>
      </c>
    </row>
    <row r="62" spans="2:9" x14ac:dyDescent="0.25">
      <c r="H62" s="14" t="s">
        <v>630</v>
      </c>
      <c r="I62" s="147">
        <f>MEDIAN(F59:I59)</f>
        <v>-1.4909749756774433</v>
      </c>
    </row>
  </sheetData>
  <sheetProtection sheet="1" objects="1" scenarios="1"/>
  <pageMargins left="0.7" right="0.7" top="0.75" bottom="0.75" header="0.3" footer="0.3"/>
  <pageSetup orientation="portrait" r:id="rId1"/>
  <ignoredErrors>
    <ignoredError sqref="E41:I41"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CA36D-7FB8-412E-A239-59B856E99281}">
  <sheetPr codeName="Sheet6">
    <tabColor theme="9" tint="0.79998168889431442"/>
  </sheetPr>
  <dimension ref="B3:I40"/>
  <sheetViews>
    <sheetView showGridLines="0" zoomScaleNormal="100" workbookViewId="0">
      <selection activeCell="C14" activeCellId="4" sqref="D6 E10 D8 I8 C14:C15"/>
    </sheetView>
  </sheetViews>
  <sheetFormatPr defaultRowHeight="15" x14ac:dyDescent="0.25"/>
  <cols>
    <col min="1" max="1" width="1.85546875" customWidth="1"/>
    <col min="2" max="2" width="27.5703125" bestFit="1" customWidth="1"/>
    <col min="3" max="3" width="9" bestFit="1" customWidth="1"/>
    <col min="5" max="5" width="15.140625" customWidth="1"/>
    <col min="6" max="9" width="12" bestFit="1" customWidth="1"/>
  </cols>
  <sheetData>
    <row r="3" spans="2:9" x14ac:dyDescent="0.25">
      <c r="B3" s="158" t="s">
        <v>633</v>
      </c>
      <c r="C3" s="158"/>
      <c r="D3" s="159">
        <f>'Reg Forcast'!L2</f>
        <v>45745</v>
      </c>
      <c r="E3" s="160">
        <f>'Reg Forcast'!M2</f>
        <v>46110</v>
      </c>
      <c r="F3" s="160">
        <f>'Reg Forcast'!N2</f>
        <v>46475</v>
      </c>
      <c r="G3" s="160">
        <f>'Reg Forcast'!O2</f>
        <v>46840</v>
      </c>
      <c r="H3" s="160">
        <f>'Reg Forcast'!P2</f>
        <v>47205</v>
      </c>
      <c r="I3" s="160">
        <f>'Reg Forcast'!Q2</f>
        <v>47570</v>
      </c>
    </row>
    <row r="5" spans="2:9" x14ac:dyDescent="0.25">
      <c r="B5" s="121" t="s">
        <v>610</v>
      </c>
      <c r="C5" s="121"/>
      <c r="D5" s="201">
        <f>'Intrinsic Growth'!I44</f>
        <v>10876.440000000004</v>
      </c>
      <c r="E5" s="166">
        <f>D5*(1+$C$14)</f>
        <v>11246.238960000004</v>
      </c>
      <c r="F5" s="166">
        <f>E5*(1+$C$14)</f>
        <v>11628.611084640004</v>
      </c>
      <c r="G5" s="166">
        <f>F5*(1+$C$14)</f>
        <v>12023.983861517765</v>
      </c>
      <c r="H5" s="166">
        <f>G5*(1+$C$14)</f>
        <v>12432.799312809369</v>
      </c>
      <c r="I5" s="166">
        <f>H5*(1+$C$14)</f>
        <v>12855.514489444888</v>
      </c>
    </row>
    <row r="6" spans="2:9" x14ac:dyDescent="0.25">
      <c r="B6" s="121" t="s">
        <v>176</v>
      </c>
      <c r="C6" s="121"/>
      <c r="D6" s="311">
        <v>0.25</v>
      </c>
      <c r="E6" s="161">
        <v>0.25</v>
      </c>
      <c r="F6" s="161">
        <v>0.25</v>
      </c>
      <c r="G6" s="161">
        <v>0.25</v>
      </c>
      <c r="H6" s="161">
        <v>0.25</v>
      </c>
      <c r="I6" s="161">
        <v>0.25</v>
      </c>
    </row>
    <row r="7" spans="2:9" x14ac:dyDescent="0.25">
      <c r="B7" s="121" t="s">
        <v>634</v>
      </c>
      <c r="C7" s="121"/>
      <c r="D7" s="201">
        <f t="shared" ref="D7:I7" si="0">D5*(1-D6)</f>
        <v>8157.3300000000036</v>
      </c>
      <c r="E7" s="166">
        <f t="shared" si="0"/>
        <v>8434.6792200000036</v>
      </c>
      <c r="F7" s="166">
        <f t="shared" si="0"/>
        <v>8721.4583134800032</v>
      </c>
      <c r="G7" s="166">
        <f t="shared" si="0"/>
        <v>9017.9878961383238</v>
      </c>
      <c r="H7" s="166">
        <f t="shared" si="0"/>
        <v>9324.599484607028</v>
      </c>
      <c r="I7" s="166">
        <f t="shared" si="0"/>
        <v>9641.6358670836653</v>
      </c>
    </row>
    <row r="8" spans="2:9" x14ac:dyDescent="0.25">
      <c r="B8" s="121" t="s">
        <v>635</v>
      </c>
      <c r="C8" s="121"/>
      <c r="D8" s="311">
        <f>'Intrinsic Growth'!I52</f>
        <v>-0.23527811735360837</v>
      </c>
      <c r="E8" s="161">
        <f>D8+(($I$8-$D$8)/4)</f>
        <v>-0.17345858801520628</v>
      </c>
      <c r="F8" s="161">
        <f t="shared" ref="F8:H8" si="1">E8+(($I$8-$D$8)/4)</f>
        <v>-0.11163905867680418</v>
      </c>
      <c r="G8" s="161">
        <f t="shared" si="1"/>
        <v>-4.9819529338402085E-2</v>
      </c>
      <c r="H8" s="161">
        <f t="shared" si="1"/>
        <v>1.2000000000000011E-2</v>
      </c>
      <c r="I8" s="313">
        <v>1.2E-2</v>
      </c>
    </row>
    <row r="9" spans="2:9" x14ac:dyDescent="0.25">
      <c r="B9" s="121" t="s">
        <v>636</v>
      </c>
      <c r="C9" s="121"/>
      <c r="D9" s="201">
        <f t="shared" ref="D9:I9" si="2">D7*(1-D8)</f>
        <v>10076.571245032113</v>
      </c>
      <c r="E9" s="166">
        <f t="shared" si="2"/>
        <v>9897.7467678624052</v>
      </c>
      <c r="F9" s="166">
        <f t="shared" si="2"/>
        <v>9695.1137098858981</v>
      </c>
      <c r="G9" s="166">
        <f t="shared" si="2"/>
        <v>9467.2598087033421</v>
      </c>
      <c r="H9" s="166">
        <f t="shared" si="2"/>
        <v>9212.7042907917439</v>
      </c>
      <c r="I9" s="166">
        <f t="shared" si="2"/>
        <v>9525.9362366786609</v>
      </c>
    </row>
    <row r="10" spans="2:9" x14ac:dyDescent="0.25">
      <c r="B10" s="121" t="s">
        <v>637</v>
      </c>
      <c r="C10" s="121"/>
      <c r="D10" s="162"/>
      <c r="E10" s="312">
        <v>0.5</v>
      </c>
      <c r="F10" s="164">
        <f>E10+1</f>
        <v>1.5</v>
      </c>
      <c r="G10" s="164">
        <f t="shared" ref="G10:I10" si="3">F10+1</f>
        <v>2.5</v>
      </c>
      <c r="H10" s="164">
        <f t="shared" si="3"/>
        <v>3.5</v>
      </c>
      <c r="I10" s="164">
        <f t="shared" si="3"/>
        <v>4.5</v>
      </c>
    </row>
    <row r="11" spans="2:9" x14ac:dyDescent="0.25">
      <c r="B11" t="s">
        <v>638</v>
      </c>
      <c r="D11" s="54"/>
      <c r="E11" s="109">
        <f>1/(1+$C$16)^E10</f>
        <v>0.90145059494968316</v>
      </c>
      <c r="F11" s="109">
        <f t="shared" ref="F11:I11" si="4">1/(1+$C$16)^F10</f>
        <v>0.7325306301895208</v>
      </c>
      <c r="G11" s="109">
        <f t="shared" si="4"/>
        <v>0.59526404128204968</v>
      </c>
      <c r="H11" s="109">
        <f t="shared" si="4"/>
        <v>0.48371940262998009</v>
      </c>
      <c r="I11" s="109">
        <f t="shared" si="4"/>
        <v>0.39307675964562006</v>
      </c>
    </row>
    <row r="12" spans="2:9" ht="15.75" thickBot="1" x14ac:dyDescent="0.3">
      <c r="B12" s="124" t="s">
        <v>639</v>
      </c>
      <c r="C12" s="124"/>
      <c r="D12" s="163"/>
      <c r="E12" s="195">
        <f>E9*E11</f>
        <v>8922.3297125508689</v>
      </c>
      <c r="F12" s="195">
        <f t="shared" ref="F12:I12" si="5">F9*F11</f>
        <v>7101.9677556617798</v>
      </c>
      <c r="G12" s="195">
        <f t="shared" si="5"/>
        <v>5635.5193335958757</v>
      </c>
      <c r="H12" s="195">
        <f t="shared" si="5"/>
        <v>4456.3638161484369</v>
      </c>
      <c r="I12" s="195">
        <f t="shared" si="5"/>
        <v>3744.4241485044404</v>
      </c>
    </row>
    <row r="14" spans="2:9" x14ac:dyDescent="0.25">
      <c r="B14" s="117" t="s">
        <v>640</v>
      </c>
      <c r="C14" s="314">
        <v>3.4000000000000002E-2</v>
      </c>
    </row>
    <row r="15" spans="2:9" x14ac:dyDescent="0.25">
      <c r="B15" s="117" t="s">
        <v>641</v>
      </c>
      <c r="C15" s="314">
        <v>5.5E-2</v>
      </c>
    </row>
    <row r="16" spans="2:9" x14ac:dyDescent="0.25">
      <c r="B16" s="117" t="s">
        <v>574</v>
      </c>
      <c r="C16" s="118">
        <f>Wacc!K43</f>
        <v>0.2305978177546778</v>
      </c>
    </row>
    <row r="18" spans="2:9" x14ac:dyDescent="0.25">
      <c r="B18" s="158" t="s">
        <v>642</v>
      </c>
      <c r="C18" s="158"/>
      <c r="E18" s="158" t="s">
        <v>693</v>
      </c>
      <c r="F18" s="158"/>
      <c r="G18" s="158"/>
      <c r="H18" s="158"/>
      <c r="I18" s="158"/>
    </row>
    <row r="20" spans="2:9" x14ac:dyDescent="0.25">
      <c r="B20" s="121" t="s">
        <v>643</v>
      </c>
      <c r="C20" s="166">
        <f>I9*(1+C14)</f>
        <v>9849.8180687257354</v>
      </c>
      <c r="E20" s="234">
        <f>C30</f>
        <v>51909.481108208827</v>
      </c>
      <c r="F20" s="236">
        <f>C16-2%</f>
        <v>0.21059781775467781</v>
      </c>
      <c r="G20" s="236">
        <f>F20+2%</f>
        <v>0.2305978177546778</v>
      </c>
      <c r="H20" s="236">
        <f>G20+2%</f>
        <v>0.25059781775467782</v>
      </c>
      <c r="I20" s="236">
        <f>H20+2%</f>
        <v>0.27059781775467784</v>
      </c>
    </row>
    <row r="21" spans="2:9" x14ac:dyDescent="0.25">
      <c r="B21" s="121" t="s">
        <v>574</v>
      </c>
      <c r="C21" s="161">
        <f>C16</f>
        <v>0.2305978177546778</v>
      </c>
      <c r="E21" s="235">
        <f>C15-2%</f>
        <v>3.5000000000000003E-2</v>
      </c>
      <c r="F21" s="239">
        <f t="dataTable" ref="F21:I24" dt2D="1" dtr="1" r1="C21" r2="C22"/>
        <v>51909.481108208827</v>
      </c>
      <c r="G21" s="240">
        <v>49654.969621848431</v>
      </c>
      <c r="H21" s="240">
        <v>47818.739082825959</v>
      </c>
      <c r="I21" s="241">
        <v>46294.265343000072</v>
      </c>
    </row>
    <row r="22" spans="2:9" x14ac:dyDescent="0.25">
      <c r="B22" t="s">
        <v>644</v>
      </c>
      <c r="C22" s="83">
        <v>5.5E-2</v>
      </c>
      <c r="E22" s="235">
        <f>E21+2%</f>
        <v>5.5000000000000007E-2</v>
      </c>
      <c r="F22" s="242">
        <v>54743.566657726064</v>
      </c>
      <c r="G22" s="237">
        <v>51909.481108208827</v>
      </c>
      <c r="H22" s="238">
        <v>49654.969621848431</v>
      </c>
      <c r="I22" s="243">
        <v>47818.739082825952</v>
      </c>
    </row>
    <row r="23" spans="2:9" x14ac:dyDescent="0.25">
      <c r="E23" s="235">
        <f>E22+2%</f>
        <v>7.5000000000000011E-2</v>
      </c>
      <c r="F23" s="242">
        <v>58413.679098072651</v>
      </c>
      <c r="G23" s="238">
        <v>54743.566657726064</v>
      </c>
      <c r="H23" s="238">
        <v>51909.481108208827</v>
      </c>
      <c r="I23" s="243">
        <v>49654.969621848431</v>
      </c>
    </row>
    <row r="24" spans="2:9" ht="15.75" thickBot="1" x14ac:dyDescent="0.3">
      <c r="B24" s="124" t="s">
        <v>645</v>
      </c>
      <c r="C24" s="195">
        <f>C20/(C21-C22)</f>
        <v>56093.055111234964</v>
      </c>
      <c r="E24" s="235">
        <f>E23+2%</f>
        <v>9.5000000000000015E-2</v>
      </c>
      <c r="F24" s="244">
        <v>63353.75061260708</v>
      </c>
      <c r="G24" s="245">
        <v>58413.679098072666</v>
      </c>
      <c r="H24" s="245">
        <v>54743.566657726064</v>
      </c>
      <c r="I24" s="246">
        <v>51909.481108208827</v>
      </c>
    </row>
    <row r="25" spans="2:9" x14ac:dyDescent="0.25">
      <c r="E25" s="83"/>
    </row>
    <row r="26" spans="2:9" x14ac:dyDescent="0.25">
      <c r="B26" s="158" t="s">
        <v>646</v>
      </c>
      <c r="C26" s="158"/>
    </row>
    <row r="27" spans="2:9" ht="4.5" customHeight="1" x14ac:dyDescent="0.25"/>
    <row r="28" spans="2:9" x14ac:dyDescent="0.25">
      <c r="B28" s="121" t="str">
        <f>B12</f>
        <v>PV of FCFF</v>
      </c>
      <c r="C28" s="166">
        <f>SUM(E12:I12)</f>
        <v>29860.604766461402</v>
      </c>
    </row>
    <row r="29" spans="2:9" x14ac:dyDescent="0.25">
      <c r="B29" s="121" t="s">
        <v>647</v>
      </c>
      <c r="C29" s="166">
        <f>C24*I11</f>
        <v>22048.876341747426</v>
      </c>
    </row>
    <row r="30" spans="2:9" x14ac:dyDescent="0.25">
      <c r="B30" s="167" t="s">
        <v>648</v>
      </c>
      <c r="C30" s="168">
        <f>SUM(C28:C29)</f>
        <v>51909.481108208827</v>
      </c>
    </row>
    <row r="31" spans="2:9" ht="3.75" customHeight="1" x14ac:dyDescent="0.25">
      <c r="B31" s="196"/>
      <c r="C31" s="197"/>
    </row>
    <row r="32" spans="2:9" x14ac:dyDescent="0.25">
      <c r="B32" s="49" t="s">
        <v>649</v>
      </c>
      <c r="C32" s="202">
        <f>'Data Sheet'!K69</f>
        <v>38182.25</v>
      </c>
    </row>
    <row r="33" spans="2:3" x14ac:dyDescent="0.25">
      <c r="B33" s="121" t="s">
        <v>650</v>
      </c>
      <c r="C33" s="166">
        <f>'Data Sheet'!K59</f>
        <v>51.44</v>
      </c>
    </row>
    <row r="34" spans="2:3" x14ac:dyDescent="0.25">
      <c r="B34" s="167" t="s">
        <v>651</v>
      </c>
      <c r="C34" s="168">
        <f>(C30+C32)-C33</f>
        <v>90040.291108208825</v>
      </c>
    </row>
    <row r="35" spans="2:3" ht="4.5" customHeight="1" x14ac:dyDescent="0.25">
      <c r="B35" s="85"/>
      <c r="C35" s="198"/>
    </row>
    <row r="36" spans="2:3" x14ac:dyDescent="0.25">
      <c r="B36" s="73" t="s">
        <v>652</v>
      </c>
      <c r="C36" s="81">
        <f>'Data Sheet'!B6</f>
        <v>66.890714087375031</v>
      </c>
    </row>
    <row r="37" spans="2:3" ht="15.75" thickBot="1" x14ac:dyDescent="0.3">
      <c r="B37" s="165" t="s">
        <v>653</v>
      </c>
      <c r="C37" s="169">
        <f>C34/C36</f>
        <v>1346.080578398296</v>
      </c>
    </row>
    <row r="39" spans="2:3" x14ac:dyDescent="0.25">
      <c r="B39" s="199" t="s">
        <v>654</v>
      </c>
      <c r="C39" s="199">
        <f>'Data Sheet'!B8</f>
        <v>4321.6000000000004</v>
      </c>
    </row>
    <row r="40" spans="2:3" x14ac:dyDescent="0.25">
      <c r="B40" s="199" t="s">
        <v>655</v>
      </c>
      <c r="C40" s="200">
        <f>C39/C37-1</f>
        <v>2.210506168317413</v>
      </c>
    </row>
  </sheetData>
  <sheetProtection sheet="1" objects="1" scenarios="1"/>
  <pageMargins left="0.7" right="0.7" top="0.75" bottom="0.75" header="0.3" footer="0.3"/>
  <pageSetup paperSize="3"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C9C5A-B3AE-418A-BAFB-D74E30C7F7E1}">
  <sheetPr codeName="Sheet7">
    <tabColor theme="9" tint="-0.249977111117893"/>
  </sheetPr>
  <dimension ref="A2:Q10004"/>
  <sheetViews>
    <sheetView showGridLines="0" workbookViewId="0">
      <selection activeCell="R17" sqref="R17"/>
    </sheetView>
  </sheetViews>
  <sheetFormatPr defaultRowHeight="15" x14ac:dyDescent="0.25"/>
  <cols>
    <col min="1" max="1" width="1.85546875" customWidth="1"/>
    <col min="2" max="2" width="12.42578125" customWidth="1"/>
    <col min="3" max="3" width="14.5703125" bestFit="1" customWidth="1"/>
    <col min="4" max="4" width="10.140625" bestFit="1" customWidth="1"/>
    <col min="5" max="5" width="16.5703125" bestFit="1" customWidth="1"/>
    <col min="6" max="6" width="13.28515625" bestFit="1" customWidth="1"/>
    <col min="7" max="7" width="17.5703125" bestFit="1" customWidth="1"/>
    <col min="9" max="9" width="10.42578125" customWidth="1"/>
    <col min="10" max="10" width="16.42578125" bestFit="1" customWidth="1"/>
    <col min="12" max="12" width="11" bestFit="1" customWidth="1"/>
    <col min="13" max="13" width="11.140625" bestFit="1" customWidth="1"/>
  </cols>
  <sheetData>
    <row r="2" spans="1:13" x14ac:dyDescent="0.25">
      <c r="B2" s="203" t="s">
        <v>694</v>
      </c>
      <c r="C2" s="203"/>
      <c r="D2" s="203"/>
      <c r="E2" s="203"/>
      <c r="F2" s="203"/>
      <c r="G2" s="203"/>
      <c r="H2" s="203"/>
      <c r="I2" s="203"/>
      <c r="J2" s="203"/>
      <c r="K2" s="203"/>
      <c r="L2" s="203"/>
      <c r="M2" s="203"/>
    </row>
    <row r="4" spans="1:13" x14ac:dyDescent="0.25">
      <c r="A4" t="s">
        <v>57</v>
      </c>
      <c r="B4" s="213" t="str">
        <f>Beta!B6</f>
        <v>Date</v>
      </c>
      <c r="C4" s="213" t="str">
        <f>Beta!C6</f>
        <v>Closing Price</v>
      </c>
      <c r="D4" s="213" t="str">
        <f>Beta!D6</f>
        <v>Returns</v>
      </c>
      <c r="E4" s="213" t="s">
        <v>696</v>
      </c>
      <c r="F4" s="213" t="s">
        <v>697</v>
      </c>
      <c r="G4" s="213" t="s">
        <v>698</v>
      </c>
      <c r="H4" s="215"/>
      <c r="I4" s="218" t="s">
        <v>699</v>
      </c>
      <c r="J4" s="77"/>
      <c r="K4" s="73"/>
      <c r="L4" s="73"/>
      <c r="M4" s="73"/>
    </row>
    <row r="5" spans="1:13" x14ac:dyDescent="0.25">
      <c r="B5" s="204">
        <f>Beta!B54</f>
        <v>45660</v>
      </c>
      <c r="C5">
        <f>Beta!C54</f>
        <v>4177.45</v>
      </c>
      <c r="D5" s="205">
        <f t="shared" ref="D5:D36" si="0">(C5-C6)/C6</f>
        <v>0.75537860324396988</v>
      </c>
      <c r="E5" s="205">
        <v>0.35271355482157896</v>
      </c>
      <c r="F5">
        <v>1</v>
      </c>
      <c r="G5" s="109">
        <f ca="1">_xlfn.NORM.INV(RAND(),$M$5,$M$6)</f>
        <v>0.13216360782997044</v>
      </c>
      <c r="I5" s="216" t="s">
        <v>140</v>
      </c>
      <c r="J5" s="216"/>
      <c r="K5" s="216"/>
      <c r="L5" s="216"/>
      <c r="M5" s="47">
        <f>AVERAGE(E5:E60)</f>
        <v>4.5623385900070437E-2</v>
      </c>
    </row>
    <row r="6" spans="1:13" x14ac:dyDescent="0.25">
      <c r="B6" s="204">
        <f>Beta!B38</f>
        <v>44937</v>
      </c>
      <c r="C6">
        <f>Beta!C38</f>
        <v>2379.8000000000002</v>
      </c>
      <c r="D6" s="205">
        <f t="shared" si="0"/>
        <v>-0.52153764186696427</v>
      </c>
      <c r="E6" s="205">
        <v>0.30539480540851882</v>
      </c>
      <c r="F6">
        <v>2</v>
      </c>
      <c r="G6" s="109">
        <f t="shared" ref="G6:G69" ca="1" si="1">_xlfn.NORM.INV(RAND(),$M$5,$M$6)</f>
        <v>9.6906363368470305E-2</v>
      </c>
      <c r="I6" s="206" t="s">
        <v>700</v>
      </c>
      <c r="J6" s="206"/>
      <c r="K6" s="206"/>
      <c r="L6" s="206"/>
      <c r="M6" s="217">
        <f>_xlfn.STDEV.S(E5:E60)</f>
        <v>0.10662605568970482</v>
      </c>
    </row>
    <row r="7" spans="1:13" x14ac:dyDescent="0.25">
      <c r="B7" s="204">
        <f>Beta!B44</f>
        <v>45296</v>
      </c>
      <c r="C7">
        <f>Beta!C44</f>
        <v>4973.8500000000004</v>
      </c>
      <c r="D7" s="205">
        <f t="shared" si="0"/>
        <v>6.2304840819886627</v>
      </c>
      <c r="E7" s="205">
        <v>0.26260677522941617</v>
      </c>
      <c r="F7">
        <v>3</v>
      </c>
      <c r="G7" s="109">
        <f t="shared" ca="1" si="1"/>
        <v>7.0750859994175297E-3</v>
      </c>
      <c r="I7" s="206" t="s">
        <v>701</v>
      </c>
      <c r="J7" s="206"/>
      <c r="K7" s="206"/>
      <c r="L7" s="206"/>
      <c r="M7" s="217">
        <f>MIN(E5:E60)</f>
        <v>-0.2155557813452551</v>
      </c>
    </row>
    <row r="8" spans="1:13" x14ac:dyDescent="0.25">
      <c r="B8" s="204">
        <f>Beta!B11</f>
        <v>44204</v>
      </c>
      <c r="C8">
        <f>Beta!C11</f>
        <v>687.9</v>
      </c>
      <c r="D8" s="205">
        <f t="shared" si="0"/>
        <v>-0.63723137771918259</v>
      </c>
      <c r="E8" s="205">
        <v>0.23242023039575763</v>
      </c>
      <c r="F8">
        <v>4</v>
      </c>
      <c r="G8" s="109">
        <f t="shared" ca="1" si="1"/>
        <v>-0.15993448331962817</v>
      </c>
      <c r="I8" s="206" t="s">
        <v>702</v>
      </c>
      <c r="J8" s="206"/>
      <c r="K8" s="206"/>
      <c r="L8" s="206"/>
      <c r="M8" s="217">
        <f>MAX(E5:E60)</f>
        <v>0.35271355482157896</v>
      </c>
    </row>
    <row r="9" spans="1:13" x14ac:dyDescent="0.25">
      <c r="B9" s="204">
        <f>Beta!B33</f>
        <v>44932</v>
      </c>
      <c r="C9">
        <f>Beta!C33</f>
        <v>1896.25</v>
      </c>
      <c r="D9" s="205">
        <f t="shared" si="0"/>
        <v>1.6269308027983653</v>
      </c>
      <c r="E9" s="205">
        <v>0.21669136943145145</v>
      </c>
      <c r="F9">
        <v>5</v>
      </c>
      <c r="G9" s="109">
        <f t="shared" ca="1" si="1"/>
        <v>-0.11405906912476634</v>
      </c>
      <c r="I9" s="206" t="s">
        <v>705</v>
      </c>
      <c r="J9" s="206"/>
      <c r="K9" s="206"/>
      <c r="L9" s="206"/>
      <c r="M9" s="207">
        <f>DCF!C39</f>
        <v>4321.6000000000004</v>
      </c>
    </row>
    <row r="10" spans="1:13" x14ac:dyDescent="0.25">
      <c r="B10" s="204">
        <f>Beta!B16</f>
        <v>44562</v>
      </c>
      <c r="C10">
        <f>Beta!C16</f>
        <v>721.85</v>
      </c>
      <c r="D10" s="205">
        <f t="shared" si="0"/>
        <v>-0.81675911000545776</v>
      </c>
      <c r="E10" s="205">
        <v>0.19249004675135872</v>
      </c>
      <c r="F10">
        <v>6</v>
      </c>
      <c r="G10" s="109">
        <f t="shared" ca="1" si="1"/>
        <v>6.6494237265084369E-2</v>
      </c>
    </row>
    <row r="11" spans="1:13" x14ac:dyDescent="0.25">
      <c r="B11" s="204">
        <f>Beta!B43</f>
        <v>45295</v>
      </c>
      <c r="C11">
        <f>Beta!C43</f>
        <v>3939.35</v>
      </c>
      <c r="D11" s="205">
        <f t="shared" si="0"/>
        <v>0.40490370898716116</v>
      </c>
      <c r="E11" s="205">
        <v>0.18405470393748119</v>
      </c>
      <c r="F11">
        <v>7</v>
      </c>
      <c r="G11" s="109">
        <f t="shared" ca="1" si="1"/>
        <v>-5.7970166023563488E-2</v>
      </c>
      <c r="I11" s="208" t="s">
        <v>703</v>
      </c>
      <c r="J11" s="208" t="s">
        <v>708</v>
      </c>
      <c r="K11" s="208" t="s">
        <v>704</v>
      </c>
      <c r="L11" s="208" t="s">
        <v>706</v>
      </c>
      <c r="M11" s="208" t="s">
        <v>707</v>
      </c>
    </row>
    <row r="12" spans="1:13" x14ac:dyDescent="0.25">
      <c r="B12" s="204">
        <f>Beta!B39</f>
        <v>44938</v>
      </c>
      <c r="C12">
        <f>Beta!C39</f>
        <v>2804</v>
      </c>
      <c r="D12" s="205">
        <f t="shared" si="0"/>
        <v>2.0506446173094708</v>
      </c>
      <c r="E12" s="205">
        <v>0.17825027313219588</v>
      </c>
      <c r="F12">
        <v>8</v>
      </c>
      <c r="G12" s="109">
        <f t="shared" ca="1" si="1"/>
        <v>-2.3956614664260925E-3</v>
      </c>
      <c r="I12" s="209">
        <v>0.05</v>
      </c>
      <c r="J12" s="210">
        <f>1-I12</f>
        <v>0.95</v>
      </c>
      <c r="K12" s="217">
        <f>_xlfn.PERCENTILE.INC($E$5:E60,I12)</f>
        <v>-6.7251294231284439E-2</v>
      </c>
      <c r="L12" s="212">
        <f>$M$9*(1-K12)</f>
        <v>4612.2331931499193</v>
      </c>
      <c r="M12" s="212">
        <f>$M$9-L12</f>
        <v>-290.63319314991895</v>
      </c>
    </row>
    <row r="13" spans="1:13" x14ac:dyDescent="0.25">
      <c r="B13" s="204">
        <f>Beta!B20</f>
        <v>44566</v>
      </c>
      <c r="C13">
        <f>Beta!C20</f>
        <v>919.15</v>
      </c>
      <c r="D13" s="205">
        <f t="shared" si="0"/>
        <v>-9.2197530864197547E-2</v>
      </c>
      <c r="E13" s="205">
        <v>0.15246692997304248</v>
      </c>
      <c r="F13">
        <v>9</v>
      </c>
      <c r="G13" s="109">
        <f t="shared" ca="1" si="1"/>
        <v>6.458324870943849E-2</v>
      </c>
      <c r="I13" s="209">
        <v>0.02</v>
      </c>
      <c r="J13" s="210">
        <f t="shared" ref="J13:J15" si="2">1-I13</f>
        <v>0.98</v>
      </c>
      <c r="K13" s="217">
        <f>_xlfn.PERCENTILE.INC($E$6:E61,I13)</f>
        <v>-7.9944937275489347E-2</v>
      </c>
      <c r="L13" s="212">
        <f t="shared" ref="L13:L15" si="3">$M$9*(1-K13)</f>
        <v>4667.0900409297556</v>
      </c>
      <c r="M13" s="212">
        <f t="shared" ref="M13:M15" si="4">$M$9-L13</f>
        <v>-345.4900409297552</v>
      </c>
    </row>
    <row r="14" spans="1:13" x14ac:dyDescent="0.25">
      <c r="B14" s="204">
        <f>Beta!B22</f>
        <v>44568</v>
      </c>
      <c r="C14">
        <f>Beta!C22</f>
        <v>1012.5</v>
      </c>
      <c r="D14" s="205">
        <f t="shared" si="0"/>
        <v>-0.11772394562565347</v>
      </c>
      <c r="E14" s="205">
        <v>0.14419708441631826</v>
      </c>
      <c r="F14">
        <v>10</v>
      </c>
      <c r="G14" s="109">
        <f t="shared" ca="1" si="1"/>
        <v>0.17862279291777872</v>
      </c>
      <c r="I14" s="209">
        <v>0.01</v>
      </c>
      <c r="J14" s="210">
        <f t="shared" si="2"/>
        <v>0.99</v>
      </c>
      <c r="K14" s="217">
        <f>_xlfn.PERCENTILE.INC($E$7:E62,I14)</f>
        <v>-0.14418755253360677</v>
      </c>
      <c r="L14" s="212">
        <f t="shared" si="3"/>
        <v>4944.7209270292351</v>
      </c>
      <c r="M14" s="212">
        <f t="shared" si="4"/>
        <v>-623.12092702923474</v>
      </c>
    </row>
    <row r="15" spans="1:13" x14ac:dyDescent="0.25">
      <c r="B15" s="204">
        <f>Beta!B23</f>
        <v>44569</v>
      </c>
      <c r="C15">
        <f>Beta!C23</f>
        <v>1147.5999999999999</v>
      </c>
      <c r="D15" s="205">
        <f t="shared" si="0"/>
        <v>-0.769284895760037</v>
      </c>
      <c r="E15" s="205">
        <v>0.13343209876543202</v>
      </c>
      <c r="F15">
        <v>11</v>
      </c>
      <c r="G15" s="109">
        <f t="shared" ca="1" si="1"/>
        <v>5.787393442204182E-2</v>
      </c>
      <c r="I15" s="214">
        <v>5.0000000000000001E-3</v>
      </c>
      <c r="J15" s="211">
        <f t="shared" si="2"/>
        <v>0.995</v>
      </c>
      <c r="K15" s="217">
        <f>_xlfn.PERCENTILE.INC($E$8:E63,I15)</f>
        <v>-0.18054495211689933</v>
      </c>
      <c r="L15" s="212">
        <f t="shared" si="3"/>
        <v>5101.8430650683931</v>
      </c>
      <c r="M15" s="212">
        <f t="shared" si="4"/>
        <v>-780.24306506839275</v>
      </c>
    </row>
    <row r="16" spans="1:13" x14ac:dyDescent="0.25">
      <c r="B16" s="204">
        <f>Beta!B56</f>
        <v>45662</v>
      </c>
      <c r="C16">
        <f>Beta!C56</f>
        <v>4974.1000000000004</v>
      </c>
      <c r="D16" s="205">
        <f t="shared" si="0"/>
        <v>4.7951121879279544E-2</v>
      </c>
      <c r="E16" s="205">
        <v>0.10833574723144472</v>
      </c>
      <c r="F16">
        <v>12</v>
      </c>
      <c r="G16" s="109">
        <f t="shared" ca="1" si="1"/>
        <v>-2.7490075125536667E-2</v>
      </c>
      <c r="I16" s="219"/>
      <c r="J16" s="220"/>
      <c r="K16" s="221"/>
      <c r="L16" s="41"/>
      <c r="M16" s="41"/>
    </row>
    <row r="17" spans="2:17" x14ac:dyDescent="0.25">
      <c r="B17" s="204">
        <f>Beta!B60</f>
        <v>45666</v>
      </c>
      <c r="C17">
        <f>Beta!C60</f>
        <v>4746.5</v>
      </c>
      <c r="D17" s="205">
        <f t="shared" si="0"/>
        <v>7.5036816740419594</v>
      </c>
      <c r="E17" s="205">
        <v>9.553155149332955E-2</v>
      </c>
      <c r="F17">
        <v>13</v>
      </c>
      <c r="G17" s="109">
        <f t="shared" ca="1" si="1"/>
        <v>-1.6372946396064722E-2</v>
      </c>
    </row>
    <row r="18" spans="2:17" x14ac:dyDescent="0.25">
      <c r="B18" s="204">
        <f>Beta!B10</f>
        <v>44203</v>
      </c>
      <c r="C18">
        <f>Beta!C10</f>
        <v>558.16999999999996</v>
      </c>
      <c r="D18" s="205">
        <f t="shared" si="0"/>
        <v>-0.59465661605048548</v>
      </c>
      <c r="E18" s="205">
        <v>9.2522998629868833E-2</v>
      </c>
      <c r="F18">
        <v>14</v>
      </c>
      <c r="G18" s="109">
        <f t="shared" ca="1" si="1"/>
        <v>2.3158043597709069E-2</v>
      </c>
      <c r="I18" s="218" t="s">
        <v>709</v>
      </c>
      <c r="J18" s="73"/>
      <c r="K18" s="73"/>
      <c r="L18" s="73"/>
      <c r="M18" s="73"/>
    </row>
    <row r="19" spans="2:17" x14ac:dyDescent="0.25">
      <c r="B19" s="204">
        <f>Beta!B26</f>
        <v>44572</v>
      </c>
      <c r="C19">
        <f>Beta!C26</f>
        <v>1377.03</v>
      </c>
      <c r="D19" s="205">
        <f t="shared" si="0"/>
        <v>8.8535449752179793E-2</v>
      </c>
      <c r="E19" s="205">
        <v>8.8535449752179793E-2</v>
      </c>
      <c r="F19">
        <v>15</v>
      </c>
      <c r="G19" s="109">
        <f t="shared" ca="1" si="1"/>
        <v>6.2262175036209649E-2</v>
      </c>
      <c r="I19" s="216" t="s">
        <v>140</v>
      </c>
      <c r="J19" s="216"/>
      <c r="K19" s="216"/>
      <c r="L19" s="216"/>
      <c r="M19" s="47">
        <f ca="1">AVERAGE(G5:G10004)</f>
        <v>4.6278390790876422E-2</v>
      </c>
    </row>
    <row r="20" spans="2:17" x14ac:dyDescent="0.25">
      <c r="B20" s="204">
        <f>Beta!B25</f>
        <v>44571</v>
      </c>
      <c r="C20">
        <f>Beta!C25</f>
        <v>1265.03</v>
      </c>
      <c r="D20" s="205">
        <f t="shared" si="0"/>
        <v>-0.61976856026450267</v>
      </c>
      <c r="E20" s="205">
        <v>7.8981261141390022E-2</v>
      </c>
      <c r="F20">
        <v>16</v>
      </c>
      <c r="G20" s="109">
        <f t="shared" ca="1" si="1"/>
        <v>0.13135310754441526</v>
      </c>
      <c r="I20" s="206" t="s">
        <v>700</v>
      </c>
      <c r="J20" s="206"/>
      <c r="K20" s="206"/>
      <c r="L20" s="206"/>
      <c r="M20" s="217">
        <f ca="1">_xlfn.STDEV.S(G5:G10004)</f>
        <v>0.10618244838825742</v>
      </c>
    </row>
    <row r="21" spans="2:17" x14ac:dyDescent="0.25">
      <c r="B21" s="204">
        <f>Beta!B42</f>
        <v>45294</v>
      </c>
      <c r="C21">
        <f>Beta!C42</f>
        <v>3327</v>
      </c>
      <c r="D21" s="205">
        <f t="shared" si="0"/>
        <v>-0.25867332159807477</v>
      </c>
      <c r="E21" s="205">
        <v>7.87762844311862E-2</v>
      </c>
      <c r="F21">
        <v>17</v>
      </c>
      <c r="G21" s="109">
        <f t="shared" ca="1" si="1"/>
        <v>6.6144932855390567E-2</v>
      </c>
      <c r="I21" s="206" t="s">
        <v>701</v>
      </c>
      <c r="J21" s="206"/>
      <c r="K21" s="206"/>
      <c r="L21" s="206"/>
      <c r="M21" s="217">
        <f ca="1">MIN(G5:G10004)</f>
        <v>-0.34829733514016303</v>
      </c>
    </row>
    <row r="22" spans="2:17" x14ac:dyDescent="0.25">
      <c r="B22" s="204">
        <f>Beta!B55</f>
        <v>45661</v>
      </c>
      <c r="C22">
        <f>Beta!C55</f>
        <v>4487.8999999999996</v>
      </c>
      <c r="D22" s="205">
        <f t="shared" si="0"/>
        <v>4.6271080183060622</v>
      </c>
      <c r="E22" s="205">
        <v>7.431567104333979E-2</v>
      </c>
      <c r="F22">
        <v>18</v>
      </c>
      <c r="G22" s="109">
        <f t="shared" ca="1" si="1"/>
        <v>-6.1856745206171515E-2</v>
      </c>
      <c r="I22" s="206" t="s">
        <v>702</v>
      </c>
      <c r="J22" s="206"/>
      <c r="K22" s="206"/>
      <c r="L22" s="206"/>
      <c r="M22" s="217">
        <f ca="1">MAX(G5:G10004)</f>
        <v>0.45594011241922733</v>
      </c>
    </row>
    <row r="23" spans="2:17" x14ac:dyDescent="0.25">
      <c r="B23" s="204">
        <f>Beta!B19</f>
        <v>44565</v>
      </c>
      <c r="C23">
        <f>Beta!C19</f>
        <v>797.55</v>
      </c>
      <c r="D23" s="205">
        <f t="shared" si="0"/>
        <v>7.4213751767795683E-2</v>
      </c>
      <c r="E23" s="205">
        <v>7.4213751767795683E-2</v>
      </c>
      <c r="F23">
        <v>19</v>
      </c>
      <c r="G23" s="109">
        <f t="shared" ca="1" si="1"/>
        <v>0.16120733017605954</v>
      </c>
      <c r="I23" s="206" t="s">
        <v>705</v>
      </c>
      <c r="J23" s="206"/>
      <c r="K23" s="206"/>
      <c r="L23" s="206"/>
      <c r="M23" s="207">
        <f>M9</f>
        <v>4321.6000000000004</v>
      </c>
    </row>
    <row r="24" spans="2:17" x14ac:dyDescent="0.25">
      <c r="B24" s="204">
        <f>Beta!B18</f>
        <v>44564</v>
      </c>
      <c r="C24">
        <f>Beta!C18</f>
        <v>742.45</v>
      </c>
      <c r="D24" s="205">
        <f t="shared" si="0"/>
        <v>-0.75246716009868631</v>
      </c>
      <c r="E24" s="205">
        <v>6.9997694125785506E-2</v>
      </c>
      <c r="F24">
        <v>20</v>
      </c>
      <c r="G24" s="109">
        <f t="shared" ca="1" si="1"/>
        <v>-2.0803826404727915E-2</v>
      </c>
    </row>
    <row r="25" spans="2:17" x14ac:dyDescent="0.25">
      <c r="B25" s="204">
        <f>Beta!B40</f>
        <v>45292</v>
      </c>
      <c r="C25">
        <f>Beta!C40</f>
        <v>2999.4</v>
      </c>
      <c r="D25" s="205">
        <f t="shared" si="0"/>
        <v>1.0542428600780771</v>
      </c>
      <c r="E25" s="205">
        <v>6.9686162624821718E-2</v>
      </c>
      <c r="F25">
        <v>21</v>
      </c>
      <c r="G25" s="109">
        <f t="shared" ca="1" si="1"/>
        <v>-5.0132241897899041E-2</v>
      </c>
      <c r="I25" s="208" t="s">
        <v>703</v>
      </c>
      <c r="J25" s="208" t="s">
        <v>708</v>
      </c>
      <c r="K25" s="208" t="s">
        <v>704</v>
      </c>
      <c r="L25" s="208" t="s">
        <v>706</v>
      </c>
      <c r="M25" s="208" t="s">
        <v>707</v>
      </c>
    </row>
    <row r="26" spans="2:17" x14ac:dyDescent="0.25">
      <c r="B26" s="204">
        <f>Beta!B31</f>
        <v>44930</v>
      </c>
      <c r="C26">
        <f>Beta!C31</f>
        <v>1460.1</v>
      </c>
      <c r="D26" s="205">
        <f t="shared" si="0"/>
        <v>-6.3155665915959308E-2</v>
      </c>
      <c r="E26" s="205">
        <v>6.923950056753686E-2</v>
      </c>
      <c r="F26">
        <v>22</v>
      </c>
      <c r="G26" s="109">
        <f t="shared" ca="1" si="1"/>
        <v>0.20600193181844195</v>
      </c>
      <c r="I26" s="209">
        <v>0.05</v>
      </c>
      <c r="J26" s="210">
        <f>1-I26</f>
        <v>0.95</v>
      </c>
      <c r="K26" s="217">
        <f ca="1">_xlfn.PERCENTILE.INC($G$5:$G$10004,I26)</f>
        <v>-0.12801169811549332</v>
      </c>
      <c r="L26" s="212">
        <f ca="1">$M$23*(1-K26)</f>
        <v>4874.815354575916</v>
      </c>
      <c r="M26" s="212">
        <f ca="1">$M$23-L26</f>
        <v>-553.21535457591563</v>
      </c>
      <c r="Q26" s="215"/>
    </row>
    <row r="27" spans="2:17" x14ac:dyDescent="0.25">
      <c r="B27" s="204">
        <f>Beta!B32</f>
        <v>44931</v>
      </c>
      <c r="C27">
        <f>Beta!C32</f>
        <v>1558.53</v>
      </c>
      <c r="D27" s="205">
        <f t="shared" si="0"/>
        <v>2.0543241813157742</v>
      </c>
      <c r="E27" s="205">
        <v>6.7413190877337215E-2</v>
      </c>
      <c r="F27">
        <v>23</v>
      </c>
      <c r="G27" s="109">
        <f t="shared" ca="1" si="1"/>
        <v>-5.582657703752586E-2</v>
      </c>
      <c r="I27" s="209">
        <v>0.02</v>
      </c>
      <c r="J27" s="210">
        <f t="shared" ref="J27:J29" si="5">1-I27</f>
        <v>0.98</v>
      </c>
      <c r="K27" s="217">
        <f t="shared" ref="K27:K29" ca="1" si="6">_xlfn.PERCENTILE.INC($G$5:$G$10004,I27)</f>
        <v>-0.17059205322901808</v>
      </c>
      <c r="L27" s="212">
        <f t="shared" ref="L27:L29" ca="1" si="7">$M$23*(1-K27)</f>
        <v>5058.8306172345256</v>
      </c>
      <c r="M27" s="212">
        <f t="shared" ref="M27:M29" ca="1" si="8">$M$23-L27</f>
        <v>-737.2306172345252</v>
      </c>
    </row>
    <row r="28" spans="2:17" x14ac:dyDescent="0.25">
      <c r="B28" s="204">
        <f>Beta!B8</f>
        <v>44201</v>
      </c>
      <c r="C28">
        <f>Beta!C8</f>
        <v>510.27</v>
      </c>
      <c r="D28" s="205">
        <f t="shared" si="0"/>
        <v>-0.62632638863461609</v>
      </c>
      <c r="E28" s="205">
        <v>6.6105342331237049E-2</v>
      </c>
      <c r="F28">
        <v>24</v>
      </c>
      <c r="G28" s="109">
        <f t="shared" ca="1" si="1"/>
        <v>-8.022859266983845E-4</v>
      </c>
      <c r="I28" s="209">
        <v>0.01</v>
      </c>
      <c r="J28" s="210">
        <f t="shared" si="5"/>
        <v>0.99</v>
      </c>
      <c r="K28" s="217">
        <f t="shared" ca="1" si="6"/>
        <v>-0.20383950151198843</v>
      </c>
      <c r="L28" s="212">
        <f t="shared" ca="1" si="7"/>
        <v>5202.5127897342099</v>
      </c>
      <c r="M28" s="212">
        <f t="shared" ca="1" si="8"/>
        <v>-880.91278973420958</v>
      </c>
    </row>
    <row r="29" spans="2:17" x14ac:dyDescent="0.25">
      <c r="B29" s="204">
        <f>Beta!B30</f>
        <v>44929</v>
      </c>
      <c r="C29">
        <f>Beta!C30</f>
        <v>1365.55</v>
      </c>
      <c r="D29" s="205">
        <f t="shared" si="0"/>
        <v>-0.7405993256399297</v>
      </c>
      <c r="E29" s="205">
        <v>6.0909761877015002E-2</v>
      </c>
      <c r="F29">
        <v>25</v>
      </c>
      <c r="G29" s="109">
        <f t="shared" ca="1" si="1"/>
        <v>8.6926889958824194E-2</v>
      </c>
      <c r="I29" s="214">
        <v>5.0000000000000001E-3</v>
      </c>
      <c r="J29" s="211">
        <f t="shared" si="5"/>
        <v>0.995</v>
      </c>
      <c r="K29" s="217">
        <f t="shared" ca="1" si="6"/>
        <v>-0.22987164782470934</v>
      </c>
      <c r="L29" s="212">
        <f t="shared" ca="1" si="7"/>
        <v>5315.0133132392648</v>
      </c>
      <c r="M29" s="212">
        <f t="shared" ca="1" si="8"/>
        <v>-993.41331323926443</v>
      </c>
    </row>
    <row r="30" spans="2:17" x14ac:dyDescent="0.25">
      <c r="B30" s="204">
        <f>Beta!B45</f>
        <v>45297</v>
      </c>
      <c r="C30">
        <f>Beta!C45</f>
        <v>5264.25</v>
      </c>
      <c r="D30" s="205">
        <f t="shared" si="0"/>
        <v>0.17588259602175627</v>
      </c>
      <c r="E30" s="205">
        <v>5.8385355408787885E-2</v>
      </c>
      <c r="F30">
        <v>26</v>
      </c>
      <c r="G30" s="109">
        <f t="shared" ca="1" si="1"/>
        <v>-0.20584833021185556</v>
      </c>
    </row>
    <row r="31" spans="2:17" x14ac:dyDescent="0.25">
      <c r="B31" s="204">
        <f>Beta!B50</f>
        <v>45302</v>
      </c>
      <c r="C31">
        <f>Beta!C50</f>
        <v>4476.8500000000004</v>
      </c>
      <c r="D31" s="205">
        <f t="shared" si="0"/>
        <v>1.26017922504102</v>
      </c>
      <c r="E31" s="205">
        <v>5.4195022017095758E-2</v>
      </c>
      <c r="F31">
        <v>27</v>
      </c>
      <c r="G31" s="109">
        <f t="shared" ca="1" si="1"/>
        <v>-0.11573266474107198</v>
      </c>
    </row>
    <row r="32" spans="2:17" x14ac:dyDescent="0.25">
      <c r="B32" s="204">
        <f>Beta!B34</f>
        <v>44933</v>
      </c>
      <c r="C32">
        <f>Beta!C34</f>
        <v>1980.75</v>
      </c>
      <c r="D32" s="205">
        <f t="shared" si="0"/>
        <v>-0.3577438757477992</v>
      </c>
      <c r="E32" s="205">
        <v>4.4561634805537244E-2</v>
      </c>
      <c r="F32">
        <v>28</v>
      </c>
      <c r="G32" s="109">
        <f t="shared" ca="1" si="1"/>
        <v>0.10310692999181492</v>
      </c>
    </row>
    <row r="33" spans="2:7" x14ac:dyDescent="0.25">
      <c r="B33" s="204">
        <f>Beta!B41</f>
        <v>45293</v>
      </c>
      <c r="C33">
        <f>Beta!C41</f>
        <v>3084.05</v>
      </c>
      <c r="D33" s="205">
        <f t="shared" si="0"/>
        <v>1.6304768728196992</v>
      </c>
      <c r="E33" s="205">
        <v>2.8222311128892473E-2</v>
      </c>
      <c r="F33">
        <v>29</v>
      </c>
      <c r="G33" s="109">
        <f t="shared" ca="1" si="1"/>
        <v>9.6715900057305848E-2</v>
      </c>
    </row>
    <row r="34" spans="2:7" x14ac:dyDescent="0.25">
      <c r="B34" s="204">
        <f>Beta!B24</f>
        <v>44570</v>
      </c>
      <c r="C34">
        <f>Beta!C24</f>
        <v>1172.43</v>
      </c>
      <c r="D34" s="205">
        <f t="shared" si="0"/>
        <v>-8.147724512899257E-2</v>
      </c>
      <c r="E34" s="205">
        <v>2.1636458696410035E-2</v>
      </c>
      <c r="F34">
        <v>30</v>
      </c>
      <c r="G34" s="109">
        <f t="shared" ca="1" si="1"/>
        <v>0.15948506520754474</v>
      </c>
    </row>
    <row r="35" spans="2:7" x14ac:dyDescent="0.25">
      <c r="B35" s="204">
        <f>Beta!B28</f>
        <v>44927</v>
      </c>
      <c r="C35">
        <f>Beta!C28</f>
        <v>1276.43</v>
      </c>
      <c r="D35" s="205">
        <f t="shared" si="0"/>
        <v>-8.3284776444082099E-3</v>
      </c>
      <c r="E35" s="205">
        <v>8.5332996215323233E-3</v>
      </c>
      <c r="F35">
        <v>31</v>
      </c>
      <c r="G35" s="109">
        <f t="shared" ca="1" si="1"/>
        <v>0.23690120481857529</v>
      </c>
    </row>
    <row r="36" spans="2:7" x14ac:dyDescent="0.25">
      <c r="B36" s="204">
        <f>Beta!B29</f>
        <v>44928</v>
      </c>
      <c r="C36">
        <f>Beta!C29</f>
        <v>1287.1500000000001</v>
      </c>
      <c r="D36" s="205">
        <f t="shared" si="0"/>
        <v>1.5193775689958899</v>
      </c>
      <c r="E36" s="205">
        <v>8.3984237286807949E-3</v>
      </c>
      <c r="F36">
        <v>32</v>
      </c>
      <c r="G36" s="109">
        <f t="shared" ca="1" si="1"/>
        <v>0.15629286483926713</v>
      </c>
    </row>
    <row r="37" spans="2:7" x14ac:dyDescent="0.25">
      <c r="B37" s="204">
        <f>Beta!B9</f>
        <v>44202</v>
      </c>
      <c r="C37">
        <f>Beta!C9</f>
        <v>510.9</v>
      </c>
      <c r="D37" s="205">
        <f t="shared" ref="D37:D60" si="9">(C37-C38)/C38</f>
        <v>-0.73503098825298863</v>
      </c>
      <c r="E37" s="205">
        <v>1.2346404844494003E-3</v>
      </c>
      <c r="F37">
        <v>33</v>
      </c>
      <c r="G37" s="109">
        <f t="shared" ca="1" si="1"/>
        <v>0.11997443661053912</v>
      </c>
    </row>
    <row r="38" spans="2:7" x14ac:dyDescent="0.25">
      <c r="B38" s="204">
        <f>Beta!B36</f>
        <v>44935</v>
      </c>
      <c r="C38">
        <f>Beta!C36</f>
        <v>1928.15</v>
      </c>
      <c r="D38" s="205">
        <f t="shared" si="9"/>
        <v>-0.58798452925338685</v>
      </c>
      <c r="E38" s="205">
        <v>-1.1281183498705227E-2</v>
      </c>
      <c r="F38">
        <v>34</v>
      </c>
      <c r="G38" s="109">
        <f t="shared" ca="1" si="1"/>
        <v>9.7611579712792773E-2</v>
      </c>
    </row>
    <row r="39" spans="2:7" x14ac:dyDescent="0.25">
      <c r="B39" s="204">
        <f>Beta!B61</f>
        <v>45667</v>
      </c>
      <c r="C39">
        <f>Beta!C61</f>
        <v>4679.8</v>
      </c>
      <c r="D39" s="205">
        <f t="shared" si="9"/>
        <v>1.399712842601851</v>
      </c>
      <c r="E39" s="205">
        <v>-1.40524597071526E-2</v>
      </c>
      <c r="F39">
        <v>35</v>
      </c>
      <c r="G39" s="109">
        <f t="shared" ca="1" si="1"/>
        <v>3.0468893422312009E-2</v>
      </c>
    </row>
    <row r="40" spans="2:7" x14ac:dyDescent="0.25">
      <c r="B40" s="204">
        <f>Beta!B35</f>
        <v>44934</v>
      </c>
      <c r="C40">
        <f>Beta!C35</f>
        <v>1950.15</v>
      </c>
      <c r="D40" s="205">
        <f t="shared" si="9"/>
        <v>1.8796402941437051</v>
      </c>
      <c r="E40" s="205">
        <v>-1.5448693676637591E-2</v>
      </c>
      <c r="F40">
        <v>36</v>
      </c>
      <c r="G40" s="109">
        <f t="shared" ca="1" si="1"/>
        <v>0.16559162845484948</v>
      </c>
    </row>
    <row r="41" spans="2:7" x14ac:dyDescent="0.25">
      <c r="B41" s="204">
        <f>Beta!B12</f>
        <v>44205</v>
      </c>
      <c r="C41">
        <f>Beta!C12</f>
        <v>677.22</v>
      </c>
      <c r="D41" s="205">
        <f t="shared" si="9"/>
        <v>-0.86093474064643305</v>
      </c>
      <c r="E41" s="205">
        <v>-1.5525512429132068E-2</v>
      </c>
      <c r="F41">
        <v>37</v>
      </c>
      <c r="G41" s="109">
        <f t="shared" ca="1" si="1"/>
        <v>0.15879085800705084</v>
      </c>
    </row>
    <row r="42" spans="2:7" x14ac:dyDescent="0.25">
      <c r="B42" s="204">
        <f>Beta!B57</f>
        <v>45663</v>
      </c>
      <c r="C42">
        <f>Beta!C57</f>
        <v>4869.8</v>
      </c>
      <c r="D42" s="205">
        <f t="shared" si="9"/>
        <v>6.6275354373874231</v>
      </c>
      <c r="E42" s="205">
        <v>-2.0968617438330589E-2</v>
      </c>
      <c r="F42">
        <v>38</v>
      </c>
      <c r="G42" s="109">
        <f t="shared" ca="1" si="1"/>
        <v>0.39657081295575247</v>
      </c>
    </row>
    <row r="43" spans="2:7" x14ac:dyDescent="0.25">
      <c r="B43" s="204">
        <f>Beta!B14</f>
        <v>44207</v>
      </c>
      <c r="C43">
        <f>Beta!C14</f>
        <v>638.45000000000005</v>
      </c>
      <c r="D43" s="205">
        <f t="shared" si="9"/>
        <v>-0.85522019139189986</v>
      </c>
      <c r="E43" s="205">
        <v>-2.2730751568957461E-2</v>
      </c>
      <c r="F43">
        <v>39</v>
      </c>
      <c r="G43" s="109">
        <f t="shared" ca="1" si="1"/>
        <v>0.14171887606535938</v>
      </c>
    </row>
    <row r="44" spans="2:7" x14ac:dyDescent="0.25">
      <c r="B44" s="204">
        <f>Beta!B63</f>
        <v>45669</v>
      </c>
      <c r="C44">
        <f>Beta!C63</f>
        <v>4409.8</v>
      </c>
      <c r="D44" s="205">
        <f t="shared" si="9"/>
        <v>-2.9191616766466949E-2</v>
      </c>
      <c r="E44" s="205">
        <v>-2.9191616766466949E-2</v>
      </c>
      <c r="F44">
        <v>40</v>
      </c>
      <c r="G44" s="109">
        <f t="shared" ca="1" si="1"/>
        <v>7.5356865930493316E-2</v>
      </c>
    </row>
    <row r="45" spans="2:7" x14ac:dyDescent="0.25">
      <c r="B45" s="204">
        <f>Beta!B62</f>
        <v>45668</v>
      </c>
      <c r="C45">
        <f>Beta!C62</f>
        <v>4542.3999999999996</v>
      </c>
      <c r="D45" s="205">
        <f t="shared" si="9"/>
        <v>5.9530078065207404</v>
      </c>
      <c r="E45" s="205">
        <v>-2.9360229069618476E-2</v>
      </c>
      <c r="F45">
        <v>41</v>
      </c>
      <c r="G45" s="109">
        <f t="shared" ca="1" si="1"/>
        <v>0.14575970090420415</v>
      </c>
    </row>
    <row r="46" spans="2:7" x14ac:dyDescent="0.25">
      <c r="B46" s="204">
        <f>Beta!B13</f>
        <v>44206</v>
      </c>
      <c r="C46">
        <f>Beta!C13</f>
        <v>653.29999999999995</v>
      </c>
      <c r="D46" s="205">
        <f t="shared" si="9"/>
        <v>-0.26172448864278453</v>
      </c>
      <c r="E46" s="205">
        <v>-3.5320870618115341E-2</v>
      </c>
      <c r="F46">
        <v>42</v>
      </c>
      <c r="G46" s="109">
        <f t="shared" ca="1" si="1"/>
        <v>0.28317190889981075</v>
      </c>
    </row>
    <row r="47" spans="2:7" x14ac:dyDescent="0.25">
      <c r="B47" s="204">
        <f>Beta!B21</f>
        <v>44567</v>
      </c>
      <c r="C47">
        <f>Beta!C21</f>
        <v>884.9</v>
      </c>
      <c r="D47" s="205">
        <f t="shared" si="9"/>
        <v>0.2752925577909725</v>
      </c>
      <c r="E47" s="205">
        <v>-3.726268835336996E-2</v>
      </c>
      <c r="F47">
        <v>43</v>
      </c>
      <c r="G47" s="109">
        <f t="shared" ca="1" si="1"/>
        <v>-0.14390721012513769</v>
      </c>
    </row>
    <row r="48" spans="2:7" x14ac:dyDescent="0.25">
      <c r="B48" s="204">
        <f>Beta!B17</f>
        <v>44563</v>
      </c>
      <c r="C48">
        <f>Beta!C17</f>
        <v>693.88</v>
      </c>
      <c r="D48" s="205">
        <f t="shared" si="9"/>
        <v>-0.83660724798078501</v>
      </c>
      <c r="E48" s="205">
        <v>-3.8747662256701565E-2</v>
      </c>
      <c r="F48">
        <v>44</v>
      </c>
      <c r="G48" s="109">
        <f t="shared" ca="1" si="1"/>
        <v>1.4527940376907428E-2</v>
      </c>
    </row>
    <row r="49" spans="2:7" x14ac:dyDescent="0.25">
      <c r="B49" s="204">
        <f>Beta!B49</f>
        <v>45301</v>
      </c>
      <c r="C49">
        <f>Beta!C49</f>
        <v>4246.7</v>
      </c>
      <c r="D49" s="205">
        <f t="shared" si="9"/>
        <v>-1.9826432165443508E-2</v>
      </c>
      <c r="E49" s="205">
        <v>-3.9349416940947561E-2</v>
      </c>
      <c r="F49">
        <v>45</v>
      </c>
      <c r="G49" s="109">
        <f t="shared" ca="1" si="1"/>
        <v>-1.6554096810415253E-2</v>
      </c>
    </row>
    <row r="50" spans="2:7" x14ac:dyDescent="0.25">
      <c r="B50" s="204">
        <f>Beta!B59</f>
        <v>45665</v>
      </c>
      <c r="C50">
        <f>Beta!C59</f>
        <v>4332.6000000000004</v>
      </c>
      <c r="D50" s="205">
        <f t="shared" si="9"/>
        <v>-7.4220878428188225E-2</v>
      </c>
      <c r="E50" s="205">
        <v>-4.4398861906967353E-2</v>
      </c>
      <c r="F50">
        <v>46</v>
      </c>
      <c r="G50" s="109">
        <f t="shared" ca="1" si="1"/>
        <v>0.11399555930820197</v>
      </c>
    </row>
    <row r="51" spans="2:7" x14ac:dyDescent="0.25">
      <c r="B51" s="204">
        <f>Beta!B47</f>
        <v>45299</v>
      </c>
      <c r="C51">
        <f>Beta!C47</f>
        <v>4679.95</v>
      </c>
      <c r="D51" s="205">
        <f t="shared" si="9"/>
        <v>6.7312375068144643</v>
      </c>
      <c r="E51" s="205">
        <v>-4.9341336827244488E-2</v>
      </c>
      <c r="F51">
        <v>47</v>
      </c>
      <c r="G51" s="109">
        <f t="shared" ca="1" si="1"/>
        <v>-8.5098851994677913E-2</v>
      </c>
    </row>
    <row r="52" spans="2:7" x14ac:dyDescent="0.25">
      <c r="B52" s="204">
        <f>Beta!B15</f>
        <v>44208</v>
      </c>
      <c r="C52">
        <f>Beta!C15</f>
        <v>605.33000000000004</v>
      </c>
      <c r="D52" s="205">
        <f t="shared" si="9"/>
        <v>-0.66795754367680527</v>
      </c>
      <c r="E52" s="205">
        <v>-5.1875636306680246E-2</v>
      </c>
      <c r="F52">
        <v>48</v>
      </c>
      <c r="G52" s="109">
        <f t="shared" ca="1" si="1"/>
        <v>-2.7576937285579195E-2</v>
      </c>
    </row>
    <row r="53" spans="2:7" x14ac:dyDescent="0.25">
      <c r="B53" s="204">
        <f>Beta!B37</f>
        <v>44936</v>
      </c>
      <c r="C53">
        <f>Beta!C37</f>
        <v>1823.05</v>
      </c>
      <c r="D53" s="205">
        <f t="shared" si="9"/>
        <v>-0.58760589506068106</v>
      </c>
      <c r="E53" s="205">
        <v>-5.450820734901337E-2</v>
      </c>
      <c r="F53">
        <v>49</v>
      </c>
      <c r="G53" s="109">
        <f t="shared" ca="1" si="1"/>
        <v>-0.14950060209961835</v>
      </c>
    </row>
    <row r="54" spans="2:7" x14ac:dyDescent="0.25">
      <c r="B54" s="204">
        <f>Beta!B48</f>
        <v>45300</v>
      </c>
      <c r="C54">
        <f>Beta!C48</f>
        <v>4420.6499999999996</v>
      </c>
      <c r="D54" s="205">
        <f t="shared" si="9"/>
        <v>0.12290438935175763</v>
      </c>
      <c r="E54" s="205">
        <v>-5.5406574856569024E-2</v>
      </c>
      <c r="F54">
        <v>50</v>
      </c>
      <c r="G54" s="109">
        <f t="shared" ca="1" si="1"/>
        <v>0.15831025821370187</v>
      </c>
    </row>
    <row r="55" spans="2:7" x14ac:dyDescent="0.25">
      <c r="B55" s="204">
        <f>Beta!B52</f>
        <v>45658</v>
      </c>
      <c r="C55">
        <f>Beta!C52</f>
        <v>3936.8</v>
      </c>
      <c r="D55" s="205">
        <f t="shared" si="9"/>
        <v>-0.20030063885757235</v>
      </c>
      <c r="E55" s="205">
        <v>-5.7809901037490917E-2</v>
      </c>
      <c r="F55">
        <v>51</v>
      </c>
      <c r="G55" s="109">
        <f t="shared" ca="1" si="1"/>
        <v>-4.8277319240048994E-2</v>
      </c>
    </row>
    <row r="56" spans="2:7" x14ac:dyDescent="0.25">
      <c r="B56" s="204">
        <f>Beta!B46</f>
        <v>45298</v>
      </c>
      <c r="C56">
        <f>Beta!C46</f>
        <v>4922.8500000000004</v>
      </c>
      <c r="D56" s="205">
        <f t="shared" si="9"/>
        <v>0.17818038220828794</v>
      </c>
      <c r="E56" s="205">
        <v>-6.4852543097307244E-2</v>
      </c>
      <c r="F56">
        <v>52</v>
      </c>
      <c r="G56" s="109">
        <f t="shared" ca="1" si="1"/>
        <v>-4.6148822106754778E-3</v>
      </c>
    </row>
    <row r="57" spans="2:7" x14ac:dyDescent="0.25">
      <c r="B57" s="204">
        <f>Beta!B51</f>
        <v>45303</v>
      </c>
      <c r="C57">
        <f>Beta!C51</f>
        <v>4178.3500000000004</v>
      </c>
      <c r="D57" s="205">
        <f t="shared" si="9"/>
        <v>-7.8420344515758911E-2</v>
      </c>
      <c r="E57" s="205">
        <v>-6.667634609155991E-2</v>
      </c>
      <c r="F57">
        <v>53</v>
      </c>
      <c r="G57" s="109">
        <f t="shared" ca="1" si="1"/>
        <v>4.6524998422854909E-2</v>
      </c>
    </row>
    <row r="58" spans="2:7" x14ac:dyDescent="0.25">
      <c r="B58" s="204">
        <f>Beta!B58</f>
        <v>45664</v>
      </c>
      <c r="C58">
        <f>Beta!C58</f>
        <v>4533.8999999999996</v>
      </c>
      <c r="D58" s="205">
        <f t="shared" si="9"/>
        <v>2.5823265883394035</v>
      </c>
      <c r="E58" s="205">
        <v>-6.8976138650458027E-2</v>
      </c>
      <c r="F58">
        <v>54</v>
      </c>
      <c r="G58" s="109">
        <f t="shared" ca="1" si="1"/>
        <v>8.2863320360682668E-3</v>
      </c>
    </row>
    <row r="59" spans="2:7" x14ac:dyDescent="0.25">
      <c r="B59" s="204">
        <f>Beta!B27</f>
        <v>44573</v>
      </c>
      <c r="C59">
        <f>Beta!C27</f>
        <v>1265.6300000000001</v>
      </c>
      <c r="D59" s="205">
        <f t="shared" si="9"/>
        <v>-0.59017226863545102</v>
      </c>
      <c r="E59" s="205">
        <v>-8.0898745851579024E-2</v>
      </c>
      <c r="F59">
        <v>55</v>
      </c>
      <c r="G59" s="109">
        <f t="shared" ca="1" si="1"/>
        <v>0.10037820912876663</v>
      </c>
    </row>
    <row r="60" spans="2:7" x14ac:dyDescent="0.25">
      <c r="B60" s="204">
        <f>Beta!B53</f>
        <v>45659</v>
      </c>
      <c r="C60">
        <f>Beta!C53</f>
        <v>3088.2</v>
      </c>
      <c r="D60" s="205" t="e">
        <f t="shared" si="9"/>
        <v>#DIV/0!</v>
      </c>
      <c r="E60" s="205">
        <v>-0.2155557813452551</v>
      </c>
      <c r="F60">
        <v>56</v>
      </c>
      <c r="G60" s="109">
        <f t="shared" ca="1" si="1"/>
        <v>1.3155387107375051E-2</v>
      </c>
    </row>
    <row r="61" spans="2:7" x14ac:dyDescent="0.25">
      <c r="B61" s="98"/>
      <c r="F61">
        <v>57</v>
      </c>
      <c r="G61" s="109">
        <f t="shared" ca="1" si="1"/>
        <v>1.0210057290129713E-2</v>
      </c>
    </row>
    <row r="62" spans="2:7" x14ac:dyDescent="0.25">
      <c r="B62" s="98"/>
      <c r="F62">
        <v>58</v>
      </c>
      <c r="G62" s="109">
        <f t="shared" ca="1" si="1"/>
        <v>0.12206600140098348</v>
      </c>
    </row>
    <row r="63" spans="2:7" x14ac:dyDescent="0.25">
      <c r="B63" s="98"/>
      <c r="F63">
        <v>59</v>
      </c>
      <c r="G63" s="109">
        <f t="shared" ca="1" si="1"/>
        <v>-5.705291991343342E-3</v>
      </c>
    </row>
    <row r="64" spans="2:7" x14ac:dyDescent="0.25">
      <c r="B64" s="98"/>
      <c r="F64">
        <v>60</v>
      </c>
      <c r="G64" s="109">
        <f t="shared" ca="1" si="1"/>
        <v>0.23650933888958853</v>
      </c>
    </row>
    <row r="65" spans="2:7" x14ac:dyDescent="0.25">
      <c r="B65" s="98"/>
      <c r="F65">
        <v>61</v>
      </c>
      <c r="G65" s="109">
        <f t="shared" ca="1" si="1"/>
        <v>2.9461805312587661E-2</v>
      </c>
    </row>
    <row r="66" spans="2:7" x14ac:dyDescent="0.25">
      <c r="B66" s="98"/>
      <c r="F66">
        <v>62</v>
      </c>
      <c r="G66" s="109">
        <f t="shared" ca="1" si="1"/>
        <v>5.0758106232835193E-2</v>
      </c>
    </row>
    <row r="67" spans="2:7" x14ac:dyDescent="0.25">
      <c r="B67" s="98"/>
      <c r="F67">
        <v>63</v>
      </c>
      <c r="G67" s="109">
        <f t="shared" ca="1" si="1"/>
        <v>0.14840756293975194</v>
      </c>
    </row>
    <row r="68" spans="2:7" x14ac:dyDescent="0.25">
      <c r="B68" s="98"/>
      <c r="F68">
        <v>64</v>
      </c>
      <c r="G68" s="109">
        <f t="shared" ca="1" si="1"/>
        <v>1.4465327641716465E-2</v>
      </c>
    </row>
    <row r="69" spans="2:7" x14ac:dyDescent="0.25">
      <c r="B69" s="98"/>
      <c r="F69">
        <v>65</v>
      </c>
      <c r="G69" s="109">
        <f t="shared" ca="1" si="1"/>
        <v>-4.9174950805709175E-2</v>
      </c>
    </row>
    <row r="70" spans="2:7" x14ac:dyDescent="0.25">
      <c r="B70" s="98"/>
      <c r="F70">
        <v>66</v>
      </c>
      <c r="G70" s="109">
        <f t="shared" ref="G70:G133" ca="1" si="10">_xlfn.NORM.INV(RAND(),$M$5,$M$6)</f>
        <v>0.12323070332910854</v>
      </c>
    </row>
    <row r="71" spans="2:7" x14ac:dyDescent="0.25">
      <c r="B71" s="98"/>
      <c r="F71">
        <v>67</v>
      </c>
      <c r="G71" s="109">
        <f t="shared" ca="1" si="10"/>
        <v>2.2953804004133271E-4</v>
      </c>
    </row>
    <row r="72" spans="2:7" x14ac:dyDescent="0.25">
      <c r="B72" s="98"/>
      <c r="F72">
        <v>68</v>
      </c>
      <c r="G72" s="109">
        <f t="shared" ca="1" si="10"/>
        <v>-6.6302672726468503E-2</v>
      </c>
    </row>
    <row r="73" spans="2:7" x14ac:dyDescent="0.25">
      <c r="B73" s="98"/>
      <c r="F73">
        <v>69</v>
      </c>
      <c r="G73" s="109">
        <f t="shared" ca="1" si="10"/>
        <v>0.12390944422737901</v>
      </c>
    </row>
    <row r="74" spans="2:7" x14ac:dyDescent="0.25">
      <c r="B74" s="98"/>
      <c r="F74">
        <v>70</v>
      </c>
      <c r="G74" s="109">
        <f t="shared" ca="1" si="10"/>
        <v>1.2052970814078613E-2</v>
      </c>
    </row>
    <row r="75" spans="2:7" x14ac:dyDescent="0.25">
      <c r="B75" s="98"/>
      <c r="F75">
        <v>71</v>
      </c>
      <c r="G75" s="109">
        <f t="shared" ca="1" si="10"/>
        <v>1.5961119050277445E-2</v>
      </c>
    </row>
    <row r="76" spans="2:7" x14ac:dyDescent="0.25">
      <c r="B76" s="98"/>
      <c r="F76">
        <v>72</v>
      </c>
      <c r="G76" s="109">
        <f t="shared" ca="1" si="10"/>
        <v>2.6425560426913259E-2</v>
      </c>
    </row>
    <row r="77" spans="2:7" x14ac:dyDescent="0.25">
      <c r="B77" s="98"/>
      <c r="F77">
        <v>73</v>
      </c>
      <c r="G77" s="109">
        <f t="shared" ca="1" si="10"/>
        <v>7.9227832312851881E-3</v>
      </c>
    </row>
    <row r="78" spans="2:7" x14ac:dyDescent="0.25">
      <c r="B78" s="98"/>
      <c r="F78">
        <v>74</v>
      </c>
      <c r="G78" s="109">
        <f t="shared" ca="1" si="10"/>
        <v>6.7127517208826343E-3</v>
      </c>
    </row>
    <row r="79" spans="2:7" x14ac:dyDescent="0.25">
      <c r="B79" s="98"/>
      <c r="F79">
        <v>75</v>
      </c>
      <c r="G79" s="109">
        <f t="shared" ca="1" si="10"/>
        <v>0.10368142259369018</v>
      </c>
    </row>
    <row r="80" spans="2:7" x14ac:dyDescent="0.25">
      <c r="B80" s="98"/>
      <c r="F80">
        <v>76</v>
      </c>
      <c r="G80" s="109">
        <f t="shared" ca="1" si="10"/>
        <v>0.1137345397980329</v>
      </c>
    </row>
    <row r="81" spans="2:7" x14ac:dyDescent="0.25">
      <c r="B81" s="98"/>
      <c r="F81">
        <v>77</v>
      </c>
      <c r="G81" s="109">
        <f t="shared" ca="1" si="10"/>
        <v>5.1531459121239298E-2</v>
      </c>
    </row>
    <row r="82" spans="2:7" x14ac:dyDescent="0.25">
      <c r="B82" s="98"/>
      <c r="F82">
        <v>78</v>
      </c>
      <c r="G82" s="109">
        <f t="shared" ca="1" si="10"/>
        <v>-1.0341102641905853E-2</v>
      </c>
    </row>
    <row r="83" spans="2:7" x14ac:dyDescent="0.25">
      <c r="B83" s="98"/>
      <c r="F83">
        <v>79</v>
      </c>
      <c r="G83" s="109">
        <f t="shared" ca="1" si="10"/>
        <v>0.2308745038299318</v>
      </c>
    </row>
    <row r="84" spans="2:7" x14ac:dyDescent="0.25">
      <c r="B84" s="98"/>
      <c r="F84">
        <v>80</v>
      </c>
      <c r="G84" s="109">
        <f t="shared" ca="1" si="10"/>
        <v>0.14893574194456838</v>
      </c>
    </row>
    <row r="85" spans="2:7" x14ac:dyDescent="0.25">
      <c r="B85" s="98"/>
      <c r="F85">
        <v>81</v>
      </c>
      <c r="G85" s="109">
        <f t="shared" ca="1" si="10"/>
        <v>5.855625514163821E-2</v>
      </c>
    </row>
    <row r="86" spans="2:7" x14ac:dyDescent="0.25">
      <c r="B86" s="98"/>
      <c r="F86">
        <v>82</v>
      </c>
      <c r="G86" s="109">
        <f t="shared" ca="1" si="10"/>
        <v>1.9185723105687225E-2</v>
      </c>
    </row>
    <row r="87" spans="2:7" x14ac:dyDescent="0.25">
      <c r="B87" s="98"/>
      <c r="F87">
        <v>83</v>
      </c>
      <c r="G87" s="109">
        <f t="shared" ca="1" si="10"/>
        <v>-5.2887823993370428E-2</v>
      </c>
    </row>
    <row r="88" spans="2:7" x14ac:dyDescent="0.25">
      <c r="B88" s="98"/>
      <c r="F88">
        <v>84</v>
      </c>
      <c r="G88" s="109">
        <f t="shared" ca="1" si="10"/>
        <v>9.1692490598397347E-3</v>
      </c>
    </row>
    <row r="89" spans="2:7" x14ac:dyDescent="0.25">
      <c r="B89" s="98"/>
      <c r="F89">
        <v>85</v>
      </c>
      <c r="G89" s="109">
        <f t="shared" ca="1" si="10"/>
        <v>4.1370622193405399E-2</v>
      </c>
    </row>
    <row r="90" spans="2:7" x14ac:dyDescent="0.25">
      <c r="B90" s="98"/>
      <c r="F90">
        <v>86</v>
      </c>
      <c r="G90" s="109">
        <f t="shared" ca="1" si="10"/>
        <v>0.11565790922284186</v>
      </c>
    </row>
    <row r="91" spans="2:7" x14ac:dyDescent="0.25">
      <c r="B91" s="98"/>
      <c r="F91">
        <v>87</v>
      </c>
      <c r="G91" s="109">
        <f t="shared" ca="1" si="10"/>
        <v>-5.7019769508784929E-2</v>
      </c>
    </row>
    <row r="92" spans="2:7" x14ac:dyDescent="0.25">
      <c r="B92" s="98"/>
      <c r="F92">
        <v>88</v>
      </c>
      <c r="G92" s="109">
        <f t="shared" ca="1" si="10"/>
        <v>2.9061016615855358E-2</v>
      </c>
    </row>
    <row r="93" spans="2:7" x14ac:dyDescent="0.25">
      <c r="B93" s="98"/>
      <c r="F93">
        <v>89</v>
      </c>
      <c r="G93" s="109">
        <f t="shared" ca="1" si="10"/>
        <v>-9.3301591176053952E-2</v>
      </c>
    </row>
    <row r="94" spans="2:7" x14ac:dyDescent="0.25">
      <c r="B94" s="98"/>
      <c r="F94">
        <v>90</v>
      </c>
      <c r="G94" s="109">
        <f t="shared" ca="1" si="10"/>
        <v>-5.460788929045543E-4</v>
      </c>
    </row>
    <row r="95" spans="2:7" x14ac:dyDescent="0.25">
      <c r="B95" s="98"/>
      <c r="F95">
        <v>91</v>
      </c>
      <c r="G95" s="109">
        <f t="shared" ca="1" si="10"/>
        <v>-5.6699261068979823E-3</v>
      </c>
    </row>
    <row r="96" spans="2:7" x14ac:dyDescent="0.25">
      <c r="B96" s="98"/>
      <c r="F96">
        <v>92</v>
      </c>
      <c r="G96" s="109">
        <f t="shared" ca="1" si="10"/>
        <v>-4.1821674189317939E-2</v>
      </c>
    </row>
    <row r="97" spans="2:7" x14ac:dyDescent="0.25">
      <c r="B97" s="98"/>
      <c r="F97">
        <v>93</v>
      </c>
      <c r="G97" s="109">
        <f t="shared" ca="1" si="10"/>
        <v>7.3200247486635409E-2</v>
      </c>
    </row>
    <row r="98" spans="2:7" x14ac:dyDescent="0.25">
      <c r="B98" s="98"/>
      <c r="F98">
        <v>94</v>
      </c>
      <c r="G98" s="109">
        <f t="shared" ca="1" si="10"/>
        <v>0.19654757903961118</v>
      </c>
    </row>
    <row r="99" spans="2:7" x14ac:dyDescent="0.25">
      <c r="B99" s="98"/>
      <c r="F99">
        <v>95</v>
      </c>
      <c r="G99" s="109">
        <f t="shared" ca="1" si="10"/>
        <v>3.948640357674997E-3</v>
      </c>
    </row>
    <row r="100" spans="2:7" x14ac:dyDescent="0.25">
      <c r="B100" s="98"/>
      <c r="F100">
        <v>96</v>
      </c>
      <c r="G100" s="109">
        <f t="shared" ca="1" si="10"/>
        <v>9.4894696169041226E-2</v>
      </c>
    </row>
    <row r="101" spans="2:7" x14ac:dyDescent="0.25">
      <c r="B101" s="98"/>
      <c r="F101">
        <v>97</v>
      </c>
      <c r="G101" s="109">
        <f t="shared" ca="1" si="10"/>
        <v>0.13911980177885508</v>
      </c>
    </row>
    <row r="102" spans="2:7" x14ac:dyDescent="0.25">
      <c r="B102" s="98"/>
      <c r="F102">
        <v>98</v>
      </c>
      <c r="G102" s="109">
        <f t="shared" ca="1" si="10"/>
        <v>-0.18013841047911161</v>
      </c>
    </row>
    <row r="103" spans="2:7" x14ac:dyDescent="0.25">
      <c r="B103" s="98"/>
      <c r="F103">
        <v>99</v>
      </c>
      <c r="G103" s="109">
        <f t="shared" ca="1" si="10"/>
        <v>-4.0533333470062105E-2</v>
      </c>
    </row>
    <row r="104" spans="2:7" x14ac:dyDescent="0.25">
      <c r="B104" s="98"/>
      <c r="F104">
        <v>100</v>
      </c>
      <c r="G104" s="109">
        <f t="shared" ca="1" si="10"/>
        <v>-3.2628405689618625E-2</v>
      </c>
    </row>
    <row r="105" spans="2:7" x14ac:dyDescent="0.25">
      <c r="B105" s="98"/>
      <c r="F105">
        <v>101</v>
      </c>
      <c r="G105" s="109">
        <f t="shared" ca="1" si="10"/>
        <v>0.18386492848940522</v>
      </c>
    </row>
    <row r="106" spans="2:7" x14ac:dyDescent="0.25">
      <c r="B106" s="98"/>
      <c r="F106">
        <v>102</v>
      </c>
      <c r="G106" s="109">
        <f t="shared" ca="1" si="10"/>
        <v>0.10441709433284219</v>
      </c>
    </row>
    <row r="107" spans="2:7" x14ac:dyDescent="0.25">
      <c r="B107" s="98"/>
      <c r="F107">
        <v>103</v>
      </c>
      <c r="G107" s="109">
        <f t="shared" ca="1" si="10"/>
        <v>2.4930121333052429E-2</v>
      </c>
    </row>
    <row r="108" spans="2:7" x14ac:dyDescent="0.25">
      <c r="B108" s="98"/>
      <c r="F108">
        <v>104</v>
      </c>
      <c r="G108" s="109">
        <f t="shared" ca="1" si="10"/>
        <v>0.18601672265737035</v>
      </c>
    </row>
    <row r="109" spans="2:7" x14ac:dyDescent="0.25">
      <c r="B109" s="98"/>
      <c r="F109">
        <v>105</v>
      </c>
      <c r="G109" s="109">
        <f t="shared" ca="1" si="10"/>
        <v>0.118568749414491</v>
      </c>
    </row>
    <row r="110" spans="2:7" x14ac:dyDescent="0.25">
      <c r="B110" s="98"/>
      <c r="F110">
        <v>106</v>
      </c>
      <c r="G110" s="109">
        <f t="shared" ca="1" si="10"/>
        <v>7.533768120769907E-2</v>
      </c>
    </row>
    <row r="111" spans="2:7" x14ac:dyDescent="0.25">
      <c r="B111" s="98"/>
      <c r="F111">
        <v>107</v>
      </c>
      <c r="G111" s="109">
        <f t="shared" ca="1" si="10"/>
        <v>-5.4929157103169576E-2</v>
      </c>
    </row>
    <row r="112" spans="2:7" x14ac:dyDescent="0.25">
      <c r="B112" s="98"/>
      <c r="F112">
        <v>108</v>
      </c>
      <c r="G112" s="109">
        <f t="shared" ca="1" si="10"/>
        <v>0.27946446912780171</v>
      </c>
    </row>
    <row r="113" spans="2:7" x14ac:dyDescent="0.25">
      <c r="B113" s="98"/>
      <c r="F113">
        <v>109</v>
      </c>
      <c r="G113" s="109">
        <f t="shared" ca="1" si="10"/>
        <v>-0.11631186190464661</v>
      </c>
    </row>
    <row r="114" spans="2:7" x14ac:dyDescent="0.25">
      <c r="B114" s="98"/>
      <c r="F114">
        <v>110</v>
      </c>
      <c r="G114" s="109">
        <f t="shared" ca="1" si="10"/>
        <v>-4.8522858563768964E-2</v>
      </c>
    </row>
    <row r="115" spans="2:7" x14ac:dyDescent="0.25">
      <c r="B115" s="98"/>
      <c r="F115">
        <v>111</v>
      </c>
      <c r="G115" s="109">
        <f t="shared" ca="1" si="10"/>
        <v>-0.12302349412955475</v>
      </c>
    </row>
    <row r="116" spans="2:7" x14ac:dyDescent="0.25">
      <c r="B116" s="98"/>
      <c r="F116">
        <v>112</v>
      </c>
      <c r="G116" s="109">
        <f t="shared" ca="1" si="10"/>
        <v>-0.10947923473405928</v>
      </c>
    </row>
    <row r="117" spans="2:7" x14ac:dyDescent="0.25">
      <c r="B117" s="98"/>
      <c r="F117">
        <v>113</v>
      </c>
      <c r="G117" s="109">
        <f t="shared" ca="1" si="10"/>
        <v>-8.1883945249862297E-3</v>
      </c>
    </row>
    <row r="118" spans="2:7" x14ac:dyDescent="0.25">
      <c r="B118" s="98"/>
      <c r="F118">
        <v>114</v>
      </c>
      <c r="G118" s="109">
        <f t="shared" ca="1" si="10"/>
        <v>0.19600616765816303</v>
      </c>
    </row>
    <row r="119" spans="2:7" x14ac:dyDescent="0.25">
      <c r="B119" s="98"/>
      <c r="F119">
        <v>115</v>
      </c>
      <c r="G119" s="109">
        <f t="shared" ca="1" si="10"/>
        <v>0.22886417306925316</v>
      </c>
    </row>
    <row r="120" spans="2:7" x14ac:dyDescent="0.25">
      <c r="B120" s="98"/>
      <c r="F120">
        <v>116</v>
      </c>
      <c r="G120" s="109">
        <f t="shared" ca="1" si="10"/>
        <v>8.5970452449247267E-2</v>
      </c>
    </row>
    <row r="121" spans="2:7" x14ac:dyDescent="0.25">
      <c r="B121" s="98"/>
      <c r="F121">
        <v>117</v>
      </c>
      <c r="G121" s="109">
        <f t="shared" ca="1" si="10"/>
        <v>9.6510161411463874E-2</v>
      </c>
    </row>
    <row r="122" spans="2:7" x14ac:dyDescent="0.25">
      <c r="B122" s="98"/>
      <c r="F122">
        <v>118</v>
      </c>
      <c r="G122" s="109">
        <f t="shared" ca="1" si="10"/>
        <v>0.25085138962730708</v>
      </c>
    </row>
    <row r="123" spans="2:7" x14ac:dyDescent="0.25">
      <c r="B123" s="98"/>
      <c r="F123">
        <v>119</v>
      </c>
      <c r="G123" s="109">
        <f t="shared" ca="1" si="10"/>
        <v>-1.7142336984043507E-2</v>
      </c>
    </row>
    <row r="124" spans="2:7" x14ac:dyDescent="0.25">
      <c r="B124" s="98"/>
      <c r="F124">
        <v>120</v>
      </c>
      <c r="G124" s="109">
        <f t="shared" ca="1" si="10"/>
        <v>6.877765837293047E-2</v>
      </c>
    </row>
    <row r="125" spans="2:7" x14ac:dyDescent="0.25">
      <c r="B125" s="98"/>
      <c r="F125">
        <v>121</v>
      </c>
      <c r="G125" s="109">
        <f t="shared" ca="1" si="10"/>
        <v>0.19752916086501665</v>
      </c>
    </row>
    <row r="126" spans="2:7" x14ac:dyDescent="0.25">
      <c r="B126" s="98"/>
      <c r="F126">
        <v>122</v>
      </c>
      <c r="G126" s="109">
        <f t="shared" ca="1" si="10"/>
        <v>-3.0446195052190247E-3</v>
      </c>
    </row>
    <row r="127" spans="2:7" x14ac:dyDescent="0.25">
      <c r="B127" s="98"/>
      <c r="F127">
        <v>123</v>
      </c>
      <c r="G127" s="109">
        <f t="shared" ca="1" si="10"/>
        <v>-0.14329012977688749</v>
      </c>
    </row>
    <row r="128" spans="2:7" x14ac:dyDescent="0.25">
      <c r="B128" s="98"/>
      <c r="F128">
        <v>124</v>
      </c>
      <c r="G128" s="109">
        <f t="shared" ca="1" si="10"/>
        <v>-3.1203051457728295E-2</v>
      </c>
    </row>
    <row r="129" spans="2:7" x14ac:dyDescent="0.25">
      <c r="B129" s="98"/>
      <c r="F129">
        <v>125</v>
      </c>
      <c r="G129" s="109">
        <f t="shared" ca="1" si="10"/>
        <v>0.11424506982853705</v>
      </c>
    </row>
    <row r="130" spans="2:7" x14ac:dyDescent="0.25">
      <c r="B130" s="98"/>
      <c r="F130">
        <v>126</v>
      </c>
      <c r="G130" s="109">
        <f t="shared" ca="1" si="10"/>
        <v>3.7642780466895558E-2</v>
      </c>
    </row>
    <row r="131" spans="2:7" x14ac:dyDescent="0.25">
      <c r="B131" s="98"/>
      <c r="F131">
        <v>127</v>
      </c>
      <c r="G131" s="109">
        <f t="shared" ca="1" si="10"/>
        <v>4.6026269544909841E-2</v>
      </c>
    </row>
    <row r="132" spans="2:7" x14ac:dyDescent="0.25">
      <c r="B132" s="98"/>
      <c r="F132">
        <v>128</v>
      </c>
      <c r="G132" s="109">
        <f t="shared" ca="1" si="10"/>
        <v>-0.1104453082705114</v>
      </c>
    </row>
    <row r="133" spans="2:7" x14ac:dyDescent="0.25">
      <c r="B133" s="98"/>
      <c r="F133">
        <v>129</v>
      </c>
      <c r="G133" s="109">
        <f t="shared" ca="1" si="10"/>
        <v>7.8435620664307079E-2</v>
      </c>
    </row>
    <row r="134" spans="2:7" x14ac:dyDescent="0.25">
      <c r="B134" s="98"/>
      <c r="F134">
        <v>130</v>
      </c>
      <c r="G134" s="109">
        <f t="shared" ref="G134:G197" ca="1" si="11">_xlfn.NORM.INV(RAND(),$M$5,$M$6)</f>
        <v>9.8020880241866643E-2</v>
      </c>
    </row>
    <row r="135" spans="2:7" x14ac:dyDescent="0.25">
      <c r="B135" s="98"/>
      <c r="F135">
        <v>131</v>
      </c>
      <c r="G135" s="109">
        <f t="shared" ca="1" si="11"/>
        <v>5.5968212928292321E-2</v>
      </c>
    </row>
    <row r="136" spans="2:7" x14ac:dyDescent="0.25">
      <c r="B136" s="98"/>
      <c r="F136">
        <v>132</v>
      </c>
      <c r="G136" s="109">
        <f t="shared" ca="1" si="11"/>
        <v>8.1452523090089629E-3</v>
      </c>
    </row>
    <row r="137" spans="2:7" x14ac:dyDescent="0.25">
      <c r="B137" s="98"/>
      <c r="F137">
        <v>133</v>
      </c>
      <c r="G137" s="109">
        <f t="shared" ca="1" si="11"/>
        <v>9.2473565866418389E-2</v>
      </c>
    </row>
    <row r="138" spans="2:7" x14ac:dyDescent="0.25">
      <c r="B138" s="98"/>
      <c r="F138">
        <v>134</v>
      </c>
      <c r="G138" s="109">
        <f t="shared" ca="1" si="11"/>
        <v>-7.8696601679151906E-2</v>
      </c>
    </row>
    <row r="139" spans="2:7" x14ac:dyDescent="0.25">
      <c r="B139" s="98"/>
      <c r="F139">
        <v>135</v>
      </c>
      <c r="G139" s="109">
        <f t="shared" ca="1" si="11"/>
        <v>0.19117086654861487</v>
      </c>
    </row>
    <row r="140" spans="2:7" x14ac:dyDescent="0.25">
      <c r="B140" s="98"/>
      <c r="F140">
        <v>136</v>
      </c>
      <c r="G140" s="109">
        <f t="shared" ca="1" si="11"/>
        <v>-9.075132880498403E-3</v>
      </c>
    </row>
    <row r="141" spans="2:7" x14ac:dyDescent="0.25">
      <c r="B141" s="98"/>
      <c r="F141">
        <v>137</v>
      </c>
      <c r="G141" s="109">
        <f t="shared" ca="1" si="11"/>
        <v>2.7152215048075395E-2</v>
      </c>
    </row>
    <row r="142" spans="2:7" x14ac:dyDescent="0.25">
      <c r="B142" s="98"/>
      <c r="F142">
        <v>138</v>
      </c>
      <c r="G142" s="109">
        <f t="shared" ca="1" si="11"/>
        <v>7.2001644722567842E-3</v>
      </c>
    </row>
    <row r="143" spans="2:7" x14ac:dyDescent="0.25">
      <c r="B143" s="98"/>
      <c r="F143">
        <v>139</v>
      </c>
      <c r="G143" s="109">
        <f t="shared" ca="1" si="11"/>
        <v>2.731772805558829E-2</v>
      </c>
    </row>
    <row r="144" spans="2:7" x14ac:dyDescent="0.25">
      <c r="B144" s="98"/>
      <c r="F144">
        <v>140</v>
      </c>
      <c r="G144" s="109">
        <f t="shared" ca="1" si="11"/>
        <v>7.944375898708067E-2</v>
      </c>
    </row>
    <row r="145" spans="2:7" x14ac:dyDescent="0.25">
      <c r="B145" s="98"/>
      <c r="F145">
        <v>141</v>
      </c>
      <c r="G145" s="109">
        <f t="shared" ca="1" si="11"/>
        <v>0.12571252838910923</v>
      </c>
    </row>
    <row r="146" spans="2:7" x14ac:dyDescent="0.25">
      <c r="B146" s="98"/>
      <c r="F146">
        <v>142</v>
      </c>
      <c r="G146" s="109">
        <f t="shared" ca="1" si="11"/>
        <v>0.17111327853369762</v>
      </c>
    </row>
    <row r="147" spans="2:7" x14ac:dyDescent="0.25">
      <c r="B147" s="98"/>
      <c r="F147">
        <v>143</v>
      </c>
      <c r="G147" s="109">
        <f t="shared" ca="1" si="11"/>
        <v>4.7835434186812513E-2</v>
      </c>
    </row>
    <row r="148" spans="2:7" x14ac:dyDescent="0.25">
      <c r="B148" s="98"/>
      <c r="F148">
        <v>144</v>
      </c>
      <c r="G148" s="109">
        <f t="shared" ca="1" si="11"/>
        <v>0.1775106820255602</v>
      </c>
    </row>
    <row r="149" spans="2:7" x14ac:dyDescent="0.25">
      <c r="B149" s="98"/>
      <c r="F149">
        <v>145</v>
      </c>
      <c r="G149" s="109">
        <f t="shared" ca="1" si="11"/>
        <v>-0.11512293798605801</v>
      </c>
    </row>
    <row r="150" spans="2:7" x14ac:dyDescent="0.25">
      <c r="B150" s="98"/>
      <c r="F150">
        <v>146</v>
      </c>
      <c r="G150" s="109">
        <f t="shared" ca="1" si="11"/>
        <v>4.2475697479408867E-2</v>
      </c>
    </row>
    <row r="151" spans="2:7" x14ac:dyDescent="0.25">
      <c r="B151" s="98"/>
      <c r="F151">
        <v>147</v>
      </c>
      <c r="G151" s="109">
        <f t="shared" ca="1" si="11"/>
        <v>4.6625148692449429E-2</v>
      </c>
    </row>
    <row r="152" spans="2:7" x14ac:dyDescent="0.25">
      <c r="B152" s="98"/>
      <c r="F152">
        <v>148</v>
      </c>
      <c r="G152" s="109">
        <f t="shared" ca="1" si="11"/>
        <v>6.1683878648978521E-2</v>
      </c>
    </row>
    <row r="153" spans="2:7" x14ac:dyDescent="0.25">
      <c r="B153" s="98"/>
      <c r="F153">
        <v>149</v>
      </c>
      <c r="G153" s="109">
        <f t="shared" ca="1" si="11"/>
        <v>0.16173717973837026</v>
      </c>
    </row>
    <row r="154" spans="2:7" x14ac:dyDescent="0.25">
      <c r="B154" s="98"/>
      <c r="F154">
        <v>150</v>
      </c>
      <c r="G154" s="109">
        <f t="shared" ca="1" si="11"/>
        <v>-1.1187197210144675E-2</v>
      </c>
    </row>
    <row r="155" spans="2:7" x14ac:dyDescent="0.25">
      <c r="B155" s="98"/>
      <c r="F155">
        <v>151</v>
      </c>
      <c r="G155" s="109">
        <f t="shared" ca="1" si="11"/>
        <v>2.8104739997168476E-2</v>
      </c>
    </row>
    <row r="156" spans="2:7" x14ac:dyDescent="0.25">
      <c r="B156" s="98"/>
      <c r="F156">
        <v>152</v>
      </c>
      <c r="G156" s="109">
        <f t="shared" ca="1" si="11"/>
        <v>0.18205449699428805</v>
      </c>
    </row>
    <row r="157" spans="2:7" x14ac:dyDescent="0.25">
      <c r="B157" s="98"/>
      <c r="F157">
        <v>153</v>
      </c>
      <c r="G157" s="109">
        <f t="shared" ca="1" si="11"/>
        <v>4.1440408634444086E-2</v>
      </c>
    </row>
    <row r="158" spans="2:7" x14ac:dyDescent="0.25">
      <c r="B158" s="98"/>
      <c r="F158">
        <v>154</v>
      </c>
      <c r="G158" s="109">
        <f t="shared" ca="1" si="11"/>
        <v>1.8044884864775488E-2</v>
      </c>
    </row>
    <row r="159" spans="2:7" x14ac:dyDescent="0.25">
      <c r="B159" s="98"/>
      <c r="F159">
        <v>155</v>
      </c>
      <c r="G159" s="109">
        <f t="shared" ca="1" si="11"/>
        <v>0.12428212506723274</v>
      </c>
    </row>
    <row r="160" spans="2:7" x14ac:dyDescent="0.25">
      <c r="B160" s="98"/>
      <c r="F160">
        <v>156</v>
      </c>
      <c r="G160" s="109">
        <f t="shared" ca="1" si="11"/>
        <v>0.14857001678946335</v>
      </c>
    </row>
    <row r="161" spans="2:7" x14ac:dyDescent="0.25">
      <c r="B161" s="98"/>
      <c r="F161">
        <v>157</v>
      </c>
      <c r="G161" s="109">
        <f t="shared" ca="1" si="11"/>
        <v>-4.0612907210666543E-2</v>
      </c>
    </row>
    <row r="162" spans="2:7" x14ac:dyDescent="0.25">
      <c r="B162" s="98"/>
      <c r="F162">
        <v>158</v>
      </c>
      <c r="G162" s="109">
        <f t="shared" ca="1" si="11"/>
        <v>0.12297842655258411</v>
      </c>
    </row>
    <row r="163" spans="2:7" x14ac:dyDescent="0.25">
      <c r="B163" s="98"/>
      <c r="F163">
        <v>159</v>
      </c>
      <c r="G163" s="109">
        <f t="shared" ca="1" si="11"/>
        <v>0.10125260851987489</v>
      </c>
    </row>
    <row r="164" spans="2:7" x14ac:dyDescent="0.25">
      <c r="B164" s="98"/>
      <c r="F164">
        <v>160</v>
      </c>
      <c r="G164" s="109">
        <f t="shared" ca="1" si="11"/>
        <v>0.11082716432871033</v>
      </c>
    </row>
    <row r="165" spans="2:7" x14ac:dyDescent="0.25">
      <c r="B165" s="98"/>
      <c r="F165">
        <v>161</v>
      </c>
      <c r="G165" s="109">
        <f t="shared" ca="1" si="11"/>
        <v>0.13649788435016447</v>
      </c>
    </row>
    <row r="166" spans="2:7" x14ac:dyDescent="0.25">
      <c r="B166" s="98"/>
      <c r="F166">
        <v>162</v>
      </c>
      <c r="G166" s="109">
        <f t="shared" ca="1" si="11"/>
        <v>-4.2769699881821888E-2</v>
      </c>
    </row>
    <row r="167" spans="2:7" x14ac:dyDescent="0.25">
      <c r="B167" s="98"/>
      <c r="F167">
        <v>163</v>
      </c>
      <c r="G167" s="109">
        <f t="shared" ca="1" si="11"/>
        <v>2.9626532327393734E-2</v>
      </c>
    </row>
    <row r="168" spans="2:7" x14ac:dyDescent="0.25">
      <c r="B168" s="98"/>
      <c r="F168">
        <v>164</v>
      </c>
      <c r="G168" s="109">
        <f t="shared" ca="1" si="11"/>
        <v>0.18372515182617671</v>
      </c>
    </row>
    <row r="169" spans="2:7" x14ac:dyDescent="0.25">
      <c r="B169" s="98"/>
      <c r="F169">
        <v>165</v>
      </c>
      <c r="G169" s="109">
        <f t="shared" ca="1" si="11"/>
        <v>-7.7891805329318206E-2</v>
      </c>
    </row>
    <row r="170" spans="2:7" x14ac:dyDescent="0.25">
      <c r="B170" s="98"/>
      <c r="F170">
        <v>166</v>
      </c>
      <c r="G170" s="109">
        <f t="shared" ca="1" si="11"/>
        <v>-0.11266954898524585</v>
      </c>
    </row>
    <row r="171" spans="2:7" x14ac:dyDescent="0.25">
      <c r="B171" s="98"/>
      <c r="F171">
        <v>167</v>
      </c>
      <c r="G171" s="109">
        <f t="shared" ca="1" si="11"/>
        <v>8.7377247385601917E-2</v>
      </c>
    </row>
    <row r="172" spans="2:7" x14ac:dyDescent="0.25">
      <c r="B172" s="98"/>
      <c r="F172">
        <v>168</v>
      </c>
      <c r="G172" s="109">
        <f t="shared" ca="1" si="11"/>
        <v>-2.0923638434651323E-2</v>
      </c>
    </row>
    <row r="173" spans="2:7" x14ac:dyDescent="0.25">
      <c r="B173" s="98"/>
      <c r="F173">
        <v>169</v>
      </c>
      <c r="G173" s="109">
        <f t="shared" ca="1" si="11"/>
        <v>3.6780248939203189E-2</v>
      </c>
    </row>
    <row r="174" spans="2:7" x14ac:dyDescent="0.25">
      <c r="B174" s="98"/>
      <c r="F174">
        <v>170</v>
      </c>
      <c r="G174" s="109">
        <f t="shared" ca="1" si="11"/>
        <v>-7.6011921763928847E-2</v>
      </c>
    </row>
    <row r="175" spans="2:7" x14ac:dyDescent="0.25">
      <c r="B175" s="98"/>
      <c r="F175">
        <v>171</v>
      </c>
      <c r="G175" s="109">
        <f t="shared" ca="1" si="11"/>
        <v>-0.11555735181665021</v>
      </c>
    </row>
    <row r="176" spans="2:7" x14ac:dyDescent="0.25">
      <c r="B176" s="98"/>
      <c r="F176">
        <v>172</v>
      </c>
      <c r="G176" s="109">
        <f t="shared" ca="1" si="11"/>
        <v>0.13800224462647426</v>
      </c>
    </row>
    <row r="177" spans="2:7" x14ac:dyDescent="0.25">
      <c r="B177" s="98"/>
      <c r="F177">
        <v>173</v>
      </c>
      <c r="G177" s="109">
        <f t="shared" ca="1" si="11"/>
        <v>9.9293168766566339E-2</v>
      </c>
    </row>
    <row r="178" spans="2:7" x14ac:dyDescent="0.25">
      <c r="B178" s="98"/>
      <c r="F178">
        <v>174</v>
      </c>
      <c r="G178" s="109">
        <f t="shared" ca="1" si="11"/>
        <v>0.16706337212917644</v>
      </c>
    </row>
    <row r="179" spans="2:7" x14ac:dyDescent="0.25">
      <c r="B179" s="98"/>
      <c r="F179">
        <v>175</v>
      </c>
      <c r="G179" s="109">
        <f t="shared" ca="1" si="11"/>
        <v>-1.587363723359566E-2</v>
      </c>
    </row>
    <row r="180" spans="2:7" x14ac:dyDescent="0.25">
      <c r="B180" s="98"/>
      <c r="F180">
        <v>176</v>
      </c>
      <c r="G180" s="109">
        <f t="shared" ca="1" si="11"/>
        <v>0.14835878755464815</v>
      </c>
    </row>
    <row r="181" spans="2:7" x14ac:dyDescent="0.25">
      <c r="B181" s="98"/>
      <c r="F181">
        <v>177</v>
      </c>
      <c r="G181" s="109">
        <f t="shared" ca="1" si="11"/>
        <v>1.7705502171275284E-2</v>
      </c>
    </row>
    <row r="182" spans="2:7" x14ac:dyDescent="0.25">
      <c r="B182" s="98"/>
      <c r="F182">
        <v>178</v>
      </c>
      <c r="G182" s="109">
        <f t="shared" ca="1" si="11"/>
        <v>0.22640976439688126</v>
      </c>
    </row>
    <row r="183" spans="2:7" x14ac:dyDescent="0.25">
      <c r="B183" s="98"/>
      <c r="F183">
        <v>179</v>
      </c>
      <c r="G183" s="109">
        <f t="shared" ca="1" si="11"/>
        <v>2.9767027029002722E-2</v>
      </c>
    </row>
    <row r="184" spans="2:7" x14ac:dyDescent="0.25">
      <c r="B184" s="98"/>
      <c r="F184">
        <v>180</v>
      </c>
      <c r="G184" s="109">
        <f t="shared" ca="1" si="11"/>
        <v>-2.171570758331752E-2</v>
      </c>
    </row>
    <row r="185" spans="2:7" x14ac:dyDescent="0.25">
      <c r="B185" s="98"/>
      <c r="F185">
        <v>181</v>
      </c>
      <c r="G185" s="109">
        <f t="shared" ca="1" si="11"/>
        <v>-2.458254672634351E-3</v>
      </c>
    </row>
    <row r="186" spans="2:7" x14ac:dyDescent="0.25">
      <c r="B186" s="98"/>
      <c r="F186">
        <v>182</v>
      </c>
      <c r="G186" s="109">
        <f t="shared" ca="1" si="11"/>
        <v>-0.18781798846720643</v>
      </c>
    </row>
    <row r="187" spans="2:7" x14ac:dyDescent="0.25">
      <c r="B187" s="98"/>
      <c r="F187">
        <v>183</v>
      </c>
      <c r="G187" s="109">
        <f t="shared" ca="1" si="11"/>
        <v>0.20528523407536398</v>
      </c>
    </row>
    <row r="188" spans="2:7" x14ac:dyDescent="0.25">
      <c r="B188" s="98"/>
      <c r="F188">
        <v>184</v>
      </c>
      <c r="G188" s="109">
        <f t="shared" ca="1" si="11"/>
        <v>0.139760000944953</v>
      </c>
    </row>
    <row r="189" spans="2:7" x14ac:dyDescent="0.25">
      <c r="B189" s="98"/>
      <c r="F189">
        <v>185</v>
      </c>
      <c r="G189" s="109">
        <f t="shared" ca="1" si="11"/>
        <v>8.538085743971667E-2</v>
      </c>
    </row>
    <row r="190" spans="2:7" x14ac:dyDescent="0.25">
      <c r="B190" s="98"/>
      <c r="F190">
        <v>186</v>
      </c>
      <c r="G190" s="109">
        <f t="shared" ca="1" si="11"/>
        <v>0.10032441319775404</v>
      </c>
    </row>
    <row r="191" spans="2:7" x14ac:dyDescent="0.25">
      <c r="B191" s="98"/>
      <c r="F191">
        <v>187</v>
      </c>
      <c r="G191" s="109">
        <f t="shared" ca="1" si="11"/>
        <v>6.4677362189805174E-2</v>
      </c>
    </row>
    <row r="192" spans="2:7" x14ac:dyDescent="0.25">
      <c r="B192" s="98"/>
      <c r="F192">
        <v>188</v>
      </c>
      <c r="G192" s="109">
        <f t="shared" ca="1" si="11"/>
        <v>0.10616263532833053</v>
      </c>
    </row>
    <row r="193" spans="2:7" x14ac:dyDescent="0.25">
      <c r="B193" s="98"/>
      <c r="F193">
        <v>189</v>
      </c>
      <c r="G193" s="109">
        <f t="shared" ca="1" si="11"/>
        <v>0.1484340682932683</v>
      </c>
    </row>
    <row r="194" spans="2:7" x14ac:dyDescent="0.25">
      <c r="B194" s="98"/>
      <c r="F194">
        <v>190</v>
      </c>
      <c r="G194" s="109">
        <f t="shared" ca="1" si="11"/>
        <v>4.8868839668539298E-2</v>
      </c>
    </row>
    <row r="195" spans="2:7" x14ac:dyDescent="0.25">
      <c r="B195" s="98"/>
      <c r="F195">
        <v>191</v>
      </c>
      <c r="G195" s="109">
        <f t="shared" ca="1" si="11"/>
        <v>1.3348790912322772E-2</v>
      </c>
    </row>
    <row r="196" spans="2:7" x14ac:dyDescent="0.25">
      <c r="B196" s="98"/>
      <c r="F196">
        <v>192</v>
      </c>
      <c r="G196" s="109">
        <f t="shared" ca="1" si="11"/>
        <v>0.31013468053664461</v>
      </c>
    </row>
    <row r="197" spans="2:7" x14ac:dyDescent="0.25">
      <c r="B197" s="98"/>
      <c r="F197">
        <v>193</v>
      </c>
      <c r="G197" s="109">
        <f t="shared" ca="1" si="11"/>
        <v>-3.3565806199137974E-2</v>
      </c>
    </row>
    <row r="198" spans="2:7" x14ac:dyDescent="0.25">
      <c r="B198" s="98"/>
      <c r="F198">
        <v>194</v>
      </c>
      <c r="G198" s="109">
        <f t="shared" ref="G198:G261" ca="1" si="12">_xlfn.NORM.INV(RAND(),$M$5,$M$6)</f>
        <v>-2.6053414045388551E-2</v>
      </c>
    </row>
    <row r="199" spans="2:7" x14ac:dyDescent="0.25">
      <c r="B199" s="98"/>
      <c r="F199">
        <v>195</v>
      </c>
      <c r="G199" s="109">
        <f t="shared" ca="1" si="12"/>
        <v>-9.1808206984758459E-2</v>
      </c>
    </row>
    <row r="200" spans="2:7" x14ac:dyDescent="0.25">
      <c r="B200" s="98"/>
      <c r="F200">
        <v>196</v>
      </c>
      <c r="G200" s="109">
        <f t="shared" ca="1" si="12"/>
        <v>-0.1177357075574068</v>
      </c>
    </row>
    <row r="201" spans="2:7" x14ac:dyDescent="0.25">
      <c r="B201" s="98"/>
      <c r="F201">
        <v>197</v>
      </c>
      <c r="G201" s="109">
        <f t="shared" ca="1" si="12"/>
        <v>-0.14197936380102966</v>
      </c>
    </row>
    <row r="202" spans="2:7" x14ac:dyDescent="0.25">
      <c r="B202" s="98"/>
      <c r="F202">
        <v>198</v>
      </c>
      <c r="G202" s="109">
        <f t="shared" ca="1" si="12"/>
        <v>-0.23897361607067447</v>
      </c>
    </row>
    <row r="203" spans="2:7" x14ac:dyDescent="0.25">
      <c r="B203" s="98"/>
      <c r="F203">
        <v>199</v>
      </c>
      <c r="G203" s="109">
        <f t="shared" ca="1" si="12"/>
        <v>-0.14713797465003992</v>
      </c>
    </row>
    <row r="204" spans="2:7" x14ac:dyDescent="0.25">
      <c r="B204" s="98"/>
      <c r="F204">
        <v>200</v>
      </c>
      <c r="G204" s="109">
        <f t="shared" ca="1" si="12"/>
        <v>3.4725716333747492E-2</v>
      </c>
    </row>
    <row r="205" spans="2:7" x14ac:dyDescent="0.25">
      <c r="B205" s="98"/>
      <c r="F205">
        <v>201</v>
      </c>
      <c r="G205" s="109">
        <f t="shared" ca="1" si="12"/>
        <v>3.936329575153584E-2</v>
      </c>
    </row>
    <row r="206" spans="2:7" x14ac:dyDescent="0.25">
      <c r="B206" s="98"/>
      <c r="F206">
        <v>202</v>
      </c>
      <c r="G206" s="109">
        <f t="shared" ca="1" si="12"/>
        <v>8.2412524129849896E-2</v>
      </c>
    </row>
    <row r="207" spans="2:7" x14ac:dyDescent="0.25">
      <c r="B207" s="98"/>
      <c r="F207">
        <v>203</v>
      </c>
      <c r="G207" s="109">
        <f t="shared" ca="1" si="12"/>
        <v>0.210581411707919</v>
      </c>
    </row>
    <row r="208" spans="2:7" x14ac:dyDescent="0.25">
      <c r="B208" s="98"/>
      <c r="F208">
        <v>204</v>
      </c>
      <c r="G208" s="109">
        <f t="shared" ca="1" si="12"/>
        <v>3.5459028076957749E-3</v>
      </c>
    </row>
    <row r="209" spans="2:7" x14ac:dyDescent="0.25">
      <c r="B209" s="98"/>
      <c r="F209">
        <v>205</v>
      </c>
      <c r="G209" s="109">
        <f t="shared" ca="1" si="12"/>
        <v>-0.14322011121599548</v>
      </c>
    </row>
    <row r="210" spans="2:7" x14ac:dyDescent="0.25">
      <c r="B210" s="98"/>
      <c r="F210">
        <v>206</v>
      </c>
      <c r="G210" s="109">
        <f t="shared" ca="1" si="12"/>
        <v>5.9662190789479215E-2</v>
      </c>
    </row>
    <row r="211" spans="2:7" x14ac:dyDescent="0.25">
      <c r="B211" s="98"/>
      <c r="F211">
        <v>207</v>
      </c>
      <c r="G211" s="109">
        <f t="shared" ca="1" si="12"/>
        <v>0.28981839086465178</v>
      </c>
    </row>
    <row r="212" spans="2:7" x14ac:dyDescent="0.25">
      <c r="B212" s="98"/>
      <c r="F212">
        <v>208</v>
      </c>
      <c r="G212" s="109">
        <f t="shared" ca="1" si="12"/>
        <v>-0.12617033112183917</v>
      </c>
    </row>
    <row r="213" spans="2:7" x14ac:dyDescent="0.25">
      <c r="B213" s="98"/>
      <c r="F213">
        <v>209</v>
      </c>
      <c r="G213" s="109">
        <f t="shared" ca="1" si="12"/>
        <v>7.0647336475301067E-2</v>
      </c>
    </row>
    <row r="214" spans="2:7" x14ac:dyDescent="0.25">
      <c r="B214" s="98"/>
      <c r="F214">
        <v>210</v>
      </c>
      <c r="G214" s="109">
        <f t="shared" ca="1" si="12"/>
        <v>3.268702032425394E-2</v>
      </c>
    </row>
    <row r="215" spans="2:7" x14ac:dyDescent="0.25">
      <c r="B215" s="98"/>
      <c r="F215">
        <v>211</v>
      </c>
      <c r="G215" s="109">
        <f t="shared" ca="1" si="12"/>
        <v>9.4872413297748537E-2</v>
      </c>
    </row>
    <row r="216" spans="2:7" x14ac:dyDescent="0.25">
      <c r="B216" s="98"/>
      <c r="F216">
        <v>212</v>
      </c>
      <c r="G216" s="109">
        <f t="shared" ca="1" si="12"/>
        <v>9.6903264763844324E-2</v>
      </c>
    </row>
    <row r="217" spans="2:7" x14ac:dyDescent="0.25">
      <c r="B217" s="98"/>
      <c r="F217">
        <v>213</v>
      </c>
      <c r="G217" s="109">
        <f t="shared" ca="1" si="12"/>
        <v>0.15833904076367522</v>
      </c>
    </row>
    <row r="218" spans="2:7" x14ac:dyDescent="0.25">
      <c r="B218" s="98"/>
      <c r="F218">
        <v>214</v>
      </c>
      <c r="G218" s="109">
        <f t="shared" ca="1" si="12"/>
        <v>-3.2386185536691398E-2</v>
      </c>
    </row>
    <row r="219" spans="2:7" x14ac:dyDescent="0.25">
      <c r="B219" s="98"/>
      <c r="F219">
        <v>215</v>
      </c>
      <c r="G219" s="109">
        <f t="shared" ca="1" si="12"/>
        <v>0.1443581249860581</v>
      </c>
    </row>
    <row r="220" spans="2:7" x14ac:dyDescent="0.25">
      <c r="B220" s="98"/>
      <c r="F220">
        <v>216</v>
      </c>
      <c r="G220" s="109">
        <f t="shared" ca="1" si="12"/>
        <v>-1.8433143272769778E-2</v>
      </c>
    </row>
    <row r="221" spans="2:7" x14ac:dyDescent="0.25">
      <c r="B221" s="98"/>
      <c r="F221">
        <v>217</v>
      </c>
      <c r="G221" s="109">
        <f t="shared" ca="1" si="12"/>
        <v>0.23768134385420864</v>
      </c>
    </row>
    <row r="222" spans="2:7" x14ac:dyDescent="0.25">
      <c r="B222" s="98"/>
      <c r="F222">
        <v>218</v>
      </c>
      <c r="G222" s="109">
        <f t="shared" ca="1" si="12"/>
        <v>3.1250560925056077E-2</v>
      </c>
    </row>
    <row r="223" spans="2:7" x14ac:dyDescent="0.25">
      <c r="B223" s="98"/>
      <c r="F223">
        <v>219</v>
      </c>
      <c r="G223" s="109">
        <f t="shared" ca="1" si="12"/>
        <v>-3.2811812816724503E-2</v>
      </c>
    </row>
    <row r="224" spans="2:7" x14ac:dyDescent="0.25">
      <c r="B224" s="98"/>
      <c r="F224">
        <v>220</v>
      </c>
      <c r="G224" s="109">
        <f t="shared" ca="1" si="12"/>
        <v>7.8545931417707299E-2</v>
      </c>
    </row>
    <row r="225" spans="2:7" x14ac:dyDescent="0.25">
      <c r="B225" s="98"/>
      <c r="F225">
        <v>221</v>
      </c>
      <c r="G225" s="109">
        <f t="shared" ca="1" si="12"/>
        <v>-5.3628607381907806E-2</v>
      </c>
    </row>
    <row r="226" spans="2:7" x14ac:dyDescent="0.25">
      <c r="B226" s="98"/>
      <c r="F226">
        <v>222</v>
      </c>
      <c r="G226" s="109">
        <f t="shared" ca="1" si="12"/>
        <v>0.13454502526565781</v>
      </c>
    </row>
    <row r="227" spans="2:7" x14ac:dyDescent="0.25">
      <c r="B227" s="98"/>
      <c r="F227">
        <v>223</v>
      </c>
      <c r="G227" s="109">
        <f t="shared" ca="1" si="12"/>
        <v>7.1302543864358553E-2</v>
      </c>
    </row>
    <row r="228" spans="2:7" x14ac:dyDescent="0.25">
      <c r="B228" s="98"/>
      <c r="F228">
        <v>224</v>
      </c>
      <c r="G228" s="109">
        <f t="shared" ca="1" si="12"/>
        <v>-8.2275330287972306E-2</v>
      </c>
    </row>
    <row r="229" spans="2:7" x14ac:dyDescent="0.25">
      <c r="B229" s="98"/>
      <c r="F229">
        <v>225</v>
      </c>
      <c r="G229" s="109">
        <f t="shared" ca="1" si="12"/>
        <v>0.19391770729997926</v>
      </c>
    </row>
    <row r="230" spans="2:7" x14ac:dyDescent="0.25">
      <c r="B230" s="98"/>
      <c r="F230">
        <v>226</v>
      </c>
      <c r="G230" s="109">
        <f t="shared" ca="1" si="12"/>
        <v>7.1894890068622069E-2</v>
      </c>
    </row>
    <row r="231" spans="2:7" x14ac:dyDescent="0.25">
      <c r="B231" s="98"/>
      <c r="F231">
        <v>227</v>
      </c>
      <c r="G231" s="109">
        <f t="shared" ca="1" si="12"/>
        <v>3.2427946478711625E-2</v>
      </c>
    </row>
    <row r="232" spans="2:7" x14ac:dyDescent="0.25">
      <c r="B232" s="98"/>
      <c r="F232">
        <v>228</v>
      </c>
      <c r="G232" s="109">
        <f t="shared" ca="1" si="12"/>
        <v>-1.7443879668463988E-2</v>
      </c>
    </row>
    <row r="233" spans="2:7" x14ac:dyDescent="0.25">
      <c r="B233" s="98"/>
      <c r="F233">
        <v>229</v>
      </c>
      <c r="G233" s="109">
        <f t="shared" ca="1" si="12"/>
        <v>1.0218333930475929E-2</v>
      </c>
    </row>
    <row r="234" spans="2:7" x14ac:dyDescent="0.25">
      <c r="B234" s="98"/>
      <c r="F234">
        <v>230</v>
      </c>
      <c r="G234" s="109">
        <f t="shared" ca="1" si="12"/>
        <v>8.6320995703461564E-3</v>
      </c>
    </row>
    <row r="235" spans="2:7" x14ac:dyDescent="0.25">
      <c r="B235" s="98"/>
      <c r="F235">
        <v>231</v>
      </c>
      <c r="G235" s="109">
        <f t="shared" ca="1" si="12"/>
        <v>3.2916405425741105E-2</v>
      </c>
    </row>
    <row r="236" spans="2:7" x14ac:dyDescent="0.25">
      <c r="B236" s="98"/>
      <c r="F236">
        <v>232</v>
      </c>
      <c r="G236" s="109">
        <f t="shared" ca="1" si="12"/>
        <v>0.15907162654503001</v>
      </c>
    </row>
    <row r="237" spans="2:7" x14ac:dyDescent="0.25">
      <c r="B237" s="98"/>
      <c r="F237">
        <v>233</v>
      </c>
      <c r="G237" s="109">
        <f t="shared" ca="1" si="12"/>
        <v>3.6254641250501027E-2</v>
      </c>
    </row>
    <row r="238" spans="2:7" x14ac:dyDescent="0.25">
      <c r="B238" s="98"/>
      <c r="F238">
        <v>234</v>
      </c>
      <c r="G238" s="109">
        <f t="shared" ca="1" si="12"/>
        <v>-3.7814725737314911E-2</v>
      </c>
    </row>
    <row r="239" spans="2:7" x14ac:dyDescent="0.25">
      <c r="B239" s="98"/>
      <c r="F239">
        <v>235</v>
      </c>
      <c r="G239" s="109">
        <f t="shared" ca="1" si="12"/>
        <v>0.10488759292712567</v>
      </c>
    </row>
    <row r="240" spans="2:7" x14ac:dyDescent="0.25">
      <c r="B240" s="98"/>
      <c r="F240">
        <v>236</v>
      </c>
      <c r="G240" s="109">
        <f t="shared" ca="1" si="12"/>
        <v>-0.21131806253288982</v>
      </c>
    </row>
    <row r="241" spans="2:7" x14ac:dyDescent="0.25">
      <c r="B241" s="98"/>
      <c r="F241">
        <v>237</v>
      </c>
      <c r="G241" s="109">
        <f t="shared" ca="1" si="12"/>
        <v>-0.14370478173738754</v>
      </c>
    </row>
    <row r="242" spans="2:7" x14ac:dyDescent="0.25">
      <c r="B242" s="98"/>
      <c r="F242">
        <v>238</v>
      </c>
      <c r="G242" s="109">
        <f t="shared" ca="1" si="12"/>
        <v>-1.4972322386498489E-2</v>
      </c>
    </row>
    <row r="243" spans="2:7" x14ac:dyDescent="0.25">
      <c r="B243" s="98"/>
      <c r="F243">
        <v>239</v>
      </c>
      <c r="G243" s="109">
        <f t="shared" ca="1" si="12"/>
        <v>-3.7653588709454955E-2</v>
      </c>
    </row>
    <row r="244" spans="2:7" x14ac:dyDescent="0.25">
      <c r="B244" s="98"/>
      <c r="F244">
        <v>240</v>
      </c>
      <c r="G244" s="109">
        <f t="shared" ca="1" si="12"/>
        <v>-5.133691580409884E-2</v>
      </c>
    </row>
    <row r="245" spans="2:7" x14ac:dyDescent="0.25">
      <c r="B245" s="98"/>
      <c r="F245">
        <v>241</v>
      </c>
      <c r="G245" s="109">
        <f t="shared" ca="1" si="12"/>
        <v>-0.15323115071441479</v>
      </c>
    </row>
    <row r="246" spans="2:7" x14ac:dyDescent="0.25">
      <c r="B246" s="98"/>
      <c r="F246">
        <v>242</v>
      </c>
      <c r="G246" s="109">
        <f t="shared" ca="1" si="12"/>
        <v>-8.2022049683171075E-2</v>
      </c>
    </row>
    <row r="247" spans="2:7" x14ac:dyDescent="0.25">
      <c r="B247" s="98"/>
      <c r="F247">
        <v>243</v>
      </c>
      <c r="G247" s="109">
        <f t="shared" ca="1" si="12"/>
        <v>5.6601404917345111E-2</v>
      </c>
    </row>
    <row r="248" spans="2:7" x14ac:dyDescent="0.25">
      <c r="B248" s="98"/>
      <c r="F248">
        <v>244</v>
      </c>
      <c r="G248" s="109">
        <f t="shared" ca="1" si="12"/>
        <v>8.4373540720902918E-2</v>
      </c>
    </row>
    <row r="249" spans="2:7" x14ac:dyDescent="0.25">
      <c r="B249" s="98"/>
      <c r="F249">
        <v>245</v>
      </c>
      <c r="G249" s="109">
        <f t="shared" ca="1" si="12"/>
        <v>8.9499981045096988E-2</v>
      </c>
    </row>
    <row r="250" spans="2:7" x14ac:dyDescent="0.25">
      <c r="B250" s="98"/>
      <c r="F250">
        <v>246</v>
      </c>
      <c r="G250" s="109">
        <f t="shared" ca="1" si="12"/>
        <v>6.2234980538075572E-2</v>
      </c>
    </row>
    <row r="251" spans="2:7" x14ac:dyDescent="0.25">
      <c r="B251" s="98"/>
      <c r="F251">
        <v>247</v>
      </c>
      <c r="G251" s="109">
        <f t="shared" ca="1" si="12"/>
        <v>0.17840265331519856</v>
      </c>
    </row>
    <row r="252" spans="2:7" x14ac:dyDescent="0.25">
      <c r="B252" s="98"/>
      <c r="F252">
        <v>248</v>
      </c>
      <c r="G252" s="109">
        <f t="shared" ca="1" si="12"/>
        <v>0.12157808526393797</v>
      </c>
    </row>
    <row r="253" spans="2:7" x14ac:dyDescent="0.25">
      <c r="B253" s="98"/>
      <c r="F253">
        <v>249</v>
      </c>
      <c r="G253" s="109">
        <f t="shared" ca="1" si="12"/>
        <v>6.5885735307469953E-3</v>
      </c>
    </row>
    <row r="254" spans="2:7" x14ac:dyDescent="0.25">
      <c r="B254" s="98"/>
      <c r="F254">
        <v>250</v>
      </c>
      <c r="G254" s="109">
        <f t="shared" ca="1" si="12"/>
        <v>1.7884751173676314E-2</v>
      </c>
    </row>
    <row r="255" spans="2:7" x14ac:dyDescent="0.25">
      <c r="B255" s="98"/>
      <c r="F255">
        <v>251</v>
      </c>
      <c r="G255" s="109">
        <f t="shared" ca="1" si="12"/>
        <v>2.4081829169365215E-3</v>
      </c>
    </row>
    <row r="256" spans="2:7" x14ac:dyDescent="0.25">
      <c r="B256" s="98"/>
      <c r="F256">
        <v>252</v>
      </c>
      <c r="G256" s="109">
        <f t="shared" ca="1" si="12"/>
        <v>0.11749667314979008</v>
      </c>
    </row>
    <row r="257" spans="2:7" x14ac:dyDescent="0.25">
      <c r="B257" s="98"/>
      <c r="F257">
        <v>253</v>
      </c>
      <c r="G257" s="109">
        <f t="shared" ca="1" si="12"/>
        <v>-3.4458692169616084E-2</v>
      </c>
    </row>
    <row r="258" spans="2:7" x14ac:dyDescent="0.25">
      <c r="B258" s="98"/>
      <c r="F258">
        <v>254</v>
      </c>
      <c r="G258" s="109">
        <f t="shared" ca="1" si="12"/>
        <v>0.19688302595292184</v>
      </c>
    </row>
    <row r="259" spans="2:7" x14ac:dyDescent="0.25">
      <c r="B259" s="98"/>
      <c r="F259">
        <v>255</v>
      </c>
      <c r="G259" s="109">
        <f t="shared" ca="1" si="12"/>
        <v>-7.2348636303120259E-2</v>
      </c>
    </row>
    <row r="260" spans="2:7" x14ac:dyDescent="0.25">
      <c r="B260" s="98"/>
      <c r="F260">
        <v>256</v>
      </c>
      <c r="G260" s="109">
        <f t="shared" ca="1" si="12"/>
        <v>1.3261207508524192E-2</v>
      </c>
    </row>
    <row r="261" spans="2:7" x14ac:dyDescent="0.25">
      <c r="B261" s="98"/>
      <c r="F261">
        <v>257</v>
      </c>
      <c r="G261" s="109">
        <f t="shared" ca="1" si="12"/>
        <v>-1.2031394550496483E-2</v>
      </c>
    </row>
    <row r="262" spans="2:7" x14ac:dyDescent="0.25">
      <c r="B262" s="98"/>
      <c r="F262">
        <v>258</v>
      </c>
      <c r="G262" s="109">
        <f t="shared" ref="G262:G325" ca="1" si="13">_xlfn.NORM.INV(RAND(),$M$5,$M$6)</f>
        <v>0.19007235370899483</v>
      </c>
    </row>
    <row r="263" spans="2:7" x14ac:dyDescent="0.25">
      <c r="B263" s="98"/>
      <c r="F263">
        <v>259</v>
      </c>
      <c r="G263" s="109">
        <f t="shared" ca="1" si="13"/>
        <v>-1.8638314799041961E-2</v>
      </c>
    </row>
    <row r="264" spans="2:7" x14ac:dyDescent="0.25">
      <c r="B264" s="98"/>
      <c r="F264">
        <v>260</v>
      </c>
      <c r="G264" s="109">
        <f t="shared" ca="1" si="13"/>
        <v>-7.9850460706377316E-2</v>
      </c>
    </row>
    <row r="265" spans="2:7" x14ac:dyDescent="0.25">
      <c r="B265" s="98"/>
      <c r="F265">
        <v>261</v>
      </c>
      <c r="G265" s="109">
        <f t="shared" ca="1" si="13"/>
        <v>7.7586518429924034E-3</v>
      </c>
    </row>
    <row r="266" spans="2:7" x14ac:dyDescent="0.25">
      <c r="B266" s="98"/>
      <c r="F266">
        <v>262</v>
      </c>
      <c r="G266" s="109">
        <f t="shared" ca="1" si="13"/>
        <v>-0.11182120676007155</v>
      </c>
    </row>
    <row r="267" spans="2:7" x14ac:dyDescent="0.25">
      <c r="B267" s="98"/>
      <c r="F267">
        <v>263</v>
      </c>
      <c r="G267" s="109">
        <f t="shared" ca="1" si="13"/>
        <v>1.4045457224727421E-2</v>
      </c>
    </row>
    <row r="268" spans="2:7" x14ac:dyDescent="0.25">
      <c r="B268" s="98"/>
      <c r="F268">
        <v>264</v>
      </c>
      <c r="G268" s="109">
        <f t="shared" ca="1" si="13"/>
        <v>8.7950612670930753E-2</v>
      </c>
    </row>
    <row r="269" spans="2:7" x14ac:dyDescent="0.25">
      <c r="B269" s="98"/>
      <c r="F269">
        <v>265</v>
      </c>
      <c r="G269" s="109">
        <f t="shared" ca="1" si="13"/>
        <v>0.12791971901009783</v>
      </c>
    </row>
    <row r="270" spans="2:7" x14ac:dyDescent="0.25">
      <c r="B270" s="98"/>
      <c r="F270">
        <v>266</v>
      </c>
      <c r="G270" s="109">
        <f t="shared" ca="1" si="13"/>
        <v>-7.0380666350962698E-3</v>
      </c>
    </row>
    <row r="271" spans="2:7" x14ac:dyDescent="0.25">
      <c r="B271" s="98"/>
      <c r="F271">
        <v>267</v>
      </c>
      <c r="G271" s="109">
        <f t="shared" ca="1" si="13"/>
        <v>-0.10956352317181926</v>
      </c>
    </row>
    <row r="272" spans="2:7" x14ac:dyDescent="0.25">
      <c r="B272" s="98"/>
      <c r="F272">
        <v>268</v>
      </c>
      <c r="G272" s="109">
        <f t="shared" ca="1" si="13"/>
        <v>2.7476503979922892E-3</v>
      </c>
    </row>
    <row r="273" spans="2:7" x14ac:dyDescent="0.25">
      <c r="B273" s="98"/>
      <c r="F273">
        <v>269</v>
      </c>
      <c r="G273" s="109">
        <f t="shared" ca="1" si="13"/>
        <v>0.11888900264833338</v>
      </c>
    </row>
    <row r="274" spans="2:7" x14ac:dyDescent="0.25">
      <c r="B274" s="98"/>
      <c r="F274">
        <v>270</v>
      </c>
      <c r="G274" s="109">
        <f t="shared" ca="1" si="13"/>
        <v>0.17667641497466691</v>
      </c>
    </row>
    <row r="275" spans="2:7" x14ac:dyDescent="0.25">
      <c r="B275" s="98"/>
      <c r="F275">
        <v>271</v>
      </c>
      <c r="G275" s="109">
        <f t="shared" ca="1" si="13"/>
        <v>0.1000076875289376</v>
      </c>
    </row>
    <row r="276" spans="2:7" x14ac:dyDescent="0.25">
      <c r="B276" s="98"/>
      <c r="F276">
        <v>272</v>
      </c>
      <c r="G276" s="109">
        <f t="shared" ca="1" si="13"/>
        <v>9.6721847762355512E-2</v>
      </c>
    </row>
    <row r="277" spans="2:7" x14ac:dyDescent="0.25">
      <c r="B277" s="98"/>
      <c r="F277">
        <v>273</v>
      </c>
      <c r="G277" s="109">
        <f t="shared" ca="1" si="13"/>
        <v>6.7497399111636908E-3</v>
      </c>
    </row>
    <row r="278" spans="2:7" x14ac:dyDescent="0.25">
      <c r="B278" s="98"/>
      <c r="F278">
        <v>274</v>
      </c>
      <c r="G278" s="109">
        <f t="shared" ca="1" si="13"/>
        <v>0.10703871519882951</v>
      </c>
    </row>
    <row r="279" spans="2:7" x14ac:dyDescent="0.25">
      <c r="B279" s="98"/>
      <c r="F279">
        <v>275</v>
      </c>
      <c r="G279" s="109">
        <f t="shared" ca="1" si="13"/>
        <v>-3.3519664099548055E-2</v>
      </c>
    </row>
    <row r="280" spans="2:7" x14ac:dyDescent="0.25">
      <c r="B280" s="98"/>
      <c r="F280">
        <v>276</v>
      </c>
      <c r="G280" s="109">
        <f t="shared" ca="1" si="13"/>
        <v>0.10848452585098113</v>
      </c>
    </row>
    <row r="281" spans="2:7" x14ac:dyDescent="0.25">
      <c r="B281" s="98"/>
      <c r="F281">
        <v>277</v>
      </c>
      <c r="G281" s="109">
        <f t="shared" ca="1" si="13"/>
        <v>5.6983840459257251E-2</v>
      </c>
    </row>
    <row r="282" spans="2:7" x14ac:dyDescent="0.25">
      <c r="B282" s="98"/>
      <c r="F282">
        <v>278</v>
      </c>
      <c r="G282" s="109">
        <f t="shared" ca="1" si="13"/>
        <v>-1.1012098387258272E-2</v>
      </c>
    </row>
    <row r="283" spans="2:7" x14ac:dyDescent="0.25">
      <c r="B283" s="98"/>
      <c r="F283">
        <v>279</v>
      </c>
      <c r="G283" s="109">
        <f t="shared" ca="1" si="13"/>
        <v>7.1605140236019327E-2</v>
      </c>
    </row>
    <row r="284" spans="2:7" x14ac:dyDescent="0.25">
      <c r="B284" s="98"/>
      <c r="F284">
        <v>280</v>
      </c>
      <c r="G284" s="109">
        <f t="shared" ca="1" si="13"/>
        <v>0.10485970500628158</v>
      </c>
    </row>
    <row r="285" spans="2:7" x14ac:dyDescent="0.25">
      <c r="B285" s="98"/>
      <c r="F285">
        <v>281</v>
      </c>
      <c r="G285" s="109">
        <f t="shared" ca="1" si="13"/>
        <v>1.7710613662976795E-2</v>
      </c>
    </row>
    <row r="286" spans="2:7" x14ac:dyDescent="0.25">
      <c r="B286" s="98"/>
      <c r="F286">
        <v>282</v>
      </c>
      <c r="G286" s="109">
        <f t="shared" ca="1" si="13"/>
        <v>2.3003161291825943E-2</v>
      </c>
    </row>
    <row r="287" spans="2:7" x14ac:dyDescent="0.25">
      <c r="B287" s="98"/>
      <c r="F287">
        <v>283</v>
      </c>
      <c r="G287" s="109">
        <f t="shared" ca="1" si="13"/>
        <v>2.9175232388732666E-3</v>
      </c>
    </row>
    <row r="288" spans="2:7" x14ac:dyDescent="0.25">
      <c r="B288" s="98"/>
      <c r="F288">
        <v>284</v>
      </c>
      <c r="G288" s="109">
        <f t="shared" ca="1" si="13"/>
        <v>4.1599006688736298E-2</v>
      </c>
    </row>
    <row r="289" spans="2:7" x14ac:dyDescent="0.25">
      <c r="B289" s="98"/>
      <c r="F289">
        <v>285</v>
      </c>
      <c r="G289" s="109">
        <f t="shared" ca="1" si="13"/>
        <v>0.14407847714553104</v>
      </c>
    </row>
    <row r="290" spans="2:7" x14ac:dyDescent="0.25">
      <c r="B290" s="98"/>
      <c r="F290">
        <v>286</v>
      </c>
      <c r="G290" s="109">
        <f t="shared" ca="1" si="13"/>
        <v>-2.9258330096689808E-2</v>
      </c>
    </row>
    <row r="291" spans="2:7" x14ac:dyDescent="0.25">
      <c r="B291" s="98"/>
      <c r="F291">
        <v>287</v>
      </c>
      <c r="G291" s="109">
        <f t="shared" ca="1" si="13"/>
        <v>7.3029453515512002E-2</v>
      </c>
    </row>
    <row r="292" spans="2:7" x14ac:dyDescent="0.25">
      <c r="B292" s="98"/>
      <c r="F292">
        <v>288</v>
      </c>
      <c r="G292" s="109">
        <f t="shared" ca="1" si="13"/>
        <v>-2.3081741232766087E-2</v>
      </c>
    </row>
    <row r="293" spans="2:7" x14ac:dyDescent="0.25">
      <c r="B293" s="98"/>
      <c r="F293">
        <v>289</v>
      </c>
      <c r="G293" s="109">
        <f t="shared" ca="1" si="13"/>
        <v>8.1988115633106734E-2</v>
      </c>
    </row>
    <row r="294" spans="2:7" x14ac:dyDescent="0.25">
      <c r="B294" s="98"/>
      <c r="F294">
        <v>290</v>
      </c>
      <c r="G294" s="109">
        <f t="shared" ca="1" si="13"/>
        <v>0.19570635182259699</v>
      </c>
    </row>
    <row r="295" spans="2:7" x14ac:dyDescent="0.25">
      <c r="B295" s="98"/>
      <c r="F295">
        <v>291</v>
      </c>
      <c r="G295" s="109">
        <f t="shared" ca="1" si="13"/>
        <v>-3.8387236297372535E-2</v>
      </c>
    </row>
    <row r="296" spans="2:7" x14ac:dyDescent="0.25">
      <c r="B296" s="98"/>
      <c r="F296">
        <v>292</v>
      </c>
      <c r="G296" s="109">
        <f t="shared" ca="1" si="13"/>
        <v>4.5573935294708622E-2</v>
      </c>
    </row>
    <row r="297" spans="2:7" x14ac:dyDescent="0.25">
      <c r="B297" s="98"/>
      <c r="F297">
        <v>293</v>
      </c>
      <c r="G297" s="109">
        <f t="shared" ca="1" si="13"/>
        <v>6.1182015651213416E-2</v>
      </c>
    </row>
    <row r="298" spans="2:7" x14ac:dyDescent="0.25">
      <c r="B298" s="98"/>
      <c r="F298">
        <v>294</v>
      </c>
      <c r="G298" s="109">
        <f t="shared" ca="1" si="13"/>
        <v>6.7672510032806416E-2</v>
      </c>
    </row>
    <row r="299" spans="2:7" x14ac:dyDescent="0.25">
      <c r="B299" s="98"/>
      <c r="F299">
        <v>295</v>
      </c>
      <c r="G299" s="109">
        <f t="shared" ca="1" si="13"/>
        <v>0.41392270370899975</v>
      </c>
    </row>
    <row r="300" spans="2:7" x14ac:dyDescent="0.25">
      <c r="B300" s="98"/>
      <c r="F300">
        <v>296</v>
      </c>
      <c r="G300" s="109">
        <f t="shared" ca="1" si="13"/>
        <v>6.6487563700695279E-2</v>
      </c>
    </row>
    <row r="301" spans="2:7" x14ac:dyDescent="0.25">
      <c r="B301" s="98"/>
      <c r="F301">
        <v>297</v>
      </c>
      <c r="G301" s="109">
        <f t="shared" ca="1" si="13"/>
        <v>0.13722352494760792</v>
      </c>
    </row>
    <row r="302" spans="2:7" x14ac:dyDescent="0.25">
      <c r="B302" s="98"/>
      <c r="F302">
        <v>298</v>
      </c>
      <c r="G302" s="109">
        <f t="shared" ca="1" si="13"/>
        <v>5.886605750593487E-2</v>
      </c>
    </row>
    <row r="303" spans="2:7" x14ac:dyDescent="0.25">
      <c r="B303" s="98"/>
      <c r="F303">
        <v>299</v>
      </c>
      <c r="G303" s="109">
        <f t="shared" ca="1" si="13"/>
        <v>-4.8930226563174653E-2</v>
      </c>
    </row>
    <row r="304" spans="2:7" x14ac:dyDescent="0.25">
      <c r="B304" s="98"/>
      <c r="F304">
        <v>300</v>
      </c>
      <c r="G304" s="109">
        <f t="shared" ca="1" si="13"/>
        <v>5.7119745525024919E-2</v>
      </c>
    </row>
    <row r="305" spans="2:7" x14ac:dyDescent="0.25">
      <c r="B305" s="98"/>
      <c r="F305">
        <v>301</v>
      </c>
      <c r="G305" s="109">
        <f t="shared" ca="1" si="13"/>
        <v>3.4088327909632683E-2</v>
      </c>
    </row>
    <row r="306" spans="2:7" x14ac:dyDescent="0.25">
      <c r="B306" s="98"/>
      <c r="F306">
        <v>302</v>
      </c>
      <c r="G306" s="109">
        <f t="shared" ca="1" si="13"/>
        <v>-2.2687229416508387E-2</v>
      </c>
    </row>
    <row r="307" spans="2:7" x14ac:dyDescent="0.25">
      <c r="B307" s="98"/>
      <c r="F307">
        <v>303</v>
      </c>
      <c r="G307" s="109">
        <f t="shared" ca="1" si="13"/>
        <v>0.18251794731223742</v>
      </c>
    </row>
    <row r="308" spans="2:7" x14ac:dyDescent="0.25">
      <c r="B308" s="98"/>
      <c r="F308">
        <v>304</v>
      </c>
      <c r="G308" s="109">
        <f t="shared" ca="1" si="13"/>
        <v>6.1984519647846459E-2</v>
      </c>
    </row>
    <row r="309" spans="2:7" x14ac:dyDescent="0.25">
      <c r="B309" s="98"/>
      <c r="F309">
        <v>305</v>
      </c>
      <c r="G309" s="109">
        <f t="shared" ca="1" si="13"/>
        <v>-1.1725523396013487E-2</v>
      </c>
    </row>
    <row r="310" spans="2:7" x14ac:dyDescent="0.25">
      <c r="B310" s="98"/>
      <c r="F310">
        <v>306</v>
      </c>
      <c r="G310" s="109">
        <f t="shared" ca="1" si="13"/>
        <v>-2.2371868525990615E-2</v>
      </c>
    </row>
    <row r="311" spans="2:7" x14ac:dyDescent="0.25">
      <c r="B311" s="98"/>
      <c r="F311">
        <v>307</v>
      </c>
      <c r="G311" s="109">
        <f t="shared" ca="1" si="13"/>
        <v>-6.6513517833515501E-3</v>
      </c>
    </row>
    <row r="312" spans="2:7" x14ac:dyDescent="0.25">
      <c r="B312" s="98"/>
      <c r="F312">
        <v>308</v>
      </c>
      <c r="G312" s="109">
        <f t="shared" ca="1" si="13"/>
        <v>4.3763781128265331E-3</v>
      </c>
    </row>
    <row r="313" spans="2:7" x14ac:dyDescent="0.25">
      <c r="B313" s="98"/>
      <c r="F313">
        <v>309</v>
      </c>
      <c r="G313" s="109">
        <f t="shared" ca="1" si="13"/>
        <v>8.2719879997967927E-2</v>
      </c>
    </row>
    <row r="314" spans="2:7" x14ac:dyDescent="0.25">
      <c r="B314" s="98"/>
      <c r="F314">
        <v>310</v>
      </c>
      <c r="G314" s="109">
        <f t="shared" ca="1" si="13"/>
        <v>7.8570445363043168E-2</v>
      </c>
    </row>
    <row r="315" spans="2:7" x14ac:dyDescent="0.25">
      <c r="B315" s="98"/>
      <c r="F315">
        <v>311</v>
      </c>
      <c r="G315" s="109">
        <f t="shared" ca="1" si="13"/>
        <v>-2.5498757161552491E-2</v>
      </c>
    </row>
    <row r="316" spans="2:7" x14ac:dyDescent="0.25">
      <c r="B316" s="98"/>
      <c r="F316">
        <v>312</v>
      </c>
      <c r="G316" s="109">
        <f t="shared" ca="1" si="13"/>
        <v>0.16232498667250128</v>
      </c>
    </row>
    <row r="317" spans="2:7" x14ac:dyDescent="0.25">
      <c r="B317" s="98"/>
      <c r="F317">
        <v>313</v>
      </c>
      <c r="G317" s="109">
        <f t="shared" ca="1" si="13"/>
        <v>-2.2365789730238145E-2</v>
      </c>
    </row>
    <row r="318" spans="2:7" x14ac:dyDescent="0.25">
      <c r="B318" s="98"/>
      <c r="F318">
        <v>314</v>
      </c>
      <c r="G318" s="109">
        <f t="shared" ca="1" si="13"/>
        <v>-0.12628226328821118</v>
      </c>
    </row>
    <row r="319" spans="2:7" x14ac:dyDescent="0.25">
      <c r="B319" s="98"/>
      <c r="F319">
        <v>315</v>
      </c>
      <c r="G319" s="109">
        <f t="shared" ca="1" si="13"/>
        <v>6.6036285569184269E-2</v>
      </c>
    </row>
    <row r="320" spans="2:7" x14ac:dyDescent="0.25">
      <c r="B320" s="98"/>
      <c r="F320">
        <v>316</v>
      </c>
      <c r="G320" s="109">
        <f t="shared" ca="1" si="13"/>
        <v>2.8560360826252809E-2</v>
      </c>
    </row>
    <row r="321" spans="2:7" x14ac:dyDescent="0.25">
      <c r="B321" s="98"/>
      <c r="F321">
        <v>317</v>
      </c>
      <c r="G321" s="109">
        <f t="shared" ca="1" si="13"/>
        <v>0.24565156984977343</v>
      </c>
    </row>
    <row r="322" spans="2:7" x14ac:dyDescent="0.25">
      <c r="B322" s="98"/>
      <c r="F322">
        <v>318</v>
      </c>
      <c r="G322" s="109">
        <f t="shared" ca="1" si="13"/>
        <v>-9.6159877246853806E-2</v>
      </c>
    </row>
    <row r="323" spans="2:7" x14ac:dyDescent="0.25">
      <c r="B323" s="98"/>
      <c r="F323">
        <v>319</v>
      </c>
      <c r="G323" s="109">
        <f t="shared" ca="1" si="13"/>
        <v>0.21522235217822822</v>
      </c>
    </row>
    <row r="324" spans="2:7" x14ac:dyDescent="0.25">
      <c r="B324" s="98"/>
      <c r="F324">
        <v>320</v>
      </c>
      <c r="G324" s="109">
        <f t="shared" ca="1" si="13"/>
        <v>0.11945397313037967</v>
      </c>
    </row>
    <row r="325" spans="2:7" x14ac:dyDescent="0.25">
      <c r="B325" s="98"/>
      <c r="F325">
        <v>321</v>
      </c>
      <c r="G325" s="109">
        <f t="shared" ca="1" si="13"/>
        <v>0.10717772342938414</v>
      </c>
    </row>
    <row r="326" spans="2:7" x14ac:dyDescent="0.25">
      <c r="B326" s="98"/>
      <c r="F326">
        <v>322</v>
      </c>
      <c r="G326" s="109">
        <f t="shared" ref="G326:G389" ca="1" si="14">_xlfn.NORM.INV(RAND(),$M$5,$M$6)</f>
        <v>2.2998059330460362E-2</v>
      </c>
    </row>
    <row r="327" spans="2:7" x14ac:dyDescent="0.25">
      <c r="B327" s="98"/>
      <c r="F327">
        <v>323</v>
      </c>
      <c r="G327" s="109">
        <f t="shared" ca="1" si="14"/>
        <v>0.1482079549959005</v>
      </c>
    </row>
    <row r="328" spans="2:7" x14ac:dyDescent="0.25">
      <c r="B328" s="98"/>
      <c r="F328">
        <v>324</v>
      </c>
      <c r="G328" s="109">
        <f t="shared" ca="1" si="14"/>
        <v>0.25339842325307743</v>
      </c>
    </row>
    <row r="329" spans="2:7" x14ac:dyDescent="0.25">
      <c r="B329" s="98"/>
      <c r="F329">
        <v>325</v>
      </c>
      <c r="G329" s="109">
        <f t="shared" ca="1" si="14"/>
        <v>1.333681418666758E-2</v>
      </c>
    </row>
    <row r="330" spans="2:7" x14ac:dyDescent="0.25">
      <c r="B330" s="98"/>
      <c r="F330">
        <v>326</v>
      </c>
      <c r="G330" s="109">
        <f t="shared" ca="1" si="14"/>
        <v>0.10342540075796258</v>
      </c>
    </row>
    <row r="331" spans="2:7" x14ac:dyDescent="0.25">
      <c r="B331" s="98"/>
      <c r="F331">
        <v>327</v>
      </c>
      <c r="G331" s="109">
        <f t="shared" ca="1" si="14"/>
        <v>0.10912334678999192</v>
      </c>
    </row>
    <row r="332" spans="2:7" x14ac:dyDescent="0.25">
      <c r="B332" s="98"/>
      <c r="F332">
        <v>328</v>
      </c>
      <c r="G332" s="109">
        <f t="shared" ca="1" si="14"/>
        <v>-7.1599757460984001E-2</v>
      </c>
    </row>
    <row r="333" spans="2:7" x14ac:dyDescent="0.25">
      <c r="B333" s="98"/>
      <c r="F333">
        <v>329</v>
      </c>
      <c r="G333" s="109">
        <f t="shared" ca="1" si="14"/>
        <v>0.12101526598605682</v>
      </c>
    </row>
    <row r="334" spans="2:7" x14ac:dyDescent="0.25">
      <c r="B334" s="98"/>
      <c r="F334">
        <v>330</v>
      </c>
      <c r="G334" s="109">
        <f t="shared" ca="1" si="14"/>
        <v>0.15289515539884391</v>
      </c>
    </row>
    <row r="335" spans="2:7" x14ac:dyDescent="0.25">
      <c r="B335" s="98"/>
      <c r="F335">
        <v>331</v>
      </c>
      <c r="G335" s="109">
        <f t="shared" ca="1" si="14"/>
        <v>-0.11413307494842313</v>
      </c>
    </row>
    <row r="336" spans="2:7" x14ac:dyDescent="0.25">
      <c r="B336" s="98"/>
      <c r="F336">
        <v>332</v>
      </c>
      <c r="G336" s="109">
        <f t="shared" ca="1" si="14"/>
        <v>-6.959559967021918E-2</v>
      </c>
    </row>
    <row r="337" spans="2:7" x14ac:dyDescent="0.25">
      <c r="B337" s="98"/>
      <c r="F337">
        <v>333</v>
      </c>
      <c r="G337" s="109">
        <f t="shared" ca="1" si="14"/>
        <v>3.3920682593145006E-2</v>
      </c>
    </row>
    <row r="338" spans="2:7" x14ac:dyDescent="0.25">
      <c r="B338" s="98"/>
      <c r="F338">
        <v>334</v>
      </c>
      <c r="G338" s="109">
        <f t="shared" ca="1" si="14"/>
        <v>9.9973165353079999E-2</v>
      </c>
    </row>
    <row r="339" spans="2:7" x14ac:dyDescent="0.25">
      <c r="B339" s="98"/>
      <c r="F339">
        <v>335</v>
      </c>
      <c r="G339" s="109">
        <f t="shared" ca="1" si="14"/>
        <v>0.11877718002472604</v>
      </c>
    </row>
    <row r="340" spans="2:7" x14ac:dyDescent="0.25">
      <c r="B340" s="98"/>
      <c r="F340">
        <v>336</v>
      </c>
      <c r="G340" s="109">
        <f t="shared" ca="1" si="14"/>
        <v>-0.10516901379669839</v>
      </c>
    </row>
    <row r="341" spans="2:7" x14ac:dyDescent="0.25">
      <c r="B341" s="98"/>
      <c r="F341">
        <v>337</v>
      </c>
      <c r="G341" s="109">
        <f t="shared" ca="1" si="14"/>
        <v>0.30656565456586937</v>
      </c>
    </row>
    <row r="342" spans="2:7" x14ac:dyDescent="0.25">
      <c r="B342" s="98"/>
      <c r="F342">
        <v>338</v>
      </c>
      <c r="G342" s="109">
        <f t="shared" ca="1" si="14"/>
        <v>0.13482826518617341</v>
      </c>
    </row>
    <row r="343" spans="2:7" x14ac:dyDescent="0.25">
      <c r="B343" s="98"/>
      <c r="F343">
        <v>339</v>
      </c>
      <c r="G343" s="109">
        <f t="shared" ca="1" si="14"/>
        <v>0.16493695453619317</v>
      </c>
    </row>
    <row r="344" spans="2:7" x14ac:dyDescent="0.25">
      <c r="B344" s="98"/>
      <c r="F344">
        <v>340</v>
      </c>
      <c r="G344" s="109">
        <f t="shared" ca="1" si="14"/>
        <v>-9.8059554208354133E-3</v>
      </c>
    </row>
    <row r="345" spans="2:7" x14ac:dyDescent="0.25">
      <c r="B345" s="98"/>
      <c r="F345">
        <v>341</v>
      </c>
      <c r="G345" s="109">
        <f t="shared" ca="1" si="14"/>
        <v>7.5560155582931748E-2</v>
      </c>
    </row>
    <row r="346" spans="2:7" x14ac:dyDescent="0.25">
      <c r="B346" s="98"/>
      <c r="F346">
        <v>342</v>
      </c>
      <c r="G346" s="109">
        <f t="shared" ca="1" si="14"/>
        <v>0.18714138937481378</v>
      </c>
    </row>
    <row r="347" spans="2:7" x14ac:dyDescent="0.25">
      <c r="B347" s="98"/>
      <c r="F347">
        <v>343</v>
      </c>
      <c r="G347" s="109">
        <f t="shared" ca="1" si="14"/>
        <v>0.16561287320206142</v>
      </c>
    </row>
    <row r="348" spans="2:7" x14ac:dyDescent="0.25">
      <c r="B348" s="98"/>
      <c r="F348">
        <v>344</v>
      </c>
      <c r="G348" s="109">
        <f t="shared" ca="1" si="14"/>
        <v>-6.4277744698788802E-2</v>
      </c>
    </row>
    <row r="349" spans="2:7" x14ac:dyDescent="0.25">
      <c r="B349" s="98"/>
      <c r="F349">
        <v>345</v>
      </c>
      <c r="G349" s="109">
        <f t="shared" ca="1" si="14"/>
        <v>0.17660813785347113</v>
      </c>
    </row>
    <row r="350" spans="2:7" x14ac:dyDescent="0.25">
      <c r="B350" s="98"/>
      <c r="F350">
        <v>346</v>
      </c>
      <c r="G350" s="109">
        <f t="shared" ca="1" si="14"/>
        <v>0.18420519412583658</v>
      </c>
    </row>
    <row r="351" spans="2:7" x14ac:dyDescent="0.25">
      <c r="B351" s="98"/>
      <c r="F351">
        <v>347</v>
      </c>
      <c r="G351" s="109">
        <f t="shared" ca="1" si="14"/>
        <v>4.5700359375589097E-2</v>
      </c>
    </row>
    <row r="352" spans="2:7" x14ac:dyDescent="0.25">
      <c r="B352" s="98"/>
      <c r="F352">
        <v>348</v>
      </c>
      <c r="G352" s="109">
        <f t="shared" ca="1" si="14"/>
        <v>9.8700399815259493E-2</v>
      </c>
    </row>
    <row r="353" spans="2:7" x14ac:dyDescent="0.25">
      <c r="B353" s="98"/>
      <c r="F353">
        <v>349</v>
      </c>
      <c r="G353" s="109">
        <f t="shared" ca="1" si="14"/>
        <v>2.4538576469078283E-2</v>
      </c>
    </row>
    <row r="354" spans="2:7" x14ac:dyDescent="0.25">
      <c r="B354" s="98"/>
      <c r="F354">
        <v>350</v>
      </c>
      <c r="G354" s="109">
        <f t="shared" ca="1" si="14"/>
        <v>8.9874651863476401E-2</v>
      </c>
    </row>
    <row r="355" spans="2:7" x14ac:dyDescent="0.25">
      <c r="B355" s="98"/>
      <c r="F355">
        <v>351</v>
      </c>
      <c r="G355" s="109">
        <f t="shared" ca="1" si="14"/>
        <v>-0.10167358723408131</v>
      </c>
    </row>
    <row r="356" spans="2:7" x14ac:dyDescent="0.25">
      <c r="B356" s="98"/>
      <c r="F356">
        <v>352</v>
      </c>
      <c r="G356" s="109">
        <f t="shared" ca="1" si="14"/>
        <v>-3.0091839442499421E-2</v>
      </c>
    </row>
    <row r="357" spans="2:7" x14ac:dyDescent="0.25">
      <c r="B357" s="98"/>
      <c r="F357">
        <v>353</v>
      </c>
      <c r="G357" s="109">
        <f t="shared" ca="1" si="14"/>
        <v>7.7344572697599645E-2</v>
      </c>
    </row>
    <row r="358" spans="2:7" x14ac:dyDescent="0.25">
      <c r="B358" s="98"/>
      <c r="F358">
        <v>354</v>
      </c>
      <c r="G358" s="109">
        <f t="shared" ca="1" si="14"/>
        <v>7.0357300023869418E-2</v>
      </c>
    </row>
    <row r="359" spans="2:7" x14ac:dyDescent="0.25">
      <c r="B359" s="98"/>
      <c r="F359">
        <v>355</v>
      </c>
      <c r="G359" s="109">
        <f t="shared" ca="1" si="14"/>
        <v>-6.4978152956898419E-2</v>
      </c>
    </row>
    <row r="360" spans="2:7" x14ac:dyDescent="0.25">
      <c r="B360" s="98"/>
      <c r="F360">
        <v>356</v>
      </c>
      <c r="G360" s="109">
        <f t="shared" ca="1" si="14"/>
        <v>0.11279187264063677</v>
      </c>
    </row>
    <row r="361" spans="2:7" x14ac:dyDescent="0.25">
      <c r="B361" s="98"/>
      <c r="F361">
        <v>357</v>
      </c>
      <c r="G361" s="109">
        <f t="shared" ca="1" si="14"/>
        <v>2.9675460550545187E-2</v>
      </c>
    </row>
    <row r="362" spans="2:7" x14ac:dyDescent="0.25">
      <c r="B362" s="98"/>
      <c r="F362">
        <v>358</v>
      </c>
      <c r="G362" s="109">
        <f t="shared" ca="1" si="14"/>
        <v>0.12696007788946065</v>
      </c>
    </row>
    <row r="363" spans="2:7" x14ac:dyDescent="0.25">
      <c r="B363" s="98"/>
      <c r="F363">
        <v>359</v>
      </c>
      <c r="G363" s="109">
        <f t="shared" ca="1" si="14"/>
        <v>-3.1169557765192341E-2</v>
      </c>
    </row>
    <row r="364" spans="2:7" x14ac:dyDescent="0.25">
      <c r="B364" s="98"/>
      <c r="F364">
        <v>360</v>
      </c>
      <c r="G364" s="109">
        <f t="shared" ca="1" si="14"/>
        <v>3.8499576553744308E-2</v>
      </c>
    </row>
    <row r="365" spans="2:7" x14ac:dyDescent="0.25">
      <c r="B365" s="98"/>
      <c r="F365">
        <v>361</v>
      </c>
      <c r="G365" s="109">
        <f t="shared" ca="1" si="14"/>
        <v>0.15704257804510935</v>
      </c>
    </row>
    <row r="366" spans="2:7" x14ac:dyDescent="0.25">
      <c r="B366" s="98"/>
      <c r="F366">
        <v>362</v>
      </c>
      <c r="G366" s="109">
        <f t="shared" ca="1" si="14"/>
        <v>5.8103051962474186E-2</v>
      </c>
    </row>
    <row r="367" spans="2:7" x14ac:dyDescent="0.25">
      <c r="B367" s="98"/>
      <c r="F367">
        <v>363</v>
      </c>
      <c r="G367" s="109">
        <f t="shared" ca="1" si="14"/>
        <v>1.7403077821143344E-2</v>
      </c>
    </row>
    <row r="368" spans="2:7" x14ac:dyDescent="0.25">
      <c r="B368" s="98"/>
      <c r="F368">
        <v>364</v>
      </c>
      <c r="G368" s="109">
        <f t="shared" ca="1" si="14"/>
        <v>-3.4793838802204699E-2</v>
      </c>
    </row>
    <row r="369" spans="2:7" x14ac:dyDescent="0.25">
      <c r="B369" s="98"/>
      <c r="F369">
        <v>365</v>
      </c>
      <c r="G369" s="109">
        <f t="shared" ca="1" si="14"/>
        <v>0.16750740211239062</v>
      </c>
    </row>
    <row r="370" spans="2:7" x14ac:dyDescent="0.25">
      <c r="B370" s="98"/>
      <c r="F370">
        <v>366</v>
      </c>
      <c r="G370" s="109">
        <f t="shared" ca="1" si="14"/>
        <v>-7.3327901983247096E-2</v>
      </c>
    </row>
    <row r="371" spans="2:7" x14ac:dyDescent="0.25">
      <c r="B371" s="98"/>
      <c r="F371">
        <v>367</v>
      </c>
      <c r="G371" s="109">
        <f t="shared" ca="1" si="14"/>
        <v>0.20969965185848677</v>
      </c>
    </row>
    <row r="372" spans="2:7" x14ac:dyDescent="0.25">
      <c r="B372" s="98"/>
      <c r="F372">
        <v>368</v>
      </c>
      <c r="G372" s="109">
        <f t="shared" ca="1" si="14"/>
        <v>0.27082541014882283</v>
      </c>
    </row>
    <row r="373" spans="2:7" x14ac:dyDescent="0.25">
      <c r="B373" s="98"/>
      <c r="F373">
        <v>369</v>
      </c>
      <c r="G373" s="109">
        <f t="shared" ca="1" si="14"/>
        <v>5.0912217016653195E-2</v>
      </c>
    </row>
    <row r="374" spans="2:7" x14ac:dyDescent="0.25">
      <c r="B374" s="98"/>
      <c r="F374">
        <v>370</v>
      </c>
      <c r="G374" s="109">
        <f t="shared" ca="1" si="14"/>
        <v>0.19777848937372333</v>
      </c>
    </row>
    <row r="375" spans="2:7" x14ac:dyDescent="0.25">
      <c r="B375" s="98"/>
      <c r="F375">
        <v>371</v>
      </c>
      <c r="G375" s="109">
        <f t="shared" ca="1" si="14"/>
        <v>0.26477841973060373</v>
      </c>
    </row>
    <row r="376" spans="2:7" x14ac:dyDescent="0.25">
      <c r="B376" s="98"/>
      <c r="F376">
        <v>372</v>
      </c>
      <c r="G376" s="109">
        <f t="shared" ca="1" si="14"/>
        <v>0.14379710456310113</v>
      </c>
    </row>
    <row r="377" spans="2:7" x14ac:dyDescent="0.25">
      <c r="B377" s="98"/>
      <c r="F377">
        <v>373</v>
      </c>
      <c r="G377" s="109">
        <f t="shared" ca="1" si="14"/>
        <v>-8.3486886847579864E-3</v>
      </c>
    </row>
    <row r="378" spans="2:7" x14ac:dyDescent="0.25">
      <c r="B378" s="98"/>
      <c r="F378">
        <v>374</v>
      </c>
      <c r="G378" s="109">
        <f t="shared" ca="1" si="14"/>
        <v>0.1542452282281995</v>
      </c>
    </row>
    <row r="379" spans="2:7" x14ac:dyDescent="0.25">
      <c r="B379" s="98"/>
      <c r="F379">
        <v>375</v>
      </c>
      <c r="G379" s="109">
        <f t="shared" ca="1" si="14"/>
        <v>1.8276300796720966E-2</v>
      </c>
    </row>
    <row r="380" spans="2:7" x14ac:dyDescent="0.25">
      <c r="B380" s="98"/>
      <c r="F380">
        <v>376</v>
      </c>
      <c r="G380" s="109">
        <f t="shared" ca="1" si="14"/>
        <v>7.2397200716071336E-2</v>
      </c>
    </row>
    <row r="381" spans="2:7" x14ac:dyDescent="0.25">
      <c r="B381" s="98"/>
      <c r="F381">
        <v>377</v>
      </c>
      <c r="G381" s="109">
        <f t="shared" ca="1" si="14"/>
        <v>2.2383475378833145E-2</v>
      </c>
    </row>
    <row r="382" spans="2:7" x14ac:dyDescent="0.25">
      <c r="B382" s="98"/>
      <c r="F382">
        <v>378</v>
      </c>
      <c r="G382" s="109">
        <f t="shared" ca="1" si="14"/>
        <v>4.2199549029571438E-2</v>
      </c>
    </row>
    <row r="383" spans="2:7" x14ac:dyDescent="0.25">
      <c r="B383" s="98"/>
      <c r="F383">
        <v>379</v>
      </c>
      <c r="G383" s="109">
        <f t="shared" ca="1" si="14"/>
        <v>2.564253962747931E-2</v>
      </c>
    </row>
    <row r="384" spans="2:7" x14ac:dyDescent="0.25">
      <c r="B384" s="98"/>
      <c r="F384">
        <v>380</v>
      </c>
      <c r="G384" s="109">
        <f t="shared" ca="1" si="14"/>
        <v>0.17067024396512603</v>
      </c>
    </row>
    <row r="385" spans="2:7" x14ac:dyDescent="0.25">
      <c r="B385" s="98"/>
      <c r="F385">
        <v>381</v>
      </c>
      <c r="G385" s="109">
        <f t="shared" ca="1" si="14"/>
        <v>-0.15799379420873294</v>
      </c>
    </row>
    <row r="386" spans="2:7" x14ac:dyDescent="0.25">
      <c r="B386" s="98"/>
      <c r="F386">
        <v>382</v>
      </c>
      <c r="G386" s="109">
        <f t="shared" ca="1" si="14"/>
        <v>1.4334839523690628E-2</v>
      </c>
    </row>
    <row r="387" spans="2:7" x14ac:dyDescent="0.25">
      <c r="B387" s="98"/>
      <c r="F387">
        <v>383</v>
      </c>
      <c r="G387" s="109">
        <f t="shared" ca="1" si="14"/>
        <v>5.2402791064693366E-2</v>
      </c>
    </row>
    <row r="388" spans="2:7" x14ac:dyDescent="0.25">
      <c r="B388" s="98"/>
      <c r="F388">
        <v>384</v>
      </c>
      <c r="G388" s="109">
        <f t="shared" ca="1" si="14"/>
        <v>-0.12635312407911414</v>
      </c>
    </row>
    <row r="389" spans="2:7" x14ac:dyDescent="0.25">
      <c r="B389" s="98"/>
      <c r="F389">
        <v>385</v>
      </c>
      <c r="G389" s="109">
        <f t="shared" ca="1" si="14"/>
        <v>0.25289625848462166</v>
      </c>
    </row>
    <row r="390" spans="2:7" x14ac:dyDescent="0.25">
      <c r="B390" s="98"/>
      <c r="F390">
        <v>386</v>
      </c>
      <c r="G390" s="109">
        <f t="shared" ref="G390:G453" ca="1" si="15">_xlfn.NORM.INV(RAND(),$M$5,$M$6)</f>
        <v>5.511025229927434E-2</v>
      </c>
    </row>
    <row r="391" spans="2:7" x14ac:dyDescent="0.25">
      <c r="B391" s="98"/>
      <c r="F391">
        <v>387</v>
      </c>
      <c r="G391" s="109">
        <f t="shared" ca="1" si="15"/>
        <v>7.4651854694880199E-2</v>
      </c>
    </row>
    <row r="392" spans="2:7" x14ac:dyDescent="0.25">
      <c r="B392" s="98"/>
      <c r="F392">
        <v>388</v>
      </c>
      <c r="G392" s="109">
        <f t="shared" ca="1" si="15"/>
        <v>9.6669890921874807E-2</v>
      </c>
    </row>
    <row r="393" spans="2:7" x14ac:dyDescent="0.25">
      <c r="B393" s="98"/>
      <c r="F393">
        <v>389</v>
      </c>
      <c r="G393" s="109">
        <f t="shared" ca="1" si="15"/>
        <v>5.3282169367686344E-2</v>
      </c>
    </row>
    <row r="394" spans="2:7" x14ac:dyDescent="0.25">
      <c r="B394" s="98"/>
      <c r="F394">
        <v>390</v>
      </c>
      <c r="G394" s="109">
        <f t="shared" ca="1" si="15"/>
        <v>0.13534754294506846</v>
      </c>
    </row>
    <row r="395" spans="2:7" x14ac:dyDescent="0.25">
      <c r="B395" s="98"/>
      <c r="F395">
        <v>391</v>
      </c>
      <c r="G395" s="109">
        <f t="shared" ca="1" si="15"/>
        <v>0.16802812685202692</v>
      </c>
    </row>
    <row r="396" spans="2:7" x14ac:dyDescent="0.25">
      <c r="B396" s="98"/>
      <c r="F396">
        <v>392</v>
      </c>
      <c r="G396" s="109">
        <f t="shared" ca="1" si="15"/>
        <v>-3.0931781566046881E-2</v>
      </c>
    </row>
    <row r="397" spans="2:7" x14ac:dyDescent="0.25">
      <c r="B397" s="98"/>
      <c r="F397">
        <v>393</v>
      </c>
      <c r="G397" s="109">
        <f t="shared" ca="1" si="15"/>
        <v>8.0542596534175712E-2</v>
      </c>
    </row>
    <row r="398" spans="2:7" x14ac:dyDescent="0.25">
      <c r="B398" s="98"/>
      <c r="F398">
        <v>394</v>
      </c>
      <c r="G398" s="109">
        <f t="shared" ca="1" si="15"/>
        <v>2.5027986431825862E-2</v>
      </c>
    </row>
    <row r="399" spans="2:7" x14ac:dyDescent="0.25">
      <c r="B399" s="98"/>
      <c r="F399">
        <v>395</v>
      </c>
      <c r="G399" s="109">
        <f t="shared" ca="1" si="15"/>
        <v>0.14640035353439249</v>
      </c>
    </row>
    <row r="400" spans="2:7" x14ac:dyDescent="0.25">
      <c r="B400" s="98"/>
      <c r="F400">
        <v>396</v>
      </c>
      <c r="G400" s="109">
        <f t="shared" ca="1" si="15"/>
        <v>0.11636185781361801</v>
      </c>
    </row>
    <row r="401" spans="2:7" x14ac:dyDescent="0.25">
      <c r="B401" s="98"/>
      <c r="F401">
        <v>397</v>
      </c>
      <c r="G401" s="109">
        <f t="shared" ca="1" si="15"/>
        <v>0.2265642830189612</v>
      </c>
    </row>
    <row r="402" spans="2:7" x14ac:dyDescent="0.25">
      <c r="B402" s="98"/>
      <c r="F402">
        <v>398</v>
      </c>
      <c r="G402" s="109">
        <f t="shared" ca="1" si="15"/>
        <v>-5.9149913940353141E-2</v>
      </c>
    </row>
    <row r="403" spans="2:7" x14ac:dyDescent="0.25">
      <c r="B403" s="98"/>
      <c r="F403">
        <v>399</v>
      </c>
      <c r="G403" s="109">
        <f t="shared" ca="1" si="15"/>
        <v>-2.3990736016273106E-2</v>
      </c>
    </row>
    <row r="404" spans="2:7" x14ac:dyDescent="0.25">
      <c r="B404" s="98"/>
      <c r="F404">
        <v>400</v>
      </c>
      <c r="G404" s="109">
        <f t="shared" ca="1" si="15"/>
        <v>0.13862232167244518</v>
      </c>
    </row>
    <row r="405" spans="2:7" x14ac:dyDescent="0.25">
      <c r="B405" s="98"/>
      <c r="F405">
        <v>401</v>
      </c>
      <c r="G405" s="109">
        <f t="shared" ca="1" si="15"/>
        <v>-3.8246013130833062E-2</v>
      </c>
    </row>
    <row r="406" spans="2:7" x14ac:dyDescent="0.25">
      <c r="B406" s="98"/>
      <c r="F406">
        <v>402</v>
      </c>
      <c r="G406" s="109">
        <f t="shared" ca="1" si="15"/>
        <v>0.10353110121573791</v>
      </c>
    </row>
    <row r="407" spans="2:7" x14ac:dyDescent="0.25">
      <c r="B407" s="98"/>
      <c r="F407">
        <v>403</v>
      </c>
      <c r="G407" s="109">
        <f t="shared" ca="1" si="15"/>
        <v>2.5126763014586627E-2</v>
      </c>
    </row>
    <row r="408" spans="2:7" x14ac:dyDescent="0.25">
      <c r="B408" s="98"/>
      <c r="F408">
        <v>404</v>
      </c>
      <c r="G408" s="109">
        <f t="shared" ca="1" si="15"/>
        <v>0.1802548329770195</v>
      </c>
    </row>
    <row r="409" spans="2:7" x14ac:dyDescent="0.25">
      <c r="B409" s="98"/>
      <c r="F409">
        <v>405</v>
      </c>
      <c r="G409" s="109">
        <f t="shared" ca="1" si="15"/>
        <v>0.10541082373692386</v>
      </c>
    </row>
    <row r="410" spans="2:7" x14ac:dyDescent="0.25">
      <c r="B410" s="98"/>
      <c r="F410">
        <v>406</v>
      </c>
      <c r="G410" s="109">
        <f t="shared" ca="1" si="15"/>
        <v>5.6244662656186092E-2</v>
      </c>
    </row>
    <row r="411" spans="2:7" x14ac:dyDescent="0.25">
      <c r="B411" s="98"/>
      <c r="F411">
        <v>407</v>
      </c>
      <c r="G411" s="109">
        <f t="shared" ca="1" si="15"/>
        <v>0.11195435803955885</v>
      </c>
    </row>
    <row r="412" spans="2:7" x14ac:dyDescent="0.25">
      <c r="B412" s="98"/>
      <c r="F412">
        <v>408</v>
      </c>
      <c r="G412" s="109">
        <f t="shared" ca="1" si="15"/>
        <v>2.712357962446621E-3</v>
      </c>
    </row>
    <row r="413" spans="2:7" x14ac:dyDescent="0.25">
      <c r="B413" s="98"/>
      <c r="F413">
        <v>409</v>
      </c>
      <c r="G413" s="109">
        <f t="shared" ca="1" si="15"/>
        <v>7.637111364477879E-2</v>
      </c>
    </row>
    <row r="414" spans="2:7" x14ac:dyDescent="0.25">
      <c r="B414" s="98"/>
      <c r="F414">
        <v>410</v>
      </c>
      <c r="G414" s="109">
        <f t="shared" ca="1" si="15"/>
        <v>3.8558612517884186E-2</v>
      </c>
    </row>
    <row r="415" spans="2:7" x14ac:dyDescent="0.25">
      <c r="B415" s="98"/>
      <c r="F415">
        <v>411</v>
      </c>
      <c r="G415" s="109">
        <f t="shared" ca="1" si="15"/>
        <v>-0.11440479844015362</v>
      </c>
    </row>
    <row r="416" spans="2:7" x14ac:dyDescent="0.25">
      <c r="B416" s="98"/>
      <c r="F416">
        <v>412</v>
      </c>
      <c r="G416" s="109">
        <f t="shared" ca="1" si="15"/>
        <v>0.18065218216550033</v>
      </c>
    </row>
    <row r="417" spans="2:7" x14ac:dyDescent="0.25">
      <c r="B417" s="98"/>
      <c r="F417">
        <v>413</v>
      </c>
      <c r="G417" s="109">
        <f t="shared" ca="1" si="15"/>
        <v>-3.3116689705384783E-2</v>
      </c>
    </row>
    <row r="418" spans="2:7" x14ac:dyDescent="0.25">
      <c r="B418" s="98"/>
      <c r="F418">
        <v>414</v>
      </c>
      <c r="G418" s="109">
        <f t="shared" ca="1" si="15"/>
        <v>1.3533453586056808E-2</v>
      </c>
    </row>
    <row r="419" spans="2:7" x14ac:dyDescent="0.25">
      <c r="B419" s="98"/>
      <c r="F419">
        <v>415</v>
      </c>
      <c r="G419" s="109">
        <f t="shared" ca="1" si="15"/>
        <v>0.12825889805771329</v>
      </c>
    </row>
    <row r="420" spans="2:7" x14ac:dyDescent="0.25">
      <c r="B420" s="98"/>
      <c r="F420">
        <v>416</v>
      </c>
      <c r="G420" s="109">
        <f t="shared" ca="1" si="15"/>
        <v>-0.23234349744800681</v>
      </c>
    </row>
    <row r="421" spans="2:7" x14ac:dyDescent="0.25">
      <c r="B421" s="98"/>
      <c r="F421">
        <v>417</v>
      </c>
      <c r="G421" s="109">
        <f t="shared" ca="1" si="15"/>
        <v>7.8787814742712375E-2</v>
      </c>
    </row>
    <row r="422" spans="2:7" x14ac:dyDescent="0.25">
      <c r="B422" s="98"/>
      <c r="F422">
        <v>418</v>
      </c>
      <c r="G422" s="109">
        <f t="shared" ca="1" si="15"/>
        <v>-5.0993292111404104E-2</v>
      </c>
    </row>
    <row r="423" spans="2:7" x14ac:dyDescent="0.25">
      <c r="B423" s="98"/>
      <c r="F423">
        <v>419</v>
      </c>
      <c r="G423" s="109">
        <f t="shared" ca="1" si="15"/>
        <v>0.14157937033410262</v>
      </c>
    </row>
    <row r="424" spans="2:7" x14ac:dyDescent="0.25">
      <c r="B424" s="98"/>
      <c r="F424">
        <v>420</v>
      </c>
      <c r="G424" s="109">
        <f t="shared" ca="1" si="15"/>
        <v>0.19564827301557014</v>
      </c>
    </row>
    <row r="425" spans="2:7" x14ac:dyDescent="0.25">
      <c r="B425" s="98"/>
      <c r="F425">
        <v>421</v>
      </c>
      <c r="G425" s="109">
        <f t="shared" ca="1" si="15"/>
        <v>2.9252306268408898E-2</v>
      </c>
    </row>
    <row r="426" spans="2:7" x14ac:dyDescent="0.25">
      <c r="B426" s="98"/>
      <c r="F426">
        <v>422</v>
      </c>
      <c r="G426" s="109">
        <f t="shared" ca="1" si="15"/>
        <v>3.9749982662963264E-2</v>
      </c>
    </row>
    <row r="427" spans="2:7" x14ac:dyDescent="0.25">
      <c r="B427" s="98"/>
      <c r="F427">
        <v>423</v>
      </c>
      <c r="G427" s="109">
        <f t="shared" ca="1" si="15"/>
        <v>1.7921796496161633E-2</v>
      </c>
    </row>
    <row r="428" spans="2:7" x14ac:dyDescent="0.25">
      <c r="B428" s="98"/>
      <c r="F428">
        <v>424</v>
      </c>
      <c r="G428" s="109">
        <f t="shared" ca="1" si="15"/>
        <v>-7.2638035928733885E-2</v>
      </c>
    </row>
    <row r="429" spans="2:7" x14ac:dyDescent="0.25">
      <c r="B429" s="98"/>
      <c r="F429">
        <v>425</v>
      </c>
      <c r="G429" s="109">
        <f t="shared" ca="1" si="15"/>
        <v>6.2384274057247557E-2</v>
      </c>
    </row>
    <row r="430" spans="2:7" x14ac:dyDescent="0.25">
      <c r="B430" s="98"/>
      <c r="F430">
        <v>426</v>
      </c>
      <c r="G430" s="109">
        <f t="shared" ca="1" si="15"/>
        <v>-3.807267950838944E-2</v>
      </c>
    </row>
    <row r="431" spans="2:7" x14ac:dyDescent="0.25">
      <c r="B431" s="98"/>
      <c r="F431">
        <v>427</v>
      </c>
      <c r="G431" s="109">
        <f t="shared" ca="1" si="15"/>
        <v>0.13148485327192039</v>
      </c>
    </row>
    <row r="432" spans="2:7" x14ac:dyDescent="0.25">
      <c r="B432" s="98"/>
      <c r="F432">
        <v>428</v>
      </c>
      <c r="G432" s="109">
        <f t="shared" ca="1" si="15"/>
        <v>-7.0030025783519453E-2</v>
      </c>
    </row>
    <row r="433" spans="2:7" x14ac:dyDescent="0.25">
      <c r="B433" s="98"/>
      <c r="F433">
        <v>429</v>
      </c>
      <c r="G433" s="109">
        <f t="shared" ca="1" si="15"/>
        <v>-1.129571597009163E-2</v>
      </c>
    </row>
    <row r="434" spans="2:7" x14ac:dyDescent="0.25">
      <c r="B434" s="98"/>
      <c r="F434">
        <v>430</v>
      </c>
      <c r="G434" s="109">
        <f t="shared" ca="1" si="15"/>
        <v>3.5326515160026981E-2</v>
      </c>
    </row>
    <row r="435" spans="2:7" x14ac:dyDescent="0.25">
      <c r="B435" s="98"/>
      <c r="F435">
        <v>431</v>
      </c>
      <c r="G435" s="109">
        <f t="shared" ca="1" si="15"/>
        <v>0.10074033847083527</v>
      </c>
    </row>
    <row r="436" spans="2:7" x14ac:dyDescent="0.25">
      <c r="B436" s="98"/>
      <c r="F436">
        <v>432</v>
      </c>
      <c r="G436" s="109">
        <f t="shared" ca="1" si="15"/>
        <v>1.9486163241499849E-3</v>
      </c>
    </row>
    <row r="437" spans="2:7" x14ac:dyDescent="0.25">
      <c r="B437" s="98"/>
      <c r="F437">
        <v>433</v>
      </c>
      <c r="G437" s="109">
        <f t="shared" ca="1" si="15"/>
        <v>0.22868516604114286</v>
      </c>
    </row>
    <row r="438" spans="2:7" x14ac:dyDescent="0.25">
      <c r="B438" s="98"/>
      <c r="F438">
        <v>434</v>
      </c>
      <c r="G438" s="109">
        <f t="shared" ca="1" si="15"/>
        <v>6.8392163089323582E-2</v>
      </c>
    </row>
    <row r="439" spans="2:7" x14ac:dyDescent="0.25">
      <c r="B439" s="98"/>
      <c r="F439">
        <v>435</v>
      </c>
      <c r="G439" s="109">
        <f t="shared" ca="1" si="15"/>
        <v>0.1984754002674346</v>
      </c>
    </row>
    <row r="440" spans="2:7" x14ac:dyDescent="0.25">
      <c r="B440" s="98"/>
      <c r="F440">
        <v>436</v>
      </c>
      <c r="G440" s="109">
        <f t="shared" ca="1" si="15"/>
        <v>4.8919322636623859E-2</v>
      </c>
    </row>
    <row r="441" spans="2:7" x14ac:dyDescent="0.25">
      <c r="B441" s="98"/>
      <c r="F441">
        <v>437</v>
      </c>
      <c r="G441" s="109">
        <f t="shared" ca="1" si="15"/>
        <v>0.16743490045365453</v>
      </c>
    </row>
    <row r="442" spans="2:7" x14ac:dyDescent="0.25">
      <c r="B442" s="98"/>
      <c r="F442">
        <v>438</v>
      </c>
      <c r="G442" s="109">
        <f t="shared" ca="1" si="15"/>
        <v>-7.8861874580754332E-2</v>
      </c>
    </row>
    <row r="443" spans="2:7" x14ac:dyDescent="0.25">
      <c r="B443" s="98"/>
      <c r="F443">
        <v>439</v>
      </c>
      <c r="G443" s="109">
        <f t="shared" ca="1" si="15"/>
        <v>0.20589959132163027</v>
      </c>
    </row>
    <row r="444" spans="2:7" x14ac:dyDescent="0.25">
      <c r="B444" s="98"/>
      <c r="F444">
        <v>440</v>
      </c>
      <c r="G444" s="109">
        <f t="shared" ca="1" si="15"/>
        <v>1.3724725630338608E-2</v>
      </c>
    </row>
    <row r="445" spans="2:7" x14ac:dyDescent="0.25">
      <c r="B445" s="98"/>
      <c r="F445">
        <v>441</v>
      </c>
      <c r="G445" s="109">
        <f t="shared" ca="1" si="15"/>
        <v>-9.4520621464706148E-2</v>
      </c>
    </row>
    <row r="446" spans="2:7" x14ac:dyDescent="0.25">
      <c r="B446" s="98"/>
      <c r="F446">
        <v>442</v>
      </c>
      <c r="G446" s="109">
        <f t="shared" ca="1" si="15"/>
        <v>-0.25804639323841105</v>
      </c>
    </row>
    <row r="447" spans="2:7" x14ac:dyDescent="0.25">
      <c r="B447" s="98"/>
      <c r="F447">
        <v>443</v>
      </c>
      <c r="G447" s="109">
        <f t="shared" ca="1" si="15"/>
        <v>6.8325608439609595E-2</v>
      </c>
    </row>
    <row r="448" spans="2:7" x14ac:dyDescent="0.25">
      <c r="B448" s="98"/>
      <c r="F448">
        <v>444</v>
      </c>
      <c r="G448" s="109">
        <f t="shared" ca="1" si="15"/>
        <v>-8.5786277146913656E-2</v>
      </c>
    </row>
    <row r="449" spans="2:7" x14ac:dyDescent="0.25">
      <c r="B449" s="98"/>
      <c r="F449">
        <v>445</v>
      </c>
      <c r="G449" s="109">
        <f t="shared" ca="1" si="15"/>
        <v>-9.3557466757738919E-2</v>
      </c>
    </row>
    <row r="450" spans="2:7" x14ac:dyDescent="0.25">
      <c r="B450" s="98"/>
      <c r="F450">
        <v>446</v>
      </c>
      <c r="G450" s="109">
        <f t="shared" ca="1" si="15"/>
        <v>1.4099615315128058E-2</v>
      </c>
    </row>
    <row r="451" spans="2:7" x14ac:dyDescent="0.25">
      <c r="B451" s="98"/>
      <c r="F451">
        <v>447</v>
      </c>
      <c r="G451" s="109">
        <f t="shared" ca="1" si="15"/>
        <v>-1.7841931621353724E-2</v>
      </c>
    </row>
    <row r="452" spans="2:7" x14ac:dyDescent="0.25">
      <c r="B452" s="98"/>
      <c r="F452">
        <v>448</v>
      </c>
      <c r="G452" s="109">
        <f t="shared" ca="1" si="15"/>
        <v>8.5766609407040784E-2</v>
      </c>
    </row>
    <row r="453" spans="2:7" x14ac:dyDescent="0.25">
      <c r="B453" s="98"/>
      <c r="F453">
        <v>449</v>
      </c>
      <c r="G453" s="109">
        <f t="shared" ca="1" si="15"/>
        <v>8.2978624768926923E-2</v>
      </c>
    </row>
    <row r="454" spans="2:7" x14ac:dyDescent="0.25">
      <c r="B454" s="98"/>
      <c r="F454">
        <v>450</v>
      </c>
      <c r="G454" s="109">
        <f t="shared" ref="G454:G517" ca="1" si="16">_xlfn.NORM.INV(RAND(),$M$5,$M$6)</f>
        <v>0.21588296898394016</v>
      </c>
    </row>
    <row r="455" spans="2:7" x14ac:dyDescent="0.25">
      <c r="B455" s="98"/>
      <c r="F455">
        <v>451</v>
      </c>
      <c r="G455" s="109">
        <f t="shared" ca="1" si="16"/>
        <v>-7.9656401283554348E-2</v>
      </c>
    </row>
    <row r="456" spans="2:7" x14ac:dyDescent="0.25">
      <c r="B456" s="98"/>
      <c r="F456">
        <v>452</v>
      </c>
      <c r="G456" s="109">
        <f t="shared" ca="1" si="16"/>
        <v>0.10023416824241974</v>
      </c>
    </row>
    <row r="457" spans="2:7" x14ac:dyDescent="0.25">
      <c r="B457" s="98"/>
      <c r="F457">
        <v>453</v>
      </c>
      <c r="G457" s="109">
        <f t="shared" ca="1" si="16"/>
        <v>-1.9886843604456916E-2</v>
      </c>
    </row>
    <row r="458" spans="2:7" x14ac:dyDescent="0.25">
      <c r="B458" s="98"/>
      <c r="F458">
        <v>454</v>
      </c>
      <c r="G458" s="109">
        <f t="shared" ca="1" si="16"/>
        <v>2.5870248956930231E-2</v>
      </c>
    </row>
    <row r="459" spans="2:7" x14ac:dyDescent="0.25">
      <c r="B459" s="98"/>
      <c r="F459">
        <v>455</v>
      </c>
      <c r="G459" s="109">
        <f t="shared" ca="1" si="16"/>
        <v>1.0366642557395236E-2</v>
      </c>
    </row>
    <row r="460" spans="2:7" x14ac:dyDescent="0.25">
      <c r="B460" s="98"/>
      <c r="F460">
        <v>456</v>
      </c>
      <c r="G460" s="109">
        <f t="shared" ca="1" si="16"/>
        <v>0.10583632929684902</v>
      </c>
    </row>
    <row r="461" spans="2:7" x14ac:dyDescent="0.25">
      <c r="B461" s="98"/>
      <c r="F461">
        <v>457</v>
      </c>
      <c r="G461" s="109">
        <f t="shared" ca="1" si="16"/>
        <v>0.18228174331807334</v>
      </c>
    </row>
    <row r="462" spans="2:7" x14ac:dyDescent="0.25">
      <c r="B462" s="98"/>
      <c r="F462">
        <v>458</v>
      </c>
      <c r="G462" s="109">
        <f t="shared" ca="1" si="16"/>
        <v>4.3258133983698752E-2</v>
      </c>
    </row>
    <row r="463" spans="2:7" x14ac:dyDescent="0.25">
      <c r="B463" s="98"/>
      <c r="F463">
        <v>459</v>
      </c>
      <c r="G463" s="109">
        <f t="shared" ca="1" si="16"/>
        <v>0.11168082875950394</v>
      </c>
    </row>
    <row r="464" spans="2:7" x14ac:dyDescent="0.25">
      <c r="B464" s="98"/>
      <c r="F464">
        <v>460</v>
      </c>
      <c r="G464" s="109">
        <f t="shared" ca="1" si="16"/>
        <v>-3.1896161910367135E-2</v>
      </c>
    </row>
    <row r="465" spans="2:7" x14ac:dyDescent="0.25">
      <c r="B465" s="98"/>
      <c r="F465">
        <v>461</v>
      </c>
      <c r="G465" s="109">
        <f t="shared" ca="1" si="16"/>
        <v>-4.2756319478143387E-2</v>
      </c>
    </row>
    <row r="466" spans="2:7" x14ac:dyDescent="0.25">
      <c r="B466" s="98"/>
      <c r="F466">
        <v>462</v>
      </c>
      <c r="G466" s="109">
        <f t="shared" ca="1" si="16"/>
        <v>-5.7153751842461686E-2</v>
      </c>
    </row>
    <row r="467" spans="2:7" x14ac:dyDescent="0.25">
      <c r="B467" s="98"/>
      <c r="F467">
        <v>463</v>
      </c>
      <c r="G467" s="109">
        <f t="shared" ca="1" si="16"/>
        <v>-5.8162495089914876E-2</v>
      </c>
    </row>
    <row r="468" spans="2:7" x14ac:dyDescent="0.25">
      <c r="B468" s="98"/>
      <c r="F468">
        <v>464</v>
      </c>
      <c r="G468" s="109">
        <f t="shared" ca="1" si="16"/>
        <v>-0.11184790266196813</v>
      </c>
    </row>
    <row r="469" spans="2:7" x14ac:dyDescent="0.25">
      <c r="B469" s="98"/>
      <c r="F469">
        <v>465</v>
      </c>
      <c r="G469" s="109">
        <f t="shared" ca="1" si="16"/>
        <v>-1.577038735852055E-2</v>
      </c>
    </row>
    <row r="470" spans="2:7" x14ac:dyDescent="0.25">
      <c r="B470" s="98"/>
      <c r="F470">
        <v>466</v>
      </c>
      <c r="G470" s="109">
        <f t="shared" ca="1" si="16"/>
        <v>-2.2547244788251375E-2</v>
      </c>
    </row>
    <row r="471" spans="2:7" x14ac:dyDescent="0.25">
      <c r="B471" s="98"/>
      <c r="F471">
        <v>467</v>
      </c>
      <c r="G471" s="109">
        <f t="shared" ca="1" si="16"/>
        <v>0.20765186269538188</v>
      </c>
    </row>
    <row r="472" spans="2:7" x14ac:dyDescent="0.25">
      <c r="B472" s="98"/>
      <c r="F472">
        <v>468</v>
      </c>
      <c r="G472" s="109">
        <f t="shared" ca="1" si="16"/>
        <v>6.176353547362419E-2</v>
      </c>
    </row>
    <row r="473" spans="2:7" x14ac:dyDescent="0.25">
      <c r="B473" s="98"/>
      <c r="F473">
        <v>469</v>
      </c>
      <c r="G473" s="109">
        <f t="shared" ca="1" si="16"/>
        <v>-9.7640563315813653E-2</v>
      </c>
    </row>
    <row r="474" spans="2:7" x14ac:dyDescent="0.25">
      <c r="B474" s="98"/>
      <c r="F474">
        <v>470</v>
      </c>
      <c r="G474" s="109">
        <f t="shared" ca="1" si="16"/>
        <v>0.16069248955245097</v>
      </c>
    </row>
    <row r="475" spans="2:7" x14ac:dyDescent="0.25">
      <c r="B475" s="98"/>
      <c r="F475">
        <v>471</v>
      </c>
      <c r="G475" s="109">
        <f t="shared" ca="1" si="16"/>
        <v>7.3670533805211352E-2</v>
      </c>
    </row>
    <row r="476" spans="2:7" x14ac:dyDescent="0.25">
      <c r="B476" s="98"/>
      <c r="F476">
        <v>472</v>
      </c>
      <c r="G476" s="109">
        <f t="shared" ca="1" si="16"/>
        <v>0.13663353507539572</v>
      </c>
    </row>
    <row r="477" spans="2:7" x14ac:dyDescent="0.25">
      <c r="B477" s="98"/>
      <c r="F477">
        <v>473</v>
      </c>
      <c r="G477" s="109">
        <f t="shared" ca="1" si="16"/>
        <v>4.1116479610106692E-2</v>
      </c>
    </row>
    <row r="478" spans="2:7" x14ac:dyDescent="0.25">
      <c r="B478" s="98"/>
      <c r="F478">
        <v>474</v>
      </c>
      <c r="G478" s="109">
        <f t="shared" ca="1" si="16"/>
        <v>-1.1651879587076662E-2</v>
      </c>
    </row>
    <row r="479" spans="2:7" x14ac:dyDescent="0.25">
      <c r="B479" s="98"/>
      <c r="F479">
        <v>475</v>
      </c>
      <c r="G479" s="109">
        <f t="shared" ca="1" si="16"/>
        <v>8.9941795642520694E-2</v>
      </c>
    </row>
    <row r="480" spans="2:7" x14ac:dyDescent="0.25">
      <c r="B480" s="98"/>
      <c r="F480">
        <v>476</v>
      </c>
      <c r="G480" s="109">
        <f t="shared" ca="1" si="16"/>
        <v>0.1068576182050601</v>
      </c>
    </row>
    <row r="481" spans="2:7" x14ac:dyDescent="0.25">
      <c r="B481" s="98"/>
      <c r="F481">
        <v>477</v>
      </c>
      <c r="G481" s="109">
        <f t="shared" ca="1" si="16"/>
        <v>-0.11255271518954742</v>
      </c>
    </row>
    <row r="482" spans="2:7" x14ac:dyDescent="0.25">
      <c r="B482" s="98"/>
      <c r="F482">
        <v>478</v>
      </c>
      <c r="G482" s="109">
        <f t="shared" ca="1" si="16"/>
        <v>7.368903236979972E-2</v>
      </c>
    </row>
    <row r="483" spans="2:7" x14ac:dyDescent="0.25">
      <c r="B483" s="98"/>
      <c r="F483">
        <v>479</v>
      </c>
      <c r="G483" s="109">
        <f t="shared" ca="1" si="16"/>
        <v>-8.4799722587462767E-3</v>
      </c>
    </row>
    <row r="484" spans="2:7" x14ac:dyDescent="0.25">
      <c r="B484" s="98"/>
      <c r="F484">
        <v>480</v>
      </c>
      <c r="G484" s="109">
        <f t="shared" ca="1" si="16"/>
        <v>-0.12426258259173857</v>
      </c>
    </row>
    <row r="485" spans="2:7" x14ac:dyDescent="0.25">
      <c r="B485" s="98"/>
      <c r="F485">
        <v>481</v>
      </c>
      <c r="G485" s="109">
        <f t="shared" ca="1" si="16"/>
        <v>-1.9413566474996563E-2</v>
      </c>
    </row>
    <row r="486" spans="2:7" x14ac:dyDescent="0.25">
      <c r="B486" s="98"/>
      <c r="F486">
        <v>482</v>
      </c>
      <c r="G486" s="109">
        <f t="shared" ca="1" si="16"/>
        <v>-7.3582626715615773E-2</v>
      </c>
    </row>
    <row r="487" spans="2:7" x14ac:dyDescent="0.25">
      <c r="B487" s="98"/>
      <c r="F487">
        <v>483</v>
      </c>
      <c r="G487" s="109">
        <f t="shared" ca="1" si="16"/>
        <v>2.9897103607585237E-2</v>
      </c>
    </row>
    <row r="488" spans="2:7" x14ac:dyDescent="0.25">
      <c r="B488" s="98"/>
      <c r="F488">
        <v>484</v>
      </c>
      <c r="G488" s="109">
        <f t="shared" ca="1" si="16"/>
        <v>-1.5750124911798058E-2</v>
      </c>
    </row>
    <row r="489" spans="2:7" x14ac:dyDescent="0.25">
      <c r="B489" s="98"/>
      <c r="F489">
        <v>485</v>
      </c>
      <c r="G489" s="109">
        <f t="shared" ca="1" si="16"/>
        <v>-3.8616015514247634E-2</v>
      </c>
    </row>
    <row r="490" spans="2:7" x14ac:dyDescent="0.25">
      <c r="B490" s="98"/>
      <c r="F490">
        <v>486</v>
      </c>
      <c r="G490" s="109">
        <f t="shared" ca="1" si="16"/>
        <v>0.15080123972869375</v>
      </c>
    </row>
    <row r="491" spans="2:7" x14ac:dyDescent="0.25">
      <c r="B491" s="98"/>
      <c r="F491">
        <v>487</v>
      </c>
      <c r="G491" s="109">
        <f t="shared" ca="1" si="16"/>
        <v>0.32876339803568133</v>
      </c>
    </row>
    <row r="492" spans="2:7" x14ac:dyDescent="0.25">
      <c r="B492" s="98"/>
      <c r="F492">
        <v>488</v>
      </c>
      <c r="G492" s="109">
        <f t="shared" ca="1" si="16"/>
        <v>5.6393661696175004E-3</v>
      </c>
    </row>
    <row r="493" spans="2:7" x14ac:dyDescent="0.25">
      <c r="B493" s="98"/>
      <c r="F493">
        <v>489</v>
      </c>
      <c r="G493" s="109">
        <f t="shared" ca="1" si="16"/>
        <v>0.25662152427661639</v>
      </c>
    </row>
    <row r="494" spans="2:7" x14ac:dyDescent="0.25">
      <c r="B494" s="98"/>
      <c r="F494">
        <v>490</v>
      </c>
      <c r="G494" s="109">
        <f t="shared" ca="1" si="16"/>
        <v>0.2025070777264682</v>
      </c>
    </row>
    <row r="495" spans="2:7" x14ac:dyDescent="0.25">
      <c r="B495" s="98"/>
      <c r="F495">
        <v>491</v>
      </c>
      <c r="G495" s="109">
        <f t="shared" ca="1" si="16"/>
        <v>0.15370711460897996</v>
      </c>
    </row>
    <row r="496" spans="2:7" x14ac:dyDescent="0.25">
      <c r="B496" s="98"/>
      <c r="F496">
        <v>492</v>
      </c>
      <c r="G496" s="109">
        <f t="shared" ca="1" si="16"/>
        <v>-3.9660358588255243E-2</v>
      </c>
    </row>
    <row r="497" spans="2:7" x14ac:dyDescent="0.25">
      <c r="B497" s="98"/>
      <c r="F497">
        <v>493</v>
      </c>
      <c r="G497" s="109">
        <f t="shared" ca="1" si="16"/>
        <v>-0.19735637275313378</v>
      </c>
    </row>
    <row r="498" spans="2:7" x14ac:dyDescent="0.25">
      <c r="B498" s="98"/>
      <c r="F498">
        <v>494</v>
      </c>
      <c r="G498" s="109">
        <f t="shared" ca="1" si="16"/>
        <v>0.13216807538179109</v>
      </c>
    </row>
    <row r="499" spans="2:7" x14ac:dyDescent="0.25">
      <c r="B499" s="98"/>
      <c r="F499">
        <v>495</v>
      </c>
      <c r="G499" s="109">
        <f t="shared" ca="1" si="16"/>
        <v>-7.4241297761934749E-2</v>
      </c>
    </row>
    <row r="500" spans="2:7" x14ac:dyDescent="0.25">
      <c r="B500" s="98"/>
      <c r="F500">
        <v>496</v>
      </c>
      <c r="G500" s="109">
        <f t="shared" ca="1" si="16"/>
        <v>7.1902218296383866E-2</v>
      </c>
    </row>
    <row r="501" spans="2:7" x14ac:dyDescent="0.25">
      <c r="B501" s="98"/>
      <c r="F501">
        <v>497</v>
      </c>
      <c r="G501" s="109">
        <f t="shared" ca="1" si="16"/>
        <v>0.2170749912293653</v>
      </c>
    </row>
    <row r="502" spans="2:7" x14ac:dyDescent="0.25">
      <c r="B502" s="98"/>
      <c r="F502">
        <v>498</v>
      </c>
      <c r="G502" s="109">
        <f t="shared" ca="1" si="16"/>
        <v>0.16842955758184386</v>
      </c>
    </row>
    <row r="503" spans="2:7" x14ac:dyDescent="0.25">
      <c r="B503" s="98"/>
      <c r="F503">
        <v>499</v>
      </c>
      <c r="G503" s="109">
        <f t="shared" ca="1" si="16"/>
        <v>-6.3907363618355778E-2</v>
      </c>
    </row>
    <row r="504" spans="2:7" x14ac:dyDescent="0.25">
      <c r="B504" s="98"/>
      <c r="F504">
        <v>500</v>
      </c>
      <c r="G504" s="109">
        <f t="shared" ca="1" si="16"/>
        <v>0.11643040633050399</v>
      </c>
    </row>
    <row r="505" spans="2:7" x14ac:dyDescent="0.25">
      <c r="B505" s="98"/>
      <c r="F505">
        <v>501</v>
      </c>
      <c r="G505" s="109">
        <f t="shared" ca="1" si="16"/>
        <v>5.7231401016486452E-2</v>
      </c>
    </row>
    <row r="506" spans="2:7" x14ac:dyDescent="0.25">
      <c r="B506" s="98"/>
      <c r="F506">
        <v>502</v>
      </c>
      <c r="G506" s="109">
        <f t="shared" ca="1" si="16"/>
        <v>0.13635064514125828</v>
      </c>
    </row>
    <row r="507" spans="2:7" x14ac:dyDescent="0.25">
      <c r="B507" s="98"/>
      <c r="F507">
        <v>503</v>
      </c>
      <c r="G507" s="109">
        <f t="shared" ca="1" si="16"/>
        <v>0.21089219628730804</v>
      </c>
    </row>
    <row r="508" spans="2:7" x14ac:dyDescent="0.25">
      <c r="B508" s="98"/>
      <c r="F508">
        <v>504</v>
      </c>
      <c r="G508" s="109">
        <f t="shared" ca="1" si="16"/>
        <v>0.23389300392691342</v>
      </c>
    </row>
    <row r="509" spans="2:7" x14ac:dyDescent="0.25">
      <c r="B509" s="98"/>
      <c r="F509">
        <v>505</v>
      </c>
      <c r="G509" s="109">
        <f t="shared" ca="1" si="16"/>
        <v>8.4695617369000206E-3</v>
      </c>
    </row>
    <row r="510" spans="2:7" x14ac:dyDescent="0.25">
      <c r="B510" s="98"/>
      <c r="F510">
        <v>506</v>
      </c>
      <c r="G510" s="109">
        <f t="shared" ca="1" si="16"/>
        <v>2.726079645691281E-2</v>
      </c>
    </row>
    <row r="511" spans="2:7" x14ac:dyDescent="0.25">
      <c r="B511" s="98"/>
      <c r="F511">
        <v>507</v>
      </c>
      <c r="G511" s="109">
        <f t="shared" ca="1" si="16"/>
        <v>-7.4920427358937711E-2</v>
      </c>
    </row>
    <row r="512" spans="2:7" x14ac:dyDescent="0.25">
      <c r="B512" s="98"/>
      <c r="F512">
        <v>508</v>
      </c>
      <c r="G512" s="109">
        <f t="shared" ca="1" si="16"/>
        <v>-7.7029235867712362E-2</v>
      </c>
    </row>
    <row r="513" spans="2:7" x14ac:dyDescent="0.25">
      <c r="B513" s="98"/>
      <c r="F513">
        <v>509</v>
      </c>
      <c r="G513" s="109">
        <f t="shared" ca="1" si="16"/>
        <v>0.22732291203401078</v>
      </c>
    </row>
    <row r="514" spans="2:7" x14ac:dyDescent="0.25">
      <c r="B514" s="98"/>
      <c r="F514">
        <v>510</v>
      </c>
      <c r="G514" s="109">
        <f t="shared" ca="1" si="16"/>
        <v>0.19444421643576132</v>
      </c>
    </row>
    <row r="515" spans="2:7" x14ac:dyDescent="0.25">
      <c r="B515" s="98"/>
      <c r="F515">
        <v>511</v>
      </c>
      <c r="G515" s="109">
        <f t="shared" ca="1" si="16"/>
        <v>0.1034361274717861</v>
      </c>
    </row>
    <row r="516" spans="2:7" x14ac:dyDescent="0.25">
      <c r="B516" s="98"/>
      <c r="F516">
        <v>512</v>
      </c>
      <c r="G516" s="109">
        <f t="shared" ca="1" si="16"/>
        <v>8.176954817256693E-2</v>
      </c>
    </row>
    <row r="517" spans="2:7" x14ac:dyDescent="0.25">
      <c r="B517" s="98"/>
      <c r="F517">
        <v>513</v>
      </c>
      <c r="G517" s="109">
        <f t="shared" ca="1" si="16"/>
        <v>-3.0019051314713358E-2</v>
      </c>
    </row>
    <row r="518" spans="2:7" x14ac:dyDescent="0.25">
      <c r="B518" s="98"/>
      <c r="F518">
        <v>514</v>
      </c>
      <c r="G518" s="109">
        <f t="shared" ref="G518:G581" ca="1" si="17">_xlfn.NORM.INV(RAND(),$M$5,$M$6)</f>
        <v>9.6348883518521111E-4</v>
      </c>
    </row>
    <row r="519" spans="2:7" x14ac:dyDescent="0.25">
      <c r="B519" s="98"/>
      <c r="F519">
        <v>515</v>
      </c>
      <c r="G519" s="109">
        <f t="shared" ca="1" si="17"/>
        <v>9.2850302366550092E-2</v>
      </c>
    </row>
    <row r="520" spans="2:7" x14ac:dyDescent="0.25">
      <c r="B520" s="98"/>
      <c r="F520">
        <v>516</v>
      </c>
      <c r="G520" s="109">
        <f t="shared" ca="1" si="17"/>
        <v>4.6013074771649849E-2</v>
      </c>
    </row>
    <row r="521" spans="2:7" x14ac:dyDescent="0.25">
      <c r="B521" s="98"/>
      <c r="F521">
        <v>517</v>
      </c>
      <c r="G521" s="109">
        <f t="shared" ca="1" si="17"/>
        <v>0.12947488375462213</v>
      </c>
    </row>
    <row r="522" spans="2:7" x14ac:dyDescent="0.25">
      <c r="B522" s="98"/>
      <c r="F522">
        <v>518</v>
      </c>
      <c r="G522" s="109">
        <f t="shared" ca="1" si="17"/>
        <v>0.21922611586261087</v>
      </c>
    </row>
    <row r="523" spans="2:7" x14ac:dyDescent="0.25">
      <c r="B523" s="98"/>
      <c r="F523">
        <v>519</v>
      </c>
      <c r="G523" s="109">
        <f t="shared" ca="1" si="17"/>
        <v>9.178882872126054E-2</v>
      </c>
    </row>
    <row r="524" spans="2:7" x14ac:dyDescent="0.25">
      <c r="B524" s="98"/>
      <c r="F524">
        <v>520</v>
      </c>
      <c r="G524" s="109">
        <f t="shared" ca="1" si="17"/>
        <v>3.2677060619950078E-2</v>
      </c>
    </row>
    <row r="525" spans="2:7" x14ac:dyDescent="0.25">
      <c r="B525" s="98"/>
      <c r="F525">
        <v>521</v>
      </c>
      <c r="G525" s="109">
        <f t="shared" ca="1" si="17"/>
        <v>0.31422074434526792</v>
      </c>
    </row>
    <row r="526" spans="2:7" x14ac:dyDescent="0.25">
      <c r="B526" s="98"/>
      <c r="F526">
        <v>522</v>
      </c>
      <c r="G526" s="109">
        <f t="shared" ca="1" si="17"/>
        <v>-6.4918196605443498E-2</v>
      </c>
    </row>
    <row r="527" spans="2:7" x14ac:dyDescent="0.25">
      <c r="B527" s="98"/>
      <c r="F527">
        <v>523</v>
      </c>
      <c r="G527" s="109">
        <f t="shared" ca="1" si="17"/>
        <v>0.27243605492370837</v>
      </c>
    </row>
    <row r="528" spans="2:7" x14ac:dyDescent="0.25">
      <c r="B528" s="98"/>
      <c r="F528">
        <v>524</v>
      </c>
      <c r="G528" s="109">
        <f t="shared" ca="1" si="17"/>
        <v>7.1582890834670315E-2</v>
      </c>
    </row>
    <row r="529" spans="2:7" x14ac:dyDescent="0.25">
      <c r="B529" s="98"/>
      <c r="F529">
        <v>525</v>
      </c>
      <c r="G529" s="109">
        <f t="shared" ca="1" si="17"/>
        <v>0.16791331527161218</v>
      </c>
    </row>
    <row r="530" spans="2:7" x14ac:dyDescent="0.25">
      <c r="B530" s="98"/>
      <c r="F530">
        <v>526</v>
      </c>
      <c r="G530" s="109">
        <f t="shared" ca="1" si="17"/>
        <v>5.3359451806131837E-2</v>
      </c>
    </row>
    <row r="531" spans="2:7" x14ac:dyDescent="0.25">
      <c r="B531" s="98"/>
      <c r="F531">
        <v>527</v>
      </c>
      <c r="G531" s="109">
        <f t="shared" ca="1" si="17"/>
        <v>1.7373333219223366E-2</v>
      </c>
    </row>
    <row r="532" spans="2:7" x14ac:dyDescent="0.25">
      <c r="B532" s="98"/>
      <c r="F532">
        <v>528</v>
      </c>
      <c r="G532" s="109">
        <f t="shared" ca="1" si="17"/>
        <v>2.7838044830335404E-2</v>
      </c>
    </row>
    <row r="533" spans="2:7" x14ac:dyDescent="0.25">
      <c r="B533" s="98"/>
      <c r="F533">
        <v>529</v>
      </c>
      <c r="G533" s="109">
        <f t="shared" ca="1" si="17"/>
        <v>9.5848015773022266E-2</v>
      </c>
    </row>
    <row r="534" spans="2:7" x14ac:dyDescent="0.25">
      <c r="B534" s="98"/>
      <c r="F534">
        <v>530</v>
      </c>
      <c r="G534" s="109">
        <f t="shared" ca="1" si="17"/>
        <v>0.32873212651525052</v>
      </c>
    </row>
    <row r="535" spans="2:7" x14ac:dyDescent="0.25">
      <c r="B535" s="98"/>
      <c r="F535">
        <v>531</v>
      </c>
      <c r="G535" s="109">
        <f t="shared" ca="1" si="17"/>
        <v>-8.454369007498537E-2</v>
      </c>
    </row>
    <row r="536" spans="2:7" x14ac:dyDescent="0.25">
      <c r="B536" s="98"/>
      <c r="F536">
        <v>532</v>
      </c>
      <c r="G536" s="109">
        <f t="shared" ca="1" si="17"/>
        <v>0.1278233948059157</v>
      </c>
    </row>
    <row r="537" spans="2:7" x14ac:dyDescent="0.25">
      <c r="B537" s="98"/>
      <c r="F537">
        <v>533</v>
      </c>
      <c r="G537" s="109">
        <f t="shared" ca="1" si="17"/>
        <v>-3.5943802227245011E-2</v>
      </c>
    </row>
    <row r="538" spans="2:7" x14ac:dyDescent="0.25">
      <c r="B538" s="98"/>
      <c r="F538">
        <v>534</v>
      </c>
      <c r="G538" s="109">
        <f t="shared" ca="1" si="17"/>
        <v>7.9814774139490563E-2</v>
      </c>
    </row>
    <row r="539" spans="2:7" x14ac:dyDescent="0.25">
      <c r="B539" s="98"/>
      <c r="F539">
        <v>535</v>
      </c>
      <c r="G539" s="109">
        <f t="shared" ca="1" si="17"/>
        <v>-4.9498835600167906E-2</v>
      </c>
    </row>
    <row r="540" spans="2:7" x14ac:dyDescent="0.25">
      <c r="B540" s="98"/>
      <c r="F540">
        <v>536</v>
      </c>
      <c r="G540" s="109">
        <f t="shared" ca="1" si="17"/>
        <v>1.5092199406406766E-2</v>
      </c>
    </row>
    <row r="541" spans="2:7" x14ac:dyDescent="0.25">
      <c r="B541" s="98"/>
      <c r="F541">
        <v>537</v>
      </c>
      <c r="G541" s="109">
        <f t="shared" ca="1" si="17"/>
        <v>0.14927704492445107</v>
      </c>
    </row>
    <row r="542" spans="2:7" x14ac:dyDescent="0.25">
      <c r="B542" s="98"/>
      <c r="F542">
        <v>538</v>
      </c>
      <c r="G542" s="109">
        <f t="shared" ca="1" si="17"/>
        <v>7.9417057670024174E-2</v>
      </c>
    </row>
    <row r="543" spans="2:7" x14ac:dyDescent="0.25">
      <c r="B543" s="98"/>
      <c r="F543">
        <v>539</v>
      </c>
      <c r="G543" s="109">
        <f t="shared" ca="1" si="17"/>
        <v>3.3148889060313713E-2</v>
      </c>
    </row>
    <row r="544" spans="2:7" x14ac:dyDescent="0.25">
      <c r="B544" s="98"/>
      <c r="F544">
        <v>540</v>
      </c>
      <c r="G544" s="109">
        <f t="shared" ca="1" si="17"/>
        <v>0.14071698526333021</v>
      </c>
    </row>
    <row r="545" spans="2:7" x14ac:dyDescent="0.25">
      <c r="B545" s="98"/>
      <c r="F545">
        <v>541</v>
      </c>
      <c r="G545" s="109">
        <f t="shared" ca="1" si="17"/>
        <v>0.14321921836086265</v>
      </c>
    </row>
    <row r="546" spans="2:7" x14ac:dyDescent="0.25">
      <c r="B546" s="98"/>
      <c r="F546">
        <v>542</v>
      </c>
      <c r="G546" s="109">
        <f t="shared" ca="1" si="17"/>
        <v>8.787704861056915E-2</v>
      </c>
    </row>
    <row r="547" spans="2:7" x14ac:dyDescent="0.25">
      <c r="B547" s="98"/>
      <c r="F547">
        <v>543</v>
      </c>
      <c r="G547" s="109">
        <f t="shared" ca="1" si="17"/>
        <v>-2.1399860288435463E-2</v>
      </c>
    </row>
    <row r="548" spans="2:7" x14ac:dyDescent="0.25">
      <c r="B548" s="98"/>
      <c r="F548">
        <v>544</v>
      </c>
      <c r="G548" s="109">
        <f t="shared" ca="1" si="17"/>
        <v>-1.4178206105825743E-2</v>
      </c>
    </row>
    <row r="549" spans="2:7" x14ac:dyDescent="0.25">
      <c r="B549" s="98"/>
      <c r="F549">
        <v>545</v>
      </c>
      <c r="G549" s="109">
        <f t="shared" ca="1" si="17"/>
        <v>2.8011225165765433E-2</v>
      </c>
    </row>
    <row r="550" spans="2:7" x14ac:dyDescent="0.25">
      <c r="B550" s="98"/>
      <c r="F550">
        <v>546</v>
      </c>
      <c r="G550" s="109">
        <f t="shared" ca="1" si="17"/>
        <v>0.21581634619670942</v>
      </c>
    </row>
    <row r="551" spans="2:7" x14ac:dyDescent="0.25">
      <c r="B551" s="98"/>
      <c r="F551">
        <v>547</v>
      </c>
      <c r="G551" s="109">
        <f t="shared" ca="1" si="17"/>
        <v>-5.1345972284045721E-2</v>
      </c>
    </row>
    <row r="552" spans="2:7" x14ac:dyDescent="0.25">
      <c r="B552" s="98"/>
      <c r="F552">
        <v>548</v>
      </c>
      <c r="G552" s="109">
        <f t="shared" ca="1" si="17"/>
        <v>0.17016234487512572</v>
      </c>
    </row>
    <row r="553" spans="2:7" x14ac:dyDescent="0.25">
      <c r="B553" s="98"/>
      <c r="F553">
        <v>549</v>
      </c>
      <c r="G553" s="109">
        <f t="shared" ca="1" si="17"/>
        <v>0.23997664427594345</v>
      </c>
    </row>
    <row r="554" spans="2:7" x14ac:dyDescent="0.25">
      <c r="B554" s="98"/>
      <c r="F554">
        <v>550</v>
      </c>
      <c r="G554" s="109">
        <f t="shared" ca="1" si="17"/>
        <v>-7.881343248486751E-2</v>
      </c>
    </row>
    <row r="555" spans="2:7" x14ac:dyDescent="0.25">
      <c r="B555" s="98"/>
      <c r="F555">
        <v>551</v>
      </c>
      <c r="G555" s="109">
        <f t="shared" ca="1" si="17"/>
        <v>8.0410377104677022E-2</v>
      </c>
    </row>
    <row r="556" spans="2:7" x14ac:dyDescent="0.25">
      <c r="B556" s="98"/>
      <c r="F556">
        <v>552</v>
      </c>
      <c r="G556" s="109">
        <f t="shared" ca="1" si="17"/>
        <v>6.9966916674017096E-2</v>
      </c>
    </row>
    <row r="557" spans="2:7" x14ac:dyDescent="0.25">
      <c r="B557" s="98"/>
      <c r="F557">
        <v>553</v>
      </c>
      <c r="G557" s="109">
        <f t="shared" ca="1" si="17"/>
        <v>4.2123560336881E-2</v>
      </c>
    </row>
    <row r="558" spans="2:7" x14ac:dyDescent="0.25">
      <c r="B558" s="98"/>
      <c r="F558">
        <v>554</v>
      </c>
      <c r="G558" s="109">
        <f t="shared" ca="1" si="17"/>
        <v>0.15580383098184825</v>
      </c>
    </row>
    <row r="559" spans="2:7" x14ac:dyDescent="0.25">
      <c r="B559" s="98"/>
      <c r="F559">
        <v>555</v>
      </c>
      <c r="G559" s="109">
        <f t="shared" ca="1" si="17"/>
        <v>9.2756184207813244E-2</v>
      </c>
    </row>
    <row r="560" spans="2:7" x14ac:dyDescent="0.25">
      <c r="B560" s="98"/>
      <c r="F560">
        <v>556</v>
      </c>
      <c r="G560" s="109">
        <f t="shared" ca="1" si="17"/>
        <v>-1.2845591458063133E-2</v>
      </c>
    </row>
    <row r="561" spans="2:7" x14ac:dyDescent="0.25">
      <c r="B561" s="98"/>
      <c r="F561">
        <v>557</v>
      </c>
      <c r="G561" s="109">
        <f t="shared" ca="1" si="17"/>
        <v>7.0549391690956129E-2</v>
      </c>
    </row>
    <row r="562" spans="2:7" x14ac:dyDescent="0.25">
      <c r="B562" s="98"/>
      <c r="F562">
        <v>558</v>
      </c>
      <c r="G562" s="109">
        <f t="shared" ca="1" si="17"/>
        <v>-2.7292895293932667E-2</v>
      </c>
    </row>
    <row r="563" spans="2:7" x14ac:dyDescent="0.25">
      <c r="B563" s="98"/>
      <c r="F563">
        <v>559</v>
      </c>
      <c r="G563" s="109">
        <f t="shared" ca="1" si="17"/>
        <v>3.303563543998575E-2</v>
      </c>
    </row>
    <row r="564" spans="2:7" x14ac:dyDescent="0.25">
      <c r="B564" s="98"/>
      <c r="F564">
        <v>560</v>
      </c>
      <c r="G564" s="109">
        <f t="shared" ca="1" si="17"/>
        <v>-0.16142356428406529</v>
      </c>
    </row>
    <row r="565" spans="2:7" x14ac:dyDescent="0.25">
      <c r="B565" s="98"/>
      <c r="F565">
        <v>561</v>
      </c>
      <c r="G565" s="109">
        <f t="shared" ca="1" si="17"/>
        <v>-8.2288480004244949E-2</v>
      </c>
    </row>
    <row r="566" spans="2:7" x14ac:dyDescent="0.25">
      <c r="B566" s="98"/>
      <c r="F566">
        <v>562</v>
      </c>
      <c r="G566" s="109">
        <f t="shared" ca="1" si="17"/>
        <v>-0.15645412640071382</v>
      </c>
    </row>
    <row r="567" spans="2:7" x14ac:dyDescent="0.25">
      <c r="B567" s="98"/>
      <c r="F567">
        <v>563</v>
      </c>
      <c r="G567" s="109">
        <f t="shared" ca="1" si="17"/>
        <v>5.1496068529197657E-2</v>
      </c>
    </row>
    <row r="568" spans="2:7" x14ac:dyDescent="0.25">
      <c r="B568" s="98"/>
      <c r="F568">
        <v>564</v>
      </c>
      <c r="G568" s="109">
        <f t="shared" ca="1" si="17"/>
        <v>3.5544520041277672E-2</v>
      </c>
    </row>
    <row r="569" spans="2:7" x14ac:dyDescent="0.25">
      <c r="B569" s="98"/>
      <c r="F569">
        <v>565</v>
      </c>
      <c r="G569" s="109">
        <f t="shared" ca="1" si="17"/>
        <v>4.6517758690370746E-2</v>
      </c>
    </row>
    <row r="570" spans="2:7" x14ac:dyDescent="0.25">
      <c r="B570" s="98"/>
      <c r="F570">
        <v>566</v>
      </c>
      <c r="G570" s="109">
        <f t="shared" ca="1" si="17"/>
        <v>-3.0560066085269649E-2</v>
      </c>
    </row>
    <row r="571" spans="2:7" x14ac:dyDescent="0.25">
      <c r="B571" s="98"/>
      <c r="F571">
        <v>567</v>
      </c>
      <c r="G571" s="109">
        <f t="shared" ca="1" si="17"/>
        <v>-2.1174145193128616E-2</v>
      </c>
    </row>
    <row r="572" spans="2:7" x14ac:dyDescent="0.25">
      <c r="B572" s="98"/>
      <c r="F572">
        <v>568</v>
      </c>
      <c r="G572" s="109">
        <f t="shared" ca="1" si="17"/>
        <v>-9.7257815909017012E-2</v>
      </c>
    </row>
    <row r="573" spans="2:7" x14ac:dyDescent="0.25">
      <c r="B573" s="98"/>
      <c r="F573">
        <v>569</v>
      </c>
      <c r="G573" s="109">
        <f t="shared" ca="1" si="17"/>
        <v>6.6877746542093414E-2</v>
      </c>
    </row>
    <row r="574" spans="2:7" x14ac:dyDescent="0.25">
      <c r="B574" s="98"/>
      <c r="F574">
        <v>570</v>
      </c>
      <c r="G574" s="109">
        <f t="shared" ca="1" si="17"/>
        <v>1.8893229548871262E-2</v>
      </c>
    </row>
    <row r="575" spans="2:7" x14ac:dyDescent="0.25">
      <c r="B575" s="98"/>
      <c r="F575">
        <v>571</v>
      </c>
      <c r="G575" s="109">
        <f t="shared" ca="1" si="17"/>
        <v>0.22081758816018721</v>
      </c>
    </row>
    <row r="576" spans="2:7" x14ac:dyDescent="0.25">
      <c r="B576" s="98"/>
      <c r="F576">
        <v>572</v>
      </c>
      <c r="G576" s="109">
        <f t="shared" ca="1" si="17"/>
        <v>5.7324382866182744E-2</v>
      </c>
    </row>
    <row r="577" spans="2:7" x14ac:dyDescent="0.25">
      <c r="B577" s="98"/>
      <c r="F577">
        <v>573</v>
      </c>
      <c r="G577" s="109">
        <f t="shared" ca="1" si="17"/>
        <v>6.4001315448196747E-2</v>
      </c>
    </row>
    <row r="578" spans="2:7" x14ac:dyDescent="0.25">
      <c r="B578" s="98"/>
      <c r="F578">
        <v>574</v>
      </c>
      <c r="G578" s="109">
        <f t="shared" ca="1" si="17"/>
        <v>0.12316567429902081</v>
      </c>
    </row>
    <row r="579" spans="2:7" x14ac:dyDescent="0.25">
      <c r="B579" s="98"/>
      <c r="F579">
        <v>575</v>
      </c>
      <c r="G579" s="109">
        <f t="shared" ca="1" si="17"/>
        <v>-5.7537836024279088E-2</v>
      </c>
    </row>
    <row r="580" spans="2:7" x14ac:dyDescent="0.25">
      <c r="B580" s="98"/>
      <c r="F580">
        <v>576</v>
      </c>
      <c r="G580" s="109">
        <f t="shared" ca="1" si="17"/>
        <v>0.20318459239477027</v>
      </c>
    </row>
    <row r="581" spans="2:7" x14ac:dyDescent="0.25">
      <c r="B581" s="98"/>
      <c r="F581">
        <v>577</v>
      </c>
      <c r="G581" s="109">
        <f t="shared" ca="1" si="17"/>
        <v>3.2909948959396383E-2</v>
      </c>
    </row>
    <row r="582" spans="2:7" x14ac:dyDescent="0.25">
      <c r="B582" s="98"/>
      <c r="F582">
        <v>578</v>
      </c>
      <c r="G582" s="109">
        <f t="shared" ref="G582:G645" ca="1" si="18">_xlfn.NORM.INV(RAND(),$M$5,$M$6)</f>
        <v>-6.5641072316438523E-2</v>
      </c>
    </row>
    <row r="583" spans="2:7" x14ac:dyDescent="0.25">
      <c r="B583" s="98"/>
      <c r="F583">
        <v>579</v>
      </c>
      <c r="G583" s="109">
        <f t="shared" ca="1" si="18"/>
        <v>-0.11955610464540455</v>
      </c>
    </row>
    <row r="584" spans="2:7" x14ac:dyDescent="0.25">
      <c r="B584" s="98"/>
      <c r="F584">
        <v>580</v>
      </c>
      <c r="G584" s="109">
        <f t="shared" ca="1" si="18"/>
        <v>0.18219674115851081</v>
      </c>
    </row>
    <row r="585" spans="2:7" x14ac:dyDescent="0.25">
      <c r="B585" s="98"/>
      <c r="F585">
        <v>581</v>
      </c>
      <c r="G585" s="109">
        <f t="shared" ca="1" si="18"/>
        <v>6.1351854489381547E-2</v>
      </c>
    </row>
    <row r="586" spans="2:7" x14ac:dyDescent="0.25">
      <c r="B586" s="98"/>
      <c r="F586">
        <v>582</v>
      </c>
      <c r="G586" s="109">
        <f t="shared" ca="1" si="18"/>
        <v>2.2473637255760771E-2</v>
      </c>
    </row>
    <row r="587" spans="2:7" x14ac:dyDescent="0.25">
      <c r="B587" s="98"/>
      <c r="F587">
        <v>583</v>
      </c>
      <c r="G587" s="109">
        <f t="shared" ca="1" si="18"/>
        <v>-1.7931847295803702E-2</v>
      </c>
    </row>
    <row r="588" spans="2:7" x14ac:dyDescent="0.25">
      <c r="B588" s="98"/>
      <c r="F588">
        <v>584</v>
      </c>
      <c r="G588" s="109">
        <f t="shared" ca="1" si="18"/>
        <v>-7.1068370721966451E-2</v>
      </c>
    </row>
    <row r="589" spans="2:7" x14ac:dyDescent="0.25">
      <c r="B589" s="98"/>
      <c r="F589">
        <v>585</v>
      </c>
      <c r="G589" s="109">
        <f t="shared" ca="1" si="18"/>
        <v>0.1044507993252194</v>
      </c>
    </row>
    <row r="590" spans="2:7" x14ac:dyDescent="0.25">
      <c r="B590" s="98"/>
      <c r="F590">
        <v>586</v>
      </c>
      <c r="G590" s="109">
        <f t="shared" ca="1" si="18"/>
        <v>-0.13699337120657901</v>
      </c>
    </row>
    <row r="591" spans="2:7" x14ac:dyDescent="0.25">
      <c r="B591" s="98"/>
      <c r="F591">
        <v>587</v>
      </c>
      <c r="G591" s="109">
        <f t="shared" ca="1" si="18"/>
        <v>-4.5405581091136488E-3</v>
      </c>
    </row>
    <row r="592" spans="2:7" x14ac:dyDescent="0.25">
      <c r="B592" s="98"/>
      <c r="F592">
        <v>588</v>
      </c>
      <c r="G592" s="109">
        <f t="shared" ca="1" si="18"/>
        <v>8.8273778753560211E-2</v>
      </c>
    </row>
    <row r="593" spans="2:7" x14ac:dyDescent="0.25">
      <c r="B593" s="98"/>
      <c r="F593">
        <v>589</v>
      </c>
      <c r="G593" s="109">
        <f t="shared" ca="1" si="18"/>
        <v>0.1542890048257928</v>
      </c>
    </row>
    <row r="594" spans="2:7" x14ac:dyDescent="0.25">
      <c r="B594" s="98"/>
      <c r="F594">
        <v>590</v>
      </c>
      <c r="G594" s="109">
        <f t="shared" ca="1" si="18"/>
        <v>0.1735855382651233</v>
      </c>
    </row>
    <row r="595" spans="2:7" x14ac:dyDescent="0.25">
      <c r="B595" s="98"/>
      <c r="F595">
        <v>591</v>
      </c>
      <c r="G595" s="109">
        <f t="shared" ca="1" si="18"/>
        <v>7.7493929964507519E-2</v>
      </c>
    </row>
    <row r="596" spans="2:7" x14ac:dyDescent="0.25">
      <c r="B596" s="98"/>
      <c r="F596">
        <v>592</v>
      </c>
      <c r="G596" s="109">
        <f t="shared" ca="1" si="18"/>
        <v>5.9447779933174724E-2</v>
      </c>
    </row>
    <row r="597" spans="2:7" x14ac:dyDescent="0.25">
      <c r="B597" s="98"/>
      <c r="F597">
        <v>593</v>
      </c>
      <c r="G597" s="109">
        <f t="shared" ca="1" si="18"/>
        <v>6.5324478170387848E-2</v>
      </c>
    </row>
    <row r="598" spans="2:7" x14ac:dyDescent="0.25">
      <c r="B598" s="98"/>
      <c r="F598">
        <v>594</v>
      </c>
      <c r="G598" s="109">
        <f t="shared" ca="1" si="18"/>
        <v>4.9763828369310391E-2</v>
      </c>
    </row>
    <row r="599" spans="2:7" x14ac:dyDescent="0.25">
      <c r="B599" s="98"/>
      <c r="F599">
        <v>595</v>
      </c>
      <c r="G599" s="109">
        <f t="shared" ca="1" si="18"/>
        <v>-1.5506769563331219E-2</v>
      </c>
    </row>
    <row r="600" spans="2:7" x14ac:dyDescent="0.25">
      <c r="B600" s="98"/>
      <c r="F600">
        <v>596</v>
      </c>
      <c r="G600" s="109">
        <f t="shared" ca="1" si="18"/>
        <v>2.7955751147700356E-2</v>
      </c>
    </row>
    <row r="601" spans="2:7" x14ac:dyDescent="0.25">
      <c r="B601" s="98"/>
      <c r="F601">
        <v>597</v>
      </c>
      <c r="G601" s="109">
        <f t="shared" ca="1" si="18"/>
        <v>3.2908231340995152E-2</v>
      </c>
    </row>
    <row r="602" spans="2:7" x14ac:dyDescent="0.25">
      <c r="B602" s="98"/>
      <c r="F602">
        <v>598</v>
      </c>
      <c r="G602" s="109">
        <f t="shared" ca="1" si="18"/>
        <v>0.20126418844526706</v>
      </c>
    </row>
    <row r="603" spans="2:7" x14ac:dyDescent="0.25">
      <c r="B603" s="98"/>
      <c r="F603">
        <v>599</v>
      </c>
      <c r="G603" s="109">
        <f t="shared" ca="1" si="18"/>
        <v>4.1397043812663667E-3</v>
      </c>
    </row>
    <row r="604" spans="2:7" x14ac:dyDescent="0.25">
      <c r="B604" s="98"/>
      <c r="F604">
        <v>600</v>
      </c>
      <c r="G604" s="109">
        <f t="shared" ca="1" si="18"/>
        <v>5.9762544738664533E-2</v>
      </c>
    </row>
    <row r="605" spans="2:7" x14ac:dyDescent="0.25">
      <c r="B605" s="98"/>
      <c r="F605">
        <v>601</v>
      </c>
      <c r="G605" s="109">
        <f t="shared" ca="1" si="18"/>
        <v>7.1215869659696757E-2</v>
      </c>
    </row>
    <row r="606" spans="2:7" x14ac:dyDescent="0.25">
      <c r="B606" s="98"/>
      <c r="F606">
        <v>602</v>
      </c>
      <c r="G606" s="109">
        <f t="shared" ca="1" si="18"/>
        <v>-1.7422682757798277E-2</v>
      </c>
    </row>
    <row r="607" spans="2:7" x14ac:dyDescent="0.25">
      <c r="B607" s="98"/>
      <c r="F607">
        <v>603</v>
      </c>
      <c r="G607" s="109">
        <f t="shared" ca="1" si="18"/>
        <v>3.1700054711265462E-2</v>
      </c>
    </row>
    <row r="608" spans="2:7" x14ac:dyDescent="0.25">
      <c r="B608" s="98"/>
      <c r="F608">
        <v>604</v>
      </c>
      <c r="G608" s="109">
        <f t="shared" ca="1" si="18"/>
        <v>9.5538067693368672E-2</v>
      </c>
    </row>
    <row r="609" spans="2:7" x14ac:dyDescent="0.25">
      <c r="B609" s="98"/>
      <c r="F609">
        <v>605</v>
      </c>
      <c r="G609" s="109">
        <f t="shared" ca="1" si="18"/>
        <v>4.8865942715474057E-2</v>
      </c>
    </row>
    <row r="610" spans="2:7" x14ac:dyDescent="0.25">
      <c r="B610" s="98"/>
      <c r="F610">
        <v>606</v>
      </c>
      <c r="G610" s="109">
        <f t="shared" ca="1" si="18"/>
        <v>8.8308486661137608E-2</v>
      </c>
    </row>
    <row r="611" spans="2:7" x14ac:dyDescent="0.25">
      <c r="B611" s="98"/>
      <c r="F611">
        <v>607</v>
      </c>
      <c r="G611" s="109">
        <f t="shared" ca="1" si="18"/>
        <v>-5.8640879554793274E-2</v>
      </c>
    </row>
    <row r="612" spans="2:7" x14ac:dyDescent="0.25">
      <c r="B612" s="98"/>
      <c r="F612">
        <v>608</v>
      </c>
      <c r="G612" s="109">
        <f t="shared" ca="1" si="18"/>
        <v>0.13798385377563571</v>
      </c>
    </row>
    <row r="613" spans="2:7" x14ac:dyDescent="0.25">
      <c r="B613" s="98"/>
      <c r="F613">
        <v>609</v>
      </c>
      <c r="G613" s="109">
        <f t="shared" ca="1" si="18"/>
        <v>9.3069485974431709E-2</v>
      </c>
    </row>
    <row r="614" spans="2:7" x14ac:dyDescent="0.25">
      <c r="B614" s="98"/>
      <c r="F614">
        <v>610</v>
      </c>
      <c r="G614" s="109">
        <f t="shared" ca="1" si="18"/>
        <v>-7.7559855580884185E-2</v>
      </c>
    </row>
    <row r="615" spans="2:7" x14ac:dyDescent="0.25">
      <c r="B615" s="98"/>
      <c r="F615">
        <v>611</v>
      </c>
      <c r="G615" s="109">
        <f t="shared" ca="1" si="18"/>
        <v>9.5382336875427451E-3</v>
      </c>
    </row>
    <row r="616" spans="2:7" x14ac:dyDescent="0.25">
      <c r="B616" s="98"/>
      <c r="F616">
        <v>612</v>
      </c>
      <c r="G616" s="109">
        <f t="shared" ca="1" si="18"/>
        <v>0.16214075115014936</v>
      </c>
    </row>
    <row r="617" spans="2:7" x14ac:dyDescent="0.25">
      <c r="B617" s="98"/>
      <c r="F617">
        <v>613</v>
      </c>
      <c r="G617" s="109">
        <f t="shared" ca="1" si="18"/>
        <v>0.42899884526765192</v>
      </c>
    </row>
    <row r="618" spans="2:7" x14ac:dyDescent="0.25">
      <c r="B618" s="98"/>
      <c r="F618">
        <v>614</v>
      </c>
      <c r="G618" s="109">
        <f t="shared" ca="1" si="18"/>
        <v>6.5920512943794654E-2</v>
      </c>
    </row>
    <row r="619" spans="2:7" x14ac:dyDescent="0.25">
      <c r="B619" s="98"/>
      <c r="F619">
        <v>615</v>
      </c>
      <c r="G619" s="109">
        <f t="shared" ca="1" si="18"/>
        <v>0.15349906683864267</v>
      </c>
    </row>
    <row r="620" spans="2:7" x14ac:dyDescent="0.25">
      <c r="B620" s="98"/>
      <c r="F620">
        <v>616</v>
      </c>
      <c r="G620" s="109">
        <f t="shared" ca="1" si="18"/>
        <v>0.13569963083583186</v>
      </c>
    </row>
    <row r="621" spans="2:7" x14ac:dyDescent="0.25">
      <c r="B621" s="98"/>
      <c r="F621">
        <v>617</v>
      </c>
      <c r="G621" s="109">
        <f t="shared" ca="1" si="18"/>
        <v>6.8770396450030802E-2</v>
      </c>
    </row>
    <row r="622" spans="2:7" x14ac:dyDescent="0.25">
      <c r="B622" s="98"/>
      <c r="F622">
        <v>618</v>
      </c>
      <c r="G622" s="109">
        <f t="shared" ca="1" si="18"/>
        <v>3.015327932708689E-2</v>
      </c>
    </row>
    <row r="623" spans="2:7" x14ac:dyDescent="0.25">
      <c r="B623" s="98"/>
      <c r="F623">
        <v>619</v>
      </c>
      <c r="G623" s="109">
        <f t="shared" ca="1" si="18"/>
        <v>0.16276822054108908</v>
      </c>
    </row>
    <row r="624" spans="2:7" x14ac:dyDescent="0.25">
      <c r="B624" s="98"/>
      <c r="F624">
        <v>620</v>
      </c>
      <c r="G624" s="109">
        <f t="shared" ca="1" si="18"/>
        <v>0.21513787034224957</v>
      </c>
    </row>
    <row r="625" spans="2:7" x14ac:dyDescent="0.25">
      <c r="B625" s="98"/>
      <c r="F625">
        <v>621</v>
      </c>
      <c r="G625" s="109">
        <f t="shared" ca="1" si="18"/>
        <v>0.16181260178344953</v>
      </c>
    </row>
    <row r="626" spans="2:7" x14ac:dyDescent="0.25">
      <c r="B626" s="98"/>
      <c r="F626">
        <v>622</v>
      </c>
      <c r="G626" s="109">
        <f t="shared" ca="1" si="18"/>
        <v>2.5506371383050501E-2</v>
      </c>
    </row>
    <row r="627" spans="2:7" x14ac:dyDescent="0.25">
      <c r="B627" s="98"/>
      <c r="F627">
        <v>623</v>
      </c>
      <c r="G627" s="109">
        <f t="shared" ca="1" si="18"/>
        <v>6.5099959752658199E-2</v>
      </c>
    </row>
    <row r="628" spans="2:7" x14ac:dyDescent="0.25">
      <c r="B628" s="98"/>
      <c r="F628">
        <v>624</v>
      </c>
      <c r="G628" s="109">
        <f t="shared" ca="1" si="18"/>
        <v>8.7601227427330078E-2</v>
      </c>
    </row>
    <row r="629" spans="2:7" x14ac:dyDescent="0.25">
      <c r="B629" s="98"/>
      <c r="F629">
        <v>625</v>
      </c>
      <c r="G629" s="109">
        <f t="shared" ca="1" si="18"/>
        <v>-9.6501703029643573E-2</v>
      </c>
    </row>
    <row r="630" spans="2:7" x14ac:dyDescent="0.25">
      <c r="B630" s="98"/>
      <c r="F630">
        <v>626</v>
      </c>
      <c r="G630" s="109">
        <f t="shared" ca="1" si="18"/>
        <v>0.10610970550011448</v>
      </c>
    </row>
    <row r="631" spans="2:7" x14ac:dyDescent="0.25">
      <c r="B631" s="98"/>
      <c r="F631">
        <v>627</v>
      </c>
      <c r="G631" s="109">
        <f t="shared" ca="1" si="18"/>
        <v>8.4510852054464902E-3</v>
      </c>
    </row>
    <row r="632" spans="2:7" x14ac:dyDescent="0.25">
      <c r="B632" s="98"/>
      <c r="F632">
        <v>628</v>
      </c>
      <c r="G632" s="109">
        <f t="shared" ca="1" si="18"/>
        <v>-0.17780689599207039</v>
      </c>
    </row>
    <row r="633" spans="2:7" x14ac:dyDescent="0.25">
      <c r="B633" s="98"/>
      <c r="F633">
        <v>629</v>
      </c>
      <c r="G633" s="109">
        <f t="shared" ca="1" si="18"/>
        <v>-0.14719052182493503</v>
      </c>
    </row>
    <row r="634" spans="2:7" x14ac:dyDescent="0.25">
      <c r="B634" s="98"/>
      <c r="F634">
        <v>630</v>
      </c>
      <c r="G634" s="109">
        <f t="shared" ca="1" si="18"/>
        <v>9.9670140248997952E-2</v>
      </c>
    </row>
    <row r="635" spans="2:7" x14ac:dyDescent="0.25">
      <c r="B635" s="98"/>
      <c r="F635">
        <v>631</v>
      </c>
      <c r="G635" s="109">
        <f t="shared" ca="1" si="18"/>
        <v>6.2870522579237725E-2</v>
      </c>
    </row>
    <row r="636" spans="2:7" x14ac:dyDescent="0.25">
      <c r="B636" s="98"/>
      <c r="F636">
        <v>632</v>
      </c>
      <c r="G636" s="109">
        <f t="shared" ca="1" si="18"/>
        <v>1.8874153173137898E-3</v>
      </c>
    </row>
    <row r="637" spans="2:7" x14ac:dyDescent="0.25">
      <c r="B637" s="98"/>
      <c r="F637">
        <v>633</v>
      </c>
      <c r="G637" s="109">
        <f t="shared" ca="1" si="18"/>
        <v>0.14764811080343865</v>
      </c>
    </row>
    <row r="638" spans="2:7" x14ac:dyDescent="0.25">
      <c r="B638" s="98"/>
      <c r="F638">
        <v>634</v>
      </c>
      <c r="G638" s="109">
        <f t="shared" ca="1" si="18"/>
        <v>0.19066565319451151</v>
      </c>
    </row>
    <row r="639" spans="2:7" x14ac:dyDescent="0.25">
      <c r="B639" s="98"/>
      <c r="F639">
        <v>635</v>
      </c>
      <c r="G639" s="109">
        <f t="shared" ca="1" si="18"/>
        <v>0.10467299936392246</v>
      </c>
    </row>
    <row r="640" spans="2:7" x14ac:dyDescent="0.25">
      <c r="B640" s="98"/>
      <c r="F640">
        <v>636</v>
      </c>
      <c r="G640" s="109">
        <f t="shared" ca="1" si="18"/>
        <v>6.5367564168806E-2</v>
      </c>
    </row>
    <row r="641" spans="2:7" x14ac:dyDescent="0.25">
      <c r="B641" s="98"/>
      <c r="F641">
        <v>637</v>
      </c>
      <c r="G641" s="109">
        <f t="shared" ca="1" si="18"/>
        <v>3.005125963692952E-2</v>
      </c>
    </row>
    <row r="642" spans="2:7" x14ac:dyDescent="0.25">
      <c r="B642" s="98"/>
      <c r="F642">
        <v>638</v>
      </c>
      <c r="G642" s="109">
        <f t="shared" ca="1" si="18"/>
        <v>0.18932857067054526</v>
      </c>
    </row>
    <row r="643" spans="2:7" x14ac:dyDescent="0.25">
      <c r="B643" s="98"/>
      <c r="F643">
        <v>639</v>
      </c>
      <c r="G643" s="109">
        <f t="shared" ca="1" si="18"/>
        <v>-0.27450939096231008</v>
      </c>
    </row>
    <row r="644" spans="2:7" x14ac:dyDescent="0.25">
      <c r="B644" s="98"/>
      <c r="F644">
        <v>640</v>
      </c>
      <c r="G644" s="109">
        <f t="shared" ca="1" si="18"/>
        <v>0.16341817766857664</v>
      </c>
    </row>
    <row r="645" spans="2:7" x14ac:dyDescent="0.25">
      <c r="B645" s="98"/>
      <c r="F645">
        <v>641</v>
      </c>
      <c r="G645" s="109">
        <f t="shared" ca="1" si="18"/>
        <v>8.9408856304864309E-2</v>
      </c>
    </row>
    <row r="646" spans="2:7" x14ac:dyDescent="0.25">
      <c r="B646" s="98"/>
      <c r="F646">
        <v>642</v>
      </c>
      <c r="G646" s="109">
        <f t="shared" ref="G646:G709" ca="1" si="19">_xlfn.NORM.INV(RAND(),$M$5,$M$6)</f>
        <v>-3.2462949115390688E-2</v>
      </c>
    </row>
    <row r="647" spans="2:7" x14ac:dyDescent="0.25">
      <c r="B647" s="98"/>
      <c r="F647">
        <v>643</v>
      </c>
      <c r="G647" s="109">
        <f t="shared" ca="1" si="19"/>
        <v>-1.9716369633431985E-2</v>
      </c>
    </row>
    <row r="648" spans="2:7" x14ac:dyDescent="0.25">
      <c r="B648" s="98"/>
      <c r="F648">
        <v>644</v>
      </c>
      <c r="G648" s="109">
        <f t="shared" ca="1" si="19"/>
        <v>0.15190706767474385</v>
      </c>
    </row>
    <row r="649" spans="2:7" x14ac:dyDescent="0.25">
      <c r="B649" s="98"/>
      <c r="F649">
        <v>645</v>
      </c>
      <c r="G649" s="109">
        <f t="shared" ca="1" si="19"/>
        <v>0.26393658126285524</v>
      </c>
    </row>
    <row r="650" spans="2:7" x14ac:dyDescent="0.25">
      <c r="B650" s="98"/>
      <c r="F650">
        <v>646</v>
      </c>
      <c r="G650" s="109">
        <f t="shared" ca="1" si="19"/>
        <v>6.4351277515134434E-2</v>
      </c>
    </row>
    <row r="651" spans="2:7" x14ac:dyDescent="0.25">
      <c r="B651" s="98"/>
      <c r="F651">
        <v>647</v>
      </c>
      <c r="G651" s="109">
        <f t="shared" ca="1" si="19"/>
        <v>0.10731694937336467</v>
      </c>
    </row>
    <row r="652" spans="2:7" x14ac:dyDescent="0.25">
      <c r="B652" s="98"/>
      <c r="F652">
        <v>648</v>
      </c>
      <c r="G652" s="109">
        <f t="shared" ca="1" si="19"/>
        <v>-0.14970620748429436</v>
      </c>
    </row>
    <row r="653" spans="2:7" x14ac:dyDescent="0.25">
      <c r="B653" s="98"/>
      <c r="F653">
        <v>649</v>
      </c>
      <c r="G653" s="109">
        <f t="shared" ca="1" si="19"/>
        <v>-3.0400072610635986E-2</v>
      </c>
    </row>
    <row r="654" spans="2:7" x14ac:dyDescent="0.25">
      <c r="B654" s="98"/>
      <c r="F654">
        <v>650</v>
      </c>
      <c r="G654" s="109">
        <f t="shared" ca="1" si="19"/>
        <v>-8.0516606139683075E-2</v>
      </c>
    </row>
    <row r="655" spans="2:7" x14ac:dyDescent="0.25">
      <c r="B655" s="98"/>
      <c r="F655">
        <v>651</v>
      </c>
      <c r="G655" s="109">
        <f t="shared" ca="1" si="19"/>
        <v>1.8938259954059931E-2</v>
      </c>
    </row>
    <row r="656" spans="2:7" x14ac:dyDescent="0.25">
      <c r="B656" s="98"/>
      <c r="F656">
        <v>652</v>
      </c>
      <c r="G656" s="109">
        <f t="shared" ca="1" si="19"/>
        <v>-6.2818375387020439E-2</v>
      </c>
    </row>
    <row r="657" spans="2:7" x14ac:dyDescent="0.25">
      <c r="B657" s="98"/>
      <c r="F657">
        <v>653</v>
      </c>
      <c r="G657" s="109">
        <f t="shared" ca="1" si="19"/>
        <v>-6.778260761234034E-2</v>
      </c>
    </row>
    <row r="658" spans="2:7" x14ac:dyDescent="0.25">
      <c r="B658" s="98"/>
      <c r="F658">
        <v>654</v>
      </c>
      <c r="G658" s="109">
        <f t="shared" ca="1" si="19"/>
        <v>0.10705373468444979</v>
      </c>
    </row>
    <row r="659" spans="2:7" x14ac:dyDescent="0.25">
      <c r="B659" s="98"/>
      <c r="F659">
        <v>655</v>
      </c>
      <c r="G659" s="109">
        <f t="shared" ca="1" si="19"/>
        <v>-0.13439768972791577</v>
      </c>
    </row>
    <row r="660" spans="2:7" x14ac:dyDescent="0.25">
      <c r="B660" s="98"/>
      <c r="F660">
        <v>656</v>
      </c>
      <c r="G660" s="109">
        <f t="shared" ca="1" si="19"/>
        <v>-1.9526334361070416E-2</v>
      </c>
    </row>
    <row r="661" spans="2:7" x14ac:dyDescent="0.25">
      <c r="B661" s="98"/>
      <c r="F661">
        <v>657</v>
      </c>
      <c r="G661" s="109">
        <f t="shared" ca="1" si="19"/>
        <v>-5.9841865446672568E-2</v>
      </c>
    </row>
    <row r="662" spans="2:7" x14ac:dyDescent="0.25">
      <c r="B662" s="98"/>
      <c r="F662">
        <v>658</v>
      </c>
      <c r="G662" s="109">
        <f t="shared" ca="1" si="19"/>
        <v>-1.5918268694941728E-2</v>
      </c>
    </row>
    <row r="663" spans="2:7" x14ac:dyDescent="0.25">
      <c r="B663" s="98"/>
      <c r="F663">
        <v>659</v>
      </c>
      <c r="G663" s="109">
        <f t="shared" ca="1" si="19"/>
        <v>-4.3959867381762871E-2</v>
      </c>
    </row>
    <row r="664" spans="2:7" x14ac:dyDescent="0.25">
      <c r="B664" s="98"/>
      <c r="F664">
        <v>660</v>
      </c>
      <c r="G664" s="109">
        <f t="shared" ca="1" si="19"/>
        <v>-2.3686300251732878E-2</v>
      </c>
    </row>
    <row r="665" spans="2:7" x14ac:dyDescent="0.25">
      <c r="B665" s="98"/>
      <c r="F665">
        <v>661</v>
      </c>
      <c r="G665" s="109">
        <f t="shared" ca="1" si="19"/>
        <v>-5.1179479024084387E-2</v>
      </c>
    </row>
    <row r="666" spans="2:7" x14ac:dyDescent="0.25">
      <c r="B666" s="98"/>
      <c r="F666">
        <v>662</v>
      </c>
      <c r="G666" s="109">
        <f t="shared" ca="1" si="19"/>
        <v>-8.1095455451775031E-2</v>
      </c>
    </row>
    <row r="667" spans="2:7" x14ac:dyDescent="0.25">
      <c r="B667" s="98"/>
      <c r="F667">
        <v>663</v>
      </c>
      <c r="G667" s="109">
        <f t="shared" ca="1" si="19"/>
        <v>2.9406390286733454E-2</v>
      </c>
    </row>
    <row r="668" spans="2:7" x14ac:dyDescent="0.25">
      <c r="B668" s="98"/>
      <c r="F668">
        <v>664</v>
      </c>
      <c r="G668" s="109">
        <f t="shared" ca="1" si="19"/>
        <v>0.18386370616290931</v>
      </c>
    </row>
    <row r="669" spans="2:7" x14ac:dyDescent="0.25">
      <c r="B669" s="98"/>
      <c r="F669">
        <v>665</v>
      </c>
      <c r="G669" s="109">
        <f t="shared" ca="1" si="19"/>
        <v>0.1780288108396742</v>
      </c>
    </row>
    <row r="670" spans="2:7" x14ac:dyDescent="0.25">
      <c r="B670" s="98"/>
      <c r="F670">
        <v>666</v>
      </c>
      <c r="G670" s="109">
        <f t="shared" ca="1" si="19"/>
        <v>0.10185885546421389</v>
      </c>
    </row>
    <row r="671" spans="2:7" x14ac:dyDescent="0.25">
      <c r="B671" s="98"/>
      <c r="F671">
        <v>667</v>
      </c>
      <c r="G671" s="109">
        <f t="shared" ca="1" si="19"/>
        <v>0.14828553384447252</v>
      </c>
    </row>
    <row r="672" spans="2:7" x14ac:dyDescent="0.25">
      <c r="B672" s="98"/>
      <c r="F672">
        <v>668</v>
      </c>
      <c r="G672" s="109">
        <f t="shared" ca="1" si="19"/>
        <v>0.13681761201067863</v>
      </c>
    </row>
    <row r="673" spans="2:7" x14ac:dyDescent="0.25">
      <c r="B673" s="98"/>
      <c r="F673">
        <v>669</v>
      </c>
      <c r="G673" s="109">
        <f t="shared" ca="1" si="19"/>
        <v>2.1471668831901658E-3</v>
      </c>
    </row>
    <row r="674" spans="2:7" x14ac:dyDescent="0.25">
      <c r="B674" s="98"/>
      <c r="F674">
        <v>670</v>
      </c>
      <c r="G674" s="109">
        <f t="shared" ca="1" si="19"/>
        <v>1.3859718755957269E-2</v>
      </c>
    </row>
    <row r="675" spans="2:7" x14ac:dyDescent="0.25">
      <c r="B675" s="98"/>
      <c r="F675">
        <v>671</v>
      </c>
      <c r="G675" s="109">
        <f t="shared" ca="1" si="19"/>
        <v>2.3731904382866875E-2</v>
      </c>
    </row>
    <row r="676" spans="2:7" x14ac:dyDescent="0.25">
      <c r="B676" s="98"/>
      <c r="F676">
        <v>672</v>
      </c>
      <c r="G676" s="109">
        <f t="shared" ca="1" si="19"/>
        <v>-9.8249164155821397E-2</v>
      </c>
    </row>
    <row r="677" spans="2:7" x14ac:dyDescent="0.25">
      <c r="B677" s="98"/>
      <c r="F677">
        <v>673</v>
      </c>
      <c r="G677" s="109">
        <f t="shared" ca="1" si="19"/>
        <v>0.12486798073925845</v>
      </c>
    </row>
    <row r="678" spans="2:7" x14ac:dyDescent="0.25">
      <c r="B678" s="98"/>
      <c r="F678">
        <v>674</v>
      </c>
      <c r="G678" s="109">
        <f t="shared" ca="1" si="19"/>
        <v>0.32809957741834633</v>
      </c>
    </row>
    <row r="679" spans="2:7" x14ac:dyDescent="0.25">
      <c r="B679" s="98"/>
      <c r="F679">
        <v>675</v>
      </c>
      <c r="G679" s="109">
        <f t="shared" ca="1" si="19"/>
        <v>-0.14567182746854468</v>
      </c>
    </row>
    <row r="680" spans="2:7" x14ac:dyDescent="0.25">
      <c r="B680" s="98"/>
      <c r="F680">
        <v>676</v>
      </c>
      <c r="G680" s="109">
        <f t="shared" ca="1" si="19"/>
        <v>0.10007636767301745</v>
      </c>
    </row>
    <row r="681" spans="2:7" x14ac:dyDescent="0.25">
      <c r="B681" s="98"/>
      <c r="F681">
        <v>677</v>
      </c>
      <c r="G681" s="109">
        <f t="shared" ca="1" si="19"/>
        <v>5.5973355925736094E-2</v>
      </c>
    </row>
    <row r="682" spans="2:7" x14ac:dyDescent="0.25">
      <c r="B682" s="98"/>
      <c r="F682">
        <v>678</v>
      </c>
      <c r="G682" s="109">
        <f t="shared" ca="1" si="19"/>
        <v>0.14047048884315733</v>
      </c>
    </row>
    <row r="683" spans="2:7" x14ac:dyDescent="0.25">
      <c r="B683" s="98"/>
      <c r="F683">
        <v>679</v>
      </c>
      <c r="G683" s="109">
        <f t="shared" ca="1" si="19"/>
        <v>7.0885634963271105E-2</v>
      </c>
    </row>
    <row r="684" spans="2:7" x14ac:dyDescent="0.25">
      <c r="B684" s="98"/>
      <c r="F684">
        <v>680</v>
      </c>
      <c r="G684" s="109">
        <f t="shared" ca="1" si="19"/>
        <v>9.2697068375966585E-2</v>
      </c>
    </row>
    <row r="685" spans="2:7" x14ac:dyDescent="0.25">
      <c r="B685" s="98"/>
      <c r="F685">
        <v>681</v>
      </c>
      <c r="G685" s="109">
        <f t="shared" ca="1" si="19"/>
        <v>3.3056884908988345E-2</v>
      </c>
    </row>
    <row r="686" spans="2:7" x14ac:dyDescent="0.25">
      <c r="B686" s="98"/>
      <c r="F686">
        <v>682</v>
      </c>
      <c r="G686" s="109">
        <f t="shared" ca="1" si="19"/>
        <v>-4.8385220185753641E-2</v>
      </c>
    </row>
    <row r="687" spans="2:7" x14ac:dyDescent="0.25">
      <c r="B687" s="98"/>
      <c r="F687">
        <v>683</v>
      </c>
      <c r="G687" s="109">
        <f t="shared" ca="1" si="19"/>
        <v>1.2184255132853754E-2</v>
      </c>
    </row>
    <row r="688" spans="2:7" x14ac:dyDescent="0.25">
      <c r="B688" s="98"/>
      <c r="F688">
        <v>684</v>
      </c>
      <c r="G688" s="109">
        <f t="shared" ca="1" si="19"/>
        <v>3.7820454704245048E-2</v>
      </c>
    </row>
    <row r="689" spans="2:7" x14ac:dyDescent="0.25">
      <c r="B689" s="98"/>
      <c r="F689">
        <v>685</v>
      </c>
      <c r="G689" s="109">
        <f t="shared" ca="1" si="19"/>
        <v>-7.8261303359394407E-2</v>
      </c>
    </row>
    <row r="690" spans="2:7" x14ac:dyDescent="0.25">
      <c r="B690" s="98"/>
      <c r="F690">
        <v>686</v>
      </c>
      <c r="G690" s="109">
        <f t="shared" ca="1" si="19"/>
        <v>8.5707317612743777E-2</v>
      </c>
    </row>
    <row r="691" spans="2:7" x14ac:dyDescent="0.25">
      <c r="B691" s="98"/>
      <c r="F691">
        <v>687</v>
      </c>
      <c r="G691" s="109">
        <f t="shared" ca="1" si="19"/>
        <v>1.6338441005656828E-2</v>
      </c>
    </row>
    <row r="692" spans="2:7" x14ac:dyDescent="0.25">
      <c r="B692" s="98"/>
      <c r="F692">
        <v>688</v>
      </c>
      <c r="G692" s="109">
        <f t="shared" ca="1" si="19"/>
        <v>-0.16967477614388593</v>
      </c>
    </row>
    <row r="693" spans="2:7" x14ac:dyDescent="0.25">
      <c r="B693" s="98"/>
      <c r="F693">
        <v>689</v>
      </c>
      <c r="G693" s="109">
        <f t="shared" ca="1" si="19"/>
        <v>3.295059553300686E-2</v>
      </c>
    </row>
    <row r="694" spans="2:7" x14ac:dyDescent="0.25">
      <c r="B694" s="98"/>
      <c r="F694">
        <v>690</v>
      </c>
      <c r="G694" s="109">
        <f t="shared" ca="1" si="19"/>
        <v>2.593618071344455E-2</v>
      </c>
    </row>
    <row r="695" spans="2:7" x14ac:dyDescent="0.25">
      <c r="B695" s="98"/>
      <c r="F695">
        <v>691</v>
      </c>
      <c r="G695" s="109">
        <f t="shared" ca="1" si="19"/>
        <v>6.6253917784506552E-2</v>
      </c>
    </row>
    <row r="696" spans="2:7" x14ac:dyDescent="0.25">
      <c r="B696" s="98"/>
      <c r="F696">
        <v>692</v>
      </c>
      <c r="G696" s="109">
        <f t="shared" ca="1" si="19"/>
        <v>2.644781719879627E-2</v>
      </c>
    </row>
    <row r="697" spans="2:7" x14ac:dyDescent="0.25">
      <c r="B697" s="98"/>
      <c r="F697">
        <v>693</v>
      </c>
      <c r="G697" s="109">
        <f t="shared" ca="1" si="19"/>
        <v>7.3609354259262461E-2</v>
      </c>
    </row>
    <row r="698" spans="2:7" x14ac:dyDescent="0.25">
      <c r="B698" s="98"/>
      <c r="F698">
        <v>694</v>
      </c>
      <c r="G698" s="109">
        <f t="shared" ca="1" si="19"/>
        <v>3.6340296408879563E-2</v>
      </c>
    </row>
    <row r="699" spans="2:7" x14ac:dyDescent="0.25">
      <c r="B699" s="98"/>
      <c r="F699">
        <v>695</v>
      </c>
      <c r="G699" s="109">
        <f t="shared" ca="1" si="19"/>
        <v>-6.2420195466510522E-2</v>
      </c>
    </row>
    <row r="700" spans="2:7" x14ac:dyDescent="0.25">
      <c r="B700" s="98"/>
      <c r="F700">
        <v>696</v>
      </c>
      <c r="G700" s="109">
        <f t="shared" ca="1" si="19"/>
        <v>2.0345251978154743E-2</v>
      </c>
    </row>
    <row r="701" spans="2:7" x14ac:dyDescent="0.25">
      <c r="B701" s="98"/>
      <c r="F701">
        <v>697</v>
      </c>
      <c r="G701" s="109">
        <f t="shared" ca="1" si="19"/>
        <v>-3.6717746395513617E-2</v>
      </c>
    </row>
    <row r="702" spans="2:7" x14ac:dyDescent="0.25">
      <c r="B702" s="98"/>
      <c r="F702">
        <v>698</v>
      </c>
      <c r="G702" s="109">
        <f t="shared" ca="1" si="19"/>
        <v>1.8877000412705593E-2</v>
      </c>
    </row>
    <row r="703" spans="2:7" x14ac:dyDescent="0.25">
      <c r="B703" s="98"/>
      <c r="F703">
        <v>699</v>
      </c>
      <c r="G703" s="109">
        <f t="shared" ca="1" si="19"/>
        <v>0.10550524635488337</v>
      </c>
    </row>
    <row r="704" spans="2:7" x14ac:dyDescent="0.25">
      <c r="B704" s="98"/>
      <c r="F704">
        <v>700</v>
      </c>
      <c r="G704" s="109">
        <f t="shared" ca="1" si="19"/>
        <v>2.0633921538547317E-2</v>
      </c>
    </row>
    <row r="705" spans="2:7" x14ac:dyDescent="0.25">
      <c r="B705" s="98"/>
      <c r="F705">
        <v>701</v>
      </c>
      <c r="G705" s="109">
        <f t="shared" ca="1" si="19"/>
        <v>7.8007283965587482E-2</v>
      </c>
    </row>
    <row r="706" spans="2:7" x14ac:dyDescent="0.25">
      <c r="B706" s="98"/>
      <c r="F706">
        <v>702</v>
      </c>
      <c r="G706" s="109">
        <f t="shared" ca="1" si="19"/>
        <v>2.3070179252308795E-3</v>
      </c>
    </row>
    <row r="707" spans="2:7" x14ac:dyDescent="0.25">
      <c r="B707" s="98"/>
      <c r="F707">
        <v>703</v>
      </c>
      <c r="G707" s="109">
        <f t="shared" ca="1" si="19"/>
        <v>0.18874592805246493</v>
      </c>
    </row>
    <row r="708" spans="2:7" x14ac:dyDescent="0.25">
      <c r="B708" s="98"/>
      <c r="F708">
        <v>704</v>
      </c>
      <c r="G708" s="109">
        <f t="shared" ca="1" si="19"/>
        <v>4.8246821361794756E-2</v>
      </c>
    </row>
    <row r="709" spans="2:7" x14ac:dyDescent="0.25">
      <c r="B709" s="98"/>
      <c r="F709">
        <v>705</v>
      </c>
      <c r="G709" s="109">
        <f t="shared" ca="1" si="19"/>
        <v>-1.4300784933746341E-2</v>
      </c>
    </row>
    <row r="710" spans="2:7" x14ac:dyDescent="0.25">
      <c r="B710" s="98"/>
      <c r="F710">
        <v>706</v>
      </c>
      <c r="G710" s="109">
        <f t="shared" ref="G710:G773" ca="1" si="20">_xlfn.NORM.INV(RAND(),$M$5,$M$6)</f>
        <v>-7.2794130592245015E-2</v>
      </c>
    </row>
    <row r="711" spans="2:7" x14ac:dyDescent="0.25">
      <c r="B711" s="98"/>
      <c r="F711">
        <v>707</v>
      </c>
      <c r="G711" s="109">
        <f t="shared" ca="1" si="20"/>
        <v>-5.3525337665549511E-2</v>
      </c>
    </row>
    <row r="712" spans="2:7" x14ac:dyDescent="0.25">
      <c r="B712" s="98"/>
      <c r="F712">
        <v>708</v>
      </c>
      <c r="G712" s="109">
        <f t="shared" ca="1" si="20"/>
        <v>0.10938691856594793</v>
      </c>
    </row>
    <row r="713" spans="2:7" x14ac:dyDescent="0.25">
      <c r="B713" s="98"/>
      <c r="F713">
        <v>709</v>
      </c>
      <c r="G713" s="109">
        <f t="shared" ca="1" si="20"/>
        <v>3.3689519515689541E-2</v>
      </c>
    </row>
    <row r="714" spans="2:7" x14ac:dyDescent="0.25">
      <c r="B714" s="98"/>
      <c r="F714">
        <v>710</v>
      </c>
      <c r="G714" s="109">
        <f t="shared" ca="1" si="20"/>
        <v>1.4155537996004885E-2</v>
      </c>
    </row>
    <row r="715" spans="2:7" x14ac:dyDescent="0.25">
      <c r="B715" s="98"/>
      <c r="F715">
        <v>711</v>
      </c>
      <c r="G715" s="109">
        <f t="shared" ca="1" si="20"/>
        <v>7.1759534032581104E-2</v>
      </c>
    </row>
    <row r="716" spans="2:7" x14ac:dyDescent="0.25">
      <c r="B716" s="98"/>
      <c r="F716">
        <v>712</v>
      </c>
      <c r="G716" s="109">
        <f t="shared" ca="1" si="20"/>
        <v>0.14132349709142933</v>
      </c>
    </row>
    <row r="717" spans="2:7" x14ac:dyDescent="0.25">
      <c r="B717" s="98"/>
      <c r="F717">
        <v>713</v>
      </c>
      <c r="G717" s="109">
        <f t="shared" ca="1" si="20"/>
        <v>-3.9939238952387893E-2</v>
      </c>
    </row>
    <row r="718" spans="2:7" x14ac:dyDescent="0.25">
      <c r="B718" s="98"/>
      <c r="F718">
        <v>714</v>
      </c>
      <c r="G718" s="109">
        <f t="shared" ca="1" si="20"/>
        <v>0.17264369883701441</v>
      </c>
    </row>
    <row r="719" spans="2:7" x14ac:dyDescent="0.25">
      <c r="B719" s="98"/>
      <c r="F719">
        <v>715</v>
      </c>
      <c r="G719" s="109">
        <f t="shared" ca="1" si="20"/>
        <v>2.7409077488138329E-2</v>
      </c>
    </row>
    <row r="720" spans="2:7" x14ac:dyDescent="0.25">
      <c r="B720" s="98"/>
      <c r="F720">
        <v>716</v>
      </c>
      <c r="G720" s="109">
        <f t="shared" ca="1" si="20"/>
        <v>0.12224102693111696</v>
      </c>
    </row>
    <row r="721" spans="2:7" x14ac:dyDescent="0.25">
      <c r="B721" s="98"/>
      <c r="F721">
        <v>717</v>
      </c>
      <c r="G721" s="109">
        <f t="shared" ca="1" si="20"/>
        <v>4.8964823571718621E-2</v>
      </c>
    </row>
    <row r="722" spans="2:7" x14ac:dyDescent="0.25">
      <c r="B722" s="98"/>
      <c r="F722">
        <v>718</v>
      </c>
      <c r="G722" s="109">
        <f t="shared" ca="1" si="20"/>
        <v>0.21455088567253416</v>
      </c>
    </row>
    <row r="723" spans="2:7" x14ac:dyDescent="0.25">
      <c r="B723" s="98"/>
      <c r="F723">
        <v>719</v>
      </c>
      <c r="G723" s="109">
        <f t="shared" ca="1" si="20"/>
        <v>-2.1397488497184453E-2</v>
      </c>
    </row>
    <row r="724" spans="2:7" x14ac:dyDescent="0.25">
      <c r="B724" s="98"/>
      <c r="F724">
        <v>720</v>
      </c>
      <c r="G724" s="109">
        <f t="shared" ca="1" si="20"/>
        <v>-0.12500506745457474</v>
      </c>
    </row>
    <row r="725" spans="2:7" x14ac:dyDescent="0.25">
      <c r="B725" s="98"/>
      <c r="F725">
        <v>721</v>
      </c>
      <c r="G725" s="109">
        <f t="shared" ca="1" si="20"/>
        <v>1.6542916602751565E-2</v>
      </c>
    </row>
    <row r="726" spans="2:7" x14ac:dyDescent="0.25">
      <c r="B726" s="98"/>
      <c r="F726">
        <v>722</v>
      </c>
      <c r="G726" s="109">
        <f t="shared" ca="1" si="20"/>
        <v>6.0284220776974748E-2</v>
      </c>
    </row>
    <row r="727" spans="2:7" x14ac:dyDescent="0.25">
      <c r="B727" s="98"/>
      <c r="F727">
        <v>723</v>
      </c>
      <c r="G727" s="109">
        <f t="shared" ca="1" si="20"/>
        <v>0.18482419756324076</v>
      </c>
    </row>
    <row r="728" spans="2:7" x14ac:dyDescent="0.25">
      <c r="B728" s="98"/>
      <c r="F728">
        <v>724</v>
      </c>
      <c r="G728" s="109">
        <f t="shared" ca="1" si="20"/>
        <v>0.12254943437407814</v>
      </c>
    </row>
    <row r="729" spans="2:7" x14ac:dyDescent="0.25">
      <c r="B729" s="98"/>
      <c r="F729">
        <v>725</v>
      </c>
      <c r="G729" s="109">
        <f t="shared" ca="1" si="20"/>
        <v>-0.160120038632386</v>
      </c>
    </row>
    <row r="730" spans="2:7" x14ac:dyDescent="0.25">
      <c r="B730" s="98"/>
      <c r="F730">
        <v>726</v>
      </c>
      <c r="G730" s="109">
        <f t="shared" ca="1" si="20"/>
        <v>-0.13095171291969143</v>
      </c>
    </row>
    <row r="731" spans="2:7" x14ac:dyDescent="0.25">
      <c r="B731" s="98"/>
      <c r="F731">
        <v>727</v>
      </c>
      <c r="G731" s="109">
        <f t="shared" ca="1" si="20"/>
        <v>0.15445523325588728</v>
      </c>
    </row>
    <row r="732" spans="2:7" x14ac:dyDescent="0.25">
      <c r="B732" s="98"/>
      <c r="F732">
        <v>728</v>
      </c>
      <c r="G732" s="109">
        <f t="shared" ca="1" si="20"/>
        <v>7.5064480007823065E-2</v>
      </c>
    </row>
    <row r="733" spans="2:7" x14ac:dyDescent="0.25">
      <c r="B733" s="98"/>
      <c r="F733">
        <v>729</v>
      </c>
      <c r="G733" s="109">
        <f t="shared" ca="1" si="20"/>
        <v>-0.17815814356607457</v>
      </c>
    </row>
    <row r="734" spans="2:7" x14ac:dyDescent="0.25">
      <c r="B734" s="98"/>
      <c r="F734">
        <v>730</v>
      </c>
      <c r="G734" s="109">
        <f t="shared" ca="1" si="20"/>
        <v>0.16622999091341339</v>
      </c>
    </row>
    <row r="735" spans="2:7" x14ac:dyDescent="0.25">
      <c r="B735" s="98"/>
      <c r="F735">
        <v>731</v>
      </c>
      <c r="G735" s="109">
        <f t="shared" ca="1" si="20"/>
        <v>4.5662701358610315E-2</v>
      </c>
    </row>
    <row r="736" spans="2:7" x14ac:dyDescent="0.25">
      <c r="B736" s="98"/>
      <c r="F736">
        <v>732</v>
      </c>
      <c r="G736" s="109">
        <f t="shared" ca="1" si="20"/>
        <v>9.7770293976039729E-2</v>
      </c>
    </row>
    <row r="737" spans="2:7" x14ac:dyDescent="0.25">
      <c r="B737" s="98"/>
      <c r="F737">
        <v>733</v>
      </c>
      <c r="G737" s="109">
        <f t="shared" ca="1" si="20"/>
        <v>3.4706767963074966E-2</v>
      </c>
    </row>
    <row r="738" spans="2:7" x14ac:dyDescent="0.25">
      <c r="B738" s="98"/>
      <c r="F738">
        <v>734</v>
      </c>
      <c r="G738" s="109">
        <f t="shared" ca="1" si="20"/>
        <v>2.3132228304139062E-2</v>
      </c>
    </row>
    <row r="739" spans="2:7" x14ac:dyDescent="0.25">
      <c r="B739" s="98"/>
      <c r="F739">
        <v>735</v>
      </c>
      <c r="G739" s="109">
        <f t="shared" ca="1" si="20"/>
        <v>-0.15040405892019154</v>
      </c>
    </row>
    <row r="740" spans="2:7" x14ac:dyDescent="0.25">
      <c r="B740" s="98"/>
      <c r="F740">
        <v>736</v>
      </c>
      <c r="G740" s="109">
        <f t="shared" ca="1" si="20"/>
        <v>0.10761030915699335</v>
      </c>
    </row>
    <row r="741" spans="2:7" x14ac:dyDescent="0.25">
      <c r="B741" s="98"/>
      <c r="F741">
        <v>737</v>
      </c>
      <c r="G741" s="109">
        <f t="shared" ca="1" si="20"/>
        <v>0.14703019910901205</v>
      </c>
    </row>
    <row r="742" spans="2:7" x14ac:dyDescent="0.25">
      <c r="B742" s="98"/>
      <c r="F742">
        <v>738</v>
      </c>
      <c r="G742" s="109">
        <f t="shared" ca="1" si="20"/>
        <v>0.27471241737582647</v>
      </c>
    </row>
    <row r="743" spans="2:7" x14ac:dyDescent="0.25">
      <c r="B743" s="98"/>
      <c r="F743">
        <v>739</v>
      </c>
      <c r="G743" s="109">
        <f t="shared" ca="1" si="20"/>
        <v>-9.8135949544183379E-2</v>
      </c>
    </row>
    <row r="744" spans="2:7" x14ac:dyDescent="0.25">
      <c r="B744" s="98"/>
      <c r="F744">
        <v>740</v>
      </c>
      <c r="G744" s="109">
        <f t="shared" ca="1" si="20"/>
        <v>0.22217443650433688</v>
      </c>
    </row>
    <row r="745" spans="2:7" x14ac:dyDescent="0.25">
      <c r="B745" s="98"/>
      <c r="F745">
        <v>741</v>
      </c>
      <c r="G745" s="109">
        <f t="shared" ca="1" si="20"/>
        <v>-8.2445260688250657E-3</v>
      </c>
    </row>
    <row r="746" spans="2:7" x14ac:dyDescent="0.25">
      <c r="B746" s="98"/>
      <c r="F746">
        <v>742</v>
      </c>
      <c r="G746" s="109">
        <f t="shared" ca="1" si="20"/>
        <v>-6.8375919359330864E-2</v>
      </c>
    </row>
    <row r="747" spans="2:7" x14ac:dyDescent="0.25">
      <c r="B747" s="98"/>
      <c r="F747">
        <v>743</v>
      </c>
      <c r="G747" s="109">
        <f t="shared" ca="1" si="20"/>
        <v>-0.10518679947909927</v>
      </c>
    </row>
    <row r="748" spans="2:7" x14ac:dyDescent="0.25">
      <c r="B748" s="98"/>
      <c r="F748">
        <v>744</v>
      </c>
      <c r="G748" s="109">
        <f t="shared" ca="1" si="20"/>
        <v>-4.4594109453647668E-2</v>
      </c>
    </row>
    <row r="749" spans="2:7" x14ac:dyDescent="0.25">
      <c r="B749" s="98"/>
      <c r="F749">
        <v>745</v>
      </c>
      <c r="G749" s="109">
        <f t="shared" ca="1" si="20"/>
        <v>5.7329244139873552E-2</v>
      </c>
    </row>
    <row r="750" spans="2:7" x14ac:dyDescent="0.25">
      <c r="B750" s="98"/>
      <c r="F750">
        <v>746</v>
      </c>
      <c r="G750" s="109">
        <f t="shared" ca="1" si="20"/>
        <v>8.9999329281510512E-2</v>
      </c>
    </row>
    <row r="751" spans="2:7" x14ac:dyDescent="0.25">
      <c r="B751" s="98"/>
      <c r="F751">
        <v>747</v>
      </c>
      <c r="G751" s="109">
        <f t="shared" ca="1" si="20"/>
        <v>-8.4845186955416582E-2</v>
      </c>
    </row>
    <row r="752" spans="2:7" x14ac:dyDescent="0.25">
      <c r="B752" s="98"/>
      <c r="F752">
        <v>748</v>
      </c>
      <c r="G752" s="109">
        <f t="shared" ca="1" si="20"/>
        <v>-1.8997327490644228E-3</v>
      </c>
    </row>
    <row r="753" spans="2:7" x14ac:dyDescent="0.25">
      <c r="B753" s="98"/>
      <c r="F753">
        <v>749</v>
      </c>
      <c r="G753" s="109">
        <f t="shared" ca="1" si="20"/>
        <v>0.21105263174907563</v>
      </c>
    </row>
    <row r="754" spans="2:7" x14ac:dyDescent="0.25">
      <c r="B754" s="98"/>
      <c r="F754">
        <v>750</v>
      </c>
      <c r="G754" s="109">
        <f t="shared" ca="1" si="20"/>
        <v>9.8637485171457456E-2</v>
      </c>
    </row>
    <row r="755" spans="2:7" x14ac:dyDescent="0.25">
      <c r="B755" s="98"/>
      <c r="F755">
        <v>751</v>
      </c>
      <c r="G755" s="109">
        <f t="shared" ca="1" si="20"/>
        <v>0.1048395637262943</v>
      </c>
    </row>
    <row r="756" spans="2:7" x14ac:dyDescent="0.25">
      <c r="B756" s="98"/>
      <c r="F756">
        <v>752</v>
      </c>
      <c r="G756" s="109">
        <f t="shared" ca="1" si="20"/>
        <v>0.13607456155118891</v>
      </c>
    </row>
    <row r="757" spans="2:7" x14ac:dyDescent="0.25">
      <c r="B757" s="98"/>
      <c r="F757">
        <v>753</v>
      </c>
      <c r="G757" s="109">
        <f t="shared" ca="1" si="20"/>
        <v>-1.7813200510536378E-2</v>
      </c>
    </row>
    <row r="758" spans="2:7" x14ac:dyDescent="0.25">
      <c r="B758" s="98"/>
      <c r="F758">
        <v>754</v>
      </c>
      <c r="G758" s="109">
        <f t="shared" ca="1" si="20"/>
        <v>-1.3989566838273119E-2</v>
      </c>
    </row>
    <row r="759" spans="2:7" x14ac:dyDescent="0.25">
      <c r="B759" s="98"/>
      <c r="F759">
        <v>755</v>
      </c>
      <c r="G759" s="109">
        <f t="shared" ca="1" si="20"/>
        <v>0.22177614302891235</v>
      </c>
    </row>
    <row r="760" spans="2:7" x14ac:dyDescent="0.25">
      <c r="B760" s="98"/>
      <c r="F760">
        <v>756</v>
      </c>
      <c r="G760" s="109">
        <f t="shared" ca="1" si="20"/>
        <v>0.25223243957327518</v>
      </c>
    </row>
    <row r="761" spans="2:7" x14ac:dyDescent="0.25">
      <c r="B761" s="98"/>
      <c r="F761">
        <v>757</v>
      </c>
      <c r="G761" s="109">
        <f t="shared" ca="1" si="20"/>
        <v>9.5671979334306267E-2</v>
      </c>
    </row>
    <row r="762" spans="2:7" x14ac:dyDescent="0.25">
      <c r="B762" s="98"/>
      <c r="F762">
        <v>758</v>
      </c>
      <c r="G762" s="109">
        <f t="shared" ca="1" si="20"/>
        <v>2.7873210028093835E-2</v>
      </c>
    </row>
    <row r="763" spans="2:7" x14ac:dyDescent="0.25">
      <c r="B763" s="98"/>
      <c r="F763">
        <v>759</v>
      </c>
      <c r="G763" s="109">
        <f t="shared" ca="1" si="20"/>
        <v>0.12677035882753901</v>
      </c>
    </row>
    <row r="764" spans="2:7" x14ac:dyDescent="0.25">
      <c r="B764" s="98"/>
      <c r="F764">
        <v>760</v>
      </c>
      <c r="G764" s="109">
        <f t="shared" ca="1" si="20"/>
        <v>3.490180088326205E-2</v>
      </c>
    </row>
    <row r="765" spans="2:7" x14ac:dyDescent="0.25">
      <c r="B765" s="98"/>
      <c r="F765">
        <v>761</v>
      </c>
      <c r="G765" s="109">
        <f t="shared" ca="1" si="20"/>
        <v>4.6661830940658747E-2</v>
      </c>
    </row>
    <row r="766" spans="2:7" x14ac:dyDescent="0.25">
      <c r="B766" s="98"/>
      <c r="F766">
        <v>762</v>
      </c>
      <c r="G766" s="109">
        <f t="shared" ca="1" si="20"/>
        <v>5.9978853985179006E-2</v>
      </c>
    </row>
    <row r="767" spans="2:7" x14ac:dyDescent="0.25">
      <c r="B767" s="98"/>
      <c r="F767">
        <v>763</v>
      </c>
      <c r="G767" s="109">
        <f t="shared" ca="1" si="20"/>
        <v>0.10171329712527695</v>
      </c>
    </row>
    <row r="768" spans="2:7" x14ac:dyDescent="0.25">
      <c r="B768" s="98"/>
      <c r="F768">
        <v>764</v>
      </c>
      <c r="G768" s="109">
        <f t="shared" ca="1" si="20"/>
        <v>-7.793997847742816E-2</v>
      </c>
    </row>
    <row r="769" spans="2:7" x14ac:dyDescent="0.25">
      <c r="B769" s="98"/>
      <c r="F769">
        <v>765</v>
      </c>
      <c r="G769" s="109">
        <f t="shared" ca="1" si="20"/>
        <v>-7.647437035610069E-2</v>
      </c>
    </row>
    <row r="770" spans="2:7" x14ac:dyDescent="0.25">
      <c r="B770" s="98"/>
      <c r="F770">
        <v>766</v>
      </c>
      <c r="G770" s="109">
        <f t="shared" ca="1" si="20"/>
        <v>-2.4094256928196181E-2</v>
      </c>
    </row>
    <row r="771" spans="2:7" x14ac:dyDescent="0.25">
      <c r="B771" s="98"/>
      <c r="F771">
        <v>767</v>
      </c>
      <c r="G771" s="109">
        <f t="shared" ca="1" si="20"/>
        <v>9.5438631032626758E-2</v>
      </c>
    </row>
    <row r="772" spans="2:7" x14ac:dyDescent="0.25">
      <c r="B772" s="98"/>
      <c r="F772">
        <v>768</v>
      </c>
      <c r="G772" s="109">
        <f t="shared" ca="1" si="20"/>
        <v>8.7068042109045604E-2</v>
      </c>
    </row>
    <row r="773" spans="2:7" x14ac:dyDescent="0.25">
      <c r="B773" s="98"/>
      <c r="F773">
        <v>769</v>
      </c>
      <c r="G773" s="109">
        <f t="shared" ca="1" si="20"/>
        <v>5.5658606868638758E-2</v>
      </c>
    </row>
    <row r="774" spans="2:7" x14ac:dyDescent="0.25">
      <c r="B774" s="98"/>
      <c r="F774">
        <v>770</v>
      </c>
      <c r="G774" s="109">
        <f t="shared" ref="G774:G837" ca="1" si="21">_xlfn.NORM.INV(RAND(),$M$5,$M$6)</f>
        <v>1.3319994536881014E-3</v>
      </c>
    </row>
    <row r="775" spans="2:7" x14ac:dyDescent="0.25">
      <c r="B775" s="98"/>
      <c r="F775">
        <v>771</v>
      </c>
      <c r="G775" s="109">
        <f t="shared" ca="1" si="21"/>
        <v>0.23370500975724606</v>
      </c>
    </row>
    <row r="776" spans="2:7" x14ac:dyDescent="0.25">
      <c r="B776" s="98"/>
      <c r="F776">
        <v>772</v>
      </c>
      <c r="G776" s="109">
        <f t="shared" ca="1" si="21"/>
        <v>9.8869901535781554E-3</v>
      </c>
    </row>
    <row r="777" spans="2:7" x14ac:dyDescent="0.25">
      <c r="B777" s="98"/>
      <c r="F777">
        <v>773</v>
      </c>
      <c r="G777" s="109">
        <f t="shared" ca="1" si="21"/>
        <v>0.17198508174321803</v>
      </c>
    </row>
    <row r="778" spans="2:7" x14ac:dyDescent="0.25">
      <c r="B778" s="98"/>
      <c r="F778">
        <v>774</v>
      </c>
      <c r="G778" s="109">
        <f t="shared" ca="1" si="21"/>
        <v>8.7365056744276581E-3</v>
      </c>
    </row>
    <row r="779" spans="2:7" x14ac:dyDescent="0.25">
      <c r="B779" s="98"/>
      <c r="F779">
        <v>775</v>
      </c>
      <c r="G779" s="109">
        <f t="shared" ca="1" si="21"/>
        <v>2.3190866524528682E-2</v>
      </c>
    </row>
    <row r="780" spans="2:7" x14ac:dyDescent="0.25">
      <c r="B780" s="98"/>
      <c r="F780">
        <v>776</v>
      </c>
      <c r="G780" s="109">
        <f t="shared" ca="1" si="21"/>
        <v>-4.1544530395365431E-3</v>
      </c>
    </row>
    <row r="781" spans="2:7" x14ac:dyDescent="0.25">
      <c r="B781" s="98"/>
      <c r="F781">
        <v>777</v>
      </c>
      <c r="G781" s="109">
        <f t="shared" ca="1" si="21"/>
        <v>0.233741299222611</v>
      </c>
    </row>
    <row r="782" spans="2:7" x14ac:dyDescent="0.25">
      <c r="B782" s="98"/>
      <c r="F782">
        <v>778</v>
      </c>
      <c r="G782" s="109">
        <f t="shared" ca="1" si="21"/>
        <v>-7.6704337672755168E-2</v>
      </c>
    </row>
    <row r="783" spans="2:7" x14ac:dyDescent="0.25">
      <c r="B783" s="98"/>
      <c r="F783">
        <v>779</v>
      </c>
      <c r="G783" s="109">
        <f t="shared" ca="1" si="21"/>
        <v>8.6823800783600774E-2</v>
      </c>
    </row>
    <row r="784" spans="2:7" x14ac:dyDescent="0.25">
      <c r="B784" s="98"/>
      <c r="F784">
        <v>780</v>
      </c>
      <c r="G784" s="109">
        <f t="shared" ca="1" si="21"/>
        <v>-9.1165808866982598E-2</v>
      </c>
    </row>
    <row r="785" spans="2:7" x14ac:dyDescent="0.25">
      <c r="B785" s="98"/>
      <c r="F785">
        <v>781</v>
      </c>
      <c r="G785" s="109">
        <f t="shared" ca="1" si="21"/>
        <v>5.1116627817250605E-2</v>
      </c>
    </row>
    <row r="786" spans="2:7" x14ac:dyDescent="0.25">
      <c r="B786" s="98"/>
      <c r="F786">
        <v>782</v>
      </c>
      <c r="G786" s="109">
        <f t="shared" ca="1" si="21"/>
        <v>1.9649057582563481E-2</v>
      </c>
    </row>
    <row r="787" spans="2:7" x14ac:dyDescent="0.25">
      <c r="B787" s="98"/>
      <c r="F787">
        <v>783</v>
      </c>
      <c r="G787" s="109">
        <f t="shared" ca="1" si="21"/>
        <v>8.7765508256550884E-2</v>
      </c>
    </row>
    <row r="788" spans="2:7" x14ac:dyDescent="0.25">
      <c r="B788" s="98"/>
      <c r="F788">
        <v>784</v>
      </c>
      <c r="G788" s="109">
        <f t="shared" ca="1" si="21"/>
        <v>0.22903882998502489</v>
      </c>
    </row>
    <row r="789" spans="2:7" x14ac:dyDescent="0.25">
      <c r="B789" s="98"/>
      <c r="F789">
        <v>785</v>
      </c>
      <c r="G789" s="109">
        <f t="shared" ca="1" si="21"/>
        <v>7.9136144783624657E-2</v>
      </c>
    </row>
    <row r="790" spans="2:7" x14ac:dyDescent="0.25">
      <c r="B790" s="98"/>
      <c r="F790">
        <v>786</v>
      </c>
      <c r="G790" s="109">
        <f t="shared" ca="1" si="21"/>
        <v>0.21808820458983791</v>
      </c>
    </row>
    <row r="791" spans="2:7" x14ac:dyDescent="0.25">
      <c r="B791" s="98"/>
      <c r="F791">
        <v>787</v>
      </c>
      <c r="G791" s="109">
        <f t="shared" ca="1" si="21"/>
        <v>0.12032066618163635</v>
      </c>
    </row>
    <row r="792" spans="2:7" x14ac:dyDescent="0.25">
      <c r="B792" s="98"/>
      <c r="F792">
        <v>788</v>
      </c>
      <c r="G792" s="109">
        <f t="shared" ca="1" si="21"/>
        <v>4.979543768775789E-3</v>
      </c>
    </row>
    <row r="793" spans="2:7" x14ac:dyDescent="0.25">
      <c r="B793" s="98"/>
      <c r="F793">
        <v>789</v>
      </c>
      <c r="G793" s="109">
        <f t="shared" ca="1" si="21"/>
        <v>-5.9242179486509075E-2</v>
      </c>
    </row>
    <row r="794" spans="2:7" x14ac:dyDescent="0.25">
      <c r="B794" s="98"/>
      <c r="F794">
        <v>790</v>
      </c>
      <c r="G794" s="109">
        <f t="shared" ca="1" si="21"/>
        <v>-2.0887336642855164E-2</v>
      </c>
    </row>
    <row r="795" spans="2:7" x14ac:dyDescent="0.25">
      <c r="B795" s="98"/>
      <c r="F795">
        <v>791</v>
      </c>
      <c r="G795" s="109">
        <f t="shared" ca="1" si="21"/>
        <v>0.16354830909871518</v>
      </c>
    </row>
    <row r="796" spans="2:7" x14ac:dyDescent="0.25">
      <c r="B796" s="98"/>
      <c r="F796">
        <v>792</v>
      </c>
      <c r="G796" s="109">
        <f t="shared" ca="1" si="21"/>
        <v>0.12227066234600489</v>
      </c>
    </row>
    <row r="797" spans="2:7" x14ac:dyDescent="0.25">
      <c r="B797" s="98"/>
      <c r="F797">
        <v>793</v>
      </c>
      <c r="G797" s="109">
        <f t="shared" ca="1" si="21"/>
        <v>-5.5278237862894236E-2</v>
      </c>
    </row>
    <row r="798" spans="2:7" x14ac:dyDescent="0.25">
      <c r="B798" s="98"/>
      <c r="F798">
        <v>794</v>
      </c>
      <c r="G798" s="109">
        <f t="shared" ca="1" si="21"/>
        <v>-4.8311769885026543E-2</v>
      </c>
    </row>
    <row r="799" spans="2:7" x14ac:dyDescent="0.25">
      <c r="B799" s="98"/>
      <c r="F799">
        <v>795</v>
      </c>
      <c r="G799" s="109">
        <f t="shared" ca="1" si="21"/>
        <v>2.8664811188310779E-2</v>
      </c>
    </row>
    <row r="800" spans="2:7" x14ac:dyDescent="0.25">
      <c r="B800" s="98"/>
      <c r="F800">
        <v>796</v>
      </c>
      <c r="G800" s="109">
        <f t="shared" ca="1" si="21"/>
        <v>1.4082757303169574E-2</v>
      </c>
    </row>
    <row r="801" spans="2:7" x14ac:dyDescent="0.25">
      <c r="B801" s="98"/>
      <c r="F801">
        <v>797</v>
      </c>
      <c r="G801" s="109">
        <f t="shared" ca="1" si="21"/>
        <v>7.3776813206563804E-2</v>
      </c>
    </row>
    <row r="802" spans="2:7" x14ac:dyDescent="0.25">
      <c r="B802" s="98"/>
      <c r="F802">
        <v>798</v>
      </c>
      <c r="G802" s="109">
        <f t="shared" ca="1" si="21"/>
        <v>9.289627697124303E-2</v>
      </c>
    </row>
    <row r="803" spans="2:7" x14ac:dyDescent="0.25">
      <c r="B803" s="98"/>
      <c r="F803">
        <v>799</v>
      </c>
      <c r="G803" s="109">
        <f t="shared" ca="1" si="21"/>
        <v>-6.6087377905140007E-2</v>
      </c>
    </row>
    <row r="804" spans="2:7" x14ac:dyDescent="0.25">
      <c r="B804" s="98"/>
      <c r="F804">
        <v>800</v>
      </c>
      <c r="G804" s="109">
        <f t="shared" ca="1" si="21"/>
        <v>-5.0216256285752839E-2</v>
      </c>
    </row>
    <row r="805" spans="2:7" x14ac:dyDescent="0.25">
      <c r="B805" s="98"/>
      <c r="F805">
        <v>801</v>
      </c>
      <c r="G805" s="109">
        <f t="shared" ca="1" si="21"/>
        <v>-0.1570719255149382</v>
      </c>
    </row>
    <row r="806" spans="2:7" x14ac:dyDescent="0.25">
      <c r="B806" s="98"/>
      <c r="F806">
        <v>802</v>
      </c>
      <c r="G806" s="109">
        <f t="shared" ca="1" si="21"/>
        <v>0.29992084085419435</v>
      </c>
    </row>
    <row r="807" spans="2:7" x14ac:dyDescent="0.25">
      <c r="B807" s="98"/>
      <c r="F807">
        <v>803</v>
      </c>
      <c r="G807" s="109">
        <f t="shared" ca="1" si="21"/>
        <v>-3.7929315952860046E-2</v>
      </c>
    </row>
    <row r="808" spans="2:7" x14ac:dyDescent="0.25">
      <c r="B808" s="98"/>
      <c r="F808">
        <v>804</v>
      </c>
      <c r="G808" s="109">
        <f t="shared" ca="1" si="21"/>
        <v>-9.6915246867599614E-3</v>
      </c>
    </row>
    <row r="809" spans="2:7" x14ac:dyDescent="0.25">
      <c r="B809" s="98"/>
      <c r="F809">
        <v>805</v>
      </c>
      <c r="G809" s="109">
        <f t="shared" ca="1" si="21"/>
        <v>-0.20735494550123978</v>
      </c>
    </row>
    <row r="810" spans="2:7" x14ac:dyDescent="0.25">
      <c r="B810" s="98"/>
      <c r="F810">
        <v>806</v>
      </c>
      <c r="G810" s="109">
        <f t="shared" ca="1" si="21"/>
        <v>7.7536616387113594E-2</v>
      </c>
    </row>
    <row r="811" spans="2:7" x14ac:dyDescent="0.25">
      <c r="B811" s="98"/>
      <c r="F811">
        <v>807</v>
      </c>
      <c r="G811" s="109">
        <f t="shared" ca="1" si="21"/>
        <v>0.12345435404988087</v>
      </c>
    </row>
    <row r="812" spans="2:7" x14ac:dyDescent="0.25">
      <c r="B812" s="98"/>
      <c r="F812">
        <v>808</v>
      </c>
      <c r="G812" s="109">
        <f t="shared" ca="1" si="21"/>
        <v>1.0113750477507261E-2</v>
      </c>
    </row>
    <row r="813" spans="2:7" x14ac:dyDescent="0.25">
      <c r="B813" s="98"/>
      <c r="F813">
        <v>809</v>
      </c>
      <c r="G813" s="109">
        <f t="shared" ca="1" si="21"/>
        <v>-7.5295360085285479E-2</v>
      </c>
    </row>
    <row r="814" spans="2:7" x14ac:dyDescent="0.25">
      <c r="B814" s="98"/>
      <c r="F814">
        <v>810</v>
      </c>
      <c r="G814" s="109">
        <f t="shared" ca="1" si="21"/>
        <v>0.11500493831034796</v>
      </c>
    </row>
    <row r="815" spans="2:7" x14ac:dyDescent="0.25">
      <c r="B815" s="98"/>
      <c r="F815">
        <v>811</v>
      </c>
      <c r="G815" s="109">
        <f t="shared" ca="1" si="21"/>
        <v>0.14175975051343453</v>
      </c>
    </row>
    <row r="816" spans="2:7" x14ac:dyDescent="0.25">
      <c r="B816" s="98"/>
      <c r="F816">
        <v>812</v>
      </c>
      <c r="G816" s="109">
        <f t="shared" ca="1" si="21"/>
        <v>0.14334410133531769</v>
      </c>
    </row>
    <row r="817" spans="2:7" x14ac:dyDescent="0.25">
      <c r="B817" s="98"/>
      <c r="F817">
        <v>813</v>
      </c>
      <c r="G817" s="109">
        <f t="shared" ca="1" si="21"/>
        <v>9.6267366062844778E-2</v>
      </c>
    </row>
    <row r="818" spans="2:7" x14ac:dyDescent="0.25">
      <c r="B818" s="98"/>
      <c r="F818">
        <v>814</v>
      </c>
      <c r="G818" s="109">
        <f t="shared" ca="1" si="21"/>
        <v>-4.002389853011197E-2</v>
      </c>
    </row>
    <row r="819" spans="2:7" x14ac:dyDescent="0.25">
      <c r="B819" s="98"/>
      <c r="F819">
        <v>815</v>
      </c>
      <c r="G819" s="109">
        <f t="shared" ca="1" si="21"/>
        <v>-2.5996773076846447E-2</v>
      </c>
    </row>
    <row r="820" spans="2:7" x14ac:dyDescent="0.25">
      <c r="B820" s="98"/>
      <c r="F820">
        <v>816</v>
      </c>
      <c r="G820" s="109">
        <f t="shared" ca="1" si="21"/>
        <v>5.3334116500217889E-2</v>
      </c>
    </row>
    <row r="821" spans="2:7" x14ac:dyDescent="0.25">
      <c r="B821" s="98"/>
      <c r="F821">
        <v>817</v>
      </c>
      <c r="G821" s="109">
        <f t="shared" ca="1" si="21"/>
        <v>7.4537428269980444E-2</v>
      </c>
    </row>
    <row r="822" spans="2:7" x14ac:dyDescent="0.25">
      <c r="B822" s="98"/>
      <c r="F822">
        <v>818</v>
      </c>
      <c r="G822" s="109">
        <f t="shared" ca="1" si="21"/>
        <v>8.2021877108968716E-2</v>
      </c>
    </row>
    <row r="823" spans="2:7" x14ac:dyDescent="0.25">
      <c r="B823" s="98"/>
      <c r="F823">
        <v>819</v>
      </c>
      <c r="G823" s="109">
        <f t="shared" ca="1" si="21"/>
        <v>7.3633279731423848E-2</v>
      </c>
    </row>
    <row r="824" spans="2:7" x14ac:dyDescent="0.25">
      <c r="B824" s="98"/>
      <c r="F824">
        <v>820</v>
      </c>
      <c r="G824" s="109">
        <f t="shared" ca="1" si="21"/>
        <v>-3.4292921833017354E-2</v>
      </c>
    </row>
    <row r="825" spans="2:7" x14ac:dyDescent="0.25">
      <c r="B825" s="98"/>
      <c r="F825">
        <v>821</v>
      </c>
      <c r="G825" s="109">
        <f t="shared" ca="1" si="21"/>
        <v>0.1186706526140912</v>
      </c>
    </row>
    <row r="826" spans="2:7" x14ac:dyDescent="0.25">
      <c r="B826" s="98"/>
      <c r="F826">
        <v>822</v>
      </c>
      <c r="G826" s="109">
        <f t="shared" ca="1" si="21"/>
        <v>9.823521071131569E-2</v>
      </c>
    </row>
    <row r="827" spans="2:7" x14ac:dyDescent="0.25">
      <c r="B827" s="98"/>
      <c r="F827">
        <v>823</v>
      </c>
      <c r="G827" s="109">
        <f t="shared" ca="1" si="21"/>
        <v>4.6691273341363852E-2</v>
      </c>
    </row>
    <row r="828" spans="2:7" x14ac:dyDescent="0.25">
      <c r="B828" s="98"/>
      <c r="F828">
        <v>824</v>
      </c>
      <c r="G828" s="109">
        <f t="shared" ca="1" si="21"/>
        <v>-1.901305927962163E-2</v>
      </c>
    </row>
    <row r="829" spans="2:7" x14ac:dyDescent="0.25">
      <c r="B829" s="98"/>
      <c r="F829">
        <v>825</v>
      </c>
      <c r="G829" s="109">
        <f t="shared" ca="1" si="21"/>
        <v>-0.10415712175570503</v>
      </c>
    </row>
    <row r="830" spans="2:7" x14ac:dyDescent="0.25">
      <c r="B830" s="98"/>
      <c r="F830">
        <v>826</v>
      </c>
      <c r="G830" s="109">
        <f t="shared" ca="1" si="21"/>
        <v>0.17749848838905641</v>
      </c>
    </row>
    <row r="831" spans="2:7" x14ac:dyDescent="0.25">
      <c r="B831" s="98"/>
      <c r="F831">
        <v>827</v>
      </c>
      <c r="G831" s="109">
        <f t="shared" ca="1" si="21"/>
        <v>9.6132082954078935E-2</v>
      </c>
    </row>
    <row r="832" spans="2:7" x14ac:dyDescent="0.25">
      <c r="B832" s="98"/>
      <c r="F832">
        <v>828</v>
      </c>
      <c r="G832" s="109">
        <f t="shared" ca="1" si="21"/>
        <v>4.7692085606586734E-2</v>
      </c>
    </row>
    <row r="833" spans="2:7" x14ac:dyDescent="0.25">
      <c r="B833" s="98"/>
      <c r="F833">
        <v>829</v>
      </c>
      <c r="G833" s="109">
        <f t="shared" ca="1" si="21"/>
        <v>7.1945305190169603E-2</v>
      </c>
    </row>
    <row r="834" spans="2:7" x14ac:dyDescent="0.25">
      <c r="B834" s="98"/>
      <c r="F834">
        <v>830</v>
      </c>
      <c r="G834" s="109">
        <f t="shared" ca="1" si="21"/>
        <v>-9.6281787472440025E-2</v>
      </c>
    </row>
    <row r="835" spans="2:7" x14ac:dyDescent="0.25">
      <c r="B835" s="98"/>
      <c r="F835">
        <v>831</v>
      </c>
      <c r="G835" s="109">
        <f t="shared" ca="1" si="21"/>
        <v>-9.5716918208374926E-2</v>
      </c>
    </row>
    <row r="836" spans="2:7" x14ac:dyDescent="0.25">
      <c r="B836" s="98"/>
      <c r="F836">
        <v>832</v>
      </c>
      <c r="G836" s="109">
        <f t="shared" ca="1" si="21"/>
        <v>0.17788003364527305</v>
      </c>
    </row>
    <row r="837" spans="2:7" x14ac:dyDescent="0.25">
      <c r="B837" s="98"/>
      <c r="F837">
        <v>833</v>
      </c>
      <c r="G837" s="109">
        <f t="shared" ca="1" si="21"/>
        <v>-0.18516366983469007</v>
      </c>
    </row>
    <row r="838" spans="2:7" x14ac:dyDescent="0.25">
      <c r="B838" s="98"/>
      <c r="F838">
        <v>834</v>
      </c>
      <c r="G838" s="109">
        <f t="shared" ref="G838:G901" ca="1" si="22">_xlfn.NORM.INV(RAND(),$M$5,$M$6)</f>
        <v>6.6532648170445657E-2</v>
      </c>
    </row>
    <row r="839" spans="2:7" x14ac:dyDescent="0.25">
      <c r="B839" s="98"/>
      <c r="F839">
        <v>835</v>
      </c>
      <c r="G839" s="109">
        <f t="shared" ca="1" si="22"/>
        <v>-4.0359317928138808E-2</v>
      </c>
    </row>
    <row r="840" spans="2:7" x14ac:dyDescent="0.25">
      <c r="B840" s="98"/>
      <c r="F840">
        <v>836</v>
      </c>
      <c r="G840" s="109">
        <f t="shared" ca="1" si="22"/>
        <v>0.12554174248027916</v>
      </c>
    </row>
    <row r="841" spans="2:7" x14ac:dyDescent="0.25">
      <c r="B841" s="98"/>
      <c r="F841">
        <v>837</v>
      </c>
      <c r="G841" s="109">
        <f t="shared" ca="1" si="22"/>
        <v>2.4660404473727339E-2</v>
      </c>
    </row>
    <row r="842" spans="2:7" x14ac:dyDescent="0.25">
      <c r="B842" s="98"/>
      <c r="F842">
        <v>838</v>
      </c>
      <c r="G842" s="109">
        <f t="shared" ca="1" si="22"/>
        <v>-2.1628991753868343E-2</v>
      </c>
    </row>
    <row r="843" spans="2:7" x14ac:dyDescent="0.25">
      <c r="B843" s="98"/>
      <c r="F843">
        <v>839</v>
      </c>
      <c r="G843" s="109">
        <f t="shared" ca="1" si="22"/>
        <v>-4.1250441084363501E-2</v>
      </c>
    </row>
    <row r="844" spans="2:7" x14ac:dyDescent="0.25">
      <c r="B844" s="98"/>
      <c r="F844">
        <v>840</v>
      </c>
      <c r="G844" s="109">
        <f t="shared" ca="1" si="22"/>
        <v>0.1338506578837628</v>
      </c>
    </row>
    <row r="845" spans="2:7" x14ac:dyDescent="0.25">
      <c r="B845" s="98"/>
      <c r="F845">
        <v>841</v>
      </c>
      <c r="G845" s="109">
        <f t="shared" ca="1" si="22"/>
        <v>-0.13777552457622261</v>
      </c>
    </row>
    <row r="846" spans="2:7" x14ac:dyDescent="0.25">
      <c r="B846" s="98"/>
      <c r="F846">
        <v>842</v>
      </c>
      <c r="G846" s="109">
        <f t="shared" ca="1" si="22"/>
        <v>-6.7876279507320031E-2</v>
      </c>
    </row>
    <row r="847" spans="2:7" x14ac:dyDescent="0.25">
      <c r="B847" s="98"/>
      <c r="F847">
        <v>843</v>
      </c>
      <c r="G847" s="109">
        <f t="shared" ca="1" si="22"/>
        <v>0.1090103548862749</v>
      </c>
    </row>
    <row r="848" spans="2:7" x14ac:dyDescent="0.25">
      <c r="B848" s="98"/>
      <c r="F848">
        <v>844</v>
      </c>
      <c r="G848" s="109">
        <f t="shared" ca="1" si="22"/>
        <v>-0.16656802175333851</v>
      </c>
    </row>
    <row r="849" spans="2:7" x14ac:dyDescent="0.25">
      <c r="B849" s="98"/>
      <c r="F849">
        <v>845</v>
      </c>
      <c r="G849" s="109">
        <f t="shared" ca="1" si="22"/>
        <v>3.4246746770096904E-2</v>
      </c>
    </row>
    <row r="850" spans="2:7" x14ac:dyDescent="0.25">
      <c r="B850" s="98"/>
      <c r="F850">
        <v>846</v>
      </c>
      <c r="G850" s="109">
        <f t="shared" ca="1" si="22"/>
        <v>-3.5574420958422309E-2</v>
      </c>
    </row>
    <row r="851" spans="2:7" x14ac:dyDescent="0.25">
      <c r="B851" s="98"/>
      <c r="F851">
        <v>847</v>
      </c>
      <c r="G851" s="109">
        <f t="shared" ca="1" si="22"/>
        <v>3.7140634708556025E-2</v>
      </c>
    </row>
    <row r="852" spans="2:7" x14ac:dyDescent="0.25">
      <c r="B852" s="98"/>
      <c r="F852">
        <v>848</v>
      </c>
      <c r="G852" s="109">
        <f t="shared" ca="1" si="22"/>
        <v>4.6951409997697403E-2</v>
      </c>
    </row>
    <row r="853" spans="2:7" x14ac:dyDescent="0.25">
      <c r="B853" s="98"/>
      <c r="F853">
        <v>849</v>
      </c>
      <c r="G853" s="109">
        <f t="shared" ca="1" si="22"/>
        <v>1.3439270413871135E-2</v>
      </c>
    </row>
    <row r="854" spans="2:7" x14ac:dyDescent="0.25">
      <c r="B854" s="98"/>
      <c r="F854">
        <v>850</v>
      </c>
      <c r="G854" s="109">
        <f t="shared" ca="1" si="22"/>
        <v>-0.10796299823068585</v>
      </c>
    </row>
    <row r="855" spans="2:7" x14ac:dyDescent="0.25">
      <c r="B855" s="98"/>
      <c r="F855">
        <v>851</v>
      </c>
      <c r="G855" s="109">
        <f t="shared" ca="1" si="22"/>
        <v>2.3178745932567881E-2</v>
      </c>
    </row>
    <row r="856" spans="2:7" x14ac:dyDescent="0.25">
      <c r="B856" s="98"/>
      <c r="F856">
        <v>852</v>
      </c>
      <c r="G856" s="109">
        <f t="shared" ca="1" si="22"/>
        <v>-0.13549024048125674</v>
      </c>
    </row>
    <row r="857" spans="2:7" x14ac:dyDescent="0.25">
      <c r="B857" s="98"/>
      <c r="F857">
        <v>853</v>
      </c>
      <c r="G857" s="109">
        <f t="shared" ca="1" si="22"/>
        <v>-1.553156364212481E-2</v>
      </c>
    </row>
    <row r="858" spans="2:7" x14ac:dyDescent="0.25">
      <c r="B858" s="98"/>
      <c r="F858">
        <v>854</v>
      </c>
      <c r="G858" s="109">
        <f t="shared" ca="1" si="22"/>
        <v>-1.7039626593105192E-2</v>
      </c>
    </row>
    <row r="859" spans="2:7" x14ac:dyDescent="0.25">
      <c r="B859" s="98"/>
      <c r="F859">
        <v>855</v>
      </c>
      <c r="G859" s="109">
        <f t="shared" ca="1" si="22"/>
        <v>2.6251318545079165E-2</v>
      </c>
    </row>
    <row r="860" spans="2:7" x14ac:dyDescent="0.25">
      <c r="B860" s="98"/>
      <c r="F860">
        <v>856</v>
      </c>
      <c r="G860" s="109">
        <f t="shared" ca="1" si="22"/>
        <v>0.17834859505139122</v>
      </c>
    </row>
    <row r="861" spans="2:7" x14ac:dyDescent="0.25">
      <c r="B861" s="98"/>
      <c r="F861">
        <v>857</v>
      </c>
      <c r="G861" s="109">
        <f t="shared" ca="1" si="22"/>
        <v>0.115824367043008</v>
      </c>
    </row>
    <row r="862" spans="2:7" x14ac:dyDescent="0.25">
      <c r="B862" s="98"/>
      <c r="F862">
        <v>858</v>
      </c>
      <c r="G862" s="109">
        <f t="shared" ca="1" si="22"/>
        <v>1.0641342750895108E-2</v>
      </c>
    </row>
    <row r="863" spans="2:7" x14ac:dyDescent="0.25">
      <c r="B863" s="98"/>
      <c r="F863">
        <v>859</v>
      </c>
      <c r="G863" s="109">
        <f t="shared" ca="1" si="22"/>
        <v>9.8785632470668461E-2</v>
      </c>
    </row>
    <row r="864" spans="2:7" x14ac:dyDescent="0.25">
      <c r="B864" s="98"/>
      <c r="F864">
        <v>860</v>
      </c>
      <c r="G864" s="109">
        <f t="shared" ca="1" si="22"/>
        <v>1.6422228034775901E-2</v>
      </c>
    </row>
    <row r="865" spans="2:7" x14ac:dyDescent="0.25">
      <c r="B865" s="98"/>
      <c r="F865">
        <v>861</v>
      </c>
      <c r="G865" s="109">
        <f t="shared" ca="1" si="22"/>
        <v>-3.1733883970204393E-2</v>
      </c>
    </row>
    <row r="866" spans="2:7" x14ac:dyDescent="0.25">
      <c r="B866" s="98"/>
      <c r="F866">
        <v>862</v>
      </c>
      <c r="G866" s="109">
        <f t="shared" ca="1" si="22"/>
        <v>-0.23540922483504895</v>
      </c>
    </row>
    <row r="867" spans="2:7" x14ac:dyDescent="0.25">
      <c r="B867" s="98"/>
      <c r="F867">
        <v>863</v>
      </c>
      <c r="G867" s="109">
        <f t="shared" ca="1" si="22"/>
        <v>-4.9995087874181318E-2</v>
      </c>
    </row>
    <row r="868" spans="2:7" x14ac:dyDescent="0.25">
      <c r="B868" s="98"/>
      <c r="F868">
        <v>864</v>
      </c>
      <c r="G868" s="109">
        <f t="shared" ca="1" si="22"/>
        <v>-2.0831416013412388E-2</v>
      </c>
    </row>
    <row r="869" spans="2:7" x14ac:dyDescent="0.25">
      <c r="B869" s="98"/>
      <c r="F869">
        <v>865</v>
      </c>
      <c r="G869" s="109">
        <f t="shared" ca="1" si="22"/>
        <v>-2.0961515849137663E-2</v>
      </c>
    </row>
    <row r="870" spans="2:7" x14ac:dyDescent="0.25">
      <c r="B870" s="98"/>
      <c r="F870">
        <v>866</v>
      </c>
      <c r="G870" s="109">
        <f t="shared" ca="1" si="22"/>
        <v>3.3392680757562139E-2</v>
      </c>
    </row>
    <row r="871" spans="2:7" x14ac:dyDescent="0.25">
      <c r="B871" s="98"/>
      <c r="F871">
        <v>867</v>
      </c>
      <c r="G871" s="109">
        <f t="shared" ca="1" si="22"/>
        <v>-7.615547785450584E-2</v>
      </c>
    </row>
    <row r="872" spans="2:7" x14ac:dyDescent="0.25">
      <c r="B872" s="98"/>
      <c r="F872">
        <v>868</v>
      </c>
      <c r="G872" s="109">
        <f t="shared" ca="1" si="22"/>
        <v>6.5952708256751397E-3</v>
      </c>
    </row>
    <row r="873" spans="2:7" x14ac:dyDescent="0.25">
      <c r="B873" s="98"/>
      <c r="F873">
        <v>869</v>
      </c>
      <c r="G873" s="109">
        <f t="shared" ca="1" si="22"/>
        <v>5.1621632717181218E-2</v>
      </c>
    </row>
    <row r="874" spans="2:7" x14ac:dyDescent="0.25">
      <c r="B874" s="98"/>
      <c r="F874">
        <v>870</v>
      </c>
      <c r="G874" s="109">
        <f t="shared" ca="1" si="22"/>
        <v>0.11253797846789478</v>
      </c>
    </row>
    <row r="875" spans="2:7" x14ac:dyDescent="0.25">
      <c r="B875" s="98"/>
      <c r="F875">
        <v>871</v>
      </c>
      <c r="G875" s="109">
        <f t="shared" ca="1" si="22"/>
        <v>-4.643609021380371E-2</v>
      </c>
    </row>
    <row r="876" spans="2:7" x14ac:dyDescent="0.25">
      <c r="B876" s="98"/>
      <c r="F876">
        <v>872</v>
      </c>
      <c r="G876" s="109">
        <f t="shared" ca="1" si="22"/>
        <v>0.12776904504346764</v>
      </c>
    </row>
    <row r="877" spans="2:7" x14ac:dyDescent="0.25">
      <c r="B877" s="98"/>
      <c r="F877">
        <v>873</v>
      </c>
      <c r="G877" s="109">
        <f t="shared" ca="1" si="22"/>
        <v>-6.2021472725803828E-2</v>
      </c>
    </row>
    <row r="878" spans="2:7" x14ac:dyDescent="0.25">
      <c r="B878" s="98"/>
      <c r="F878">
        <v>874</v>
      </c>
      <c r="G878" s="109">
        <f t="shared" ca="1" si="22"/>
        <v>-7.0497132014720881E-2</v>
      </c>
    </row>
    <row r="879" spans="2:7" x14ac:dyDescent="0.25">
      <c r="B879" s="98"/>
      <c r="F879">
        <v>875</v>
      </c>
      <c r="G879" s="109">
        <f t="shared" ca="1" si="22"/>
        <v>-1.4272552087194905E-2</v>
      </c>
    </row>
    <row r="880" spans="2:7" x14ac:dyDescent="0.25">
      <c r="B880" s="98"/>
      <c r="F880">
        <v>876</v>
      </c>
      <c r="G880" s="109">
        <f t="shared" ca="1" si="22"/>
        <v>-7.2610678613676607E-3</v>
      </c>
    </row>
    <row r="881" spans="2:7" x14ac:dyDescent="0.25">
      <c r="B881" s="98"/>
      <c r="F881">
        <v>877</v>
      </c>
      <c r="G881" s="109">
        <f t="shared" ca="1" si="22"/>
        <v>1.0401010322121935E-2</v>
      </c>
    </row>
    <row r="882" spans="2:7" x14ac:dyDescent="0.25">
      <c r="B882" s="98"/>
      <c r="F882">
        <v>878</v>
      </c>
      <c r="G882" s="109">
        <f t="shared" ca="1" si="22"/>
        <v>-9.3275271766950427E-3</v>
      </c>
    </row>
    <row r="883" spans="2:7" x14ac:dyDescent="0.25">
      <c r="B883" s="98"/>
      <c r="F883">
        <v>879</v>
      </c>
      <c r="G883" s="109">
        <f t="shared" ca="1" si="22"/>
        <v>-1.7703019725798796E-3</v>
      </c>
    </row>
    <row r="884" spans="2:7" x14ac:dyDescent="0.25">
      <c r="B884" s="98"/>
      <c r="F884">
        <v>880</v>
      </c>
      <c r="G884" s="109">
        <f t="shared" ca="1" si="22"/>
        <v>0.21850322902691577</v>
      </c>
    </row>
    <row r="885" spans="2:7" x14ac:dyDescent="0.25">
      <c r="B885" s="98"/>
      <c r="F885">
        <v>881</v>
      </c>
      <c r="G885" s="109">
        <f t="shared" ca="1" si="22"/>
        <v>1.8598679909529025E-2</v>
      </c>
    </row>
    <row r="886" spans="2:7" x14ac:dyDescent="0.25">
      <c r="B886" s="98"/>
      <c r="F886">
        <v>882</v>
      </c>
      <c r="G886" s="109">
        <f t="shared" ca="1" si="22"/>
        <v>0.17724194124826986</v>
      </c>
    </row>
    <row r="887" spans="2:7" x14ac:dyDescent="0.25">
      <c r="B887" s="98"/>
      <c r="F887">
        <v>883</v>
      </c>
      <c r="G887" s="109">
        <f t="shared" ca="1" si="22"/>
        <v>3.9840662064898329E-2</v>
      </c>
    </row>
    <row r="888" spans="2:7" x14ac:dyDescent="0.25">
      <c r="B888" s="98"/>
      <c r="F888">
        <v>884</v>
      </c>
      <c r="G888" s="109">
        <f t="shared" ca="1" si="22"/>
        <v>3.593613166406287E-2</v>
      </c>
    </row>
    <row r="889" spans="2:7" x14ac:dyDescent="0.25">
      <c r="B889" s="98"/>
      <c r="F889">
        <v>885</v>
      </c>
      <c r="G889" s="109">
        <f t="shared" ca="1" si="22"/>
        <v>-8.9194438450340655E-2</v>
      </c>
    </row>
    <row r="890" spans="2:7" x14ac:dyDescent="0.25">
      <c r="B890" s="98"/>
      <c r="F890">
        <v>886</v>
      </c>
      <c r="G890" s="109">
        <f t="shared" ca="1" si="22"/>
        <v>0.20731606144489356</v>
      </c>
    </row>
    <row r="891" spans="2:7" x14ac:dyDescent="0.25">
      <c r="B891" s="98"/>
      <c r="F891">
        <v>887</v>
      </c>
      <c r="G891" s="109">
        <f t="shared" ca="1" si="22"/>
        <v>-6.2256603424219417E-2</v>
      </c>
    </row>
    <row r="892" spans="2:7" x14ac:dyDescent="0.25">
      <c r="B892" s="98"/>
      <c r="F892">
        <v>888</v>
      </c>
      <c r="G892" s="109">
        <f t="shared" ca="1" si="22"/>
        <v>-2.6677956430501082E-2</v>
      </c>
    </row>
    <row r="893" spans="2:7" x14ac:dyDescent="0.25">
      <c r="B893" s="98"/>
      <c r="F893">
        <v>889</v>
      </c>
      <c r="G893" s="109">
        <f t="shared" ca="1" si="22"/>
        <v>-1.6230186304859652E-2</v>
      </c>
    </row>
    <row r="894" spans="2:7" x14ac:dyDescent="0.25">
      <c r="B894" s="98"/>
      <c r="F894">
        <v>890</v>
      </c>
      <c r="G894" s="109">
        <f t="shared" ca="1" si="22"/>
        <v>5.1492416478545369E-2</v>
      </c>
    </row>
    <row r="895" spans="2:7" x14ac:dyDescent="0.25">
      <c r="B895" s="98"/>
      <c r="F895">
        <v>891</v>
      </c>
      <c r="G895" s="109">
        <f t="shared" ca="1" si="22"/>
        <v>6.8749643491651163E-2</v>
      </c>
    </row>
    <row r="896" spans="2:7" x14ac:dyDescent="0.25">
      <c r="B896" s="98"/>
      <c r="F896">
        <v>892</v>
      </c>
      <c r="G896" s="109">
        <f t="shared" ca="1" si="22"/>
        <v>0.29127747660870712</v>
      </c>
    </row>
    <row r="897" spans="2:7" x14ac:dyDescent="0.25">
      <c r="B897" s="98"/>
      <c r="F897">
        <v>893</v>
      </c>
      <c r="G897" s="109">
        <f t="shared" ca="1" si="22"/>
        <v>0.18881216483868085</v>
      </c>
    </row>
    <row r="898" spans="2:7" x14ac:dyDescent="0.25">
      <c r="B898" s="98"/>
      <c r="F898">
        <v>894</v>
      </c>
      <c r="G898" s="109">
        <f t="shared" ca="1" si="22"/>
        <v>-8.3733392160203216E-2</v>
      </c>
    </row>
    <row r="899" spans="2:7" x14ac:dyDescent="0.25">
      <c r="B899" s="98"/>
      <c r="F899">
        <v>895</v>
      </c>
      <c r="G899" s="109">
        <f t="shared" ca="1" si="22"/>
        <v>-0.13134951622917224</v>
      </c>
    </row>
    <row r="900" spans="2:7" x14ac:dyDescent="0.25">
      <c r="B900" s="98"/>
      <c r="F900">
        <v>896</v>
      </c>
      <c r="G900" s="109">
        <f t="shared" ca="1" si="22"/>
        <v>0.11699825247392619</v>
      </c>
    </row>
    <row r="901" spans="2:7" x14ac:dyDescent="0.25">
      <c r="B901" s="98"/>
      <c r="F901">
        <v>897</v>
      </c>
      <c r="G901" s="109">
        <f t="shared" ca="1" si="22"/>
        <v>9.1944688991135198E-2</v>
      </c>
    </row>
    <row r="902" spans="2:7" x14ac:dyDescent="0.25">
      <c r="B902" s="98"/>
      <c r="F902">
        <v>898</v>
      </c>
      <c r="G902" s="109">
        <f t="shared" ref="G902:G965" ca="1" si="23">_xlfn.NORM.INV(RAND(),$M$5,$M$6)</f>
        <v>-0.11275235180775602</v>
      </c>
    </row>
    <row r="903" spans="2:7" x14ac:dyDescent="0.25">
      <c r="B903" s="98"/>
      <c r="F903">
        <v>899</v>
      </c>
      <c r="G903" s="109">
        <f t="shared" ca="1" si="23"/>
        <v>0.10868787556697475</v>
      </c>
    </row>
    <row r="904" spans="2:7" x14ac:dyDescent="0.25">
      <c r="B904" s="98"/>
      <c r="F904">
        <v>900</v>
      </c>
      <c r="G904" s="109">
        <f t="shared" ca="1" si="23"/>
        <v>0.18393151979509209</v>
      </c>
    </row>
    <row r="905" spans="2:7" x14ac:dyDescent="0.25">
      <c r="B905" s="98"/>
      <c r="F905">
        <v>901</v>
      </c>
      <c r="G905" s="109">
        <f t="shared" ca="1" si="23"/>
        <v>2.0843830608425221E-2</v>
      </c>
    </row>
    <row r="906" spans="2:7" x14ac:dyDescent="0.25">
      <c r="B906" s="98"/>
      <c r="F906">
        <v>902</v>
      </c>
      <c r="G906" s="109">
        <f t="shared" ca="1" si="23"/>
        <v>6.1631134543780663E-2</v>
      </c>
    </row>
    <row r="907" spans="2:7" x14ac:dyDescent="0.25">
      <c r="B907" s="98"/>
      <c r="F907">
        <v>903</v>
      </c>
      <c r="G907" s="109">
        <f t="shared" ca="1" si="23"/>
        <v>2.4396496932805069E-2</v>
      </c>
    </row>
    <row r="908" spans="2:7" x14ac:dyDescent="0.25">
      <c r="B908" s="98"/>
      <c r="F908">
        <v>904</v>
      </c>
      <c r="G908" s="109">
        <f t="shared" ca="1" si="23"/>
        <v>0.1194179511746208</v>
      </c>
    </row>
    <row r="909" spans="2:7" x14ac:dyDescent="0.25">
      <c r="B909" s="98"/>
      <c r="F909">
        <v>905</v>
      </c>
      <c r="G909" s="109">
        <f t="shared" ca="1" si="23"/>
        <v>-4.9673342927926648E-2</v>
      </c>
    </row>
    <row r="910" spans="2:7" x14ac:dyDescent="0.25">
      <c r="B910" s="98"/>
      <c r="F910">
        <v>906</v>
      </c>
      <c r="G910" s="109">
        <f t="shared" ca="1" si="23"/>
        <v>0.16355053590227336</v>
      </c>
    </row>
    <row r="911" spans="2:7" x14ac:dyDescent="0.25">
      <c r="B911" s="98"/>
      <c r="F911">
        <v>907</v>
      </c>
      <c r="G911" s="109">
        <f t="shared" ca="1" si="23"/>
        <v>-0.10999269478444902</v>
      </c>
    </row>
    <row r="912" spans="2:7" x14ac:dyDescent="0.25">
      <c r="B912" s="98"/>
      <c r="F912">
        <v>908</v>
      </c>
      <c r="G912" s="109">
        <f t="shared" ca="1" si="23"/>
        <v>7.792100662279991E-2</v>
      </c>
    </row>
    <row r="913" spans="2:7" x14ac:dyDescent="0.25">
      <c r="B913" s="98"/>
      <c r="F913">
        <v>909</v>
      </c>
      <c r="G913" s="109">
        <f t="shared" ca="1" si="23"/>
        <v>6.0053017900342065E-2</v>
      </c>
    </row>
    <row r="914" spans="2:7" x14ac:dyDescent="0.25">
      <c r="B914" s="98"/>
      <c r="F914">
        <v>910</v>
      </c>
      <c r="G914" s="109">
        <f t="shared" ca="1" si="23"/>
        <v>0.24006977559519677</v>
      </c>
    </row>
    <row r="915" spans="2:7" x14ac:dyDescent="0.25">
      <c r="B915" s="98"/>
      <c r="F915">
        <v>911</v>
      </c>
      <c r="G915" s="109">
        <f t="shared" ca="1" si="23"/>
        <v>0.16214865827267241</v>
      </c>
    </row>
    <row r="916" spans="2:7" x14ac:dyDescent="0.25">
      <c r="B916" s="98"/>
      <c r="F916">
        <v>912</v>
      </c>
      <c r="G916" s="109">
        <f t="shared" ca="1" si="23"/>
        <v>9.8977123134169065E-2</v>
      </c>
    </row>
    <row r="917" spans="2:7" x14ac:dyDescent="0.25">
      <c r="B917" s="98"/>
      <c r="F917">
        <v>913</v>
      </c>
      <c r="G917" s="109">
        <f t="shared" ca="1" si="23"/>
        <v>0.22677119250460487</v>
      </c>
    </row>
    <row r="918" spans="2:7" x14ac:dyDescent="0.25">
      <c r="B918" s="98"/>
      <c r="F918">
        <v>914</v>
      </c>
      <c r="G918" s="109">
        <f t="shared" ca="1" si="23"/>
        <v>0.14234484139540565</v>
      </c>
    </row>
    <row r="919" spans="2:7" x14ac:dyDescent="0.25">
      <c r="B919" s="98"/>
      <c r="F919">
        <v>915</v>
      </c>
      <c r="G919" s="109">
        <f t="shared" ca="1" si="23"/>
        <v>1.7736637802606224E-2</v>
      </c>
    </row>
    <row r="920" spans="2:7" x14ac:dyDescent="0.25">
      <c r="B920" s="98"/>
      <c r="F920">
        <v>916</v>
      </c>
      <c r="G920" s="109">
        <f t="shared" ca="1" si="23"/>
        <v>-2.4484202451564296E-3</v>
      </c>
    </row>
    <row r="921" spans="2:7" x14ac:dyDescent="0.25">
      <c r="B921" s="98"/>
      <c r="F921">
        <v>917</v>
      </c>
      <c r="G921" s="109">
        <f t="shared" ca="1" si="23"/>
        <v>0.18100216240169814</v>
      </c>
    </row>
    <row r="922" spans="2:7" x14ac:dyDescent="0.25">
      <c r="B922" s="98"/>
      <c r="F922">
        <v>918</v>
      </c>
      <c r="G922" s="109">
        <f t="shared" ca="1" si="23"/>
        <v>-6.7616124252784279E-2</v>
      </c>
    </row>
    <row r="923" spans="2:7" x14ac:dyDescent="0.25">
      <c r="B923" s="98"/>
      <c r="F923">
        <v>919</v>
      </c>
      <c r="G923" s="109">
        <f t="shared" ca="1" si="23"/>
        <v>-0.14511351043946791</v>
      </c>
    </row>
    <row r="924" spans="2:7" x14ac:dyDescent="0.25">
      <c r="B924" s="98"/>
      <c r="F924">
        <v>920</v>
      </c>
      <c r="G924" s="109">
        <f t="shared" ca="1" si="23"/>
        <v>6.7186754925978892E-2</v>
      </c>
    </row>
    <row r="925" spans="2:7" x14ac:dyDescent="0.25">
      <c r="B925" s="98"/>
      <c r="F925">
        <v>921</v>
      </c>
      <c r="G925" s="109">
        <f t="shared" ca="1" si="23"/>
        <v>0.17287996678253686</v>
      </c>
    </row>
    <row r="926" spans="2:7" x14ac:dyDescent="0.25">
      <c r="B926" s="98"/>
      <c r="F926">
        <v>922</v>
      </c>
      <c r="G926" s="109">
        <f t="shared" ca="1" si="23"/>
        <v>0.11127357507274094</v>
      </c>
    </row>
    <row r="927" spans="2:7" x14ac:dyDescent="0.25">
      <c r="B927" s="98"/>
      <c r="F927">
        <v>923</v>
      </c>
      <c r="G927" s="109">
        <f t="shared" ca="1" si="23"/>
        <v>-2.1919847420708113E-2</v>
      </c>
    </row>
    <row r="928" spans="2:7" x14ac:dyDescent="0.25">
      <c r="B928" s="98"/>
      <c r="F928">
        <v>924</v>
      </c>
      <c r="G928" s="109">
        <f t="shared" ca="1" si="23"/>
        <v>2.2141296950988973E-2</v>
      </c>
    </row>
    <row r="929" spans="2:7" x14ac:dyDescent="0.25">
      <c r="B929" s="98"/>
      <c r="F929">
        <v>925</v>
      </c>
      <c r="G929" s="109">
        <f t="shared" ca="1" si="23"/>
        <v>-6.1205253992208261E-2</v>
      </c>
    </row>
    <row r="930" spans="2:7" x14ac:dyDescent="0.25">
      <c r="B930" s="98"/>
      <c r="F930">
        <v>926</v>
      </c>
      <c r="G930" s="109">
        <f t="shared" ca="1" si="23"/>
        <v>0.10464211198256966</v>
      </c>
    </row>
    <row r="931" spans="2:7" x14ac:dyDescent="0.25">
      <c r="B931" s="98"/>
      <c r="F931">
        <v>927</v>
      </c>
      <c r="G931" s="109">
        <f t="shared" ca="1" si="23"/>
        <v>7.5131778331959068E-2</v>
      </c>
    </row>
    <row r="932" spans="2:7" x14ac:dyDescent="0.25">
      <c r="B932" s="98"/>
      <c r="F932">
        <v>928</v>
      </c>
      <c r="G932" s="109">
        <f t="shared" ca="1" si="23"/>
        <v>-0.11854536340327763</v>
      </c>
    </row>
    <row r="933" spans="2:7" x14ac:dyDescent="0.25">
      <c r="B933" s="98"/>
      <c r="F933">
        <v>929</v>
      </c>
      <c r="G933" s="109">
        <f t="shared" ca="1" si="23"/>
        <v>-1.15869410052237E-3</v>
      </c>
    </row>
    <row r="934" spans="2:7" x14ac:dyDescent="0.25">
      <c r="B934" s="98"/>
      <c r="F934">
        <v>930</v>
      </c>
      <c r="G934" s="109">
        <f t="shared" ca="1" si="23"/>
        <v>0.20269002720054308</v>
      </c>
    </row>
    <row r="935" spans="2:7" x14ac:dyDescent="0.25">
      <c r="B935" s="98"/>
      <c r="F935">
        <v>931</v>
      </c>
      <c r="G935" s="109">
        <f t="shared" ca="1" si="23"/>
        <v>0.14903732509170492</v>
      </c>
    </row>
    <row r="936" spans="2:7" x14ac:dyDescent="0.25">
      <c r="B936" s="98"/>
      <c r="F936">
        <v>932</v>
      </c>
      <c r="G936" s="109">
        <f t="shared" ca="1" si="23"/>
        <v>-0.15767899031189275</v>
      </c>
    </row>
    <row r="937" spans="2:7" x14ac:dyDescent="0.25">
      <c r="B937" s="98"/>
      <c r="F937">
        <v>933</v>
      </c>
      <c r="G937" s="109">
        <f t="shared" ca="1" si="23"/>
        <v>0.10585260214294465</v>
      </c>
    </row>
    <row r="938" spans="2:7" x14ac:dyDescent="0.25">
      <c r="B938" s="98"/>
      <c r="F938">
        <v>934</v>
      </c>
      <c r="G938" s="109">
        <f t="shared" ca="1" si="23"/>
        <v>0.21629154886905061</v>
      </c>
    </row>
    <row r="939" spans="2:7" x14ac:dyDescent="0.25">
      <c r="B939" s="98"/>
      <c r="F939">
        <v>935</v>
      </c>
      <c r="G939" s="109">
        <f t="shared" ca="1" si="23"/>
        <v>0.21833428355163698</v>
      </c>
    </row>
    <row r="940" spans="2:7" x14ac:dyDescent="0.25">
      <c r="B940" s="98"/>
      <c r="F940">
        <v>936</v>
      </c>
      <c r="G940" s="109">
        <f t="shared" ca="1" si="23"/>
        <v>0.11159112813783428</v>
      </c>
    </row>
    <row r="941" spans="2:7" x14ac:dyDescent="0.25">
      <c r="B941" s="98"/>
      <c r="F941">
        <v>937</v>
      </c>
      <c r="G941" s="109">
        <f t="shared" ca="1" si="23"/>
        <v>3.0063578379574726E-2</v>
      </c>
    </row>
    <row r="942" spans="2:7" x14ac:dyDescent="0.25">
      <c r="B942" s="98"/>
      <c r="F942">
        <v>938</v>
      </c>
      <c r="G942" s="109">
        <f t="shared" ca="1" si="23"/>
        <v>0.25024929570015397</v>
      </c>
    </row>
    <row r="943" spans="2:7" x14ac:dyDescent="0.25">
      <c r="B943" s="98"/>
      <c r="F943">
        <v>939</v>
      </c>
      <c r="G943" s="109">
        <f t="shared" ca="1" si="23"/>
        <v>-3.507925298304608E-2</v>
      </c>
    </row>
    <row r="944" spans="2:7" x14ac:dyDescent="0.25">
      <c r="B944" s="98"/>
      <c r="F944">
        <v>940</v>
      </c>
      <c r="G944" s="109">
        <f t="shared" ca="1" si="23"/>
        <v>0.10174509290632051</v>
      </c>
    </row>
    <row r="945" spans="2:7" x14ac:dyDescent="0.25">
      <c r="B945" s="98"/>
      <c r="F945">
        <v>941</v>
      </c>
      <c r="G945" s="109">
        <f t="shared" ca="1" si="23"/>
        <v>6.1157608280054739E-2</v>
      </c>
    </row>
    <row r="946" spans="2:7" x14ac:dyDescent="0.25">
      <c r="B946" s="98"/>
      <c r="F946">
        <v>942</v>
      </c>
      <c r="G946" s="109">
        <f t="shared" ca="1" si="23"/>
        <v>9.9684128585984924E-2</v>
      </c>
    </row>
    <row r="947" spans="2:7" x14ac:dyDescent="0.25">
      <c r="B947" s="98"/>
      <c r="F947">
        <v>943</v>
      </c>
      <c r="G947" s="109">
        <f t="shared" ca="1" si="23"/>
        <v>0.1199439338769175</v>
      </c>
    </row>
    <row r="948" spans="2:7" x14ac:dyDescent="0.25">
      <c r="B948" s="98"/>
      <c r="F948">
        <v>944</v>
      </c>
      <c r="G948" s="109">
        <f t="shared" ca="1" si="23"/>
        <v>4.8727385370050044E-3</v>
      </c>
    </row>
    <row r="949" spans="2:7" x14ac:dyDescent="0.25">
      <c r="B949" s="98"/>
      <c r="F949">
        <v>945</v>
      </c>
      <c r="G949" s="109">
        <f t="shared" ca="1" si="23"/>
        <v>0.26810974403422688</v>
      </c>
    </row>
    <row r="950" spans="2:7" x14ac:dyDescent="0.25">
      <c r="B950" s="98"/>
      <c r="F950">
        <v>946</v>
      </c>
      <c r="G950" s="109">
        <f t="shared" ca="1" si="23"/>
        <v>9.6514326431934749E-2</v>
      </c>
    </row>
    <row r="951" spans="2:7" x14ac:dyDescent="0.25">
      <c r="B951" s="98"/>
      <c r="F951">
        <v>947</v>
      </c>
      <c r="G951" s="109">
        <f t="shared" ca="1" si="23"/>
        <v>7.9219255640657057E-2</v>
      </c>
    </row>
    <row r="952" spans="2:7" x14ac:dyDescent="0.25">
      <c r="B952" s="98"/>
      <c r="F952">
        <v>948</v>
      </c>
      <c r="G952" s="109">
        <f t="shared" ca="1" si="23"/>
        <v>-4.5280849701019407E-2</v>
      </c>
    </row>
    <row r="953" spans="2:7" x14ac:dyDescent="0.25">
      <c r="B953" s="98"/>
      <c r="F953">
        <v>949</v>
      </c>
      <c r="G953" s="109">
        <f t="shared" ca="1" si="23"/>
        <v>0.19944515103514188</v>
      </c>
    </row>
    <row r="954" spans="2:7" x14ac:dyDescent="0.25">
      <c r="B954" s="98"/>
      <c r="F954">
        <v>950</v>
      </c>
      <c r="G954" s="109">
        <f t="shared" ca="1" si="23"/>
        <v>-1.9752893868172403E-2</v>
      </c>
    </row>
    <row r="955" spans="2:7" x14ac:dyDescent="0.25">
      <c r="B955" s="98"/>
      <c r="F955">
        <v>951</v>
      </c>
      <c r="G955" s="109">
        <f t="shared" ca="1" si="23"/>
        <v>-6.8892367465112958E-2</v>
      </c>
    </row>
    <row r="956" spans="2:7" x14ac:dyDescent="0.25">
      <c r="B956" s="98"/>
      <c r="F956">
        <v>952</v>
      </c>
      <c r="G956" s="109">
        <f t="shared" ca="1" si="23"/>
        <v>0.1526619083959348</v>
      </c>
    </row>
    <row r="957" spans="2:7" x14ac:dyDescent="0.25">
      <c r="B957" s="98"/>
      <c r="F957">
        <v>953</v>
      </c>
      <c r="G957" s="109">
        <f t="shared" ca="1" si="23"/>
        <v>-2.61324490894458E-2</v>
      </c>
    </row>
    <row r="958" spans="2:7" x14ac:dyDescent="0.25">
      <c r="B958" s="98"/>
      <c r="F958">
        <v>954</v>
      </c>
      <c r="G958" s="109">
        <f t="shared" ca="1" si="23"/>
        <v>0.11838647564627922</v>
      </c>
    </row>
    <row r="959" spans="2:7" x14ac:dyDescent="0.25">
      <c r="B959" s="98"/>
      <c r="F959">
        <v>955</v>
      </c>
      <c r="G959" s="109">
        <f t="shared" ca="1" si="23"/>
        <v>1.0922668140027791E-2</v>
      </c>
    </row>
    <row r="960" spans="2:7" x14ac:dyDescent="0.25">
      <c r="B960" s="98"/>
      <c r="F960">
        <v>956</v>
      </c>
      <c r="G960" s="109">
        <f t="shared" ca="1" si="23"/>
        <v>-4.473572929490785E-2</v>
      </c>
    </row>
    <row r="961" spans="2:7" x14ac:dyDescent="0.25">
      <c r="B961" s="98"/>
      <c r="F961">
        <v>957</v>
      </c>
      <c r="G961" s="109">
        <f t="shared" ca="1" si="23"/>
        <v>3.1652261206176993E-2</v>
      </c>
    </row>
    <row r="962" spans="2:7" x14ac:dyDescent="0.25">
      <c r="B962" s="98"/>
      <c r="F962">
        <v>958</v>
      </c>
      <c r="G962" s="109">
        <f t="shared" ca="1" si="23"/>
        <v>7.6370300301118521E-2</v>
      </c>
    </row>
    <row r="963" spans="2:7" x14ac:dyDescent="0.25">
      <c r="B963" s="98"/>
      <c r="F963">
        <v>959</v>
      </c>
      <c r="G963" s="109">
        <f t="shared" ca="1" si="23"/>
        <v>8.8208585475647541E-2</v>
      </c>
    </row>
    <row r="964" spans="2:7" x14ac:dyDescent="0.25">
      <c r="B964" s="98"/>
      <c r="F964">
        <v>960</v>
      </c>
      <c r="G964" s="109">
        <f t="shared" ca="1" si="23"/>
        <v>0.17592473043296769</v>
      </c>
    </row>
    <row r="965" spans="2:7" x14ac:dyDescent="0.25">
      <c r="B965" s="98"/>
      <c r="F965">
        <v>961</v>
      </c>
      <c r="G965" s="109">
        <f t="shared" ca="1" si="23"/>
        <v>-0.12371245386361145</v>
      </c>
    </row>
    <row r="966" spans="2:7" x14ac:dyDescent="0.25">
      <c r="B966" s="98"/>
      <c r="F966">
        <v>962</v>
      </c>
      <c r="G966" s="109">
        <f t="shared" ref="G966:G1029" ca="1" si="24">_xlfn.NORM.INV(RAND(),$M$5,$M$6)</f>
        <v>-4.4278367646996566E-2</v>
      </c>
    </row>
    <row r="967" spans="2:7" x14ac:dyDescent="0.25">
      <c r="B967" s="98"/>
      <c r="F967">
        <v>963</v>
      </c>
      <c r="G967" s="109">
        <f t="shared" ca="1" si="24"/>
        <v>-3.5311160167624062E-2</v>
      </c>
    </row>
    <row r="968" spans="2:7" x14ac:dyDescent="0.25">
      <c r="B968" s="98"/>
      <c r="F968">
        <v>964</v>
      </c>
      <c r="G968" s="109">
        <f t="shared" ca="1" si="24"/>
        <v>8.5380516612395013E-2</v>
      </c>
    </row>
    <row r="969" spans="2:7" x14ac:dyDescent="0.25">
      <c r="B969" s="98"/>
      <c r="F969">
        <v>965</v>
      </c>
      <c r="G969" s="109">
        <f t="shared" ca="1" si="24"/>
        <v>-8.7036774233890682E-2</v>
      </c>
    </row>
    <row r="970" spans="2:7" x14ac:dyDescent="0.25">
      <c r="B970" s="98"/>
      <c r="F970">
        <v>966</v>
      </c>
      <c r="G970" s="109">
        <f t="shared" ca="1" si="24"/>
        <v>-1.8893836387458604E-2</v>
      </c>
    </row>
    <row r="971" spans="2:7" x14ac:dyDescent="0.25">
      <c r="B971" s="98"/>
      <c r="F971">
        <v>967</v>
      </c>
      <c r="G971" s="109">
        <f t="shared" ca="1" si="24"/>
        <v>3.7516672096490754E-2</v>
      </c>
    </row>
    <row r="972" spans="2:7" x14ac:dyDescent="0.25">
      <c r="B972" s="98"/>
      <c r="F972">
        <v>968</v>
      </c>
      <c r="G972" s="109">
        <f t="shared" ca="1" si="24"/>
        <v>-2.8298486011735333E-2</v>
      </c>
    </row>
    <row r="973" spans="2:7" x14ac:dyDescent="0.25">
      <c r="B973" s="98"/>
      <c r="F973">
        <v>969</v>
      </c>
      <c r="G973" s="109">
        <f t="shared" ca="1" si="24"/>
        <v>0.15767719611685588</v>
      </c>
    </row>
    <row r="974" spans="2:7" x14ac:dyDescent="0.25">
      <c r="B974" s="98"/>
      <c r="F974">
        <v>970</v>
      </c>
      <c r="G974" s="109">
        <f t="shared" ca="1" si="24"/>
        <v>-0.10265595766523429</v>
      </c>
    </row>
    <row r="975" spans="2:7" x14ac:dyDescent="0.25">
      <c r="B975" s="98"/>
      <c r="F975">
        <v>971</v>
      </c>
      <c r="G975" s="109">
        <f t="shared" ca="1" si="24"/>
        <v>0.11843758181456991</v>
      </c>
    </row>
    <row r="976" spans="2:7" x14ac:dyDescent="0.25">
      <c r="B976" s="98"/>
      <c r="F976">
        <v>972</v>
      </c>
      <c r="G976" s="109">
        <f t="shared" ca="1" si="24"/>
        <v>2.4025545514284777E-2</v>
      </c>
    </row>
    <row r="977" spans="2:7" x14ac:dyDescent="0.25">
      <c r="B977" s="98"/>
      <c r="F977">
        <v>973</v>
      </c>
      <c r="G977" s="109">
        <f t="shared" ca="1" si="24"/>
        <v>-0.12509172538841029</v>
      </c>
    </row>
    <row r="978" spans="2:7" x14ac:dyDescent="0.25">
      <c r="B978" s="98"/>
      <c r="F978">
        <v>974</v>
      </c>
      <c r="G978" s="109">
        <f t="shared" ca="1" si="24"/>
        <v>5.9755220138805888E-2</v>
      </c>
    </row>
    <row r="979" spans="2:7" x14ac:dyDescent="0.25">
      <c r="B979" s="98"/>
      <c r="F979">
        <v>975</v>
      </c>
      <c r="G979" s="109">
        <f t="shared" ca="1" si="24"/>
        <v>-7.6723987690738571E-3</v>
      </c>
    </row>
    <row r="980" spans="2:7" x14ac:dyDescent="0.25">
      <c r="B980" s="98"/>
      <c r="F980">
        <v>976</v>
      </c>
      <c r="G980" s="109">
        <f t="shared" ca="1" si="24"/>
        <v>3.8629430071742681E-2</v>
      </c>
    </row>
    <row r="981" spans="2:7" x14ac:dyDescent="0.25">
      <c r="B981" s="98"/>
      <c r="F981">
        <v>977</v>
      </c>
      <c r="G981" s="109">
        <f t="shared" ca="1" si="24"/>
        <v>0.21880699315556995</v>
      </c>
    </row>
    <row r="982" spans="2:7" x14ac:dyDescent="0.25">
      <c r="B982" s="98"/>
      <c r="F982">
        <v>978</v>
      </c>
      <c r="G982" s="109">
        <f t="shared" ca="1" si="24"/>
        <v>7.7346512636862458E-2</v>
      </c>
    </row>
    <row r="983" spans="2:7" x14ac:dyDescent="0.25">
      <c r="B983" s="98"/>
      <c r="F983">
        <v>979</v>
      </c>
      <c r="G983" s="109">
        <f t="shared" ca="1" si="24"/>
        <v>-0.1033431984738417</v>
      </c>
    </row>
    <row r="984" spans="2:7" x14ac:dyDescent="0.25">
      <c r="B984" s="98"/>
      <c r="F984">
        <v>980</v>
      </c>
      <c r="G984" s="109">
        <f t="shared" ca="1" si="24"/>
        <v>4.6295896551817733E-3</v>
      </c>
    </row>
    <row r="985" spans="2:7" x14ac:dyDescent="0.25">
      <c r="B985" s="98"/>
      <c r="F985">
        <v>981</v>
      </c>
      <c r="G985" s="109">
        <f t="shared" ca="1" si="24"/>
        <v>6.683110511944132E-3</v>
      </c>
    </row>
    <row r="986" spans="2:7" x14ac:dyDescent="0.25">
      <c r="B986" s="98"/>
      <c r="F986">
        <v>982</v>
      </c>
      <c r="G986" s="109">
        <f t="shared" ca="1" si="24"/>
        <v>4.8237316593961792E-2</v>
      </c>
    </row>
    <row r="987" spans="2:7" x14ac:dyDescent="0.25">
      <c r="B987" s="98"/>
      <c r="F987">
        <v>983</v>
      </c>
      <c r="G987" s="109">
        <f t="shared" ca="1" si="24"/>
        <v>-3.4176763568411012E-2</v>
      </c>
    </row>
    <row r="988" spans="2:7" x14ac:dyDescent="0.25">
      <c r="B988" s="98"/>
      <c r="F988">
        <v>984</v>
      </c>
      <c r="G988" s="109">
        <f t="shared" ca="1" si="24"/>
        <v>6.8985958418467164E-2</v>
      </c>
    </row>
    <row r="989" spans="2:7" x14ac:dyDescent="0.25">
      <c r="B989" s="98"/>
      <c r="F989">
        <v>985</v>
      </c>
      <c r="G989" s="109">
        <f t="shared" ca="1" si="24"/>
        <v>1.1734913998491157E-2</v>
      </c>
    </row>
    <row r="990" spans="2:7" x14ac:dyDescent="0.25">
      <c r="B990" s="98"/>
      <c r="F990">
        <v>986</v>
      </c>
      <c r="G990" s="109">
        <f t="shared" ca="1" si="24"/>
        <v>0.13080383004675922</v>
      </c>
    </row>
    <row r="991" spans="2:7" x14ac:dyDescent="0.25">
      <c r="B991" s="98"/>
      <c r="F991">
        <v>987</v>
      </c>
      <c r="G991" s="109">
        <f t="shared" ca="1" si="24"/>
        <v>6.2598940964118527E-2</v>
      </c>
    </row>
    <row r="992" spans="2:7" x14ac:dyDescent="0.25">
      <c r="B992" s="98"/>
      <c r="F992">
        <v>988</v>
      </c>
      <c r="G992" s="109">
        <f t="shared" ca="1" si="24"/>
        <v>-0.1162720334169373</v>
      </c>
    </row>
    <row r="993" spans="2:7" x14ac:dyDescent="0.25">
      <c r="B993" s="98"/>
      <c r="F993">
        <v>989</v>
      </c>
      <c r="G993" s="109">
        <f t="shared" ca="1" si="24"/>
        <v>6.0026442305876108E-2</v>
      </c>
    </row>
    <row r="994" spans="2:7" x14ac:dyDescent="0.25">
      <c r="B994" s="98"/>
      <c r="F994">
        <v>990</v>
      </c>
      <c r="G994" s="109">
        <f t="shared" ca="1" si="24"/>
        <v>-5.9759826294242008E-2</v>
      </c>
    </row>
    <row r="995" spans="2:7" x14ac:dyDescent="0.25">
      <c r="B995" s="98"/>
      <c r="F995">
        <v>991</v>
      </c>
      <c r="G995" s="109">
        <f t="shared" ca="1" si="24"/>
        <v>0.17349566921189596</v>
      </c>
    </row>
    <row r="996" spans="2:7" x14ac:dyDescent="0.25">
      <c r="B996" s="98"/>
      <c r="F996">
        <v>992</v>
      </c>
      <c r="G996" s="109">
        <f t="shared" ca="1" si="24"/>
        <v>1.3542323954695422E-2</v>
      </c>
    </row>
    <row r="997" spans="2:7" x14ac:dyDescent="0.25">
      <c r="B997" s="98"/>
      <c r="F997">
        <v>993</v>
      </c>
      <c r="G997" s="109">
        <f t="shared" ca="1" si="24"/>
        <v>0.10466059294769484</v>
      </c>
    </row>
    <row r="998" spans="2:7" x14ac:dyDescent="0.25">
      <c r="B998" s="98"/>
      <c r="F998">
        <v>994</v>
      </c>
      <c r="G998" s="109">
        <f t="shared" ca="1" si="24"/>
        <v>-0.12375908392375139</v>
      </c>
    </row>
    <row r="999" spans="2:7" x14ac:dyDescent="0.25">
      <c r="B999" s="98"/>
      <c r="F999">
        <v>995</v>
      </c>
      <c r="G999" s="109">
        <f t="shared" ca="1" si="24"/>
        <v>0.28367057115448113</v>
      </c>
    </row>
    <row r="1000" spans="2:7" x14ac:dyDescent="0.25">
      <c r="B1000" s="98"/>
      <c r="F1000">
        <v>996</v>
      </c>
      <c r="G1000" s="109">
        <f t="shared" ca="1" si="24"/>
        <v>9.8757853132437623E-4</v>
      </c>
    </row>
    <row r="1001" spans="2:7" x14ac:dyDescent="0.25">
      <c r="B1001" s="98"/>
      <c r="F1001">
        <v>997</v>
      </c>
      <c r="G1001" s="109">
        <f t="shared" ca="1" si="24"/>
        <v>0.1101355364053576</v>
      </c>
    </row>
    <row r="1002" spans="2:7" x14ac:dyDescent="0.25">
      <c r="B1002" s="98"/>
      <c r="F1002">
        <v>998</v>
      </c>
      <c r="G1002" s="109">
        <f t="shared" ca="1" si="24"/>
        <v>8.7614535779127534E-2</v>
      </c>
    </row>
    <row r="1003" spans="2:7" x14ac:dyDescent="0.25">
      <c r="B1003" s="98"/>
      <c r="F1003">
        <v>999</v>
      </c>
      <c r="G1003" s="109">
        <f t="shared" ca="1" si="24"/>
        <v>7.4494101722462625E-3</v>
      </c>
    </row>
    <row r="1004" spans="2:7" x14ac:dyDescent="0.25">
      <c r="B1004" s="98"/>
      <c r="F1004">
        <v>1000</v>
      </c>
      <c r="G1004" s="109">
        <f t="shared" ca="1" si="24"/>
        <v>0.19220244920075802</v>
      </c>
    </row>
    <row r="1005" spans="2:7" x14ac:dyDescent="0.25">
      <c r="B1005" s="98"/>
      <c r="F1005">
        <v>1001</v>
      </c>
      <c r="G1005" s="109">
        <f t="shared" ca="1" si="24"/>
        <v>-6.0399948727592218E-2</v>
      </c>
    </row>
    <row r="1006" spans="2:7" x14ac:dyDescent="0.25">
      <c r="B1006" s="98"/>
      <c r="F1006">
        <v>1002</v>
      </c>
      <c r="G1006" s="109">
        <f t="shared" ca="1" si="24"/>
        <v>0.15889443701524766</v>
      </c>
    </row>
    <row r="1007" spans="2:7" x14ac:dyDescent="0.25">
      <c r="B1007" s="98"/>
      <c r="F1007">
        <v>1003</v>
      </c>
      <c r="G1007" s="109">
        <f t="shared" ca="1" si="24"/>
        <v>2.348943593633699E-2</v>
      </c>
    </row>
    <row r="1008" spans="2:7" x14ac:dyDescent="0.25">
      <c r="B1008" s="98"/>
      <c r="F1008">
        <v>1004</v>
      </c>
      <c r="G1008" s="109">
        <f t="shared" ca="1" si="24"/>
        <v>-6.6153609788962633E-2</v>
      </c>
    </row>
    <row r="1009" spans="2:7" x14ac:dyDescent="0.25">
      <c r="B1009" s="98"/>
      <c r="F1009">
        <v>1005</v>
      </c>
      <c r="G1009" s="109">
        <f t="shared" ca="1" si="24"/>
        <v>9.593447397233261E-2</v>
      </c>
    </row>
    <row r="1010" spans="2:7" x14ac:dyDescent="0.25">
      <c r="B1010" s="98"/>
      <c r="F1010">
        <v>1006</v>
      </c>
      <c r="G1010" s="109">
        <f t="shared" ca="1" si="24"/>
        <v>-6.210261125315468E-2</v>
      </c>
    </row>
    <row r="1011" spans="2:7" x14ac:dyDescent="0.25">
      <c r="B1011" s="98"/>
      <c r="F1011">
        <v>1007</v>
      </c>
      <c r="G1011" s="109">
        <f t="shared" ca="1" si="24"/>
        <v>-1.4580750629128232E-2</v>
      </c>
    </row>
    <row r="1012" spans="2:7" x14ac:dyDescent="0.25">
      <c r="B1012" s="98"/>
      <c r="F1012">
        <v>1008</v>
      </c>
      <c r="G1012" s="109">
        <f t="shared" ca="1" si="24"/>
        <v>-3.6724683288351961E-2</v>
      </c>
    </row>
    <row r="1013" spans="2:7" x14ac:dyDescent="0.25">
      <c r="B1013" s="98"/>
      <c r="F1013">
        <v>1009</v>
      </c>
      <c r="G1013" s="109">
        <f t="shared" ca="1" si="24"/>
        <v>0.14244307218130339</v>
      </c>
    </row>
    <row r="1014" spans="2:7" x14ac:dyDescent="0.25">
      <c r="B1014" s="98"/>
      <c r="F1014">
        <v>1010</v>
      </c>
      <c r="G1014" s="109">
        <f t="shared" ca="1" si="24"/>
        <v>-1.9382743270581149E-2</v>
      </c>
    </row>
    <row r="1015" spans="2:7" x14ac:dyDescent="0.25">
      <c r="B1015" s="98"/>
      <c r="F1015">
        <v>1011</v>
      </c>
      <c r="G1015" s="109">
        <f t="shared" ca="1" si="24"/>
        <v>7.4183594995758217E-2</v>
      </c>
    </row>
    <row r="1016" spans="2:7" x14ac:dyDescent="0.25">
      <c r="B1016" s="98"/>
      <c r="F1016">
        <v>1012</v>
      </c>
      <c r="G1016" s="109">
        <f t="shared" ca="1" si="24"/>
        <v>-1.8247041276512568E-2</v>
      </c>
    </row>
    <row r="1017" spans="2:7" x14ac:dyDescent="0.25">
      <c r="B1017" s="98"/>
      <c r="F1017">
        <v>1013</v>
      </c>
      <c r="G1017" s="109">
        <f t="shared" ca="1" si="24"/>
        <v>6.2107363006971041E-2</v>
      </c>
    </row>
    <row r="1018" spans="2:7" x14ac:dyDescent="0.25">
      <c r="B1018" s="98"/>
      <c r="F1018">
        <v>1014</v>
      </c>
      <c r="G1018" s="109">
        <f t="shared" ca="1" si="24"/>
        <v>0.18937704011309098</v>
      </c>
    </row>
    <row r="1019" spans="2:7" x14ac:dyDescent="0.25">
      <c r="B1019" s="98"/>
      <c r="F1019">
        <v>1015</v>
      </c>
      <c r="G1019" s="109">
        <f t="shared" ca="1" si="24"/>
        <v>6.3643611041701728E-2</v>
      </c>
    </row>
    <row r="1020" spans="2:7" x14ac:dyDescent="0.25">
      <c r="B1020" s="98"/>
      <c r="F1020">
        <v>1016</v>
      </c>
      <c r="G1020" s="109">
        <f t="shared" ca="1" si="24"/>
        <v>-7.7041503817083454E-3</v>
      </c>
    </row>
    <row r="1021" spans="2:7" x14ac:dyDescent="0.25">
      <c r="B1021" s="98"/>
      <c r="F1021">
        <v>1017</v>
      </c>
      <c r="G1021" s="109">
        <f t="shared" ca="1" si="24"/>
        <v>-7.6092689083626333E-2</v>
      </c>
    </row>
    <row r="1022" spans="2:7" x14ac:dyDescent="0.25">
      <c r="B1022" s="98"/>
      <c r="F1022">
        <v>1018</v>
      </c>
      <c r="G1022" s="109">
        <f t="shared" ca="1" si="24"/>
        <v>0.12158179316059899</v>
      </c>
    </row>
    <row r="1023" spans="2:7" x14ac:dyDescent="0.25">
      <c r="B1023" s="98"/>
      <c r="F1023">
        <v>1019</v>
      </c>
      <c r="G1023" s="109">
        <f t="shared" ca="1" si="24"/>
        <v>-0.30914102973495922</v>
      </c>
    </row>
    <row r="1024" spans="2:7" x14ac:dyDescent="0.25">
      <c r="B1024" s="98"/>
      <c r="F1024">
        <v>1020</v>
      </c>
      <c r="G1024" s="109">
        <f t="shared" ca="1" si="24"/>
        <v>-1.6488711725354495E-2</v>
      </c>
    </row>
    <row r="1025" spans="2:7" x14ac:dyDescent="0.25">
      <c r="B1025" s="98"/>
      <c r="F1025">
        <v>1021</v>
      </c>
      <c r="G1025" s="109">
        <f t="shared" ca="1" si="24"/>
        <v>0.11696550625295332</v>
      </c>
    </row>
    <row r="1026" spans="2:7" x14ac:dyDescent="0.25">
      <c r="B1026" s="98"/>
      <c r="F1026">
        <v>1022</v>
      </c>
      <c r="G1026" s="109">
        <f t="shared" ca="1" si="24"/>
        <v>1.5690509990720067E-2</v>
      </c>
    </row>
    <row r="1027" spans="2:7" x14ac:dyDescent="0.25">
      <c r="B1027" s="98"/>
      <c r="F1027">
        <v>1023</v>
      </c>
      <c r="G1027" s="109">
        <f t="shared" ca="1" si="24"/>
        <v>0.15917757432809063</v>
      </c>
    </row>
    <row r="1028" spans="2:7" x14ac:dyDescent="0.25">
      <c r="B1028" s="98"/>
      <c r="F1028">
        <v>1024</v>
      </c>
      <c r="G1028" s="109">
        <f t="shared" ca="1" si="24"/>
        <v>4.0305280623157046E-2</v>
      </c>
    </row>
    <row r="1029" spans="2:7" x14ac:dyDescent="0.25">
      <c r="B1029" s="98"/>
      <c r="F1029">
        <v>1025</v>
      </c>
      <c r="G1029" s="109">
        <f t="shared" ca="1" si="24"/>
        <v>5.1583604234765365E-2</v>
      </c>
    </row>
    <row r="1030" spans="2:7" x14ac:dyDescent="0.25">
      <c r="B1030" s="98"/>
      <c r="F1030">
        <v>1026</v>
      </c>
      <c r="G1030" s="109">
        <f t="shared" ref="G1030:G1093" ca="1" si="25">_xlfn.NORM.INV(RAND(),$M$5,$M$6)</f>
        <v>-9.6691913472583754E-3</v>
      </c>
    </row>
    <row r="1031" spans="2:7" x14ac:dyDescent="0.25">
      <c r="B1031" s="98"/>
      <c r="F1031">
        <v>1027</v>
      </c>
      <c r="G1031" s="109">
        <f t="shared" ca="1" si="25"/>
        <v>0.1647877060109682</v>
      </c>
    </row>
    <row r="1032" spans="2:7" x14ac:dyDescent="0.25">
      <c r="B1032" s="98"/>
      <c r="F1032">
        <v>1028</v>
      </c>
      <c r="G1032" s="109">
        <f t="shared" ca="1" si="25"/>
        <v>0.17303874770995337</v>
      </c>
    </row>
    <row r="1033" spans="2:7" x14ac:dyDescent="0.25">
      <c r="B1033" s="98"/>
      <c r="F1033">
        <v>1029</v>
      </c>
      <c r="G1033" s="109">
        <f t="shared" ca="1" si="25"/>
        <v>0.15895346951271241</v>
      </c>
    </row>
    <row r="1034" spans="2:7" x14ac:dyDescent="0.25">
      <c r="B1034" s="98"/>
      <c r="F1034">
        <v>1030</v>
      </c>
      <c r="G1034" s="109">
        <f t="shared" ca="1" si="25"/>
        <v>8.2850123756566751E-2</v>
      </c>
    </row>
    <row r="1035" spans="2:7" x14ac:dyDescent="0.25">
      <c r="B1035" s="98"/>
      <c r="F1035">
        <v>1031</v>
      </c>
      <c r="G1035" s="109">
        <f t="shared" ca="1" si="25"/>
        <v>-7.7525567953365279E-2</v>
      </c>
    </row>
    <row r="1036" spans="2:7" x14ac:dyDescent="0.25">
      <c r="B1036" s="98"/>
      <c r="F1036">
        <v>1032</v>
      </c>
      <c r="G1036" s="109">
        <f t="shared" ca="1" si="25"/>
        <v>0.36238079384598132</v>
      </c>
    </row>
    <row r="1037" spans="2:7" x14ac:dyDescent="0.25">
      <c r="B1037" s="98"/>
      <c r="F1037">
        <v>1033</v>
      </c>
      <c r="G1037" s="109">
        <f t="shared" ca="1" si="25"/>
        <v>6.8520365694688723E-2</v>
      </c>
    </row>
    <row r="1038" spans="2:7" x14ac:dyDescent="0.25">
      <c r="B1038" s="98"/>
      <c r="F1038">
        <v>1034</v>
      </c>
      <c r="G1038" s="109">
        <f t="shared" ca="1" si="25"/>
        <v>-0.2042246455920978</v>
      </c>
    </row>
    <row r="1039" spans="2:7" x14ac:dyDescent="0.25">
      <c r="B1039" s="98"/>
      <c r="F1039">
        <v>1035</v>
      </c>
      <c r="G1039" s="109">
        <f t="shared" ca="1" si="25"/>
        <v>4.5308974280142328E-2</v>
      </c>
    </row>
    <row r="1040" spans="2:7" x14ac:dyDescent="0.25">
      <c r="B1040" s="98"/>
      <c r="F1040">
        <v>1036</v>
      </c>
      <c r="G1040" s="109">
        <f t="shared" ca="1" si="25"/>
        <v>-0.12800843169511988</v>
      </c>
    </row>
    <row r="1041" spans="2:7" x14ac:dyDescent="0.25">
      <c r="B1041" s="98"/>
      <c r="F1041">
        <v>1037</v>
      </c>
      <c r="G1041" s="109">
        <f t="shared" ca="1" si="25"/>
        <v>0.13452833735568342</v>
      </c>
    </row>
    <row r="1042" spans="2:7" x14ac:dyDescent="0.25">
      <c r="B1042" s="98"/>
      <c r="F1042">
        <v>1038</v>
      </c>
      <c r="G1042" s="109">
        <f t="shared" ca="1" si="25"/>
        <v>0.12676894488154589</v>
      </c>
    </row>
    <row r="1043" spans="2:7" x14ac:dyDescent="0.25">
      <c r="B1043" s="98"/>
      <c r="F1043">
        <v>1039</v>
      </c>
      <c r="G1043" s="109">
        <f t="shared" ca="1" si="25"/>
        <v>0.14593751219248832</v>
      </c>
    </row>
    <row r="1044" spans="2:7" x14ac:dyDescent="0.25">
      <c r="B1044" s="98"/>
      <c r="F1044">
        <v>1040</v>
      </c>
      <c r="G1044" s="109">
        <f t="shared" ca="1" si="25"/>
        <v>4.2151765497084118E-3</v>
      </c>
    </row>
    <row r="1045" spans="2:7" x14ac:dyDescent="0.25">
      <c r="B1045" s="98"/>
      <c r="F1045">
        <v>1041</v>
      </c>
      <c r="G1045" s="109">
        <f t="shared" ca="1" si="25"/>
        <v>8.2461825631412272E-2</v>
      </c>
    </row>
    <row r="1046" spans="2:7" x14ac:dyDescent="0.25">
      <c r="B1046" s="98"/>
      <c r="F1046">
        <v>1042</v>
      </c>
      <c r="G1046" s="109">
        <f t="shared" ca="1" si="25"/>
        <v>-2.8633391505586317E-2</v>
      </c>
    </row>
    <row r="1047" spans="2:7" x14ac:dyDescent="0.25">
      <c r="B1047" s="98"/>
      <c r="F1047">
        <v>1043</v>
      </c>
      <c r="G1047" s="109">
        <f t="shared" ca="1" si="25"/>
        <v>-1.4690543187104041E-2</v>
      </c>
    </row>
    <row r="1048" spans="2:7" x14ac:dyDescent="0.25">
      <c r="B1048" s="98"/>
      <c r="F1048">
        <v>1044</v>
      </c>
      <c r="G1048" s="109">
        <f t="shared" ca="1" si="25"/>
        <v>0.20672025458141913</v>
      </c>
    </row>
    <row r="1049" spans="2:7" x14ac:dyDescent="0.25">
      <c r="B1049" s="98"/>
      <c r="F1049">
        <v>1045</v>
      </c>
      <c r="G1049" s="109">
        <f t="shared" ca="1" si="25"/>
        <v>6.5973332225263054E-2</v>
      </c>
    </row>
    <row r="1050" spans="2:7" x14ac:dyDescent="0.25">
      <c r="B1050" s="98"/>
      <c r="F1050">
        <v>1046</v>
      </c>
      <c r="G1050" s="109">
        <f t="shared" ca="1" si="25"/>
        <v>-2.6200996745784272E-2</v>
      </c>
    </row>
    <row r="1051" spans="2:7" x14ac:dyDescent="0.25">
      <c r="B1051" s="98"/>
      <c r="F1051">
        <v>1047</v>
      </c>
      <c r="G1051" s="109">
        <f t="shared" ca="1" si="25"/>
        <v>3.9821474618456962E-2</v>
      </c>
    </row>
    <row r="1052" spans="2:7" x14ac:dyDescent="0.25">
      <c r="B1052" s="98"/>
      <c r="F1052">
        <v>1048</v>
      </c>
      <c r="G1052" s="109">
        <f t="shared" ca="1" si="25"/>
        <v>-1.3925389126304429E-2</v>
      </c>
    </row>
    <row r="1053" spans="2:7" x14ac:dyDescent="0.25">
      <c r="B1053" s="98"/>
      <c r="F1053">
        <v>1049</v>
      </c>
      <c r="G1053" s="109">
        <f t="shared" ca="1" si="25"/>
        <v>7.6837205425296082E-2</v>
      </c>
    </row>
    <row r="1054" spans="2:7" x14ac:dyDescent="0.25">
      <c r="B1054" s="98"/>
      <c r="F1054">
        <v>1050</v>
      </c>
      <c r="G1054" s="109">
        <f t="shared" ca="1" si="25"/>
        <v>-0.11620964734029825</v>
      </c>
    </row>
    <row r="1055" spans="2:7" x14ac:dyDescent="0.25">
      <c r="B1055" s="98"/>
      <c r="F1055">
        <v>1051</v>
      </c>
      <c r="G1055" s="109">
        <f t="shared" ca="1" si="25"/>
        <v>-7.3477264092471045E-2</v>
      </c>
    </row>
    <row r="1056" spans="2:7" x14ac:dyDescent="0.25">
      <c r="B1056" s="98"/>
      <c r="F1056">
        <v>1052</v>
      </c>
      <c r="G1056" s="109">
        <f t="shared" ca="1" si="25"/>
        <v>-4.2780473180333067E-2</v>
      </c>
    </row>
    <row r="1057" spans="2:7" x14ac:dyDescent="0.25">
      <c r="B1057" s="98"/>
      <c r="F1057">
        <v>1053</v>
      </c>
      <c r="G1057" s="109">
        <f t="shared" ca="1" si="25"/>
        <v>-0.10252127082687394</v>
      </c>
    </row>
    <row r="1058" spans="2:7" x14ac:dyDescent="0.25">
      <c r="B1058" s="98"/>
      <c r="F1058">
        <v>1054</v>
      </c>
      <c r="G1058" s="109">
        <f t="shared" ca="1" si="25"/>
        <v>0.12151141948349797</v>
      </c>
    </row>
    <row r="1059" spans="2:7" x14ac:dyDescent="0.25">
      <c r="B1059" s="98"/>
      <c r="F1059">
        <v>1055</v>
      </c>
      <c r="G1059" s="109">
        <f t="shared" ca="1" si="25"/>
        <v>0.16533792911088216</v>
      </c>
    </row>
    <row r="1060" spans="2:7" x14ac:dyDescent="0.25">
      <c r="B1060" s="98"/>
      <c r="F1060">
        <v>1056</v>
      </c>
      <c r="G1060" s="109">
        <f t="shared" ca="1" si="25"/>
        <v>-4.0897798755147596E-3</v>
      </c>
    </row>
    <row r="1061" spans="2:7" x14ac:dyDescent="0.25">
      <c r="B1061" s="98"/>
      <c r="F1061">
        <v>1057</v>
      </c>
      <c r="G1061" s="109">
        <f t="shared" ca="1" si="25"/>
        <v>-2.309078215325118E-2</v>
      </c>
    </row>
    <row r="1062" spans="2:7" x14ac:dyDescent="0.25">
      <c r="B1062" s="98"/>
      <c r="F1062">
        <v>1058</v>
      </c>
      <c r="G1062" s="109">
        <f t="shared" ca="1" si="25"/>
        <v>-0.15546579867612337</v>
      </c>
    </row>
    <row r="1063" spans="2:7" x14ac:dyDescent="0.25">
      <c r="B1063" s="98"/>
      <c r="F1063">
        <v>1059</v>
      </c>
      <c r="G1063" s="109">
        <f t="shared" ca="1" si="25"/>
        <v>5.0295750707005378E-2</v>
      </c>
    </row>
    <row r="1064" spans="2:7" x14ac:dyDescent="0.25">
      <c r="B1064" s="98"/>
      <c r="F1064">
        <v>1060</v>
      </c>
      <c r="G1064" s="109">
        <f t="shared" ca="1" si="25"/>
        <v>0.15766689737518214</v>
      </c>
    </row>
    <row r="1065" spans="2:7" x14ac:dyDescent="0.25">
      <c r="B1065" s="98"/>
      <c r="F1065">
        <v>1061</v>
      </c>
      <c r="G1065" s="109">
        <f t="shared" ca="1" si="25"/>
        <v>2.7495461893561605E-2</v>
      </c>
    </row>
    <row r="1066" spans="2:7" x14ac:dyDescent="0.25">
      <c r="B1066" s="98"/>
      <c r="F1066">
        <v>1062</v>
      </c>
      <c r="G1066" s="109">
        <f t="shared" ca="1" si="25"/>
        <v>0.1654938372211735</v>
      </c>
    </row>
    <row r="1067" spans="2:7" x14ac:dyDescent="0.25">
      <c r="B1067" s="98"/>
      <c r="F1067">
        <v>1063</v>
      </c>
      <c r="G1067" s="109">
        <f t="shared" ca="1" si="25"/>
        <v>2.8683319822435622E-2</v>
      </c>
    </row>
    <row r="1068" spans="2:7" x14ac:dyDescent="0.25">
      <c r="B1068" s="98"/>
      <c r="F1068">
        <v>1064</v>
      </c>
      <c r="G1068" s="109">
        <f t="shared" ca="1" si="25"/>
        <v>-2.5082737346229012E-2</v>
      </c>
    </row>
    <row r="1069" spans="2:7" x14ac:dyDescent="0.25">
      <c r="B1069" s="98"/>
      <c r="F1069">
        <v>1065</v>
      </c>
      <c r="G1069" s="109">
        <f t="shared" ca="1" si="25"/>
        <v>0.14796090705290799</v>
      </c>
    </row>
    <row r="1070" spans="2:7" x14ac:dyDescent="0.25">
      <c r="B1070" s="98"/>
      <c r="F1070">
        <v>1066</v>
      </c>
      <c r="G1070" s="109">
        <f t="shared" ca="1" si="25"/>
        <v>0.23648034294865206</v>
      </c>
    </row>
    <row r="1071" spans="2:7" x14ac:dyDescent="0.25">
      <c r="B1071" s="98"/>
      <c r="F1071">
        <v>1067</v>
      </c>
      <c r="G1071" s="109">
        <f t="shared" ca="1" si="25"/>
        <v>6.637362827236544E-3</v>
      </c>
    </row>
    <row r="1072" spans="2:7" x14ac:dyDescent="0.25">
      <c r="B1072" s="98"/>
      <c r="F1072">
        <v>1068</v>
      </c>
      <c r="G1072" s="109">
        <f t="shared" ca="1" si="25"/>
        <v>-0.23609224210172819</v>
      </c>
    </row>
    <row r="1073" spans="2:7" x14ac:dyDescent="0.25">
      <c r="B1073" s="98"/>
      <c r="F1073">
        <v>1069</v>
      </c>
      <c r="G1073" s="109">
        <f t="shared" ca="1" si="25"/>
        <v>1.2021116372604945E-2</v>
      </c>
    </row>
    <row r="1074" spans="2:7" x14ac:dyDescent="0.25">
      <c r="B1074" s="98"/>
      <c r="F1074">
        <v>1070</v>
      </c>
      <c r="G1074" s="109">
        <f t="shared" ca="1" si="25"/>
        <v>-5.4183388372516947E-2</v>
      </c>
    </row>
    <row r="1075" spans="2:7" x14ac:dyDescent="0.25">
      <c r="B1075" s="98"/>
      <c r="F1075">
        <v>1071</v>
      </c>
      <c r="G1075" s="109">
        <f t="shared" ca="1" si="25"/>
        <v>0.22836344083490717</v>
      </c>
    </row>
    <row r="1076" spans="2:7" x14ac:dyDescent="0.25">
      <c r="B1076" s="98"/>
      <c r="F1076">
        <v>1072</v>
      </c>
      <c r="G1076" s="109">
        <f t="shared" ca="1" si="25"/>
        <v>4.7179994294456948E-2</v>
      </c>
    </row>
    <row r="1077" spans="2:7" x14ac:dyDescent="0.25">
      <c r="B1077" s="98"/>
      <c r="F1077">
        <v>1073</v>
      </c>
      <c r="G1077" s="109">
        <f t="shared" ca="1" si="25"/>
        <v>-0.12316710030944984</v>
      </c>
    </row>
    <row r="1078" spans="2:7" x14ac:dyDescent="0.25">
      <c r="B1078" s="98"/>
      <c r="F1078">
        <v>1074</v>
      </c>
      <c r="G1078" s="109">
        <f t="shared" ca="1" si="25"/>
        <v>3.939866293590235E-2</v>
      </c>
    </row>
    <row r="1079" spans="2:7" x14ac:dyDescent="0.25">
      <c r="B1079" s="98"/>
      <c r="F1079">
        <v>1075</v>
      </c>
      <c r="G1079" s="109">
        <f t="shared" ca="1" si="25"/>
        <v>-1.975668677712511E-3</v>
      </c>
    </row>
    <row r="1080" spans="2:7" x14ac:dyDescent="0.25">
      <c r="B1080" s="98"/>
      <c r="F1080">
        <v>1076</v>
      </c>
      <c r="G1080" s="109">
        <f t="shared" ca="1" si="25"/>
        <v>3.4758677453232592E-2</v>
      </c>
    </row>
    <row r="1081" spans="2:7" x14ac:dyDescent="0.25">
      <c r="B1081" s="98"/>
      <c r="F1081">
        <v>1077</v>
      </c>
      <c r="G1081" s="109">
        <f t="shared" ca="1" si="25"/>
        <v>6.1822171976140518E-2</v>
      </c>
    </row>
    <row r="1082" spans="2:7" x14ac:dyDescent="0.25">
      <c r="B1082" s="98"/>
      <c r="F1082">
        <v>1078</v>
      </c>
      <c r="G1082" s="109">
        <f t="shared" ca="1" si="25"/>
        <v>6.4590366063825996E-2</v>
      </c>
    </row>
    <row r="1083" spans="2:7" x14ac:dyDescent="0.25">
      <c r="B1083" s="98"/>
      <c r="F1083">
        <v>1079</v>
      </c>
      <c r="G1083" s="109">
        <f t="shared" ca="1" si="25"/>
        <v>-7.7939344846532949E-2</v>
      </c>
    </row>
    <row r="1084" spans="2:7" x14ac:dyDescent="0.25">
      <c r="B1084" s="98"/>
      <c r="F1084">
        <v>1080</v>
      </c>
      <c r="G1084" s="109">
        <f t="shared" ca="1" si="25"/>
        <v>0.12366133541800924</v>
      </c>
    </row>
    <row r="1085" spans="2:7" x14ac:dyDescent="0.25">
      <c r="B1085" s="98"/>
      <c r="F1085">
        <v>1081</v>
      </c>
      <c r="G1085" s="109">
        <f t="shared" ca="1" si="25"/>
        <v>3.2562355498966702E-2</v>
      </c>
    </row>
    <row r="1086" spans="2:7" x14ac:dyDescent="0.25">
      <c r="B1086" s="98"/>
      <c r="F1086">
        <v>1082</v>
      </c>
      <c r="G1086" s="109">
        <f t="shared" ca="1" si="25"/>
        <v>-3.3799093730872087E-2</v>
      </c>
    </row>
    <row r="1087" spans="2:7" x14ac:dyDescent="0.25">
      <c r="B1087" s="98"/>
      <c r="F1087">
        <v>1083</v>
      </c>
      <c r="G1087" s="109">
        <f t="shared" ca="1" si="25"/>
        <v>0.1830745038221398</v>
      </c>
    </row>
    <row r="1088" spans="2:7" x14ac:dyDescent="0.25">
      <c r="B1088" s="98"/>
      <c r="F1088">
        <v>1084</v>
      </c>
      <c r="G1088" s="109">
        <f t="shared" ca="1" si="25"/>
        <v>0.2130270199384548</v>
      </c>
    </row>
    <row r="1089" spans="2:7" x14ac:dyDescent="0.25">
      <c r="B1089" s="98"/>
      <c r="F1089">
        <v>1085</v>
      </c>
      <c r="G1089" s="109">
        <f t="shared" ca="1" si="25"/>
        <v>0.17415680638201181</v>
      </c>
    </row>
    <row r="1090" spans="2:7" x14ac:dyDescent="0.25">
      <c r="B1090" s="98"/>
      <c r="F1090">
        <v>1086</v>
      </c>
      <c r="G1090" s="109">
        <f t="shared" ca="1" si="25"/>
        <v>-5.9072787072991448E-2</v>
      </c>
    </row>
    <row r="1091" spans="2:7" x14ac:dyDescent="0.25">
      <c r="B1091" s="98"/>
      <c r="F1091">
        <v>1087</v>
      </c>
      <c r="G1091" s="109">
        <f t="shared" ca="1" si="25"/>
        <v>9.6357350015836923E-2</v>
      </c>
    </row>
    <row r="1092" spans="2:7" x14ac:dyDescent="0.25">
      <c r="B1092" s="98"/>
      <c r="F1092">
        <v>1088</v>
      </c>
      <c r="G1092" s="109">
        <f t="shared" ca="1" si="25"/>
        <v>0.17168974812495091</v>
      </c>
    </row>
    <row r="1093" spans="2:7" x14ac:dyDescent="0.25">
      <c r="B1093" s="98"/>
      <c r="F1093">
        <v>1089</v>
      </c>
      <c r="G1093" s="109">
        <f t="shared" ca="1" si="25"/>
        <v>5.7217875733987976E-2</v>
      </c>
    </row>
    <row r="1094" spans="2:7" x14ac:dyDescent="0.25">
      <c r="B1094" s="98"/>
      <c r="F1094">
        <v>1090</v>
      </c>
      <c r="G1094" s="109">
        <f t="shared" ref="G1094:G1157" ca="1" si="26">_xlfn.NORM.INV(RAND(),$M$5,$M$6)</f>
        <v>6.5387731280405856E-2</v>
      </c>
    </row>
    <row r="1095" spans="2:7" x14ac:dyDescent="0.25">
      <c r="B1095" s="98"/>
      <c r="F1095">
        <v>1091</v>
      </c>
      <c r="G1095" s="109">
        <f t="shared" ca="1" si="26"/>
        <v>-5.7546577968957194E-2</v>
      </c>
    </row>
    <row r="1096" spans="2:7" x14ac:dyDescent="0.25">
      <c r="B1096" s="98"/>
      <c r="F1096">
        <v>1092</v>
      </c>
      <c r="G1096" s="109">
        <f t="shared" ca="1" si="26"/>
        <v>4.2959037319911519E-3</v>
      </c>
    </row>
    <row r="1097" spans="2:7" x14ac:dyDescent="0.25">
      <c r="B1097" s="98"/>
      <c r="F1097">
        <v>1093</v>
      </c>
      <c r="G1097" s="109">
        <f t="shared" ca="1" si="26"/>
        <v>8.5504315257932201E-2</v>
      </c>
    </row>
    <row r="1098" spans="2:7" x14ac:dyDescent="0.25">
      <c r="B1098" s="98"/>
      <c r="F1098">
        <v>1094</v>
      </c>
      <c r="G1098" s="109">
        <f t="shared" ca="1" si="26"/>
        <v>7.0598195107381273E-2</v>
      </c>
    </row>
    <row r="1099" spans="2:7" x14ac:dyDescent="0.25">
      <c r="B1099" s="98"/>
      <c r="F1099">
        <v>1095</v>
      </c>
      <c r="G1099" s="109">
        <f t="shared" ca="1" si="26"/>
        <v>0.21797156997801442</v>
      </c>
    </row>
    <row r="1100" spans="2:7" x14ac:dyDescent="0.25">
      <c r="B1100" s="98"/>
      <c r="F1100">
        <v>1096</v>
      </c>
      <c r="G1100" s="109">
        <f t="shared" ca="1" si="26"/>
        <v>7.2668633794833765E-2</v>
      </c>
    </row>
    <row r="1101" spans="2:7" x14ac:dyDescent="0.25">
      <c r="B1101" s="98"/>
      <c r="F1101">
        <v>1097</v>
      </c>
      <c r="G1101" s="109">
        <f t="shared" ca="1" si="26"/>
        <v>9.0936052261205838E-2</v>
      </c>
    </row>
    <row r="1102" spans="2:7" x14ac:dyDescent="0.25">
      <c r="B1102" s="98"/>
      <c r="F1102">
        <v>1098</v>
      </c>
      <c r="G1102" s="109">
        <f t="shared" ca="1" si="26"/>
        <v>0.22771791346158238</v>
      </c>
    </row>
    <row r="1103" spans="2:7" x14ac:dyDescent="0.25">
      <c r="B1103" s="98"/>
      <c r="F1103">
        <v>1099</v>
      </c>
      <c r="G1103" s="109">
        <f t="shared" ca="1" si="26"/>
        <v>-2.3142763544555522E-3</v>
      </c>
    </row>
    <row r="1104" spans="2:7" x14ac:dyDescent="0.25">
      <c r="B1104" s="98"/>
      <c r="F1104">
        <v>1100</v>
      </c>
      <c r="G1104" s="109">
        <f t="shared" ca="1" si="26"/>
        <v>-0.11253513737511754</v>
      </c>
    </row>
    <row r="1105" spans="2:7" x14ac:dyDescent="0.25">
      <c r="B1105" s="98"/>
      <c r="F1105">
        <v>1101</v>
      </c>
      <c r="G1105" s="109">
        <f t="shared" ca="1" si="26"/>
        <v>0.31598111668516471</v>
      </c>
    </row>
    <row r="1106" spans="2:7" x14ac:dyDescent="0.25">
      <c r="B1106" s="98"/>
      <c r="F1106">
        <v>1102</v>
      </c>
      <c r="G1106" s="109">
        <f t="shared" ca="1" si="26"/>
        <v>1.8001584121623469E-2</v>
      </c>
    </row>
    <row r="1107" spans="2:7" x14ac:dyDescent="0.25">
      <c r="B1107" s="98"/>
      <c r="F1107">
        <v>1103</v>
      </c>
      <c r="G1107" s="109">
        <f t="shared" ca="1" si="26"/>
        <v>6.1812006918046586E-2</v>
      </c>
    </row>
    <row r="1108" spans="2:7" x14ac:dyDescent="0.25">
      <c r="B1108" s="98"/>
      <c r="F1108">
        <v>1104</v>
      </c>
      <c r="G1108" s="109">
        <f t="shared" ca="1" si="26"/>
        <v>-5.7347238982249485E-2</v>
      </c>
    </row>
    <row r="1109" spans="2:7" x14ac:dyDescent="0.25">
      <c r="B1109" s="98"/>
      <c r="F1109">
        <v>1105</v>
      </c>
      <c r="G1109" s="109">
        <f t="shared" ca="1" si="26"/>
        <v>-3.4579041217880829E-2</v>
      </c>
    </row>
    <row r="1110" spans="2:7" x14ac:dyDescent="0.25">
      <c r="B1110" s="98"/>
      <c r="F1110">
        <v>1106</v>
      </c>
      <c r="G1110" s="109">
        <f t="shared" ca="1" si="26"/>
        <v>0.16304002682241059</v>
      </c>
    </row>
    <row r="1111" spans="2:7" x14ac:dyDescent="0.25">
      <c r="B1111" s="98"/>
      <c r="F1111">
        <v>1107</v>
      </c>
      <c r="G1111" s="109">
        <f t="shared" ca="1" si="26"/>
        <v>0.14963917574603267</v>
      </c>
    </row>
    <row r="1112" spans="2:7" x14ac:dyDescent="0.25">
      <c r="B1112" s="98"/>
      <c r="F1112">
        <v>1108</v>
      </c>
      <c r="G1112" s="109">
        <f t="shared" ca="1" si="26"/>
        <v>-3.7512835723093288E-2</v>
      </c>
    </row>
    <row r="1113" spans="2:7" x14ac:dyDescent="0.25">
      <c r="B1113" s="98"/>
      <c r="F1113">
        <v>1109</v>
      </c>
      <c r="G1113" s="109">
        <f t="shared" ca="1" si="26"/>
        <v>5.595140946710344E-2</v>
      </c>
    </row>
    <row r="1114" spans="2:7" x14ac:dyDescent="0.25">
      <c r="B1114" s="98"/>
      <c r="F1114">
        <v>1110</v>
      </c>
      <c r="G1114" s="109">
        <f t="shared" ca="1" si="26"/>
        <v>-3.3328290520121581E-2</v>
      </c>
    </row>
    <row r="1115" spans="2:7" x14ac:dyDescent="0.25">
      <c r="B1115" s="98"/>
      <c r="F1115">
        <v>1111</v>
      </c>
      <c r="G1115" s="109">
        <f t="shared" ca="1" si="26"/>
        <v>3.972921503274178E-2</v>
      </c>
    </row>
    <row r="1116" spans="2:7" x14ac:dyDescent="0.25">
      <c r="B1116" s="98"/>
      <c r="F1116">
        <v>1112</v>
      </c>
      <c r="G1116" s="109">
        <f t="shared" ca="1" si="26"/>
        <v>-2.7380658516340597E-2</v>
      </c>
    </row>
    <row r="1117" spans="2:7" x14ac:dyDescent="0.25">
      <c r="B1117" s="98"/>
      <c r="F1117">
        <v>1113</v>
      </c>
      <c r="G1117" s="109">
        <f t="shared" ca="1" si="26"/>
        <v>1.681768986835204E-2</v>
      </c>
    </row>
    <row r="1118" spans="2:7" x14ac:dyDescent="0.25">
      <c r="B1118" s="98"/>
      <c r="F1118">
        <v>1114</v>
      </c>
      <c r="G1118" s="109">
        <f t="shared" ca="1" si="26"/>
        <v>-3.79301452491346E-2</v>
      </c>
    </row>
    <row r="1119" spans="2:7" x14ac:dyDescent="0.25">
      <c r="B1119" s="98"/>
      <c r="F1119">
        <v>1115</v>
      </c>
      <c r="G1119" s="109">
        <f t="shared" ca="1" si="26"/>
        <v>-0.25936694730975479</v>
      </c>
    </row>
    <row r="1120" spans="2:7" x14ac:dyDescent="0.25">
      <c r="B1120" s="98"/>
      <c r="F1120">
        <v>1116</v>
      </c>
      <c r="G1120" s="109">
        <f t="shared" ca="1" si="26"/>
        <v>7.6483107464150893E-2</v>
      </c>
    </row>
    <row r="1121" spans="2:7" x14ac:dyDescent="0.25">
      <c r="B1121" s="98"/>
      <c r="F1121">
        <v>1117</v>
      </c>
      <c r="G1121" s="109">
        <f t="shared" ca="1" si="26"/>
        <v>1.2617607716812564E-2</v>
      </c>
    </row>
    <row r="1122" spans="2:7" x14ac:dyDescent="0.25">
      <c r="B1122" s="98"/>
      <c r="F1122">
        <v>1118</v>
      </c>
      <c r="G1122" s="109">
        <f t="shared" ca="1" si="26"/>
        <v>2.8589729518861781E-2</v>
      </c>
    </row>
    <row r="1123" spans="2:7" x14ac:dyDescent="0.25">
      <c r="B1123" s="98"/>
      <c r="F1123">
        <v>1119</v>
      </c>
      <c r="G1123" s="109">
        <f t="shared" ca="1" si="26"/>
        <v>9.5193444134814287E-2</v>
      </c>
    </row>
    <row r="1124" spans="2:7" x14ac:dyDescent="0.25">
      <c r="B1124" s="98"/>
      <c r="F1124">
        <v>1120</v>
      </c>
      <c r="G1124" s="109">
        <f t="shared" ca="1" si="26"/>
        <v>5.0585294937992742E-2</v>
      </c>
    </row>
    <row r="1125" spans="2:7" x14ac:dyDescent="0.25">
      <c r="B1125" s="98"/>
      <c r="F1125">
        <v>1121</v>
      </c>
      <c r="G1125" s="109">
        <f t="shared" ca="1" si="26"/>
        <v>0.11156527731567011</v>
      </c>
    </row>
    <row r="1126" spans="2:7" x14ac:dyDescent="0.25">
      <c r="B1126" s="98"/>
      <c r="F1126">
        <v>1122</v>
      </c>
      <c r="G1126" s="109">
        <f t="shared" ca="1" si="26"/>
        <v>8.2236072827586854E-3</v>
      </c>
    </row>
    <row r="1127" spans="2:7" x14ac:dyDescent="0.25">
      <c r="B1127" s="98"/>
      <c r="F1127">
        <v>1123</v>
      </c>
      <c r="G1127" s="109">
        <f t="shared" ca="1" si="26"/>
        <v>0.14206105267730262</v>
      </c>
    </row>
    <row r="1128" spans="2:7" x14ac:dyDescent="0.25">
      <c r="B1128" s="98"/>
      <c r="F1128">
        <v>1124</v>
      </c>
      <c r="G1128" s="109">
        <f t="shared" ca="1" si="26"/>
        <v>0.1327775215739852</v>
      </c>
    </row>
    <row r="1129" spans="2:7" x14ac:dyDescent="0.25">
      <c r="B1129" s="98"/>
      <c r="F1129">
        <v>1125</v>
      </c>
      <c r="G1129" s="109">
        <f t="shared" ca="1" si="26"/>
        <v>-9.8383495328297627E-3</v>
      </c>
    </row>
    <row r="1130" spans="2:7" x14ac:dyDescent="0.25">
      <c r="B1130" s="98"/>
      <c r="F1130">
        <v>1126</v>
      </c>
      <c r="G1130" s="109">
        <f t="shared" ca="1" si="26"/>
        <v>6.8094103319738669E-2</v>
      </c>
    </row>
    <row r="1131" spans="2:7" x14ac:dyDescent="0.25">
      <c r="B1131" s="98"/>
      <c r="F1131">
        <v>1127</v>
      </c>
      <c r="G1131" s="109">
        <f t="shared" ca="1" si="26"/>
        <v>0.12906081355430521</v>
      </c>
    </row>
    <row r="1132" spans="2:7" x14ac:dyDescent="0.25">
      <c r="B1132" s="98"/>
      <c r="F1132">
        <v>1128</v>
      </c>
      <c r="G1132" s="109">
        <f t="shared" ca="1" si="26"/>
        <v>-4.7035536713300199E-2</v>
      </c>
    </row>
    <row r="1133" spans="2:7" x14ac:dyDescent="0.25">
      <c r="B1133" s="98"/>
      <c r="F1133">
        <v>1129</v>
      </c>
      <c r="G1133" s="109">
        <f t="shared" ca="1" si="26"/>
        <v>-4.1693165041596023E-2</v>
      </c>
    </row>
    <row r="1134" spans="2:7" x14ac:dyDescent="0.25">
      <c r="B1134" s="98"/>
      <c r="F1134">
        <v>1130</v>
      </c>
      <c r="G1134" s="109">
        <f t="shared" ca="1" si="26"/>
        <v>-9.6547275062898716E-2</v>
      </c>
    </row>
    <row r="1135" spans="2:7" x14ac:dyDescent="0.25">
      <c r="B1135" s="98"/>
      <c r="F1135">
        <v>1131</v>
      </c>
      <c r="G1135" s="109">
        <f t="shared" ca="1" si="26"/>
        <v>0.30882001300194267</v>
      </c>
    </row>
    <row r="1136" spans="2:7" x14ac:dyDescent="0.25">
      <c r="B1136" s="98"/>
      <c r="F1136">
        <v>1132</v>
      </c>
      <c r="G1136" s="109">
        <f t="shared" ca="1" si="26"/>
        <v>2.9145469381328129E-2</v>
      </c>
    </row>
    <row r="1137" spans="2:7" x14ac:dyDescent="0.25">
      <c r="B1137" s="98"/>
      <c r="F1137">
        <v>1133</v>
      </c>
      <c r="G1137" s="109">
        <f t="shared" ca="1" si="26"/>
        <v>-8.9862083503442367E-2</v>
      </c>
    </row>
    <row r="1138" spans="2:7" x14ac:dyDescent="0.25">
      <c r="B1138" s="98"/>
      <c r="F1138">
        <v>1134</v>
      </c>
      <c r="G1138" s="109">
        <f t="shared" ca="1" si="26"/>
        <v>0.18141685507410132</v>
      </c>
    </row>
    <row r="1139" spans="2:7" x14ac:dyDescent="0.25">
      <c r="B1139" s="98"/>
      <c r="F1139">
        <v>1135</v>
      </c>
      <c r="G1139" s="109">
        <f t="shared" ca="1" si="26"/>
        <v>0.14886735559442341</v>
      </c>
    </row>
    <row r="1140" spans="2:7" x14ac:dyDescent="0.25">
      <c r="B1140" s="98"/>
      <c r="F1140">
        <v>1136</v>
      </c>
      <c r="G1140" s="109">
        <f t="shared" ca="1" si="26"/>
        <v>9.9054527784120577E-2</v>
      </c>
    </row>
    <row r="1141" spans="2:7" x14ac:dyDescent="0.25">
      <c r="B1141" s="98"/>
      <c r="F1141">
        <v>1137</v>
      </c>
      <c r="G1141" s="109">
        <f t="shared" ca="1" si="26"/>
        <v>-6.4216908566195677E-3</v>
      </c>
    </row>
    <row r="1142" spans="2:7" x14ac:dyDescent="0.25">
      <c r="B1142" s="98"/>
      <c r="F1142">
        <v>1138</v>
      </c>
      <c r="G1142" s="109">
        <f t="shared" ca="1" si="26"/>
        <v>-6.1518386917279802E-2</v>
      </c>
    </row>
    <row r="1143" spans="2:7" x14ac:dyDescent="0.25">
      <c r="B1143" s="98"/>
      <c r="F1143">
        <v>1139</v>
      </c>
      <c r="G1143" s="109">
        <f t="shared" ca="1" si="26"/>
        <v>0.11692632621007415</v>
      </c>
    </row>
    <row r="1144" spans="2:7" x14ac:dyDescent="0.25">
      <c r="B1144" s="98"/>
      <c r="F1144">
        <v>1140</v>
      </c>
      <c r="G1144" s="109">
        <f t="shared" ca="1" si="26"/>
        <v>-6.6169450703271501E-2</v>
      </c>
    </row>
    <row r="1145" spans="2:7" x14ac:dyDescent="0.25">
      <c r="B1145" s="98"/>
      <c r="F1145">
        <v>1141</v>
      </c>
      <c r="G1145" s="109">
        <f t="shared" ca="1" si="26"/>
        <v>-0.16882746281548017</v>
      </c>
    </row>
    <row r="1146" spans="2:7" x14ac:dyDescent="0.25">
      <c r="B1146" s="98"/>
      <c r="F1146">
        <v>1142</v>
      </c>
      <c r="G1146" s="109">
        <f t="shared" ca="1" si="26"/>
        <v>5.9173729243630957E-2</v>
      </c>
    </row>
    <row r="1147" spans="2:7" x14ac:dyDescent="0.25">
      <c r="B1147" s="98"/>
      <c r="F1147">
        <v>1143</v>
      </c>
      <c r="G1147" s="109">
        <f t="shared" ca="1" si="26"/>
        <v>0.14359089299222205</v>
      </c>
    </row>
    <row r="1148" spans="2:7" x14ac:dyDescent="0.25">
      <c r="B1148" s="98"/>
      <c r="F1148">
        <v>1144</v>
      </c>
      <c r="G1148" s="109">
        <f t="shared" ca="1" si="26"/>
        <v>0.15296559722768388</v>
      </c>
    </row>
    <row r="1149" spans="2:7" x14ac:dyDescent="0.25">
      <c r="B1149" s="98"/>
      <c r="F1149">
        <v>1145</v>
      </c>
      <c r="G1149" s="109">
        <f t="shared" ca="1" si="26"/>
        <v>9.0542927176273325E-2</v>
      </c>
    </row>
    <row r="1150" spans="2:7" x14ac:dyDescent="0.25">
      <c r="B1150" s="98"/>
      <c r="F1150">
        <v>1146</v>
      </c>
      <c r="G1150" s="109">
        <f t="shared" ca="1" si="26"/>
        <v>0.19394144238660599</v>
      </c>
    </row>
    <row r="1151" spans="2:7" x14ac:dyDescent="0.25">
      <c r="B1151" s="98"/>
      <c r="F1151">
        <v>1147</v>
      </c>
      <c r="G1151" s="109">
        <f t="shared" ca="1" si="26"/>
        <v>0.14860210960308473</v>
      </c>
    </row>
    <row r="1152" spans="2:7" x14ac:dyDescent="0.25">
      <c r="B1152" s="98"/>
      <c r="F1152">
        <v>1148</v>
      </c>
      <c r="G1152" s="109">
        <f t="shared" ca="1" si="26"/>
        <v>-6.0040316215414696E-2</v>
      </c>
    </row>
    <row r="1153" spans="2:7" x14ac:dyDescent="0.25">
      <c r="B1153" s="98"/>
      <c r="F1153">
        <v>1149</v>
      </c>
      <c r="G1153" s="109">
        <f t="shared" ca="1" si="26"/>
        <v>-2.9247709369620831E-2</v>
      </c>
    </row>
    <row r="1154" spans="2:7" x14ac:dyDescent="0.25">
      <c r="B1154" s="98"/>
      <c r="F1154">
        <v>1150</v>
      </c>
      <c r="G1154" s="109">
        <f t="shared" ca="1" si="26"/>
        <v>1.0327915774415282E-2</v>
      </c>
    </row>
    <row r="1155" spans="2:7" x14ac:dyDescent="0.25">
      <c r="B1155" s="98"/>
      <c r="F1155">
        <v>1151</v>
      </c>
      <c r="G1155" s="109">
        <f t="shared" ca="1" si="26"/>
        <v>0.10947218871546613</v>
      </c>
    </row>
    <row r="1156" spans="2:7" x14ac:dyDescent="0.25">
      <c r="B1156" s="98"/>
      <c r="F1156">
        <v>1152</v>
      </c>
      <c r="G1156" s="109">
        <f t="shared" ca="1" si="26"/>
        <v>-7.4977749085217302E-2</v>
      </c>
    </row>
    <row r="1157" spans="2:7" x14ac:dyDescent="0.25">
      <c r="B1157" s="98"/>
      <c r="F1157">
        <v>1153</v>
      </c>
      <c r="G1157" s="109">
        <f t="shared" ca="1" si="26"/>
        <v>-5.8358432253073494E-2</v>
      </c>
    </row>
    <row r="1158" spans="2:7" x14ac:dyDescent="0.25">
      <c r="B1158" s="98"/>
      <c r="F1158">
        <v>1154</v>
      </c>
      <c r="G1158" s="109">
        <f t="shared" ref="G1158:G1221" ca="1" si="27">_xlfn.NORM.INV(RAND(),$M$5,$M$6)</f>
        <v>-3.3005645054715205E-2</v>
      </c>
    </row>
    <row r="1159" spans="2:7" x14ac:dyDescent="0.25">
      <c r="B1159" s="98"/>
      <c r="F1159">
        <v>1155</v>
      </c>
      <c r="G1159" s="109">
        <f t="shared" ca="1" si="27"/>
        <v>5.4043309457326077E-2</v>
      </c>
    </row>
    <row r="1160" spans="2:7" x14ac:dyDescent="0.25">
      <c r="B1160" s="98"/>
      <c r="F1160">
        <v>1156</v>
      </c>
      <c r="G1160" s="109">
        <f t="shared" ca="1" si="27"/>
        <v>-6.534388944819812E-2</v>
      </c>
    </row>
    <row r="1161" spans="2:7" x14ac:dyDescent="0.25">
      <c r="B1161" s="98"/>
      <c r="F1161">
        <v>1157</v>
      </c>
      <c r="G1161" s="109">
        <f t="shared" ca="1" si="27"/>
        <v>-2.6951394148906571E-2</v>
      </c>
    </row>
    <row r="1162" spans="2:7" x14ac:dyDescent="0.25">
      <c r="B1162" s="98"/>
      <c r="F1162">
        <v>1158</v>
      </c>
      <c r="G1162" s="109">
        <f t="shared" ca="1" si="27"/>
        <v>1.886021178657438E-2</v>
      </c>
    </row>
    <row r="1163" spans="2:7" x14ac:dyDescent="0.25">
      <c r="B1163" s="98"/>
      <c r="F1163">
        <v>1159</v>
      </c>
      <c r="G1163" s="109">
        <f t="shared" ca="1" si="27"/>
        <v>-7.1189351085927416E-2</v>
      </c>
    </row>
    <row r="1164" spans="2:7" x14ac:dyDescent="0.25">
      <c r="B1164" s="98"/>
      <c r="F1164">
        <v>1160</v>
      </c>
      <c r="G1164" s="109">
        <f t="shared" ca="1" si="27"/>
        <v>-3.6947727684029458E-2</v>
      </c>
    </row>
    <row r="1165" spans="2:7" x14ac:dyDescent="0.25">
      <c r="B1165" s="98"/>
      <c r="F1165">
        <v>1161</v>
      </c>
      <c r="G1165" s="109">
        <f t="shared" ca="1" si="27"/>
        <v>0.12877879559476671</v>
      </c>
    </row>
    <row r="1166" spans="2:7" x14ac:dyDescent="0.25">
      <c r="B1166" s="98"/>
      <c r="F1166">
        <v>1162</v>
      </c>
      <c r="G1166" s="109">
        <f t="shared" ca="1" si="27"/>
        <v>7.2028006049797796E-2</v>
      </c>
    </row>
    <row r="1167" spans="2:7" x14ac:dyDescent="0.25">
      <c r="B1167" s="98"/>
      <c r="F1167">
        <v>1163</v>
      </c>
      <c r="G1167" s="109">
        <f t="shared" ca="1" si="27"/>
        <v>0.25733198179324668</v>
      </c>
    </row>
    <row r="1168" spans="2:7" x14ac:dyDescent="0.25">
      <c r="B1168" s="98"/>
      <c r="F1168">
        <v>1164</v>
      </c>
      <c r="G1168" s="109">
        <f t="shared" ca="1" si="27"/>
        <v>-4.1151715975955572E-2</v>
      </c>
    </row>
    <row r="1169" spans="2:7" x14ac:dyDescent="0.25">
      <c r="B1169" s="98"/>
      <c r="F1169">
        <v>1165</v>
      </c>
      <c r="G1169" s="109">
        <f t="shared" ca="1" si="27"/>
        <v>4.254875263481895E-2</v>
      </c>
    </row>
    <row r="1170" spans="2:7" x14ac:dyDescent="0.25">
      <c r="B1170" s="98"/>
      <c r="F1170">
        <v>1166</v>
      </c>
      <c r="G1170" s="109">
        <f t="shared" ca="1" si="27"/>
        <v>4.7889739611649482E-2</v>
      </c>
    </row>
    <row r="1171" spans="2:7" x14ac:dyDescent="0.25">
      <c r="B1171" s="98"/>
      <c r="F1171">
        <v>1167</v>
      </c>
      <c r="G1171" s="109">
        <f t="shared" ca="1" si="27"/>
        <v>0.21097749791416204</v>
      </c>
    </row>
    <row r="1172" spans="2:7" x14ac:dyDescent="0.25">
      <c r="B1172" s="98"/>
      <c r="F1172">
        <v>1168</v>
      </c>
      <c r="G1172" s="109">
        <f t="shared" ca="1" si="27"/>
        <v>2.3696687503051712E-2</v>
      </c>
    </row>
    <row r="1173" spans="2:7" x14ac:dyDescent="0.25">
      <c r="B1173" s="98"/>
      <c r="F1173">
        <v>1169</v>
      </c>
      <c r="G1173" s="109">
        <f t="shared" ca="1" si="27"/>
        <v>0.10096836899677422</v>
      </c>
    </row>
    <row r="1174" spans="2:7" x14ac:dyDescent="0.25">
      <c r="B1174" s="98"/>
      <c r="F1174">
        <v>1170</v>
      </c>
      <c r="G1174" s="109">
        <f t="shared" ca="1" si="27"/>
        <v>5.8133992616759313E-2</v>
      </c>
    </row>
    <row r="1175" spans="2:7" x14ac:dyDescent="0.25">
      <c r="B1175" s="98"/>
      <c r="F1175">
        <v>1171</v>
      </c>
      <c r="G1175" s="109">
        <f t="shared" ca="1" si="27"/>
        <v>-2.881032976041871E-2</v>
      </c>
    </row>
    <row r="1176" spans="2:7" x14ac:dyDescent="0.25">
      <c r="B1176" s="98"/>
      <c r="F1176">
        <v>1172</v>
      </c>
      <c r="G1176" s="109">
        <f t="shared" ca="1" si="27"/>
        <v>-5.3504289699979432E-2</v>
      </c>
    </row>
    <row r="1177" spans="2:7" x14ac:dyDescent="0.25">
      <c r="B1177" s="98"/>
      <c r="F1177">
        <v>1173</v>
      </c>
      <c r="G1177" s="109">
        <f t="shared" ca="1" si="27"/>
        <v>0.19768462001119941</v>
      </c>
    </row>
    <row r="1178" spans="2:7" x14ac:dyDescent="0.25">
      <c r="B1178" s="98"/>
      <c r="F1178">
        <v>1174</v>
      </c>
      <c r="G1178" s="109">
        <f t="shared" ca="1" si="27"/>
        <v>-1.2381484164913512E-2</v>
      </c>
    </row>
    <row r="1179" spans="2:7" x14ac:dyDescent="0.25">
      <c r="B1179" s="98"/>
      <c r="F1179">
        <v>1175</v>
      </c>
      <c r="G1179" s="109">
        <f t="shared" ca="1" si="27"/>
        <v>0.18281622987013502</v>
      </c>
    </row>
    <row r="1180" spans="2:7" x14ac:dyDescent="0.25">
      <c r="B1180" s="98"/>
      <c r="F1180">
        <v>1176</v>
      </c>
      <c r="G1180" s="109">
        <f t="shared" ca="1" si="27"/>
        <v>1.3862120088035661E-2</v>
      </c>
    </row>
    <row r="1181" spans="2:7" x14ac:dyDescent="0.25">
      <c r="B1181" s="98"/>
      <c r="F1181">
        <v>1177</v>
      </c>
      <c r="G1181" s="109">
        <f t="shared" ca="1" si="27"/>
        <v>4.9966097404637699E-2</v>
      </c>
    </row>
    <row r="1182" spans="2:7" x14ac:dyDescent="0.25">
      <c r="B1182" s="98"/>
      <c r="F1182">
        <v>1178</v>
      </c>
      <c r="G1182" s="109">
        <f t="shared" ca="1" si="27"/>
        <v>4.4488203421227508E-2</v>
      </c>
    </row>
    <row r="1183" spans="2:7" x14ac:dyDescent="0.25">
      <c r="B1183" s="98"/>
      <c r="F1183">
        <v>1179</v>
      </c>
      <c r="G1183" s="109">
        <f t="shared" ca="1" si="27"/>
        <v>4.6551493160763797E-2</v>
      </c>
    </row>
    <row r="1184" spans="2:7" x14ac:dyDescent="0.25">
      <c r="B1184" s="98"/>
      <c r="F1184">
        <v>1180</v>
      </c>
      <c r="G1184" s="109">
        <f t="shared" ca="1" si="27"/>
        <v>9.8152604001149113E-2</v>
      </c>
    </row>
    <row r="1185" spans="2:7" x14ac:dyDescent="0.25">
      <c r="B1185" s="98"/>
      <c r="F1185">
        <v>1181</v>
      </c>
      <c r="G1185" s="109">
        <f t="shared" ca="1" si="27"/>
        <v>-3.2419490325817618E-2</v>
      </c>
    </row>
    <row r="1186" spans="2:7" x14ac:dyDescent="0.25">
      <c r="B1186" s="98"/>
      <c r="F1186">
        <v>1182</v>
      </c>
      <c r="G1186" s="109">
        <f t="shared" ca="1" si="27"/>
        <v>-0.11264996096187442</v>
      </c>
    </row>
    <row r="1187" spans="2:7" x14ac:dyDescent="0.25">
      <c r="B1187" s="98"/>
      <c r="F1187">
        <v>1183</v>
      </c>
      <c r="G1187" s="109">
        <f t="shared" ca="1" si="27"/>
        <v>-6.0236385011673416E-3</v>
      </c>
    </row>
    <row r="1188" spans="2:7" x14ac:dyDescent="0.25">
      <c r="B1188" s="98"/>
      <c r="F1188">
        <v>1184</v>
      </c>
      <c r="G1188" s="109">
        <f t="shared" ca="1" si="27"/>
        <v>0.17885301019240007</v>
      </c>
    </row>
    <row r="1189" spans="2:7" x14ac:dyDescent="0.25">
      <c r="B1189" s="98"/>
      <c r="F1189">
        <v>1185</v>
      </c>
      <c r="G1189" s="109">
        <f t="shared" ca="1" si="27"/>
        <v>-1.9373403446360821E-2</v>
      </c>
    </row>
    <row r="1190" spans="2:7" x14ac:dyDescent="0.25">
      <c r="B1190" s="98"/>
      <c r="F1190">
        <v>1186</v>
      </c>
      <c r="G1190" s="109">
        <f t="shared" ca="1" si="27"/>
        <v>0.13993385091613636</v>
      </c>
    </row>
    <row r="1191" spans="2:7" x14ac:dyDescent="0.25">
      <c r="B1191" s="98"/>
      <c r="F1191">
        <v>1187</v>
      </c>
      <c r="G1191" s="109">
        <f t="shared" ca="1" si="27"/>
        <v>-0.14029391925286094</v>
      </c>
    </row>
    <row r="1192" spans="2:7" x14ac:dyDescent="0.25">
      <c r="B1192" s="98"/>
      <c r="F1192">
        <v>1188</v>
      </c>
      <c r="G1192" s="109">
        <f t="shared" ca="1" si="27"/>
        <v>5.2835538246123373E-2</v>
      </c>
    </row>
    <row r="1193" spans="2:7" x14ac:dyDescent="0.25">
      <c r="B1193" s="98"/>
      <c r="F1193">
        <v>1189</v>
      </c>
      <c r="G1193" s="109">
        <f t="shared" ca="1" si="27"/>
        <v>0.18819891601023847</v>
      </c>
    </row>
    <row r="1194" spans="2:7" x14ac:dyDescent="0.25">
      <c r="B1194" s="98"/>
      <c r="F1194">
        <v>1190</v>
      </c>
      <c r="G1194" s="109">
        <f t="shared" ca="1" si="27"/>
        <v>5.8130746267774459E-2</v>
      </c>
    </row>
    <row r="1195" spans="2:7" x14ac:dyDescent="0.25">
      <c r="B1195" s="98"/>
      <c r="F1195">
        <v>1191</v>
      </c>
      <c r="G1195" s="109">
        <f t="shared" ca="1" si="27"/>
        <v>-6.271707236825913E-2</v>
      </c>
    </row>
    <row r="1196" spans="2:7" x14ac:dyDescent="0.25">
      <c r="B1196" s="98"/>
      <c r="F1196">
        <v>1192</v>
      </c>
      <c r="G1196" s="109">
        <f t="shared" ca="1" si="27"/>
        <v>5.2502411864148515E-2</v>
      </c>
    </row>
    <row r="1197" spans="2:7" x14ac:dyDescent="0.25">
      <c r="B1197" s="98"/>
      <c r="F1197">
        <v>1193</v>
      </c>
      <c r="G1197" s="109">
        <f t="shared" ca="1" si="27"/>
        <v>0.11823959875294877</v>
      </c>
    </row>
    <row r="1198" spans="2:7" x14ac:dyDescent="0.25">
      <c r="B1198" s="98"/>
      <c r="F1198">
        <v>1194</v>
      </c>
      <c r="G1198" s="109">
        <f t="shared" ca="1" si="27"/>
        <v>3.7799621091670531E-2</v>
      </c>
    </row>
    <row r="1199" spans="2:7" x14ac:dyDescent="0.25">
      <c r="B1199" s="98"/>
      <c r="F1199">
        <v>1195</v>
      </c>
      <c r="G1199" s="109">
        <f t="shared" ca="1" si="27"/>
        <v>0.1448677295309162</v>
      </c>
    </row>
    <row r="1200" spans="2:7" x14ac:dyDescent="0.25">
      <c r="B1200" s="98"/>
      <c r="F1200">
        <v>1196</v>
      </c>
      <c r="G1200" s="109">
        <f t="shared" ca="1" si="27"/>
        <v>9.7233928646468931E-2</v>
      </c>
    </row>
    <row r="1201" spans="2:7" x14ac:dyDescent="0.25">
      <c r="B1201" s="98"/>
      <c r="F1201">
        <v>1197</v>
      </c>
      <c r="G1201" s="109">
        <f t="shared" ca="1" si="27"/>
        <v>-8.2733483239440145E-2</v>
      </c>
    </row>
    <row r="1202" spans="2:7" x14ac:dyDescent="0.25">
      <c r="B1202" s="98"/>
      <c r="F1202">
        <v>1198</v>
      </c>
      <c r="G1202" s="109">
        <f t="shared" ca="1" si="27"/>
        <v>0.36494050486671953</v>
      </c>
    </row>
    <row r="1203" spans="2:7" x14ac:dyDescent="0.25">
      <c r="B1203" s="98"/>
      <c r="F1203">
        <v>1199</v>
      </c>
      <c r="G1203" s="109">
        <f t="shared" ca="1" si="27"/>
        <v>-6.2823935229131891E-2</v>
      </c>
    </row>
    <row r="1204" spans="2:7" x14ac:dyDescent="0.25">
      <c r="B1204" s="98"/>
      <c r="F1204">
        <v>1200</v>
      </c>
      <c r="G1204" s="109">
        <f t="shared" ca="1" si="27"/>
        <v>7.5997552136995494E-2</v>
      </c>
    </row>
    <row r="1205" spans="2:7" x14ac:dyDescent="0.25">
      <c r="B1205" s="98"/>
      <c r="F1205">
        <v>1201</v>
      </c>
      <c r="G1205" s="109">
        <f t="shared" ca="1" si="27"/>
        <v>-3.9828094349033172E-2</v>
      </c>
    </row>
    <row r="1206" spans="2:7" x14ac:dyDescent="0.25">
      <c r="B1206" s="98"/>
      <c r="F1206">
        <v>1202</v>
      </c>
      <c r="G1206" s="109">
        <f t="shared" ca="1" si="27"/>
        <v>-0.10017388086269814</v>
      </c>
    </row>
    <row r="1207" spans="2:7" x14ac:dyDescent="0.25">
      <c r="B1207" s="98"/>
      <c r="F1207">
        <v>1203</v>
      </c>
      <c r="G1207" s="109">
        <f t="shared" ca="1" si="27"/>
        <v>0.17032777417425812</v>
      </c>
    </row>
    <row r="1208" spans="2:7" x14ac:dyDescent="0.25">
      <c r="B1208" s="98"/>
      <c r="F1208">
        <v>1204</v>
      </c>
      <c r="G1208" s="109">
        <f t="shared" ca="1" si="27"/>
        <v>-6.9930799520849449E-2</v>
      </c>
    </row>
    <row r="1209" spans="2:7" x14ac:dyDescent="0.25">
      <c r="B1209" s="98"/>
      <c r="F1209">
        <v>1205</v>
      </c>
      <c r="G1209" s="109">
        <f t="shared" ca="1" si="27"/>
        <v>-4.9143251721763148E-2</v>
      </c>
    </row>
    <row r="1210" spans="2:7" x14ac:dyDescent="0.25">
      <c r="B1210" s="98"/>
      <c r="F1210">
        <v>1206</v>
      </c>
      <c r="G1210" s="109">
        <f t="shared" ca="1" si="27"/>
        <v>-0.16058429123886431</v>
      </c>
    </row>
    <row r="1211" spans="2:7" x14ac:dyDescent="0.25">
      <c r="B1211" s="98"/>
      <c r="F1211">
        <v>1207</v>
      </c>
      <c r="G1211" s="109">
        <f t="shared" ca="1" si="27"/>
        <v>9.5906905535003278E-2</v>
      </c>
    </row>
    <row r="1212" spans="2:7" x14ac:dyDescent="0.25">
      <c r="B1212" s="98"/>
      <c r="F1212">
        <v>1208</v>
      </c>
      <c r="G1212" s="109">
        <f t="shared" ca="1" si="27"/>
        <v>0.13755809658725465</v>
      </c>
    </row>
    <row r="1213" spans="2:7" x14ac:dyDescent="0.25">
      <c r="B1213" s="98"/>
      <c r="F1213">
        <v>1209</v>
      </c>
      <c r="G1213" s="109">
        <f t="shared" ca="1" si="27"/>
        <v>4.7767514525734696E-2</v>
      </c>
    </row>
    <row r="1214" spans="2:7" x14ac:dyDescent="0.25">
      <c r="B1214" s="98"/>
      <c r="F1214">
        <v>1210</v>
      </c>
      <c r="G1214" s="109">
        <f t="shared" ca="1" si="27"/>
        <v>1.0250155932961386E-2</v>
      </c>
    </row>
    <row r="1215" spans="2:7" x14ac:dyDescent="0.25">
      <c r="B1215" s="98"/>
      <c r="F1215">
        <v>1211</v>
      </c>
      <c r="G1215" s="109">
        <f t="shared" ca="1" si="27"/>
        <v>-0.21667265245064088</v>
      </c>
    </row>
    <row r="1216" spans="2:7" x14ac:dyDescent="0.25">
      <c r="B1216" s="98"/>
      <c r="F1216">
        <v>1212</v>
      </c>
      <c r="G1216" s="109">
        <f t="shared" ca="1" si="27"/>
        <v>0.14894166274879675</v>
      </c>
    </row>
    <row r="1217" spans="2:7" x14ac:dyDescent="0.25">
      <c r="B1217" s="98"/>
      <c r="F1217">
        <v>1213</v>
      </c>
      <c r="G1217" s="109">
        <f t="shared" ca="1" si="27"/>
        <v>-1.2285385197642607E-4</v>
      </c>
    </row>
    <row r="1218" spans="2:7" x14ac:dyDescent="0.25">
      <c r="B1218" s="98"/>
      <c r="F1218">
        <v>1214</v>
      </c>
      <c r="G1218" s="109">
        <f t="shared" ca="1" si="27"/>
        <v>0.24658342297998154</v>
      </c>
    </row>
    <row r="1219" spans="2:7" x14ac:dyDescent="0.25">
      <c r="B1219" s="98"/>
      <c r="F1219">
        <v>1215</v>
      </c>
      <c r="G1219" s="109">
        <f t="shared" ca="1" si="27"/>
        <v>-9.7672155530134225E-3</v>
      </c>
    </row>
    <row r="1220" spans="2:7" x14ac:dyDescent="0.25">
      <c r="B1220" s="98"/>
      <c r="F1220">
        <v>1216</v>
      </c>
      <c r="G1220" s="109">
        <f t="shared" ca="1" si="27"/>
        <v>-0.14025545110801135</v>
      </c>
    </row>
    <row r="1221" spans="2:7" x14ac:dyDescent="0.25">
      <c r="B1221" s="98"/>
      <c r="F1221">
        <v>1217</v>
      </c>
      <c r="G1221" s="109">
        <f t="shared" ca="1" si="27"/>
        <v>-0.11369484270898726</v>
      </c>
    </row>
    <row r="1222" spans="2:7" x14ac:dyDescent="0.25">
      <c r="B1222" s="98"/>
      <c r="F1222">
        <v>1218</v>
      </c>
      <c r="G1222" s="109">
        <f t="shared" ref="G1222:G1285" ca="1" si="28">_xlfn.NORM.INV(RAND(),$M$5,$M$6)</f>
        <v>1.7325049989479858E-2</v>
      </c>
    </row>
    <row r="1223" spans="2:7" x14ac:dyDescent="0.25">
      <c r="B1223" s="98"/>
      <c r="F1223">
        <v>1219</v>
      </c>
      <c r="G1223" s="109">
        <f t="shared" ca="1" si="28"/>
        <v>-6.5606098873431259E-2</v>
      </c>
    </row>
    <row r="1224" spans="2:7" x14ac:dyDescent="0.25">
      <c r="B1224" s="98"/>
      <c r="F1224">
        <v>1220</v>
      </c>
      <c r="G1224" s="109">
        <f t="shared" ca="1" si="28"/>
        <v>0.1817575176772751</v>
      </c>
    </row>
    <row r="1225" spans="2:7" x14ac:dyDescent="0.25">
      <c r="B1225" s="98"/>
      <c r="F1225">
        <v>1221</v>
      </c>
      <c r="G1225" s="109">
        <f t="shared" ca="1" si="28"/>
        <v>-0.12498791209591072</v>
      </c>
    </row>
    <row r="1226" spans="2:7" x14ac:dyDescent="0.25">
      <c r="B1226" s="98"/>
      <c r="F1226">
        <v>1222</v>
      </c>
      <c r="G1226" s="109">
        <f t="shared" ca="1" si="28"/>
        <v>0.16071319554260238</v>
      </c>
    </row>
    <row r="1227" spans="2:7" x14ac:dyDescent="0.25">
      <c r="B1227" s="98"/>
      <c r="F1227">
        <v>1223</v>
      </c>
      <c r="G1227" s="109">
        <f t="shared" ca="1" si="28"/>
        <v>4.4135570954923722E-2</v>
      </c>
    </row>
    <row r="1228" spans="2:7" x14ac:dyDescent="0.25">
      <c r="B1228" s="98"/>
      <c r="F1228">
        <v>1224</v>
      </c>
      <c r="G1228" s="109">
        <f t="shared" ca="1" si="28"/>
        <v>3.3780146125163349E-3</v>
      </c>
    </row>
    <row r="1229" spans="2:7" x14ac:dyDescent="0.25">
      <c r="B1229" s="98"/>
      <c r="F1229">
        <v>1225</v>
      </c>
      <c r="G1229" s="109">
        <f t="shared" ca="1" si="28"/>
        <v>0.13579284727841845</v>
      </c>
    </row>
    <row r="1230" spans="2:7" x14ac:dyDescent="0.25">
      <c r="B1230" s="98"/>
      <c r="F1230">
        <v>1226</v>
      </c>
      <c r="G1230" s="109">
        <f t="shared" ca="1" si="28"/>
        <v>-0.10078010169362604</v>
      </c>
    </row>
    <row r="1231" spans="2:7" x14ac:dyDescent="0.25">
      <c r="B1231" s="98"/>
      <c r="F1231">
        <v>1227</v>
      </c>
      <c r="G1231" s="109">
        <f t="shared" ca="1" si="28"/>
        <v>0.22163756529914375</v>
      </c>
    </row>
    <row r="1232" spans="2:7" x14ac:dyDescent="0.25">
      <c r="B1232" s="98"/>
      <c r="F1232">
        <v>1228</v>
      </c>
      <c r="G1232" s="109">
        <f t="shared" ca="1" si="28"/>
        <v>9.4627079103716635E-2</v>
      </c>
    </row>
    <row r="1233" spans="2:7" x14ac:dyDescent="0.25">
      <c r="B1233" s="98"/>
      <c r="F1233">
        <v>1229</v>
      </c>
      <c r="G1233" s="109">
        <f t="shared" ca="1" si="28"/>
        <v>3.413285777202088E-2</v>
      </c>
    </row>
    <row r="1234" spans="2:7" x14ac:dyDescent="0.25">
      <c r="B1234" s="98"/>
      <c r="F1234">
        <v>1230</v>
      </c>
      <c r="G1234" s="109">
        <f t="shared" ca="1" si="28"/>
        <v>4.0927828933923563E-3</v>
      </c>
    </row>
    <row r="1235" spans="2:7" x14ac:dyDescent="0.25">
      <c r="B1235" s="98"/>
      <c r="F1235">
        <v>1231</v>
      </c>
      <c r="G1235" s="109">
        <f t="shared" ca="1" si="28"/>
        <v>0.11505425283238307</v>
      </c>
    </row>
    <row r="1236" spans="2:7" x14ac:dyDescent="0.25">
      <c r="B1236" s="98"/>
      <c r="F1236">
        <v>1232</v>
      </c>
      <c r="G1236" s="109">
        <f t="shared" ca="1" si="28"/>
        <v>1.3096889273992135E-2</v>
      </c>
    </row>
    <row r="1237" spans="2:7" x14ac:dyDescent="0.25">
      <c r="B1237" s="98"/>
      <c r="F1237">
        <v>1233</v>
      </c>
      <c r="G1237" s="109">
        <f t="shared" ca="1" si="28"/>
        <v>0.15321517583693645</v>
      </c>
    </row>
    <row r="1238" spans="2:7" x14ac:dyDescent="0.25">
      <c r="B1238" s="98"/>
      <c r="F1238">
        <v>1234</v>
      </c>
      <c r="G1238" s="109">
        <f t="shared" ca="1" si="28"/>
        <v>2.8251379722744181E-2</v>
      </c>
    </row>
    <row r="1239" spans="2:7" x14ac:dyDescent="0.25">
      <c r="B1239" s="98"/>
      <c r="F1239">
        <v>1235</v>
      </c>
      <c r="G1239" s="109">
        <f t="shared" ca="1" si="28"/>
        <v>-0.10549187174110604</v>
      </c>
    </row>
    <row r="1240" spans="2:7" x14ac:dyDescent="0.25">
      <c r="B1240" s="98"/>
      <c r="F1240">
        <v>1236</v>
      </c>
      <c r="G1240" s="109">
        <f t="shared" ca="1" si="28"/>
        <v>0.15714366668459717</v>
      </c>
    </row>
    <row r="1241" spans="2:7" x14ac:dyDescent="0.25">
      <c r="B1241" s="98"/>
      <c r="F1241">
        <v>1237</v>
      </c>
      <c r="G1241" s="109">
        <f t="shared" ca="1" si="28"/>
        <v>4.7826968814825885E-2</v>
      </c>
    </row>
    <row r="1242" spans="2:7" x14ac:dyDescent="0.25">
      <c r="B1242" s="98"/>
      <c r="F1242">
        <v>1238</v>
      </c>
      <c r="G1242" s="109">
        <f t="shared" ca="1" si="28"/>
        <v>0.18391953232030361</v>
      </c>
    </row>
    <row r="1243" spans="2:7" x14ac:dyDescent="0.25">
      <c r="B1243" s="98"/>
      <c r="F1243">
        <v>1239</v>
      </c>
      <c r="G1243" s="109">
        <f t="shared" ca="1" si="28"/>
        <v>0.23796881341628756</v>
      </c>
    </row>
    <row r="1244" spans="2:7" x14ac:dyDescent="0.25">
      <c r="B1244" s="98"/>
      <c r="F1244">
        <v>1240</v>
      </c>
      <c r="G1244" s="109">
        <f t="shared" ca="1" si="28"/>
        <v>-0.15654773832616498</v>
      </c>
    </row>
    <row r="1245" spans="2:7" x14ac:dyDescent="0.25">
      <c r="B1245" s="98"/>
      <c r="F1245">
        <v>1241</v>
      </c>
      <c r="G1245" s="109">
        <f t="shared" ca="1" si="28"/>
        <v>0.13564445743780398</v>
      </c>
    </row>
    <row r="1246" spans="2:7" x14ac:dyDescent="0.25">
      <c r="B1246" s="98"/>
      <c r="F1246">
        <v>1242</v>
      </c>
      <c r="G1246" s="109">
        <f t="shared" ca="1" si="28"/>
        <v>3.4040154936260301E-2</v>
      </c>
    </row>
    <row r="1247" spans="2:7" x14ac:dyDescent="0.25">
      <c r="B1247" s="98"/>
      <c r="F1247">
        <v>1243</v>
      </c>
      <c r="G1247" s="109">
        <f t="shared" ca="1" si="28"/>
        <v>-2.465586271404098E-2</v>
      </c>
    </row>
    <row r="1248" spans="2:7" x14ac:dyDescent="0.25">
      <c r="B1248" s="98"/>
      <c r="F1248">
        <v>1244</v>
      </c>
      <c r="G1248" s="109">
        <f t="shared" ca="1" si="28"/>
        <v>0.25518516116910589</v>
      </c>
    </row>
    <row r="1249" spans="2:7" x14ac:dyDescent="0.25">
      <c r="B1249" s="98"/>
      <c r="F1249">
        <v>1245</v>
      </c>
      <c r="G1249" s="109">
        <f t="shared" ca="1" si="28"/>
        <v>-7.7750609994706038E-3</v>
      </c>
    </row>
    <row r="1250" spans="2:7" x14ac:dyDescent="0.25">
      <c r="B1250" s="98"/>
      <c r="F1250">
        <v>1246</v>
      </c>
      <c r="G1250" s="109">
        <f t="shared" ca="1" si="28"/>
        <v>3.1007028038070095E-2</v>
      </c>
    </row>
    <row r="1251" spans="2:7" x14ac:dyDescent="0.25">
      <c r="B1251" s="98"/>
      <c r="F1251">
        <v>1247</v>
      </c>
      <c r="G1251" s="109">
        <f t="shared" ca="1" si="28"/>
        <v>4.4186112925079374E-2</v>
      </c>
    </row>
    <row r="1252" spans="2:7" x14ac:dyDescent="0.25">
      <c r="B1252" s="98"/>
      <c r="F1252">
        <v>1248</v>
      </c>
      <c r="G1252" s="109">
        <f t="shared" ca="1" si="28"/>
        <v>1.3740224167739096E-2</v>
      </c>
    </row>
    <row r="1253" spans="2:7" x14ac:dyDescent="0.25">
      <c r="B1253" s="98"/>
      <c r="F1253">
        <v>1249</v>
      </c>
      <c r="G1253" s="109">
        <f t="shared" ca="1" si="28"/>
        <v>5.2181583275446385E-2</v>
      </c>
    </row>
    <row r="1254" spans="2:7" x14ac:dyDescent="0.25">
      <c r="B1254" s="98"/>
      <c r="F1254">
        <v>1250</v>
      </c>
      <c r="G1254" s="109">
        <f t="shared" ca="1" si="28"/>
        <v>0.127702568728499</v>
      </c>
    </row>
    <row r="1255" spans="2:7" x14ac:dyDescent="0.25">
      <c r="B1255" s="98"/>
      <c r="F1255">
        <v>1251</v>
      </c>
      <c r="G1255" s="109">
        <f t="shared" ca="1" si="28"/>
        <v>8.9491137920620009E-3</v>
      </c>
    </row>
    <row r="1256" spans="2:7" x14ac:dyDescent="0.25">
      <c r="B1256" s="98"/>
      <c r="F1256">
        <v>1252</v>
      </c>
      <c r="G1256" s="109">
        <f t="shared" ca="1" si="28"/>
        <v>0.10002130804571593</v>
      </c>
    </row>
    <row r="1257" spans="2:7" x14ac:dyDescent="0.25">
      <c r="B1257" s="98"/>
      <c r="F1257">
        <v>1253</v>
      </c>
      <c r="G1257" s="109">
        <f t="shared" ca="1" si="28"/>
        <v>-9.0256916859581329E-2</v>
      </c>
    </row>
    <row r="1258" spans="2:7" x14ac:dyDescent="0.25">
      <c r="B1258" s="98"/>
      <c r="F1258">
        <v>1254</v>
      </c>
      <c r="G1258" s="109">
        <f t="shared" ca="1" si="28"/>
        <v>-0.13154244415315863</v>
      </c>
    </row>
    <row r="1259" spans="2:7" x14ac:dyDescent="0.25">
      <c r="B1259" s="98"/>
      <c r="F1259">
        <v>1255</v>
      </c>
      <c r="G1259" s="109">
        <f t="shared" ca="1" si="28"/>
        <v>-1.9527886044576809E-2</v>
      </c>
    </row>
    <row r="1260" spans="2:7" x14ac:dyDescent="0.25">
      <c r="B1260" s="98"/>
      <c r="F1260">
        <v>1256</v>
      </c>
      <c r="G1260" s="109">
        <f t="shared" ca="1" si="28"/>
        <v>0.17066580210414112</v>
      </c>
    </row>
    <row r="1261" spans="2:7" x14ac:dyDescent="0.25">
      <c r="B1261" s="98"/>
      <c r="F1261">
        <v>1257</v>
      </c>
      <c r="G1261" s="109">
        <f t="shared" ca="1" si="28"/>
        <v>3.6823184557468636E-2</v>
      </c>
    </row>
    <row r="1262" spans="2:7" x14ac:dyDescent="0.25">
      <c r="B1262" s="98"/>
      <c r="F1262">
        <v>1258</v>
      </c>
      <c r="G1262" s="109">
        <f t="shared" ca="1" si="28"/>
        <v>-2.4247664765612298E-3</v>
      </c>
    </row>
    <row r="1263" spans="2:7" x14ac:dyDescent="0.25">
      <c r="B1263" s="98"/>
      <c r="F1263">
        <v>1259</v>
      </c>
      <c r="G1263" s="109">
        <f t="shared" ca="1" si="28"/>
        <v>-0.10399514535339476</v>
      </c>
    </row>
    <row r="1264" spans="2:7" x14ac:dyDescent="0.25">
      <c r="B1264" s="98"/>
      <c r="F1264">
        <v>1260</v>
      </c>
      <c r="G1264" s="109">
        <f t="shared" ca="1" si="28"/>
        <v>0.13232727494834745</v>
      </c>
    </row>
    <row r="1265" spans="2:7" x14ac:dyDescent="0.25">
      <c r="B1265" s="98"/>
      <c r="F1265">
        <v>1261</v>
      </c>
      <c r="G1265" s="109">
        <f t="shared" ca="1" si="28"/>
        <v>5.39029869681215E-2</v>
      </c>
    </row>
    <row r="1266" spans="2:7" x14ac:dyDescent="0.25">
      <c r="B1266" s="98"/>
      <c r="F1266">
        <v>1262</v>
      </c>
      <c r="G1266" s="109">
        <f t="shared" ca="1" si="28"/>
        <v>0.18276726427011025</v>
      </c>
    </row>
    <row r="1267" spans="2:7" x14ac:dyDescent="0.25">
      <c r="B1267" s="98"/>
      <c r="F1267">
        <v>1263</v>
      </c>
      <c r="G1267" s="109">
        <f t="shared" ca="1" si="28"/>
        <v>-0.101572672134377</v>
      </c>
    </row>
    <row r="1268" spans="2:7" x14ac:dyDescent="0.25">
      <c r="B1268" s="98"/>
      <c r="F1268">
        <v>1264</v>
      </c>
      <c r="G1268" s="109">
        <f t="shared" ca="1" si="28"/>
        <v>0.13046931897209962</v>
      </c>
    </row>
    <row r="1269" spans="2:7" x14ac:dyDescent="0.25">
      <c r="B1269" s="98"/>
      <c r="F1269">
        <v>1265</v>
      </c>
      <c r="G1269" s="109">
        <f t="shared" ca="1" si="28"/>
        <v>0.15390446855553636</v>
      </c>
    </row>
    <row r="1270" spans="2:7" x14ac:dyDescent="0.25">
      <c r="B1270" s="98"/>
      <c r="F1270">
        <v>1266</v>
      </c>
      <c r="G1270" s="109">
        <f t="shared" ca="1" si="28"/>
        <v>0.1471466500301522</v>
      </c>
    </row>
    <row r="1271" spans="2:7" x14ac:dyDescent="0.25">
      <c r="B1271" s="98"/>
      <c r="F1271">
        <v>1267</v>
      </c>
      <c r="G1271" s="109">
        <f t="shared" ca="1" si="28"/>
        <v>0.17866649773356885</v>
      </c>
    </row>
    <row r="1272" spans="2:7" x14ac:dyDescent="0.25">
      <c r="B1272" s="98"/>
      <c r="F1272">
        <v>1268</v>
      </c>
      <c r="G1272" s="109">
        <f t="shared" ca="1" si="28"/>
        <v>7.193648194924207E-2</v>
      </c>
    </row>
    <row r="1273" spans="2:7" x14ac:dyDescent="0.25">
      <c r="B1273" s="98"/>
      <c r="F1273">
        <v>1269</v>
      </c>
      <c r="G1273" s="109">
        <f t="shared" ca="1" si="28"/>
        <v>0.28106834127498681</v>
      </c>
    </row>
    <row r="1274" spans="2:7" x14ac:dyDescent="0.25">
      <c r="B1274" s="98"/>
      <c r="F1274">
        <v>1270</v>
      </c>
      <c r="G1274" s="109">
        <f t="shared" ca="1" si="28"/>
        <v>-0.13210395558124738</v>
      </c>
    </row>
    <row r="1275" spans="2:7" x14ac:dyDescent="0.25">
      <c r="B1275" s="98"/>
      <c r="F1275">
        <v>1271</v>
      </c>
      <c r="G1275" s="109">
        <f t="shared" ca="1" si="28"/>
        <v>-5.6750871585720883E-2</v>
      </c>
    </row>
    <row r="1276" spans="2:7" x14ac:dyDescent="0.25">
      <c r="B1276" s="98"/>
      <c r="F1276">
        <v>1272</v>
      </c>
      <c r="G1276" s="109">
        <f t="shared" ca="1" si="28"/>
        <v>0.10622175788311917</v>
      </c>
    </row>
    <row r="1277" spans="2:7" x14ac:dyDescent="0.25">
      <c r="B1277" s="98"/>
      <c r="F1277">
        <v>1273</v>
      </c>
      <c r="G1277" s="109">
        <f t="shared" ca="1" si="28"/>
        <v>0.14837913934465596</v>
      </c>
    </row>
    <row r="1278" spans="2:7" x14ac:dyDescent="0.25">
      <c r="B1278" s="98"/>
      <c r="F1278">
        <v>1274</v>
      </c>
      <c r="G1278" s="109">
        <f t="shared" ca="1" si="28"/>
        <v>4.3403047864337643E-2</v>
      </c>
    </row>
    <row r="1279" spans="2:7" x14ac:dyDescent="0.25">
      <c r="B1279" s="98"/>
      <c r="F1279">
        <v>1275</v>
      </c>
      <c r="G1279" s="109">
        <f t="shared" ca="1" si="28"/>
        <v>7.0752639204728768E-2</v>
      </c>
    </row>
    <row r="1280" spans="2:7" x14ac:dyDescent="0.25">
      <c r="B1280" s="98"/>
      <c r="F1280">
        <v>1276</v>
      </c>
      <c r="G1280" s="109">
        <f t="shared" ca="1" si="28"/>
        <v>5.8489892353509237E-2</v>
      </c>
    </row>
    <row r="1281" spans="2:7" x14ac:dyDescent="0.25">
      <c r="B1281" s="98"/>
      <c r="F1281">
        <v>1277</v>
      </c>
      <c r="G1281" s="109">
        <f t="shared" ca="1" si="28"/>
        <v>6.1042982837449411E-2</v>
      </c>
    </row>
    <row r="1282" spans="2:7" x14ac:dyDescent="0.25">
      <c r="B1282" s="98"/>
      <c r="F1282">
        <v>1278</v>
      </c>
      <c r="G1282" s="109">
        <f t="shared" ca="1" si="28"/>
        <v>-0.10275485862465873</v>
      </c>
    </row>
    <row r="1283" spans="2:7" x14ac:dyDescent="0.25">
      <c r="B1283" s="98"/>
      <c r="F1283">
        <v>1279</v>
      </c>
      <c r="G1283" s="109">
        <f t="shared" ca="1" si="28"/>
        <v>-2.3625486543401575E-3</v>
      </c>
    </row>
    <row r="1284" spans="2:7" x14ac:dyDescent="0.25">
      <c r="B1284" s="98"/>
      <c r="F1284">
        <v>1280</v>
      </c>
      <c r="G1284" s="109">
        <f t="shared" ca="1" si="28"/>
        <v>-7.0525360291397152E-2</v>
      </c>
    </row>
    <row r="1285" spans="2:7" x14ac:dyDescent="0.25">
      <c r="B1285" s="98"/>
      <c r="F1285">
        <v>1281</v>
      </c>
      <c r="G1285" s="109">
        <f t="shared" ca="1" si="28"/>
        <v>-9.3087999471370156E-2</v>
      </c>
    </row>
    <row r="1286" spans="2:7" x14ac:dyDescent="0.25">
      <c r="B1286" s="98"/>
      <c r="F1286">
        <v>1282</v>
      </c>
      <c r="G1286" s="109">
        <f t="shared" ref="G1286:G1349" ca="1" si="29">_xlfn.NORM.INV(RAND(),$M$5,$M$6)</f>
        <v>0.19033827851619722</v>
      </c>
    </row>
    <row r="1287" spans="2:7" x14ac:dyDescent="0.25">
      <c r="B1287" s="98"/>
      <c r="F1287">
        <v>1283</v>
      </c>
      <c r="G1287" s="109">
        <f t="shared" ca="1" si="29"/>
        <v>0.16452918044818809</v>
      </c>
    </row>
    <row r="1288" spans="2:7" x14ac:dyDescent="0.25">
      <c r="B1288" s="98"/>
      <c r="F1288">
        <v>1284</v>
      </c>
      <c r="G1288" s="109">
        <f t="shared" ca="1" si="29"/>
        <v>1.5204543552520131E-2</v>
      </c>
    </row>
    <row r="1289" spans="2:7" x14ac:dyDescent="0.25">
      <c r="B1289" s="98"/>
      <c r="F1289">
        <v>1285</v>
      </c>
      <c r="G1289" s="109">
        <f t="shared" ca="1" si="29"/>
        <v>0.10047981819147841</v>
      </c>
    </row>
    <row r="1290" spans="2:7" x14ac:dyDescent="0.25">
      <c r="B1290" s="98"/>
      <c r="F1290">
        <v>1286</v>
      </c>
      <c r="G1290" s="109">
        <f t="shared" ca="1" si="29"/>
        <v>-9.5302283399151325E-3</v>
      </c>
    </row>
    <row r="1291" spans="2:7" x14ac:dyDescent="0.25">
      <c r="B1291" s="98"/>
      <c r="F1291">
        <v>1287</v>
      </c>
      <c r="G1291" s="109">
        <f t="shared" ca="1" si="29"/>
        <v>7.6749207208545694E-2</v>
      </c>
    </row>
    <row r="1292" spans="2:7" x14ac:dyDescent="0.25">
      <c r="B1292" s="98"/>
      <c r="F1292">
        <v>1288</v>
      </c>
      <c r="G1292" s="109">
        <f t="shared" ca="1" si="29"/>
        <v>-5.8140561954153555E-3</v>
      </c>
    </row>
    <row r="1293" spans="2:7" x14ac:dyDescent="0.25">
      <c r="B1293" s="98"/>
      <c r="F1293">
        <v>1289</v>
      </c>
      <c r="G1293" s="109">
        <f t="shared" ca="1" si="29"/>
        <v>1.6598852631560766E-2</v>
      </c>
    </row>
    <row r="1294" spans="2:7" x14ac:dyDescent="0.25">
      <c r="B1294" s="98"/>
      <c r="F1294">
        <v>1290</v>
      </c>
      <c r="G1294" s="109">
        <f t="shared" ca="1" si="29"/>
        <v>-4.8199721851585248E-2</v>
      </c>
    </row>
    <row r="1295" spans="2:7" x14ac:dyDescent="0.25">
      <c r="B1295" s="98"/>
      <c r="F1295">
        <v>1291</v>
      </c>
      <c r="G1295" s="109">
        <f t="shared" ca="1" si="29"/>
        <v>3.9220085116365606E-2</v>
      </c>
    </row>
    <row r="1296" spans="2:7" x14ac:dyDescent="0.25">
      <c r="B1296" s="98"/>
      <c r="F1296">
        <v>1292</v>
      </c>
      <c r="G1296" s="109">
        <f t="shared" ca="1" si="29"/>
        <v>0.13083288344606811</v>
      </c>
    </row>
    <row r="1297" spans="2:7" x14ac:dyDescent="0.25">
      <c r="B1297" s="98"/>
      <c r="F1297">
        <v>1293</v>
      </c>
      <c r="G1297" s="109">
        <f t="shared" ca="1" si="29"/>
        <v>0.11236146755745219</v>
      </c>
    </row>
    <row r="1298" spans="2:7" x14ac:dyDescent="0.25">
      <c r="B1298" s="98"/>
      <c r="F1298">
        <v>1294</v>
      </c>
      <c r="G1298" s="109">
        <f t="shared" ca="1" si="29"/>
        <v>9.8693465372300199E-2</v>
      </c>
    </row>
    <row r="1299" spans="2:7" x14ac:dyDescent="0.25">
      <c r="B1299" s="98"/>
      <c r="F1299">
        <v>1295</v>
      </c>
      <c r="G1299" s="109">
        <f t="shared" ca="1" si="29"/>
        <v>0.10286439782740983</v>
      </c>
    </row>
    <row r="1300" spans="2:7" x14ac:dyDescent="0.25">
      <c r="B1300" s="98"/>
      <c r="F1300">
        <v>1296</v>
      </c>
      <c r="G1300" s="109">
        <f t="shared" ca="1" si="29"/>
        <v>-0.18784187773065025</v>
      </c>
    </row>
    <row r="1301" spans="2:7" x14ac:dyDescent="0.25">
      <c r="B1301" s="98"/>
      <c r="F1301">
        <v>1297</v>
      </c>
      <c r="G1301" s="109">
        <f t="shared" ca="1" si="29"/>
        <v>-2.1357155443055956E-2</v>
      </c>
    </row>
    <row r="1302" spans="2:7" x14ac:dyDescent="0.25">
      <c r="B1302" s="98"/>
      <c r="F1302">
        <v>1298</v>
      </c>
      <c r="G1302" s="109">
        <f t="shared" ca="1" si="29"/>
        <v>0.14407548268589981</v>
      </c>
    </row>
    <row r="1303" spans="2:7" x14ac:dyDescent="0.25">
      <c r="B1303" s="98"/>
      <c r="F1303">
        <v>1299</v>
      </c>
      <c r="G1303" s="109">
        <f t="shared" ca="1" si="29"/>
        <v>8.3129549383472084E-2</v>
      </c>
    </row>
    <row r="1304" spans="2:7" x14ac:dyDescent="0.25">
      <c r="B1304" s="98"/>
      <c r="F1304">
        <v>1300</v>
      </c>
      <c r="G1304" s="109">
        <f t="shared" ca="1" si="29"/>
        <v>-0.14787707654600057</v>
      </c>
    </row>
    <row r="1305" spans="2:7" x14ac:dyDescent="0.25">
      <c r="B1305" s="98"/>
      <c r="F1305">
        <v>1301</v>
      </c>
      <c r="G1305" s="109">
        <f t="shared" ca="1" si="29"/>
        <v>-6.2829481304062726E-2</v>
      </c>
    </row>
    <row r="1306" spans="2:7" x14ac:dyDescent="0.25">
      <c r="B1306" s="98"/>
      <c r="F1306">
        <v>1302</v>
      </c>
      <c r="G1306" s="109">
        <f t="shared" ca="1" si="29"/>
        <v>1.2397855101708793E-2</v>
      </c>
    </row>
    <row r="1307" spans="2:7" x14ac:dyDescent="0.25">
      <c r="B1307" s="98"/>
      <c r="F1307">
        <v>1303</v>
      </c>
      <c r="G1307" s="109">
        <f t="shared" ca="1" si="29"/>
        <v>0.25091846139199192</v>
      </c>
    </row>
    <row r="1308" spans="2:7" x14ac:dyDescent="0.25">
      <c r="B1308" s="98"/>
      <c r="F1308">
        <v>1304</v>
      </c>
      <c r="G1308" s="109">
        <f t="shared" ca="1" si="29"/>
        <v>-9.0756174470059334E-2</v>
      </c>
    </row>
    <row r="1309" spans="2:7" x14ac:dyDescent="0.25">
      <c r="B1309" s="98"/>
      <c r="F1309">
        <v>1305</v>
      </c>
      <c r="G1309" s="109">
        <f t="shared" ca="1" si="29"/>
        <v>0.1053231379578177</v>
      </c>
    </row>
    <row r="1310" spans="2:7" x14ac:dyDescent="0.25">
      <c r="B1310" s="98"/>
      <c r="F1310">
        <v>1306</v>
      </c>
      <c r="G1310" s="109">
        <f t="shared" ca="1" si="29"/>
        <v>0.11550734368666646</v>
      </c>
    </row>
    <row r="1311" spans="2:7" x14ac:dyDescent="0.25">
      <c r="B1311" s="98"/>
      <c r="F1311">
        <v>1307</v>
      </c>
      <c r="G1311" s="109">
        <f t="shared" ca="1" si="29"/>
        <v>-1.5197442582411812E-2</v>
      </c>
    </row>
    <row r="1312" spans="2:7" x14ac:dyDescent="0.25">
      <c r="B1312" s="98"/>
      <c r="F1312">
        <v>1308</v>
      </c>
      <c r="G1312" s="109">
        <f t="shared" ca="1" si="29"/>
        <v>-9.9874754409155567E-2</v>
      </c>
    </row>
    <row r="1313" spans="2:7" x14ac:dyDescent="0.25">
      <c r="B1313" s="98"/>
      <c r="F1313">
        <v>1309</v>
      </c>
      <c r="G1313" s="109">
        <f t="shared" ca="1" si="29"/>
        <v>8.6698637934344513E-2</v>
      </c>
    </row>
    <row r="1314" spans="2:7" x14ac:dyDescent="0.25">
      <c r="B1314" s="98"/>
      <c r="F1314">
        <v>1310</v>
      </c>
      <c r="G1314" s="109">
        <f t="shared" ca="1" si="29"/>
        <v>0.12785771491504161</v>
      </c>
    </row>
    <row r="1315" spans="2:7" x14ac:dyDescent="0.25">
      <c r="B1315" s="98"/>
      <c r="F1315">
        <v>1311</v>
      </c>
      <c r="G1315" s="109">
        <f t="shared" ca="1" si="29"/>
        <v>8.6968642648835109E-2</v>
      </c>
    </row>
    <row r="1316" spans="2:7" x14ac:dyDescent="0.25">
      <c r="B1316" s="98"/>
      <c r="F1316">
        <v>1312</v>
      </c>
      <c r="G1316" s="109">
        <f t="shared" ca="1" si="29"/>
        <v>-2.187437474742876E-2</v>
      </c>
    </row>
    <row r="1317" spans="2:7" x14ac:dyDescent="0.25">
      <c r="B1317" s="98"/>
      <c r="F1317">
        <v>1313</v>
      </c>
      <c r="G1317" s="109">
        <f t="shared" ca="1" si="29"/>
        <v>-3.2007025157942265E-4</v>
      </c>
    </row>
    <row r="1318" spans="2:7" x14ac:dyDescent="0.25">
      <c r="B1318" s="98"/>
      <c r="F1318">
        <v>1314</v>
      </c>
      <c r="G1318" s="109">
        <f t="shared" ca="1" si="29"/>
        <v>-6.4641162740143462E-2</v>
      </c>
    </row>
    <row r="1319" spans="2:7" x14ac:dyDescent="0.25">
      <c r="B1319" s="98"/>
      <c r="F1319">
        <v>1315</v>
      </c>
      <c r="G1319" s="109">
        <f t="shared" ca="1" si="29"/>
        <v>2.6151336209106004E-2</v>
      </c>
    </row>
    <row r="1320" spans="2:7" x14ac:dyDescent="0.25">
      <c r="B1320" s="98"/>
      <c r="F1320">
        <v>1316</v>
      </c>
      <c r="G1320" s="109">
        <f t="shared" ca="1" si="29"/>
        <v>5.6682307802414122E-2</v>
      </c>
    </row>
    <row r="1321" spans="2:7" x14ac:dyDescent="0.25">
      <c r="B1321" s="98"/>
      <c r="F1321">
        <v>1317</v>
      </c>
      <c r="G1321" s="109">
        <f t="shared" ca="1" si="29"/>
        <v>6.483720633902558E-2</v>
      </c>
    </row>
    <row r="1322" spans="2:7" x14ac:dyDescent="0.25">
      <c r="B1322" s="98"/>
      <c r="F1322">
        <v>1318</v>
      </c>
      <c r="G1322" s="109">
        <f t="shared" ca="1" si="29"/>
        <v>0.24858748184411222</v>
      </c>
    </row>
    <row r="1323" spans="2:7" x14ac:dyDescent="0.25">
      <c r="B1323" s="98"/>
      <c r="F1323">
        <v>1319</v>
      </c>
      <c r="G1323" s="109">
        <f t="shared" ca="1" si="29"/>
        <v>2.4461270696107047E-2</v>
      </c>
    </row>
    <row r="1324" spans="2:7" x14ac:dyDescent="0.25">
      <c r="B1324" s="98"/>
      <c r="F1324">
        <v>1320</v>
      </c>
      <c r="G1324" s="109">
        <f t="shared" ca="1" si="29"/>
        <v>-7.4245405133957915E-2</v>
      </c>
    </row>
    <row r="1325" spans="2:7" x14ac:dyDescent="0.25">
      <c r="B1325" s="98"/>
      <c r="F1325">
        <v>1321</v>
      </c>
      <c r="G1325" s="109">
        <f t="shared" ca="1" si="29"/>
        <v>6.2424721685040083E-3</v>
      </c>
    </row>
    <row r="1326" spans="2:7" x14ac:dyDescent="0.25">
      <c r="B1326" s="98"/>
      <c r="F1326">
        <v>1322</v>
      </c>
      <c r="G1326" s="109">
        <f t="shared" ca="1" si="29"/>
        <v>0.12369723017222346</v>
      </c>
    </row>
    <row r="1327" spans="2:7" x14ac:dyDescent="0.25">
      <c r="B1327" s="98"/>
      <c r="F1327">
        <v>1323</v>
      </c>
      <c r="G1327" s="109">
        <f t="shared" ca="1" si="29"/>
        <v>2.2318487980218862E-3</v>
      </c>
    </row>
    <row r="1328" spans="2:7" x14ac:dyDescent="0.25">
      <c r="B1328" s="98"/>
      <c r="F1328">
        <v>1324</v>
      </c>
      <c r="G1328" s="109">
        <f t="shared" ca="1" si="29"/>
        <v>7.9652351674485616E-2</v>
      </c>
    </row>
    <row r="1329" spans="2:7" x14ac:dyDescent="0.25">
      <c r="B1329" s="98"/>
      <c r="F1329">
        <v>1325</v>
      </c>
      <c r="G1329" s="109">
        <f t="shared" ca="1" si="29"/>
        <v>-0.11231497233733738</v>
      </c>
    </row>
    <row r="1330" spans="2:7" x14ac:dyDescent="0.25">
      <c r="B1330" s="98"/>
      <c r="F1330">
        <v>1326</v>
      </c>
      <c r="G1330" s="109">
        <f t="shared" ca="1" si="29"/>
        <v>6.828948717846331E-2</v>
      </c>
    </row>
    <row r="1331" spans="2:7" x14ac:dyDescent="0.25">
      <c r="B1331" s="98"/>
      <c r="F1331">
        <v>1327</v>
      </c>
      <c r="G1331" s="109">
        <f t="shared" ca="1" si="29"/>
        <v>0.25903964927076961</v>
      </c>
    </row>
    <row r="1332" spans="2:7" x14ac:dyDescent="0.25">
      <c r="B1332" s="98"/>
      <c r="F1332">
        <v>1328</v>
      </c>
      <c r="G1332" s="109">
        <f t="shared" ca="1" si="29"/>
        <v>-0.16317874305122171</v>
      </c>
    </row>
    <row r="1333" spans="2:7" x14ac:dyDescent="0.25">
      <c r="B1333" s="98"/>
      <c r="F1333">
        <v>1329</v>
      </c>
      <c r="G1333" s="109">
        <f t="shared" ca="1" si="29"/>
        <v>-4.7431952185221171E-2</v>
      </c>
    </row>
    <row r="1334" spans="2:7" x14ac:dyDescent="0.25">
      <c r="B1334" s="98"/>
      <c r="F1334">
        <v>1330</v>
      </c>
      <c r="G1334" s="109">
        <f t="shared" ca="1" si="29"/>
        <v>-2.6566417411256538E-2</v>
      </c>
    </row>
    <row r="1335" spans="2:7" x14ac:dyDescent="0.25">
      <c r="B1335" s="98"/>
      <c r="F1335">
        <v>1331</v>
      </c>
      <c r="G1335" s="109">
        <f t="shared" ca="1" si="29"/>
        <v>-1.6856578428242452E-2</v>
      </c>
    </row>
    <row r="1336" spans="2:7" x14ac:dyDescent="0.25">
      <c r="B1336" s="98"/>
      <c r="F1336">
        <v>1332</v>
      </c>
      <c r="G1336" s="109">
        <f t="shared" ca="1" si="29"/>
        <v>-5.0679408404801757E-2</v>
      </c>
    </row>
    <row r="1337" spans="2:7" x14ac:dyDescent="0.25">
      <c r="B1337" s="98"/>
      <c r="F1337">
        <v>1333</v>
      </c>
      <c r="G1337" s="109">
        <f t="shared" ca="1" si="29"/>
        <v>-2.4327932682012152E-2</v>
      </c>
    </row>
    <row r="1338" spans="2:7" x14ac:dyDescent="0.25">
      <c r="B1338" s="98"/>
      <c r="F1338">
        <v>1334</v>
      </c>
      <c r="G1338" s="109">
        <f t="shared" ca="1" si="29"/>
        <v>6.962113255413252E-3</v>
      </c>
    </row>
    <row r="1339" spans="2:7" x14ac:dyDescent="0.25">
      <c r="B1339" s="98"/>
      <c r="F1339">
        <v>1335</v>
      </c>
      <c r="G1339" s="109">
        <f t="shared" ca="1" si="29"/>
        <v>-0.11320552248709238</v>
      </c>
    </row>
    <row r="1340" spans="2:7" x14ac:dyDescent="0.25">
      <c r="B1340" s="98"/>
      <c r="F1340">
        <v>1336</v>
      </c>
      <c r="G1340" s="109">
        <f t="shared" ca="1" si="29"/>
        <v>0.10818863791057214</v>
      </c>
    </row>
    <row r="1341" spans="2:7" x14ac:dyDescent="0.25">
      <c r="B1341" s="98"/>
      <c r="F1341">
        <v>1337</v>
      </c>
      <c r="G1341" s="109">
        <f t="shared" ca="1" si="29"/>
        <v>1.7820462816741153E-2</v>
      </c>
    </row>
    <row r="1342" spans="2:7" x14ac:dyDescent="0.25">
      <c r="B1342" s="98"/>
      <c r="F1342">
        <v>1338</v>
      </c>
      <c r="G1342" s="109">
        <f t="shared" ca="1" si="29"/>
        <v>0.14633742496538443</v>
      </c>
    </row>
    <row r="1343" spans="2:7" x14ac:dyDescent="0.25">
      <c r="B1343" s="98"/>
      <c r="F1343">
        <v>1339</v>
      </c>
      <c r="G1343" s="109">
        <f t="shared" ca="1" si="29"/>
        <v>0.11852741614607369</v>
      </c>
    </row>
    <row r="1344" spans="2:7" x14ac:dyDescent="0.25">
      <c r="B1344" s="98"/>
      <c r="F1344">
        <v>1340</v>
      </c>
      <c r="G1344" s="109">
        <f t="shared" ca="1" si="29"/>
        <v>3.1209522435297538E-2</v>
      </c>
    </row>
    <row r="1345" spans="2:7" x14ac:dyDescent="0.25">
      <c r="B1345" s="98"/>
      <c r="F1345">
        <v>1341</v>
      </c>
      <c r="G1345" s="109">
        <f t="shared" ca="1" si="29"/>
        <v>3.757705430607701E-2</v>
      </c>
    </row>
    <row r="1346" spans="2:7" x14ac:dyDescent="0.25">
      <c r="B1346" s="98"/>
      <c r="F1346">
        <v>1342</v>
      </c>
      <c r="G1346" s="109">
        <f t="shared" ca="1" si="29"/>
        <v>8.9901144175361519E-2</v>
      </c>
    </row>
    <row r="1347" spans="2:7" x14ac:dyDescent="0.25">
      <c r="B1347" s="98"/>
      <c r="F1347">
        <v>1343</v>
      </c>
      <c r="G1347" s="109">
        <f t="shared" ca="1" si="29"/>
        <v>-0.10039869426598676</v>
      </c>
    </row>
    <row r="1348" spans="2:7" x14ac:dyDescent="0.25">
      <c r="B1348" s="98"/>
      <c r="F1348">
        <v>1344</v>
      </c>
      <c r="G1348" s="109">
        <f t="shared" ca="1" si="29"/>
        <v>-6.629484692881199E-2</v>
      </c>
    </row>
    <row r="1349" spans="2:7" x14ac:dyDescent="0.25">
      <c r="B1349" s="98"/>
      <c r="F1349">
        <v>1345</v>
      </c>
      <c r="G1349" s="109">
        <f t="shared" ca="1" si="29"/>
        <v>1.4182269943212825E-2</v>
      </c>
    </row>
    <row r="1350" spans="2:7" x14ac:dyDescent="0.25">
      <c r="B1350" s="98"/>
      <c r="F1350">
        <v>1346</v>
      </c>
      <c r="G1350" s="109">
        <f t="shared" ref="G1350:G1413" ca="1" si="30">_xlfn.NORM.INV(RAND(),$M$5,$M$6)</f>
        <v>-8.5848312082137931E-2</v>
      </c>
    </row>
    <row r="1351" spans="2:7" x14ac:dyDescent="0.25">
      <c r="B1351" s="98"/>
      <c r="F1351">
        <v>1347</v>
      </c>
      <c r="G1351" s="109">
        <f t="shared" ca="1" si="30"/>
        <v>3.7550429186516035E-2</v>
      </c>
    </row>
    <row r="1352" spans="2:7" x14ac:dyDescent="0.25">
      <c r="B1352" s="98"/>
      <c r="F1352">
        <v>1348</v>
      </c>
      <c r="G1352" s="109">
        <f t="shared" ca="1" si="30"/>
        <v>2.0432267430117182E-2</v>
      </c>
    </row>
    <row r="1353" spans="2:7" x14ac:dyDescent="0.25">
      <c r="B1353" s="98"/>
      <c r="F1353">
        <v>1349</v>
      </c>
      <c r="G1353" s="109">
        <f t="shared" ca="1" si="30"/>
        <v>-2.037964747889677E-2</v>
      </c>
    </row>
    <row r="1354" spans="2:7" x14ac:dyDescent="0.25">
      <c r="B1354" s="98"/>
      <c r="F1354">
        <v>1350</v>
      </c>
      <c r="G1354" s="109">
        <f t="shared" ca="1" si="30"/>
        <v>7.424310965779457E-2</v>
      </c>
    </row>
    <row r="1355" spans="2:7" x14ac:dyDescent="0.25">
      <c r="B1355" s="98"/>
      <c r="F1355">
        <v>1351</v>
      </c>
      <c r="G1355" s="109">
        <f t="shared" ca="1" si="30"/>
        <v>4.9610947393079502E-2</v>
      </c>
    </row>
    <row r="1356" spans="2:7" x14ac:dyDescent="0.25">
      <c r="B1356" s="98"/>
      <c r="F1356">
        <v>1352</v>
      </c>
      <c r="G1356" s="109">
        <f t="shared" ca="1" si="30"/>
        <v>2.0526138102960098E-2</v>
      </c>
    </row>
    <row r="1357" spans="2:7" x14ac:dyDescent="0.25">
      <c r="B1357" s="98"/>
      <c r="F1357">
        <v>1353</v>
      </c>
      <c r="G1357" s="109">
        <f t="shared" ca="1" si="30"/>
        <v>0.17261684155202117</v>
      </c>
    </row>
    <row r="1358" spans="2:7" x14ac:dyDescent="0.25">
      <c r="B1358" s="98"/>
      <c r="F1358">
        <v>1354</v>
      </c>
      <c r="G1358" s="109">
        <f t="shared" ca="1" si="30"/>
        <v>-4.3690302314654914E-2</v>
      </c>
    </row>
    <row r="1359" spans="2:7" x14ac:dyDescent="0.25">
      <c r="B1359" s="98"/>
      <c r="F1359">
        <v>1355</v>
      </c>
      <c r="G1359" s="109">
        <f t="shared" ca="1" si="30"/>
        <v>-9.8309146428467026E-3</v>
      </c>
    </row>
    <row r="1360" spans="2:7" x14ac:dyDescent="0.25">
      <c r="B1360" s="98"/>
      <c r="F1360">
        <v>1356</v>
      </c>
      <c r="G1360" s="109">
        <f t="shared" ca="1" si="30"/>
        <v>5.8119294066136883E-2</v>
      </c>
    </row>
    <row r="1361" spans="2:7" x14ac:dyDescent="0.25">
      <c r="B1361" s="98"/>
      <c r="F1361">
        <v>1357</v>
      </c>
      <c r="G1361" s="109">
        <f t="shared" ca="1" si="30"/>
        <v>0.18477470772897997</v>
      </c>
    </row>
    <row r="1362" spans="2:7" x14ac:dyDescent="0.25">
      <c r="B1362" s="98"/>
      <c r="F1362">
        <v>1358</v>
      </c>
      <c r="G1362" s="109">
        <f t="shared" ca="1" si="30"/>
        <v>0.17508661815748011</v>
      </c>
    </row>
    <row r="1363" spans="2:7" x14ac:dyDescent="0.25">
      <c r="B1363" s="98"/>
      <c r="F1363">
        <v>1359</v>
      </c>
      <c r="G1363" s="109">
        <f t="shared" ca="1" si="30"/>
        <v>-8.6814923132281799E-2</v>
      </c>
    </row>
    <row r="1364" spans="2:7" x14ac:dyDescent="0.25">
      <c r="B1364" s="98"/>
      <c r="F1364">
        <v>1360</v>
      </c>
      <c r="G1364" s="109">
        <f t="shared" ca="1" si="30"/>
        <v>0.13951531979527446</v>
      </c>
    </row>
    <row r="1365" spans="2:7" x14ac:dyDescent="0.25">
      <c r="B1365" s="98"/>
      <c r="F1365">
        <v>1361</v>
      </c>
      <c r="G1365" s="109">
        <f t="shared" ca="1" si="30"/>
        <v>6.4656545401672025E-2</v>
      </c>
    </row>
    <row r="1366" spans="2:7" x14ac:dyDescent="0.25">
      <c r="B1366" s="98"/>
      <c r="F1366">
        <v>1362</v>
      </c>
      <c r="G1366" s="109">
        <f t="shared" ca="1" si="30"/>
        <v>0.12168264939205131</v>
      </c>
    </row>
    <row r="1367" spans="2:7" x14ac:dyDescent="0.25">
      <c r="B1367" s="98"/>
      <c r="F1367">
        <v>1363</v>
      </c>
      <c r="G1367" s="109">
        <f t="shared" ca="1" si="30"/>
        <v>-6.0969871700741113E-2</v>
      </c>
    </row>
    <row r="1368" spans="2:7" x14ac:dyDescent="0.25">
      <c r="B1368" s="98"/>
      <c r="F1368">
        <v>1364</v>
      </c>
      <c r="G1368" s="109">
        <f t="shared" ca="1" si="30"/>
        <v>3.2858393432802432E-3</v>
      </c>
    </row>
    <row r="1369" spans="2:7" x14ac:dyDescent="0.25">
      <c r="B1369" s="98"/>
      <c r="F1369">
        <v>1365</v>
      </c>
      <c r="G1369" s="109">
        <f t="shared" ca="1" si="30"/>
        <v>-3.8252705803575621E-2</v>
      </c>
    </row>
    <row r="1370" spans="2:7" x14ac:dyDescent="0.25">
      <c r="B1370" s="98"/>
      <c r="F1370">
        <v>1366</v>
      </c>
      <c r="G1370" s="109">
        <f t="shared" ca="1" si="30"/>
        <v>0.12714566616686371</v>
      </c>
    </row>
    <row r="1371" spans="2:7" x14ac:dyDescent="0.25">
      <c r="B1371" s="98"/>
      <c r="F1371">
        <v>1367</v>
      </c>
      <c r="G1371" s="109">
        <f t="shared" ca="1" si="30"/>
        <v>3.4931163881776243E-2</v>
      </c>
    </row>
    <row r="1372" spans="2:7" x14ac:dyDescent="0.25">
      <c r="B1372" s="98"/>
      <c r="F1372">
        <v>1368</v>
      </c>
      <c r="G1372" s="109">
        <f t="shared" ca="1" si="30"/>
        <v>-0.15068514299086755</v>
      </c>
    </row>
    <row r="1373" spans="2:7" x14ac:dyDescent="0.25">
      <c r="B1373" s="98"/>
      <c r="F1373">
        <v>1369</v>
      </c>
      <c r="G1373" s="109">
        <f t="shared" ca="1" si="30"/>
        <v>0.22675622723166067</v>
      </c>
    </row>
    <row r="1374" spans="2:7" x14ac:dyDescent="0.25">
      <c r="B1374" s="98"/>
      <c r="F1374">
        <v>1370</v>
      </c>
      <c r="G1374" s="109">
        <f t="shared" ca="1" si="30"/>
        <v>-0.14257453159989542</v>
      </c>
    </row>
    <row r="1375" spans="2:7" x14ac:dyDescent="0.25">
      <c r="B1375" s="98"/>
      <c r="F1375">
        <v>1371</v>
      </c>
      <c r="G1375" s="109">
        <f t="shared" ca="1" si="30"/>
        <v>-0.10454555535069211</v>
      </c>
    </row>
    <row r="1376" spans="2:7" x14ac:dyDescent="0.25">
      <c r="B1376" s="98"/>
      <c r="F1376">
        <v>1372</v>
      </c>
      <c r="G1376" s="109">
        <f t="shared" ca="1" si="30"/>
        <v>-3.428738181359707E-2</v>
      </c>
    </row>
    <row r="1377" spans="2:7" x14ac:dyDescent="0.25">
      <c r="B1377" s="98"/>
      <c r="F1377">
        <v>1373</v>
      </c>
      <c r="G1377" s="109">
        <f t="shared" ca="1" si="30"/>
        <v>9.6166553572536451E-2</v>
      </c>
    </row>
    <row r="1378" spans="2:7" x14ac:dyDescent="0.25">
      <c r="B1378" s="98"/>
      <c r="F1378">
        <v>1374</v>
      </c>
      <c r="G1378" s="109">
        <f t="shared" ca="1" si="30"/>
        <v>0.12647568377953555</v>
      </c>
    </row>
    <row r="1379" spans="2:7" x14ac:dyDescent="0.25">
      <c r="B1379" s="98"/>
      <c r="F1379">
        <v>1375</v>
      </c>
      <c r="G1379" s="109">
        <f t="shared" ca="1" si="30"/>
        <v>8.4635302099676166E-3</v>
      </c>
    </row>
    <row r="1380" spans="2:7" x14ac:dyDescent="0.25">
      <c r="B1380" s="98"/>
      <c r="F1380">
        <v>1376</v>
      </c>
      <c r="G1380" s="109">
        <f t="shared" ca="1" si="30"/>
        <v>0.14822574182882067</v>
      </c>
    </row>
    <row r="1381" spans="2:7" x14ac:dyDescent="0.25">
      <c r="B1381" s="98"/>
      <c r="F1381">
        <v>1377</v>
      </c>
      <c r="G1381" s="109">
        <f t="shared" ca="1" si="30"/>
        <v>-0.12406398379100088</v>
      </c>
    </row>
    <row r="1382" spans="2:7" x14ac:dyDescent="0.25">
      <c r="B1382" s="98"/>
      <c r="F1382">
        <v>1378</v>
      </c>
      <c r="G1382" s="109">
        <f t="shared" ca="1" si="30"/>
        <v>7.2238857087738959E-2</v>
      </c>
    </row>
    <row r="1383" spans="2:7" x14ac:dyDescent="0.25">
      <c r="B1383" s="98"/>
      <c r="F1383">
        <v>1379</v>
      </c>
      <c r="G1383" s="109">
        <f t="shared" ca="1" si="30"/>
        <v>1.1693986182058032E-2</v>
      </c>
    </row>
    <row r="1384" spans="2:7" x14ac:dyDescent="0.25">
      <c r="B1384" s="98"/>
      <c r="F1384">
        <v>1380</v>
      </c>
      <c r="G1384" s="109">
        <f t="shared" ca="1" si="30"/>
        <v>8.8980297864472147E-2</v>
      </c>
    </row>
    <row r="1385" spans="2:7" x14ac:dyDescent="0.25">
      <c r="B1385" s="98"/>
      <c r="F1385">
        <v>1381</v>
      </c>
      <c r="G1385" s="109">
        <f t="shared" ca="1" si="30"/>
        <v>0.15123034775799815</v>
      </c>
    </row>
    <row r="1386" spans="2:7" x14ac:dyDescent="0.25">
      <c r="B1386" s="98"/>
      <c r="F1386">
        <v>1382</v>
      </c>
      <c r="G1386" s="109">
        <f t="shared" ca="1" si="30"/>
        <v>0.16318768453123431</v>
      </c>
    </row>
    <row r="1387" spans="2:7" x14ac:dyDescent="0.25">
      <c r="B1387" s="98"/>
      <c r="F1387">
        <v>1383</v>
      </c>
      <c r="G1387" s="109">
        <f t="shared" ca="1" si="30"/>
        <v>0.27905265829706638</v>
      </c>
    </row>
    <row r="1388" spans="2:7" x14ac:dyDescent="0.25">
      <c r="B1388" s="98"/>
      <c r="F1388">
        <v>1384</v>
      </c>
      <c r="G1388" s="109">
        <f t="shared" ca="1" si="30"/>
        <v>-0.33515616905079831</v>
      </c>
    </row>
    <row r="1389" spans="2:7" x14ac:dyDescent="0.25">
      <c r="B1389" s="98"/>
      <c r="F1389">
        <v>1385</v>
      </c>
      <c r="G1389" s="109">
        <f t="shared" ca="1" si="30"/>
        <v>2.1175684300291722E-3</v>
      </c>
    </row>
    <row r="1390" spans="2:7" x14ac:dyDescent="0.25">
      <c r="B1390" s="98"/>
      <c r="F1390">
        <v>1386</v>
      </c>
      <c r="G1390" s="109">
        <f t="shared" ca="1" si="30"/>
        <v>0.10953811491998075</v>
      </c>
    </row>
    <row r="1391" spans="2:7" x14ac:dyDescent="0.25">
      <c r="B1391" s="98"/>
      <c r="F1391">
        <v>1387</v>
      </c>
      <c r="G1391" s="109">
        <f t="shared" ca="1" si="30"/>
        <v>0.10925905614159866</v>
      </c>
    </row>
    <row r="1392" spans="2:7" x14ac:dyDescent="0.25">
      <c r="B1392" s="98"/>
      <c r="F1392">
        <v>1388</v>
      </c>
      <c r="G1392" s="109">
        <f t="shared" ca="1" si="30"/>
        <v>4.7213889918800891E-2</v>
      </c>
    </row>
    <row r="1393" spans="2:7" x14ac:dyDescent="0.25">
      <c r="B1393" s="98"/>
      <c r="F1393">
        <v>1389</v>
      </c>
      <c r="G1393" s="109">
        <f t="shared" ca="1" si="30"/>
        <v>-1.1412487910278962E-2</v>
      </c>
    </row>
    <row r="1394" spans="2:7" x14ac:dyDescent="0.25">
      <c r="B1394" s="98"/>
      <c r="F1394">
        <v>1390</v>
      </c>
      <c r="G1394" s="109">
        <f t="shared" ca="1" si="30"/>
        <v>-5.0737386333005022E-2</v>
      </c>
    </row>
    <row r="1395" spans="2:7" x14ac:dyDescent="0.25">
      <c r="B1395" s="98"/>
      <c r="F1395">
        <v>1391</v>
      </c>
      <c r="G1395" s="109">
        <f t="shared" ca="1" si="30"/>
        <v>0.16826018783607155</v>
      </c>
    </row>
    <row r="1396" spans="2:7" x14ac:dyDescent="0.25">
      <c r="B1396" s="98"/>
      <c r="F1396">
        <v>1392</v>
      </c>
      <c r="G1396" s="109">
        <f t="shared" ca="1" si="30"/>
        <v>-3.8551278219897692E-2</v>
      </c>
    </row>
    <row r="1397" spans="2:7" x14ac:dyDescent="0.25">
      <c r="B1397" s="98"/>
      <c r="F1397">
        <v>1393</v>
      </c>
      <c r="G1397" s="109">
        <f t="shared" ca="1" si="30"/>
        <v>6.6407983041152044E-2</v>
      </c>
    </row>
    <row r="1398" spans="2:7" x14ac:dyDescent="0.25">
      <c r="B1398" s="98"/>
      <c r="F1398">
        <v>1394</v>
      </c>
      <c r="G1398" s="109">
        <f t="shared" ca="1" si="30"/>
        <v>0.14036000417444075</v>
      </c>
    </row>
    <row r="1399" spans="2:7" x14ac:dyDescent="0.25">
      <c r="B1399" s="98"/>
      <c r="F1399">
        <v>1395</v>
      </c>
      <c r="G1399" s="109">
        <f t="shared" ca="1" si="30"/>
        <v>3.3399526845287068E-2</v>
      </c>
    </row>
    <row r="1400" spans="2:7" x14ac:dyDescent="0.25">
      <c r="B1400" s="98"/>
      <c r="F1400">
        <v>1396</v>
      </c>
      <c r="G1400" s="109">
        <f t="shared" ca="1" si="30"/>
        <v>4.682478658506796E-2</v>
      </c>
    </row>
    <row r="1401" spans="2:7" x14ac:dyDescent="0.25">
      <c r="B1401" s="98"/>
      <c r="F1401">
        <v>1397</v>
      </c>
      <c r="G1401" s="109">
        <f t="shared" ca="1" si="30"/>
        <v>0.11882593517754053</v>
      </c>
    </row>
    <row r="1402" spans="2:7" x14ac:dyDescent="0.25">
      <c r="B1402" s="98"/>
      <c r="F1402">
        <v>1398</v>
      </c>
      <c r="G1402" s="109">
        <f t="shared" ca="1" si="30"/>
        <v>-1.7795161093760531E-2</v>
      </c>
    </row>
    <row r="1403" spans="2:7" x14ac:dyDescent="0.25">
      <c r="B1403" s="98"/>
      <c r="F1403">
        <v>1399</v>
      </c>
      <c r="G1403" s="109">
        <f t="shared" ca="1" si="30"/>
        <v>9.1006252862738987E-2</v>
      </c>
    </row>
    <row r="1404" spans="2:7" x14ac:dyDescent="0.25">
      <c r="B1404" s="98"/>
      <c r="F1404">
        <v>1400</v>
      </c>
      <c r="G1404" s="109">
        <f t="shared" ca="1" si="30"/>
        <v>0.14660080797288175</v>
      </c>
    </row>
    <row r="1405" spans="2:7" x14ac:dyDescent="0.25">
      <c r="B1405" s="98"/>
      <c r="F1405">
        <v>1401</v>
      </c>
      <c r="G1405" s="109">
        <f t="shared" ca="1" si="30"/>
        <v>0.28998864407915731</v>
      </c>
    </row>
    <row r="1406" spans="2:7" x14ac:dyDescent="0.25">
      <c r="B1406" s="98"/>
      <c r="F1406">
        <v>1402</v>
      </c>
      <c r="G1406" s="109">
        <f t="shared" ca="1" si="30"/>
        <v>9.8823060882754166E-2</v>
      </c>
    </row>
    <row r="1407" spans="2:7" x14ac:dyDescent="0.25">
      <c r="B1407" s="98"/>
      <c r="F1407">
        <v>1403</v>
      </c>
      <c r="G1407" s="109">
        <f t="shared" ca="1" si="30"/>
        <v>0.29029257536936992</v>
      </c>
    </row>
    <row r="1408" spans="2:7" x14ac:dyDescent="0.25">
      <c r="B1408" s="98"/>
      <c r="F1408">
        <v>1404</v>
      </c>
      <c r="G1408" s="109">
        <f t="shared" ca="1" si="30"/>
        <v>-8.9989032041431355E-3</v>
      </c>
    </row>
    <row r="1409" spans="2:7" x14ac:dyDescent="0.25">
      <c r="B1409" s="98"/>
      <c r="F1409">
        <v>1405</v>
      </c>
      <c r="G1409" s="109">
        <f t="shared" ca="1" si="30"/>
        <v>6.1730849011756919E-2</v>
      </c>
    </row>
    <row r="1410" spans="2:7" x14ac:dyDescent="0.25">
      <c r="B1410" s="98"/>
      <c r="F1410">
        <v>1406</v>
      </c>
      <c r="G1410" s="109">
        <f t="shared" ca="1" si="30"/>
        <v>0.18237263106197615</v>
      </c>
    </row>
    <row r="1411" spans="2:7" x14ac:dyDescent="0.25">
      <c r="B1411" s="98"/>
      <c r="F1411">
        <v>1407</v>
      </c>
      <c r="G1411" s="109">
        <f t="shared" ca="1" si="30"/>
        <v>4.9381329420504549E-2</v>
      </c>
    </row>
    <row r="1412" spans="2:7" x14ac:dyDescent="0.25">
      <c r="B1412" s="98"/>
      <c r="F1412">
        <v>1408</v>
      </c>
      <c r="G1412" s="109">
        <f t="shared" ca="1" si="30"/>
        <v>0.19979558346812137</v>
      </c>
    </row>
    <row r="1413" spans="2:7" x14ac:dyDescent="0.25">
      <c r="B1413" s="98"/>
      <c r="F1413">
        <v>1409</v>
      </c>
      <c r="G1413" s="109">
        <f t="shared" ca="1" si="30"/>
        <v>0.24971020425537055</v>
      </c>
    </row>
    <row r="1414" spans="2:7" x14ac:dyDescent="0.25">
      <c r="B1414" s="98"/>
      <c r="F1414">
        <v>1410</v>
      </c>
      <c r="G1414" s="109">
        <f t="shared" ref="G1414:G1477" ca="1" si="31">_xlfn.NORM.INV(RAND(),$M$5,$M$6)</f>
        <v>-5.9665388893923116E-2</v>
      </c>
    </row>
    <row r="1415" spans="2:7" x14ac:dyDescent="0.25">
      <c r="B1415" s="98"/>
      <c r="F1415">
        <v>1411</v>
      </c>
      <c r="G1415" s="109">
        <f t="shared" ca="1" si="31"/>
        <v>6.8178195964938487E-2</v>
      </c>
    </row>
    <row r="1416" spans="2:7" x14ac:dyDescent="0.25">
      <c r="B1416" s="98"/>
      <c r="F1416">
        <v>1412</v>
      </c>
      <c r="G1416" s="109">
        <f t="shared" ca="1" si="31"/>
        <v>8.7356003452969705E-2</v>
      </c>
    </row>
    <row r="1417" spans="2:7" x14ac:dyDescent="0.25">
      <c r="B1417" s="98"/>
      <c r="F1417">
        <v>1413</v>
      </c>
      <c r="G1417" s="109">
        <f t="shared" ca="1" si="31"/>
        <v>-9.4320085709022991E-2</v>
      </c>
    </row>
    <row r="1418" spans="2:7" x14ac:dyDescent="0.25">
      <c r="B1418" s="98"/>
      <c r="F1418">
        <v>1414</v>
      </c>
      <c r="G1418" s="109">
        <f t="shared" ca="1" si="31"/>
        <v>0.13797858952633252</v>
      </c>
    </row>
    <row r="1419" spans="2:7" x14ac:dyDescent="0.25">
      <c r="B1419" s="98"/>
      <c r="F1419">
        <v>1415</v>
      </c>
      <c r="G1419" s="109">
        <f t="shared" ca="1" si="31"/>
        <v>-4.9982748039392386E-3</v>
      </c>
    </row>
    <row r="1420" spans="2:7" x14ac:dyDescent="0.25">
      <c r="B1420" s="98"/>
      <c r="F1420">
        <v>1416</v>
      </c>
      <c r="G1420" s="109">
        <f t="shared" ca="1" si="31"/>
        <v>-1.9769846604057187E-2</v>
      </c>
    </row>
    <row r="1421" spans="2:7" x14ac:dyDescent="0.25">
      <c r="B1421" s="98"/>
      <c r="F1421">
        <v>1417</v>
      </c>
      <c r="G1421" s="109">
        <f t="shared" ca="1" si="31"/>
        <v>-0.13945186691088979</v>
      </c>
    </row>
    <row r="1422" spans="2:7" x14ac:dyDescent="0.25">
      <c r="B1422" s="98"/>
      <c r="F1422">
        <v>1418</v>
      </c>
      <c r="G1422" s="109">
        <f t="shared" ca="1" si="31"/>
        <v>0.18664795745210316</v>
      </c>
    </row>
    <row r="1423" spans="2:7" x14ac:dyDescent="0.25">
      <c r="B1423" s="98"/>
      <c r="F1423">
        <v>1419</v>
      </c>
      <c r="G1423" s="109">
        <f t="shared" ca="1" si="31"/>
        <v>2.4673241173487834E-3</v>
      </c>
    </row>
    <row r="1424" spans="2:7" x14ac:dyDescent="0.25">
      <c r="B1424" s="98"/>
      <c r="F1424">
        <v>1420</v>
      </c>
      <c r="G1424" s="109">
        <f t="shared" ca="1" si="31"/>
        <v>0.14398199458189009</v>
      </c>
    </row>
    <row r="1425" spans="2:7" x14ac:dyDescent="0.25">
      <c r="B1425" s="98"/>
      <c r="F1425">
        <v>1421</v>
      </c>
      <c r="G1425" s="109">
        <f t="shared" ca="1" si="31"/>
        <v>0.17736748419232606</v>
      </c>
    </row>
    <row r="1426" spans="2:7" x14ac:dyDescent="0.25">
      <c r="B1426" s="98"/>
      <c r="F1426">
        <v>1422</v>
      </c>
      <c r="G1426" s="109">
        <f t="shared" ca="1" si="31"/>
        <v>0.20793208418390724</v>
      </c>
    </row>
    <row r="1427" spans="2:7" x14ac:dyDescent="0.25">
      <c r="B1427" s="98"/>
      <c r="F1427">
        <v>1423</v>
      </c>
      <c r="G1427" s="109">
        <f t="shared" ca="1" si="31"/>
        <v>-0.1076279740095941</v>
      </c>
    </row>
    <row r="1428" spans="2:7" x14ac:dyDescent="0.25">
      <c r="B1428" s="98"/>
      <c r="F1428">
        <v>1424</v>
      </c>
      <c r="G1428" s="109">
        <f t="shared" ca="1" si="31"/>
        <v>0.13267983225903279</v>
      </c>
    </row>
    <row r="1429" spans="2:7" x14ac:dyDescent="0.25">
      <c r="B1429" s="98"/>
      <c r="F1429">
        <v>1425</v>
      </c>
      <c r="G1429" s="109">
        <f t="shared" ca="1" si="31"/>
        <v>2.932953324614709E-2</v>
      </c>
    </row>
    <row r="1430" spans="2:7" x14ac:dyDescent="0.25">
      <c r="B1430" s="98"/>
      <c r="F1430">
        <v>1426</v>
      </c>
      <c r="G1430" s="109">
        <f t="shared" ca="1" si="31"/>
        <v>-0.13478537710792265</v>
      </c>
    </row>
    <row r="1431" spans="2:7" x14ac:dyDescent="0.25">
      <c r="B1431" s="98"/>
      <c r="F1431">
        <v>1427</v>
      </c>
      <c r="G1431" s="109">
        <f t="shared" ca="1" si="31"/>
        <v>5.3991599284458805E-2</v>
      </c>
    </row>
    <row r="1432" spans="2:7" x14ac:dyDescent="0.25">
      <c r="B1432" s="98"/>
      <c r="F1432">
        <v>1428</v>
      </c>
      <c r="G1432" s="109">
        <f t="shared" ca="1" si="31"/>
        <v>-5.9334536179946176E-2</v>
      </c>
    </row>
    <row r="1433" spans="2:7" x14ac:dyDescent="0.25">
      <c r="B1433" s="98"/>
      <c r="F1433">
        <v>1429</v>
      </c>
      <c r="G1433" s="109">
        <f t="shared" ca="1" si="31"/>
        <v>-3.2513027914887416E-2</v>
      </c>
    </row>
    <row r="1434" spans="2:7" x14ac:dyDescent="0.25">
      <c r="B1434" s="98"/>
      <c r="F1434">
        <v>1430</v>
      </c>
      <c r="G1434" s="109">
        <f t="shared" ca="1" si="31"/>
        <v>0.23526302315029746</v>
      </c>
    </row>
    <row r="1435" spans="2:7" x14ac:dyDescent="0.25">
      <c r="B1435" s="98"/>
      <c r="F1435">
        <v>1431</v>
      </c>
      <c r="G1435" s="109">
        <f t="shared" ca="1" si="31"/>
        <v>1.4085367547428958E-2</v>
      </c>
    </row>
    <row r="1436" spans="2:7" x14ac:dyDescent="0.25">
      <c r="B1436" s="98"/>
      <c r="F1436">
        <v>1432</v>
      </c>
      <c r="G1436" s="109">
        <f t="shared" ca="1" si="31"/>
        <v>0.18430999934631292</v>
      </c>
    </row>
    <row r="1437" spans="2:7" x14ac:dyDescent="0.25">
      <c r="B1437" s="98"/>
      <c r="F1437">
        <v>1433</v>
      </c>
      <c r="G1437" s="109">
        <f t="shared" ca="1" si="31"/>
        <v>0.17760494725168241</v>
      </c>
    </row>
    <row r="1438" spans="2:7" x14ac:dyDescent="0.25">
      <c r="B1438" s="98"/>
      <c r="F1438">
        <v>1434</v>
      </c>
      <c r="G1438" s="109">
        <f t="shared" ca="1" si="31"/>
        <v>8.2370742682919162E-2</v>
      </c>
    </row>
    <row r="1439" spans="2:7" x14ac:dyDescent="0.25">
      <c r="B1439" s="98"/>
      <c r="F1439">
        <v>1435</v>
      </c>
      <c r="G1439" s="109">
        <f t="shared" ca="1" si="31"/>
        <v>-0.14617804196803452</v>
      </c>
    </row>
    <row r="1440" spans="2:7" x14ac:dyDescent="0.25">
      <c r="B1440" s="98"/>
      <c r="F1440">
        <v>1436</v>
      </c>
      <c r="G1440" s="109">
        <f t="shared" ca="1" si="31"/>
        <v>4.56860183336932E-2</v>
      </c>
    </row>
    <row r="1441" spans="2:7" x14ac:dyDescent="0.25">
      <c r="B1441" s="98"/>
      <c r="F1441">
        <v>1437</v>
      </c>
      <c r="G1441" s="109">
        <f t="shared" ca="1" si="31"/>
        <v>-0.14462799923503944</v>
      </c>
    </row>
    <row r="1442" spans="2:7" x14ac:dyDescent="0.25">
      <c r="B1442" s="98"/>
      <c r="F1442">
        <v>1438</v>
      </c>
      <c r="G1442" s="109">
        <f t="shared" ca="1" si="31"/>
        <v>4.3331800057509917E-2</v>
      </c>
    </row>
    <row r="1443" spans="2:7" x14ac:dyDescent="0.25">
      <c r="B1443" s="98"/>
      <c r="F1443">
        <v>1439</v>
      </c>
      <c r="G1443" s="109">
        <f t="shared" ca="1" si="31"/>
        <v>0.11380146991241898</v>
      </c>
    </row>
    <row r="1444" spans="2:7" x14ac:dyDescent="0.25">
      <c r="B1444" s="98"/>
      <c r="F1444">
        <v>1440</v>
      </c>
      <c r="G1444" s="109">
        <f t="shared" ca="1" si="31"/>
        <v>2.6295214156073551E-2</v>
      </c>
    </row>
    <row r="1445" spans="2:7" x14ac:dyDescent="0.25">
      <c r="B1445" s="98"/>
      <c r="F1445">
        <v>1441</v>
      </c>
      <c r="G1445" s="109">
        <f t="shared" ca="1" si="31"/>
        <v>0.17259799239611756</v>
      </c>
    </row>
    <row r="1446" spans="2:7" x14ac:dyDescent="0.25">
      <c r="B1446" s="98"/>
      <c r="F1446">
        <v>1442</v>
      </c>
      <c r="G1446" s="109">
        <f t="shared" ca="1" si="31"/>
        <v>7.3882885580238505E-2</v>
      </c>
    </row>
    <row r="1447" spans="2:7" x14ac:dyDescent="0.25">
      <c r="B1447" s="98"/>
      <c r="F1447">
        <v>1443</v>
      </c>
      <c r="G1447" s="109">
        <f t="shared" ca="1" si="31"/>
        <v>-7.1858200556822363E-2</v>
      </c>
    </row>
    <row r="1448" spans="2:7" x14ac:dyDescent="0.25">
      <c r="B1448" s="98"/>
      <c r="F1448">
        <v>1444</v>
      </c>
      <c r="G1448" s="109">
        <f t="shared" ca="1" si="31"/>
        <v>0.18120098203489321</v>
      </c>
    </row>
    <row r="1449" spans="2:7" x14ac:dyDescent="0.25">
      <c r="B1449" s="98"/>
      <c r="F1449">
        <v>1445</v>
      </c>
      <c r="G1449" s="109">
        <f t="shared" ca="1" si="31"/>
        <v>8.3729920288115114E-3</v>
      </c>
    </row>
    <row r="1450" spans="2:7" x14ac:dyDescent="0.25">
      <c r="B1450" s="98"/>
      <c r="F1450">
        <v>1446</v>
      </c>
      <c r="G1450" s="109">
        <f t="shared" ca="1" si="31"/>
        <v>0.14070086384978972</v>
      </c>
    </row>
    <row r="1451" spans="2:7" x14ac:dyDescent="0.25">
      <c r="B1451" s="98"/>
      <c r="F1451">
        <v>1447</v>
      </c>
      <c r="G1451" s="109">
        <f t="shared" ca="1" si="31"/>
        <v>-0.11030418739173546</v>
      </c>
    </row>
    <row r="1452" spans="2:7" x14ac:dyDescent="0.25">
      <c r="B1452" s="98"/>
      <c r="F1452">
        <v>1448</v>
      </c>
      <c r="G1452" s="109">
        <f t="shared" ca="1" si="31"/>
        <v>2.7007061815360767E-2</v>
      </c>
    </row>
    <row r="1453" spans="2:7" x14ac:dyDescent="0.25">
      <c r="B1453" s="98"/>
      <c r="F1453">
        <v>1449</v>
      </c>
      <c r="G1453" s="109">
        <f t="shared" ca="1" si="31"/>
        <v>9.6243983780723991E-3</v>
      </c>
    </row>
    <row r="1454" spans="2:7" x14ac:dyDescent="0.25">
      <c r="B1454" s="98"/>
      <c r="F1454">
        <v>1450</v>
      </c>
      <c r="G1454" s="109">
        <f t="shared" ca="1" si="31"/>
        <v>1.0778653956239045E-2</v>
      </c>
    </row>
    <row r="1455" spans="2:7" x14ac:dyDescent="0.25">
      <c r="B1455" s="98"/>
      <c r="F1455">
        <v>1451</v>
      </c>
      <c r="G1455" s="109">
        <f t="shared" ca="1" si="31"/>
        <v>4.0235155543901779E-3</v>
      </c>
    </row>
    <row r="1456" spans="2:7" x14ac:dyDescent="0.25">
      <c r="B1456" s="98"/>
      <c r="F1456">
        <v>1452</v>
      </c>
      <c r="G1456" s="109">
        <f t="shared" ca="1" si="31"/>
        <v>0.14311649350179401</v>
      </c>
    </row>
    <row r="1457" spans="2:7" x14ac:dyDescent="0.25">
      <c r="B1457" s="98"/>
      <c r="F1457">
        <v>1453</v>
      </c>
      <c r="G1457" s="109">
        <f t="shared" ca="1" si="31"/>
        <v>-0.17680701443201713</v>
      </c>
    </row>
    <row r="1458" spans="2:7" x14ac:dyDescent="0.25">
      <c r="B1458" s="98"/>
      <c r="F1458">
        <v>1454</v>
      </c>
      <c r="G1458" s="109">
        <f t="shared" ca="1" si="31"/>
        <v>-3.6387851162447055E-2</v>
      </c>
    </row>
    <row r="1459" spans="2:7" x14ac:dyDescent="0.25">
      <c r="B1459" s="98"/>
      <c r="F1459">
        <v>1455</v>
      </c>
      <c r="G1459" s="109">
        <f t="shared" ca="1" si="31"/>
        <v>-3.3699329642890019E-3</v>
      </c>
    </row>
    <row r="1460" spans="2:7" x14ac:dyDescent="0.25">
      <c r="B1460" s="98"/>
      <c r="F1460">
        <v>1456</v>
      </c>
      <c r="G1460" s="109">
        <f t="shared" ca="1" si="31"/>
        <v>6.001225783602164E-2</v>
      </c>
    </row>
    <row r="1461" spans="2:7" x14ac:dyDescent="0.25">
      <c r="B1461" s="98"/>
      <c r="F1461">
        <v>1457</v>
      </c>
      <c r="G1461" s="109">
        <f t="shared" ca="1" si="31"/>
        <v>2.6624246942423442E-2</v>
      </c>
    </row>
    <row r="1462" spans="2:7" x14ac:dyDescent="0.25">
      <c r="B1462" s="98"/>
      <c r="F1462">
        <v>1458</v>
      </c>
      <c r="G1462" s="109">
        <f t="shared" ca="1" si="31"/>
        <v>0.24005374894452181</v>
      </c>
    </row>
    <row r="1463" spans="2:7" x14ac:dyDescent="0.25">
      <c r="B1463" s="98"/>
      <c r="F1463">
        <v>1459</v>
      </c>
      <c r="G1463" s="109">
        <f t="shared" ca="1" si="31"/>
        <v>0.12982417314039019</v>
      </c>
    </row>
    <row r="1464" spans="2:7" x14ac:dyDescent="0.25">
      <c r="B1464" s="98"/>
      <c r="F1464">
        <v>1460</v>
      </c>
      <c r="G1464" s="109">
        <f t="shared" ca="1" si="31"/>
        <v>-2.8277773754820476E-2</v>
      </c>
    </row>
    <row r="1465" spans="2:7" x14ac:dyDescent="0.25">
      <c r="B1465" s="98"/>
      <c r="F1465">
        <v>1461</v>
      </c>
      <c r="G1465" s="109">
        <f t="shared" ca="1" si="31"/>
        <v>0.23005209491440354</v>
      </c>
    </row>
    <row r="1466" spans="2:7" x14ac:dyDescent="0.25">
      <c r="B1466" s="98"/>
      <c r="F1466">
        <v>1462</v>
      </c>
      <c r="G1466" s="109">
        <f t="shared" ca="1" si="31"/>
        <v>-6.0526771979832084E-2</v>
      </c>
    </row>
    <row r="1467" spans="2:7" x14ac:dyDescent="0.25">
      <c r="B1467" s="98"/>
      <c r="F1467">
        <v>1463</v>
      </c>
      <c r="G1467" s="109">
        <f t="shared" ca="1" si="31"/>
        <v>0.14990151859709572</v>
      </c>
    </row>
    <row r="1468" spans="2:7" x14ac:dyDescent="0.25">
      <c r="B1468" s="98"/>
      <c r="F1468">
        <v>1464</v>
      </c>
      <c r="G1468" s="109">
        <f t="shared" ca="1" si="31"/>
        <v>-6.7258269369561974E-2</v>
      </c>
    </row>
    <row r="1469" spans="2:7" x14ac:dyDescent="0.25">
      <c r="B1469" s="98"/>
      <c r="F1469">
        <v>1465</v>
      </c>
      <c r="G1469" s="109">
        <f t="shared" ca="1" si="31"/>
        <v>-0.12099632544882961</v>
      </c>
    </row>
    <row r="1470" spans="2:7" x14ac:dyDescent="0.25">
      <c r="B1470" s="98"/>
      <c r="F1470">
        <v>1466</v>
      </c>
      <c r="G1470" s="109">
        <f t="shared" ca="1" si="31"/>
        <v>9.5756714089043377E-2</v>
      </c>
    </row>
    <row r="1471" spans="2:7" x14ac:dyDescent="0.25">
      <c r="B1471" s="98"/>
      <c r="F1471">
        <v>1467</v>
      </c>
      <c r="G1471" s="109">
        <f t="shared" ca="1" si="31"/>
        <v>-0.12228901116303335</v>
      </c>
    </row>
    <row r="1472" spans="2:7" x14ac:dyDescent="0.25">
      <c r="B1472" s="98"/>
      <c r="F1472">
        <v>1468</v>
      </c>
      <c r="G1472" s="109">
        <f t="shared" ca="1" si="31"/>
        <v>0.16627244378885805</v>
      </c>
    </row>
    <row r="1473" spans="2:7" x14ac:dyDescent="0.25">
      <c r="B1473" s="98"/>
      <c r="F1473">
        <v>1469</v>
      </c>
      <c r="G1473" s="109">
        <f t="shared" ca="1" si="31"/>
        <v>-2.7943187082256599E-2</v>
      </c>
    </row>
    <row r="1474" spans="2:7" x14ac:dyDescent="0.25">
      <c r="B1474" s="98"/>
      <c r="F1474">
        <v>1470</v>
      </c>
      <c r="G1474" s="109">
        <f t="shared" ca="1" si="31"/>
        <v>4.8071517388870895E-2</v>
      </c>
    </row>
    <row r="1475" spans="2:7" x14ac:dyDescent="0.25">
      <c r="B1475" s="98"/>
      <c r="F1475">
        <v>1471</v>
      </c>
      <c r="G1475" s="109">
        <f t="shared" ca="1" si="31"/>
        <v>-0.21364637346729026</v>
      </c>
    </row>
    <row r="1476" spans="2:7" x14ac:dyDescent="0.25">
      <c r="B1476" s="98"/>
      <c r="F1476">
        <v>1472</v>
      </c>
      <c r="G1476" s="109">
        <f t="shared" ca="1" si="31"/>
        <v>-2.2016548748841666E-2</v>
      </c>
    </row>
    <row r="1477" spans="2:7" x14ac:dyDescent="0.25">
      <c r="B1477" s="98"/>
      <c r="F1477">
        <v>1473</v>
      </c>
      <c r="G1477" s="109">
        <f t="shared" ca="1" si="31"/>
        <v>2.8794492111940937E-2</v>
      </c>
    </row>
    <row r="1478" spans="2:7" x14ac:dyDescent="0.25">
      <c r="B1478" s="98"/>
      <c r="F1478">
        <v>1474</v>
      </c>
      <c r="G1478" s="109">
        <f t="shared" ref="G1478:G1541" ca="1" si="32">_xlfn.NORM.INV(RAND(),$M$5,$M$6)</f>
        <v>-2.5604433106282243E-2</v>
      </c>
    </row>
    <row r="1479" spans="2:7" x14ac:dyDescent="0.25">
      <c r="B1479" s="98"/>
      <c r="F1479">
        <v>1475</v>
      </c>
      <c r="G1479" s="109">
        <f t="shared" ca="1" si="32"/>
        <v>8.2116419859482231E-2</v>
      </c>
    </row>
    <row r="1480" spans="2:7" x14ac:dyDescent="0.25">
      <c r="B1480" s="98"/>
      <c r="F1480">
        <v>1476</v>
      </c>
      <c r="G1480" s="109">
        <f t="shared" ca="1" si="32"/>
        <v>0.276498868407837</v>
      </c>
    </row>
    <row r="1481" spans="2:7" x14ac:dyDescent="0.25">
      <c r="B1481" s="98"/>
      <c r="F1481">
        <v>1477</v>
      </c>
      <c r="G1481" s="109">
        <f t="shared" ca="1" si="32"/>
        <v>6.541343043630253E-2</v>
      </c>
    </row>
    <row r="1482" spans="2:7" x14ac:dyDescent="0.25">
      <c r="B1482" s="98"/>
      <c r="F1482">
        <v>1478</v>
      </c>
      <c r="G1482" s="109">
        <f t="shared" ca="1" si="32"/>
        <v>5.9686971977223398E-2</v>
      </c>
    </row>
    <row r="1483" spans="2:7" x14ac:dyDescent="0.25">
      <c r="B1483" s="98"/>
      <c r="F1483">
        <v>1479</v>
      </c>
      <c r="G1483" s="109">
        <f t="shared" ca="1" si="32"/>
        <v>1.2305958247181344E-2</v>
      </c>
    </row>
    <row r="1484" spans="2:7" x14ac:dyDescent="0.25">
      <c r="B1484" s="98"/>
      <c r="F1484">
        <v>1480</v>
      </c>
      <c r="G1484" s="109">
        <f t="shared" ca="1" si="32"/>
        <v>8.8251553048202341E-2</v>
      </c>
    </row>
    <row r="1485" spans="2:7" x14ac:dyDescent="0.25">
      <c r="B1485" s="98"/>
      <c r="F1485">
        <v>1481</v>
      </c>
      <c r="G1485" s="109">
        <f t="shared" ca="1" si="32"/>
        <v>-2.6133145462497384E-2</v>
      </c>
    </row>
    <row r="1486" spans="2:7" x14ac:dyDescent="0.25">
      <c r="B1486" s="98"/>
      <c r="F1486">
        <v>1482</v>
      </c>
      <c r="G1486" s="109">
        <f t="shared" ca="1" si="32"/>
        <v>8.7204614604320496E-2</v>
      </c>
    </row>
    <row r="1487" spans="2:7" x14ac:dyDescent="0.25">
      <c r="B1487" s="98"/>
      <c r="F1487">
        <v>1483</v>
      </c>
      <c r="G1487" s="109">
        <f t="shared" ca="1" si="32"/>
        <v>4.3031380170860473E-2</v>
      </c>
    </row>
    <row r="1488" spans="2:7" x14ac:dyDescent="0.25">
      <c r="B1488" s="98"/>
      <c r="F1488">
        <v>1484</v>
      </c>
      <c r="G1488" s="109">
        <f t="shared" ca="1" si="32"/>
        <v>8.5621179149934806E-2</v>
      </c>
    </row>
    <row r="1489" spans="2:7" x14ac:dyDescent="0.25">
      <c r="B1489" s="98"/>
      <c r="F1489">
        <v>1485</v>
      </c>
      <c r="G1489" s="109">
        <f t="shared" ca="1" si="32"/>
        <v>-0.13278734721675389</v>
      </c>
    </row>
    <row r="1490" spans="2:7" x14ac:dyDescent="0.25">
      <c r="B1490" s="98"/>
      <c r="F1490">
        <v>1486</v>
      </c>
      <c r="G1490" s="109">
        <f t="shared" ca="1" si="32"/>
        <v>0.25668232008836112</v>
      </c>
    </row>
    <row r="1491" spans="2:7" x14ac:dyDescent="0.25">
      <c r="B1491" s="98"/>
      <c r="F1491">
        <v>1487</v>
      </c>
      <c r="G1491" s="109">
        <f t="shared" ca="1" si="32"/>
        <v>5.7709445482629032E-2</v>
      </c>
    </row>
    <row r="1492" spans="2:7" x14ac:dyDescent="0.25">
      <c r="B1492" s="98"/>
      <c r="F1492">
        <v>1488</v>
      </c>
      <c r="G1492" s="109">
        <f t="shared" ca="1" si="32"/>
        <v>7.6636001291134181E-2</v>
      </c>
    </row>
    <row r="1493" spans="2:7" x14ac:dyDescent="0.25">
      <c r="B1493" s="98"/>
      <c r="F1493">
        <v>1489</v>
      </c>
      <c r="G1493" s="109">
        <f t="shared" ca="1" si="32"/>
        <v>-2.8858311386966568E-4</v>
      </c>
    </row>
    <row r="1494" spans="2:7" x14ac:dyDescent="0.25">
      <c r="B1494" s="98"/>
      <c r="F1494">
        <v>1490</v>
      </c>
      <c r="G1494" s="109">
        <f t="shared" ca="1" si="32"/>
        <v>8.8756829790158448E-2</v>
      </c>
    </row>
    <row r="1495" spans="2:7" x14ac:dyDescent="0.25">
      <c r="B1495" s="98"/>
      <c r="F1495">
        <v>1491</v>
      </c>
      <c r="G1495" s="109">
        <f t="shared" ca="1" si="32"/>
        <v>-1.1844030668376151E-2</v>
      </c>
    </row>
    <row r="1496" spans="2:7" x14ac:dyDescent="0.25">
      <c r="B1496" s="98"/>
      <c r="F1496">
        <v>1492</v>
      </c>
      <c r="G1496" s="109">
        <f t="shared" ca="1" si="32"/>
        <v>-7.2505449687877491E-2</v>
      </c>
    </row>
    <row r="1497" spans="2:7" x14ac:dyDescent="0.25">
      <c r="B1497" s="98"/>
      <c r="F1497">
        <v>1493</v>
      </c>
      <c r="G1497" s="109">
        <f t="shared" ca="1" si="32"/>
        <v>0.20642151707990314</v>
      </c>
    </row>
    <row r="1498" spans="2:7" x14ac:dyDescent="0.25">
      <c r="B1498" s="98"/>
      <c r="F1498">
        <v>1494</v>
      </c>
      <c r="G1498" s="109">
        <f t="shared" ca="1" si="32"/>
        <v>0.10498262234774272</v>
      </c>
    </row>
    <row r="1499" spans="2:7" x14ac:dyDescent="0.25">
      <c r="B1499" s="98"/>
      <c r="F1499">
        <v>1495</v>
      </c>
      <c r="G1499" s="109">
        <f t="shared" ca="1" si="32"/>
        <v>0.15701133233743819</v>
      </c>
    </row>
    <row r="1500" spans="2:7" x14ac:dyDescent="0.25">
      <c r="B1500" s="98"/>
      <c r="F1500">
        <v>1496</v>
      </c>
      <c r="G1500" s="109">
        <f t="shared" ca="1" si="32"/>
        <v>0.14266109619111209</v>
      </c>
    </row>
    <row r="1501" spans="2:7" x14ac:dyDescent="0.25">
      <c r="B1501" s="98"/>
      <c r="F1501">
        <v>1497</v>
      </c>
      <c r="G1501" s="109">
        <f t="shared" ca="1" si="32"/>
        <v>8.2243070173678712E-2</v>
      </c>
    </row>
    <row r="1502" spans="2:7" x14ac:dyDescent="0.25">
      <c r="B1502" s="98"/>
      <c r="F1502">
        <v>1498</v>
      </c>
      <c r="G1502" s="109">
        <f t="shared" ca="1" si="32"/>
        <v>6.7369482083004764E-2</v>
      </c>
    </row>
    <row r="1503" spans="2:7" x14ac:dyDescent="0.25">
      <c r="B1503" s="98"/>
      <c r="F1503">
        <v>1499</v>
      </c>
      <c r="G1503" s="109">
        <f t="shared" ca="1" si="32"/>
        <v>-6.6906638656334796E-2</v>
      </c>
    </row>
    <row r="1504" spans="2:7" x14ac:dyDescent="0.25">
      <c r="B1504" s="98"/>
      <c r="F1504">
        <v>1500</v>
      </c>
      <c r="G1504" s="109">
        <f t="shared" ca="1" si="32"/>
        <v>-2.283496972085701E-2</v>
      </c>
    </row>
    <row r="1505" spans="2:7" x14ac:dyDescent="0.25">
      <c r="B1505" s="98"/>
      <c r="F1505">
        <v>1501</v>
      </c>
      <c r="G1505" s="109">
        <f t="shared" ca="1" si="32"/>
        <v>9.6888276922728417E-2</v>
      </c>
    </row>
    <row r="1506" spans="2:7" x14ac:dyDescent="0.25">
      <c r="B1506" s="98"/>
      <c r="F1506">
        <v>1502</v>
      </c>
      <c r="G1506" s="109">
        <f t="shared" ca="1" si="32"/>
        <v>0.24911855134111954</v>
      </c>
    </row>
    <row r="1507" spans="2:7" x14ac:dyDescent="0.25">
      <c r="B1507" s="98"/>
      <c r="F1507">
        <v>1503</v>
      </c>
      <c r="G1507" s="109">
        <f t="shared" ca="1" si="32"/>
        <v>0.27311628224248602</v>
      </c>
    </row>
    <row r="1508" spans="2:7" x14ac:dyDescent="0.25">
      <c r="B1508" s="98"/>
      <c r="F1508">
        <v>1504</v>
      </c>
      <c r="G1508" s="109">
        <f t="shared" ca="1" si="32"/>
        <v>0.23124693243476585</v>
      </c>
    </row>
    <row r="1509" spans="2:7" x14ac:dyDescent="0.25">
      <c r="B1509" s="98"/>
      <c r="F1509">
        <v>1505</v>
      </c>
      <c r="G1509" s="109">
        <f t="shared" ca="1" si="32"/>
        <v>-3.878600298833737E-2</v>
      </c>
    </row>
    <row r="1510" spans="2:7" x14ac:dyDescent="0.25">
      <c r="B1510" s="98"/>
      <c r="F1510">
        <v>1506</v>
      </c>
      <c r="G1510" s="109">
        <f t="shared" ca="1" si="32"/>
        <v>1.1845352008986058E-2</v>
      </c>
    </row>
    <row r="1511" spans="2:7" x14ac:dyDescent="0.25">
      <c r="B1511" s="98"/>
      <c r="F1511">
        <v>1507</v>
      </c>
      <c r="G1511" s="109">
        <f t="shared" ca="1" si="32"/>
        <v>-4.0698946789084325E-2</v>
      </c>
    </row>
    <row r="1512" spans="2:7" x14ac:dyDescent="0.25">
      <c r="B1512" s="98"/>
      <c r="F1512">
        <v>1508</v>
      </c>
      <c r="G1512" s="109">
        <f t="shared" ca="1" si="32"/>
        <v>7.8519959745842638E-2</v>
      </c>
    </row>
    <row r="1513" spans="2:7" x14ac:dyDescent="0.25">
      <c r="B1513" s="98"/>
      <c r="F1513">
        <v>1509</v>
      </c>
      <c r="G1513" s="109">
        <f t="shared" ca="1" si="32"/>
        <v>-4.2543122706895573E-3</v>
      </c>
    </row>
    <row r="1514" spans="2:7" x14ac:dyDescent="0.25">
      <c r="B1514" s="98"/>
      <c r="F1514">
        <v>1510</v>
      </c>
      <c r="G1514" s="109">
        <f t="shared" ca="1" si="32"/>
        <v>3.6376739031146556E-2</v>
      </c>
    </row>
    <row r="1515" spans="2:7" x14ac:dyDescent="0.25">
      <c r="B1515" s="98"/>
      <c r="F1515">
        <v>1511</v>
      </c>
      <c r="G1515" s="109">
        <f t="shared" ca="1" si="32"/>
        <v>-9.3195534393340121E-2</v>
      </c>
    </row>
    <row r="1516" spans="2:7" x14ac:dyDescent="0.25">
      <c r="B1516" s="98"/>
      <c r="F1516">
        <v>1512</v>
      </c>
      <c r="G1516" s="109">
        <f t="shared" ca="1" si="32"/>
        <v>-7.2629292485160257E-2</v>
      </c>
    </row>
    <row r="1517" spans="2:7" x14ac:dyDescent="0.25">
      <c r="B1517" s="98"/>
      <c r="F1517">
        <v>1513</v>
      </c>
      <c r="G1517" s="109">
        <f t="shared" ca="1" si="32"/>
        <v>0.21133068151814211</v>
      </c>
    </row>
    <row r="1518" spans="2:7" x14ac:dyDescent="0.25">
      <c r="B1518" s="98"/>
      <c r="F1518">
        <v>1514</v>
      </c>
      <c r="G1518" s="109">
        <f t="shared" ca="1" si="32"/>
        <v>3.9057423314239628E-2</v>
      </c>
    </row>
    <row r="1519" spans="2:7" x14ac:dyDescent="0.25">
      <c r="B1519" s="98"/>
      <c r="F1519">
        <v>1515</v>
      </c>
      <c r="G1519" s="109">
        <f t="shared" ca="1" si="32"/>
        <v>0.11272777118669693</v>
      </c>
    </row>
    <row r="1520" spans="2:7" x14ac:dyDescent="0.25">
      <c r="B1520" s="98"/>
      <c r="F1520">
        <v>1516</v>
      </c>
      <c r="G1520" s="109">
        <f t="shared" ca="1" si="32"/>
        <v>-0.12049908743784173</v>
      </c>
    </row>
    <row r="1521" spans="2:7" x14ac:dyDescent="0.25">
      <c r="B1521" s="98"/>
      <c r="F1521">
        <v>1517</v>
      </c>
      <c r="G1521" s="109">
        <f t="shared" ca="1" si="32"/>
        <v>3.9820527253418593E-2</v>
      </c>
    </row>
    <row r="1522" spans="2:7" x14ac:dyDescent="0.25">
      <c r="B1522" s="98"/>
      <c r="F1522">
        <v>1518</v>
      </c>
      <c r="G1522" s="109">
        <f t="shared" ca="1" si="32"/>
        <v>-1.9150376853037637E-2</v>
      </c>
    </row>
    <row r="1523" spans="2:7" x14ac:dyDescent="0.25">
      <c r="B1523" s="98"/>
      <c r="F1523">
        <v>1519</v>
      </c>
      <c r="G1523" s="109">
        <f t="shared" ca="1" si="32"/>
        <v>7.2752604229497156E-3</v>
      </c>
    </row>
    <row r="1524" spans="2:7" x14ac:dyDescent="0.25">
      <c r="B1524" s="98"/>
      <c r="F1524">
        <v>1520</v>
      </c>
      <c r="G1524" s="109">
        <f t="shared" ca="1" si="32"/>
        <v>8.5216880189107821E-2</v>
      </c>
    </row>
    <row r="1525" spans="2:7" x14ac:dyDescent="0.25">
      <c r="B1525" s="98"/>
      <c r="F1525">
        <v>1521</v>
      </c>
      <c r="G1525" s="109">
        <f t="shared" ca="1" si="32"/>
        <v>0.22027083652347229</v>
      </c>
    </row>
    <row r="1526" spans="2:7" x14ac:dyDescent="0.25">
      <c r="B1526" s="98"/>
      <c r="F1526">
        <v>1522</v>
      </c>
      <c r="G1526" s="109">
        <f t="shared" ca="1" si="32"/>
        <v>0.11044215226165324</v>
      </c>
    </row>
    <row r="1527" spans="2:7" x14ac:dyDescent="0.25">
      <c r="B1527" s="98"/>
      <c r="F1527">
        <v>1523</v>
      </c>
      <c r="G1527" s="109">
        <f t="shared" ca="1" si="32"/>
        <v>-0.10288552223153406</v>
      </c>
    </row>
    <row r="1528" spans="2:7" x14ac:dyDescent="0.25">
      <c r="B1528" s="98"/>
      <c r="F1528">
        <v>1524</v>
      </c>
      <c r="G1528" s="109">
        <f t="shared" ca="1" si="32"/>
        <v>1.9771811910419584E-2</v>
      </c>
    </row>
    <row r="1529" spans="2:7" x14ac:dyDescent="0.25">
      <c r="B1529" s="98"/>
      <c r="F1529">
        <v>1525</v>
      </c>
      <c r="G1529" s="109">
        <f t="shared" ca="1" si="32"/>
        <v>-0.19906644725721356</v>
      </c>
    </row>
    <row r="1530" spans="2:7" x14ac:dyDescent="0.25">
      <c r="B1530" s="98"/>
      <c r="F1530">
        <v>1526</v>
      </c>
      <c r="G1530" s="109">
        <f t="shared" ca="1" si="32"/>
        <v>-3.8951656384657529E-2</v>
      </c>
    </row>
    <row r="1531" spans="2:7" x14ac:dyDescent="0.25">
      <c r="B1531" s="98"/>
      <c r="F1531">
        <v>1527</v>
      </c>
      <c r="G1531" s="109">
        <f t="shared" ca="1" si="32"/>
        <v>6.8588481521299927E-2</v>
      </c>
    </row>
    <row r="1532" spans="2:7" x14ac:dyDescent="0.25">
      <c r="B1532" s="98"/>
      <c r="F1532">
        <v>1528</v>
      </c>
      <c r="G1532" s="109">
        <f t="shared" ca="1" si="32"/>
        <v>-3.0380316199157695E-2</v>
      </c>
    </row>
    <row r="1533" spans="2:7" x14ac:dyDescent="0.25">
      <c r="B1533" s="98"/>
      <c r="F1533">
        <v>1529</v>
      </c>
      <c r="G1533" s="109">
        <f t="shared" ca="1" si="32"/>
        <v>-0.16206728468513232</v>
      </c>
    </row>
    <row r="1534" spans="2:7" x14ac:dyDescent="0.25">
      <c r="B1534" s="98"/>
      <c r="F1534">
        <v>1530</v>
      </c>
      <c r="G1534" s="109">
        <f t="shared" ca="1" si="32"/>
        <v>0.22295404280904885</v>
      </c>
    </row>
    <row r="1535" spans="2:7" x14ac:dyDescent="0.25">
      <c r="B1535" s="98"/>
      <c r="F1535">
        <v>1531</v>
      </c>
      <c r="G1535" s="109">
        <f t="shared" ca="1" si="32"/>
        <v>0.10089078751214801</v>
      </c>
    </row>
    <row r="1536" spans="2:7" x14ac:dyDescent="0.25">
      <c r="B1536" s="98"/>
      <c r="F1536">
        <v>1532</v>
      </c>
      <c r="G1536" s="109">
        <f t="shared" ca="1" si="32"/>
        <v>0.22907839784092071</v>
      </c>
    </row>
    <row r="1537" spans="2:7" x14ac:dyDescent="0.25">
      <c r="B1537" s="98"/>
      <c r="F1537">
        <v>1533</v>
      </c>
      <c r="G1537" s="109">
        <f t="shared" ca="1" si="32"/>
        <v>3.6721957546476641E-2</v>
      </c>
    </row>
    <row r="1538" spans="2:7" x14ac:dyDescent="0.25">
      <c r="B1538" s="98"/>
      <c r="F1538">
        <v>1534</v>
      </c>
      <c r="G1538" s="109">
        <f t="shared" ca="1" si="32"/>
        <v>-3.6375909286513686E-2</v>
      </c>
    </row>
    <row r="1539" spans="2:7" x14ac:dyDescent="0.25">
      <c r="B1539" s="98"/>
      <c r="F1539">
        <v>1535</v>
      </c>
      <c r="G1539" s="109">
        <f t="shared" ca="1" si="32"/>
        <v>0.15768065338206078</v>
      </c>
    </row>
    <row r="1540" spans="2:7" x14ac:dyDescent="0.25">
      <c r="B1540" s="98"/>
      <c r="F1540">
        <v>1536</v>
      </c>
      <c r="G1540" s="109">
        <f t="shared" ca="1" si="32"/>
        <v>-0.13436257550665948</v>
      </c>
    </row>
    <row r="1541" spans="2:7" x14ac:dyDescent="0.25">
      <c r="B1541" s="98"/>
      <c r="F1541">
        <v>1537</v>
      </c>
      <c r="G1541" s="109">
        <f t="shared" ca="1" si="32"/>
        <v>0.36554734156938373</v>
      </c>
    </row>
    <row r="1542" spans="2:7" x14ac:dyDescent="0.25">
      <c r="B1542" s="98"/>
      <c r="F1542">
        <v>1538</v>
      </c>
      <c r="G1542" s="109">
        <f t="shared" ref="G1542:G1605" ca="1" si="33">_xlfn.NORM.INV(RAND(),$M$5,$M$6)</f>
        <v>4.8654060697683903E-2</v>
      </c>
    </row>
    <row r="1543" spans="2:7" x14ac:dyDescent="0.25">
      <c r="B1543" s="98"/>
      <c r="F1543">
        <v>1539</v>
      </c>
      <c r="G1543" s="109">
        <f t="shared" ca="1" si="33"/>
        <v>0.23272112582330917</v>
      </c>
    </row>
    <row r="1544" spans="2:7" x14ac:dyDescent="0.25">
      <c r="B1544" s="98"/>
      <c r="F1544">
        <v>1540</v>
      </c>
      <c r="G1544" s="109">
        <f t="shared" ca="1" si="33"/>
        <v>0.16771899774260662</v>
      </c>
    </row>
    <row r="1545" spans="2:7" x14ac:dyDescent="0.25">
      <c r="B1545" s="98"/>
      <c r="F1545">
        <v>1541</v>
      </c>
      <c r="G1545" s="109">
        <f t="shared" ca="1" si="33"/>
        <v>0.15622806990086124</v>
      </c>
    </row>
    <row r="1546" spans="2:7" x14ac:dyDescent="0.25">
      <c r="B1546" s="98"/>
      <c r="F1546">
        <v>1542</v>
      </c>
      <c r="G1546" s="109">
        <f t="shared" ca="1" si="33"/>
        <v>5.9504002496165581E-3</v>
      </c>
    </row>
    <row r="1547" spans="2:7" x14ac:dyDescent="0.25">
      <c r="B1547" s="98"/>
      <c r="F1547">
        <v>1543</v>
      </c>
      <c r="G1547" s="109">
        <f t="shared" ca="1" si="33"/>
        <v>4.0858812680440892E-2</v>
      </c>
    </row>
    <row r="1548" spans="2:7" x14ac:dyDescent="0.25">
      <c r="B1548" s="98"/>
      <c r="F1548">
        <v>1544</v>
      </c>
      <c r="G1548" s="109">
        <f t="shared" ca="1" si="33"/>
        <v>-1.9062029529149302E-2</v>
      </c>
    </row>
    <row r="1549" spans="2:7" x14ac:dyDescent="0.25">
      <c r="B1549" s="98"/>
      <c r="F1549">
        <v>1545</v>
      </c>
      <c r="G1549" s="109">
        <f t="shared" ca="1" si="33"/>
        <v>-9.0357214993415827E-2</v>
      </c>
    </row>
    <row r="1550" spans="2:7" x14ac:dyDescent="0.25">
      <c r="B1550" s="98"/>
      <c r="F1550">
        <v>1546</v>
      </c>
      <c r="G1550" s="109">
        <f t="shared" ca="1" si="33"/>
        <v>0.12079469181795413</v>
      </c>
    </row>
    <row r="1551" spans="2:7" x14ac:dyDescent="0.25">
      <c r="B1551" s="98"/>
      <c r="F1551">
        <v>1547</v>
      </c>
      <c r="G1551" s="109">
        <f t="shared" ca="1" si="33"/>
        <v>-4.3907251284139387E-2</v>
      </c>
    </row>
    <row r="1552" spans="2:7" x14ac:dyDescent="0.25">
      <c r="B1552" s="98"/>
      <c r="F1552">
        <v>1548</v>
      </c>
      <c r="G1552" s="109">
        <f t="shared" ca="1" si="33"/>
        <v>0.11350572990734113</v>
      </c>
    </row>
    <row r="1553" spans="2:7" x14ac:dyDescent="0.25">
      <c r="B1553" s="98"/>
      <c r="F1553">
        <v>1549</v>
      </c>
      <c r="G1553" s="109">
        <f t="shared" ca="1" si="33"/>
        <v>2.8392943249270483E-2</v>
      </c>
    </row>
    <row r="1554" spans="2:7" x14ac:dyDescent="0.25">
      <c r="B1554" s="98"/>
      <c r="F1554">
        <v>1550</v>
      </c>
      <c r="G1554" s="109">
        <f t="shared" ca="1" si="33"/>
        <v>0.10271409948152697</v>
      </c>
    </row>
    <row r="1555" spans="2:7" x14ac:dyDescent="0.25">
      <c r="B1555" s="98"/>
      <c r="F1555">
        <v>1551</v>
      </c>
      <c r="G1555" s="109">
        <f t="shared" ca="1" si="33"/>
        <v>0.23174539623509377</v>
      </c>
    </row>
    <row r="1556" spans="2:7" x14ac:dyDescent="0.25">
      <c r="B1556" s="98"/>
      <c r="F1556">
        <v>1552</v>
      </c>
      <c r="G1556" s="109">
        <f t="shared" ca="1" si="33"/>
        <v>8.6117974815351522E-2</v>
      </c>
    </row>
    <row r="1557" spans="2:7" x14ac:dyDescent="0.25">
      <c r="B1557" s="98"/>
      <c r="F1557">
        <v>1553</v>
      </c>
      <c r="G1557" s="109">
        <f t="shared" ca="1" si="33"/>
        <v>0.11245975241783297</v>
      </c>
    </row>
    <row r="1558" spans="2:7" x14ac:dyDescent="0.25">
      <c r="B1558" s="98"/>
      <c r="F1558">
        <v>1554</v>
      </c>
      <c r="G1558" s="109">
        <f t="shared" ca="1" si="33"/>
        <v>0.13367559142836777</v>
      </c>
    </row>
    <row r="1559" spans="2:7" x14ac:dyDescent="0.25">
      <c r="B1559" s="98"/>
      <c r="F1559">
        <v>1555</v>
      </c>
      <c r="G1559" s="109">
        <f t="shared" ca="1" si="33"/>
        <v>-1.2952061048570419E-2</v>
      </c>
    </row>
    <row r="1560" spans="2:7" x14ac:dyDescent="0.25">
      <c r="B1560" s="98"/>
      <c r="F1560">
        <v>1556</v>
      </c>
      <c r="G1560" s="109">
        <f t="shared" ca="1" si="33"/>
        <v>1.0466924627444862E-2</v>
      </c>
    </row>
    <row r="1561" spans="2:7" x14ac:dyDescent="0.25">
      <c r="B1561" s="98"/>
      <c r="F1561">
        <v>1557</v>
      </c>
      <c r="G1561" s="109">
        <f t="shared" ca="1" si="33"/>
        <v>0.11174850151061033</v>
      </c>
    </row>
    <row r="1562" spans="2:7" x14ac:dyDescent="0.25">
      <c r="B1562" s="98"/>
      <c r="F1562">
        <v>1558</v>
      </c>
      <c r="G1562" s="109">
        <f t="shared" ca="1" si="33"/>
        <v>0.17951956973114497</v>
      </c>
    </row>
    <row r="1563" spans="2:7" x14ac:dyDescent="0.25">
      <c r="B1563" s="98"/>
      <c r="F1563">
        <v>1559</v>
      </c>
      <c r="G1563" s="109">
        <f t="shared" ca="1" si="33"/>
        <v>7.2146253211845215E-2</v>
      </c>
    </row>
    <row r="1564" spans="2:7" x14ac:dyDescent="0.25">
      <c r="B1564" s="98"/>
      <c r="F1564">
        <v>1560</v>
      </c>
      <c r="G1564" s="109">
        <f t="shared" ca="1" si="33"/>
        <v>-2.4661074556388343E-2</v>
      </c>
    </row>
    <row r="1565" spans="2:7" x14ac:dyDescent="0.25">
      <c r="B1565" s="98"/>
      <c r="F1565">
        <v>1561</v>
      </c>
      <c r="G1565" s="109">
        <f t="shared" ca="1" si="33"/>
        <v>-4.7263017680438557E-2</v>
      </c>
    </row>
    <row r="1566" spans="2:7" x14ac:dyDescent="0.25">
      <c r="B1566" s="98"/>
      <c r="F1566">
        <v>1562</v>
      </c>
      <c r="G1566" s="109">
        <f t="shared" ca="1" si="33"/>
        <v>-1.8171434568081637E-2</v>
      </c>
    </row>
    <row r="1567" spans="2:7" x14ac:dyDescent="0.25">
      <c r="B1567" s="98"/>
      <c r="F1567">
        <v>1563</v>
      </c>
      <c r="G1567" s="109">
        <f t="shared" ca="1" si="33"/>
        <v>-9.27443162623557E-2</v>
      </c>
    </row>
    <row r="1568" spans="2:7" x14ac:dyDescent="0.25">
      <c r="B1568" s="98"/>
      <c r="F1568">
        <v>1564</v>
      </c>
      <c r="G1568" s="109">
        <f t="shared" ca="1" si="33"/>
        <v>-8.1076376321101859E-2</v>
      </c>
    </row>
    <row r="1569" spans="2:7" x14ac:dyDescent="0.25">
      <c r="B1569" s="98"/>
      <c r="F1569">
        <v>1565</v>
      </c>
      <c r="G1569" s="109">
        <f t="shared" ca="1" si="33"/>
        <v>0.12880144144003525</v>
      </c>
    </row>
    <row r="1570" spans="2:7" x14ac:dyDescent="0.25">
      <c r="B1570" s="98"/>
      <c r="F1570">
        <v>1566</v>
      </c>
      <c r="G1570" s="109">
        <f t="shared" ca="1" si="33"/>
        <v>5.84497968684137E-2</v>
      </c>
    </row>
    <row r="1571" spans="2:7" x14ac:dyDescent="0.25">
      <c r="B1571" s="98"/>
      <c r="F1571">
        <v>1567</v>
      </c>
      <c r="G1571" s="109">
        <f t="shared" ca="1" si="33"/>
        <v>2.6296143584303225E-3</v>
      </c>
    </row>
    <row r="1572" spans="2:7" x14ac:dyDescent="0.25">
      <c r="B1572" s="98"/>
      <c r="F1572">
        <v>1568</v>
      </c>
      <c r="G1572" s="109">
        <f t="shared" ca="1" si="33"/>
        <v>8.852947156320376E-2</v>
      </c>
    </row>
    <row r="1573" spans="2:7" x14ac:dyDescent="0.25">
      <c r="B1573" s="98"/>
      <c r="F1573">
        <v>1569</v>
      </c>
      <c r="G1573" s="109">
        <f t="shared" ca="1" si="33"/>
        <v>7.9183234148125392E-2</v>
      </c>
    </row>
    <row r="1574" spans="2:7" x14ac:dyDescent="0.25">
      <c r="B1574" s="98"/>
      <c r="F1574">
        <v>1570</v>
      </c>
      <c r="G1574" s="109">
        <f t="shared" ca="1" si="33"/>
        <v>0.11092932802837259</v>
      </c>
    </row>
    <row r="1575" spans="2:7" x14ac:dyDescent="0.25">
      <c r="B1575" s="98"/>
      <c r="F1575">
        <v>1571</v>
      </c>
      <c r="G1575" s="109">
        <f t="shared" ca="1" si="33"/>
        <v>-2.552240537051341E-2</v>
      </c>
    </row>
    <row r="1576" spans="2:7" x14ac:dyDescent="0.25">
      <c r="B1576" s="98"/>
      <c r="F1576">
        <v>1572</v>
      </c>
      <c r="G1576" s="109">
        <f t="shared" ca="1" si="33"/>
        <v>8.3302095654407202E-3</v>
      </c>
    </row>
    <row r="1577" spans="2:7" x14ac:dyDescent="0.25">
      <c r="B1577" s="98"/>
      <c r="F1577">
        <v>1573</v>
      </c>
      <c r="G1577" s="109">
        <f t="shared" ca="1" si="33"/>
        <v>-0.11990131763312616</v>
      </c>
    </row>
    <row r="1578" spans="2:7" x14ac:dyDescent="0.25">
      <c r="B1578" s="98"/>
      <c r="F1578">
        <v>1574</v>
      </c>
      <c r="G1578" s="109">
        <f t="shared" ca="1" si="33"/>
        <v>-9.1998830484566793E-2</v>
      </c>
    </row>
    <row r="1579" spans="2:7" x14ac:dyDescent="0.25">
      <c r="B1579" s="98"/>
      <c r="F1579">
        <v>1575</v>
      </c>
      <c r="G1579" s="109">
        <f t="shared" ca="1" si="33"/>
        <v>2.9908725520771628E-2</v>
      </c>
    </row>
    <row r="1580" spans="2:7" x14ac:dyDescent="0.25">
      <c r="B1580" s="98"/>
      <c r="F1580">
        <v>1576</v>
      </c>
      <c r="G1580" s="109">
        <f t="shared" ca="1" si="33"/>
        <v>0.32338070245646905</v>
      </c>
    </row>
    <row r="1581" spans="2:7" x14ac:dyDescent="0.25">
      <c r="B1581" s="98"/>
      <c r="F1581">
        <v>1577</v>
      </c>
      <c r="G1581" s="109">
        <f t="shared" ca="1" si="33"/>
        <v>0.18235531474025218</v>
      </c>
    </row>
    <row r="1582" spans="2:7" x14ac:dyDescent="0.25">
      <c r="B1582" s="98"/>
      <c r="F1582">
        <v>1578</v>
      </c>
      <c r="G1582" s="109">
        <f t="shared" ca="1" si="33"/>
        <v>2.6357644201384593E-2</v>
      </c>
    </row>
    <row r="1583" spans="2:7" x14ac:dyDescent="0.25">
      <c r="B1583" s="98"/>
      <c r="F1583">
        <v>1579</v>
      </c>
      <c r="G1583" s="109">
        <f t="shared" ca="1" si="33"/>
        <v>5.6316771698670144E-2</v>
      </c>
    </row>
    <row r="1584" spans="2:7" x14ac:dyDescent="0.25">
      <c r="B1584" s="98"/>
      <c r="F1584">
        <v>1580</v>
      </c>
      <c r="G1584" s="109">
        <f t="shared" ca="1" si="33"/>
        <v>-0.17841626713822306</v>
      </c>
    </row>
    <row r="1585" spans="2:7" x14ac:dyDescent="0.25">
      <c r="B1585" s="98"/>
      <c r="F1585">
        <v>1581</v>
      </c>
      <c r="G1585" s="109">
        <f t="shared" ca="1" si="33"/>
        <v>0.10967123777780451</v>
      </c>
    </row>
    <row r="1586" spans="2:7" x14ac:dyDescent="0.25">
      <c r="B1586" s="98"/>
      <c r="F1586">
        <v>1582</v>
      </c>
      <c r="G1586" s="109">
        <f t="shared" ca="1" si="33"/>
        <v>7.6543980801736342E-2</v>
      </c>
    </row>
    <row r="1587" spans="2:7" x14ac:dyDescent="0.25">
      <c r="B1587" s="98"/>
      <c r="F1587">
        <v>1583</v>
      </c>
      <c r="G1587" s="109">
        <f t="shared" ca="1" si="33"/>
        <v>6.7507218437034888E-2</v>
      </c>
    </row>
    <row r="1588" spans="2:7" x14ac:dyDescent="0.25">
      <c r="B1588" s="98"/>
      <c r="F1588">
        <v>1584</v>
      </c>
      <c r="G1588" s="109">
        <f t="shared" ca="1" si="33"/>
        <v>0.27354996640666868</v>
      </c>
    </row>
    <row r="1589" spans="2:7" x14ac:dyDescent="0.25">
      <c r="B1589" s="98"/>
      <c r="F1589">
        <v>1585</v>
      </c>
      <c r="G1589" s="109">
        <f t="shared" ca="1" si="33"/>
        <v>-1.9068267912741216E-2</v>
      </c>
    </row>
    <row r="1590" spans="2:7" x14ac:dyDescent="0.25">
      <c r="B1590" s="98"/>
      <c r="F1590">
        <v>1586</v>
      </c>
      <c r="G1590" s="109">
        <f t="shared" ca="1" si="33"/>
        <v>6.5852575251855047E-2</v>
      </c>
    </row>
    <row r="1591" spans="2:7" x14ac:dyDescent="0.25">
      <c r="B1591" s="98"/>
      <c r="F1591">
        <v>1587</v>
      </c>
      <c r="G1591" s="109">
        <f t="shared" ca="1" si="33"/>
        <v>-3.0907110435131571E-2</v>
      </c>
    </row>
    <row r="1592" spans="2:7" x14ac:dyDescent="0.25">
      <c r="B1592" s="98"/>
      <c r="F1592">
        <v>1588</v>
      </c>
      <c r="G1592" s="109">
        <f t="shared" ca="1" si="33"/>
        <v>0.17132964221055486</v>
      </c>
    </row>
    <row r="1593" spans="2:7" x14ac:dyDescent="0.25">
      <c r="B1593" s="98"/>
      <c r="F1593">
        <v>1589</v>
      </c>
      <c r="G1593" s="109">
        <f t="shared" ca="1" si="33"/>
        <v>0.11195660261253619</v>
      </c>
    </row>
    <row r="1594" spans="2:7" x14ac:dyDescent="0.25">
      <c r="B1594" s="98"/>
      <c r="F1594">
        <v>1590</v>
      </c>
      <c r="G1594" s="109">
        <f t="shared" ca="1" si="33"/>
        <v>-7.6901129624515549E-2</v>
      </c>
    </row>
    <row r="1595" spans="2:7" x14ac:dyDescent="0.25">
      <c r="B1595" s="98"/>
      <c r="F1595">
        <v>1591</v>
      </c>
      <c r="G1595" s="109">
        <f t="shared" ca="1" si="33"/>
        <v>-0.10381951558466497</v>
      </c>
    </row>
    <row r="1596" spans="2:7" x14ac:dyDescent="0.25">
      <c r="B1596" s="98"/>
      <c r="F1596">
        <v>1592</v>
      </c>
      <c r="G1596" s="109">
        <f t="shared" ca="1" si="33"/>
        <v>-4.0838807346436523E-2</v>
      </c>
    </row>
    <row r="1597" spans="2:7" x14ac:dyDescent="0.25">
      <c r="B1597" s="98"/>
      <c r="F1597">
        <v>1593</v>
      </c>
      <c r="G1597" s="109">
        <f t="shared" ca="1" si="33"/>
        <v>2.5444974046173924E-2</v>
      </c>
    </row>
    <row r="1598" spans="2:7" x14ac:dyDescent="0.25">
      <c r="B1598" s="98"/>
      <c r="F1598">
        <v>1594</v>
      </c>
      <c r="G1598" s="109">
        <f t="shared" ca="1" si="33"/>
        <v>-0.31095707696604952</v>
      </c>
    </row>
    <row r="1599" spans="2:7" x14ac:dyDescent="0.25">
      <c r="B1599" s="98"/>
      <c r="F1599">
        <v>1595</v>
      </c>
      <c r="G1599" s="109">
        <f t="shared" ca="1" si="33"/>
        <v>-5.441932125931781E-2</v>
      </c>
    </row>
    <row r="1600" spans="2:7" x14ac:dyDescent="0.25">
      <c r="B1600" s="98"/>
      <c r="F1600">
        <v>1596</v>
      </c>
      <c r="G1600" s="109">
        <f t="shared" ca="1" si="33"/>
        <v>0.22371088483436979</v>
      </c>
    </row>
    <row r="1601" spans="2:7" x14ac:dyDescent="0.25">
      <c r="B1601" s="98"/>
      <c r="F1601">
        <v>1597</v>
      </c>
      <c r="G1601" s="109">
        <f t="shared" ca="1" si="33"/>
        <v>0.11147351780443804</v>
      </c>
    </row>
    <row r="1602" spans="2:7" x14ac:dyDescent="0.25">
      <c r="B1602" s="98"/>
      <c r="F1602">
        <v>1598</v>
      </c>
      <c r="G1602" s="109">
        <f t="shared" ca="1" si="33"/>
        <v>3.6680406677280966E-2</v>
      </c>
    </row>
    <row r="1603" spans="2:7" x14ac:dyDescent="0.25">
      <c r="B1603" s="98"/>
      <c r="F1603">
        <v>1599</v>
      </c>
      <c r="G1603" s="109">
        <f t="shared" ca="1" si="33"/>
        <v>-0.12651702181381769</v>
      </c>
    </row>
    <row r="1604" spans="2:7" x14ac:dyDescent="0.25">
      <c r="B1604" s="98"/>
      <c r="F1604">
        <v>1600</v>
      </c>
      <c r="G1604" s="109">
        <f t="shared" ca="1" si="33"/>
        <v>9.2288506074186705E-2</v>
      </c>
    </row>
    <row r="1605" spans="2:7" x14ac:dyDescent="0.25">
      <c r="B1605" s="98"/>
      <c r="F1605">
        <v>1601</v>
      </c>
      <c r="G1605" s="109">
        <f t="shared" ca="1" si="33"/>
        <v>0.22306256132246638</v>
      </c>
    </row>
    <row r="1606" spans="2:7" x14ac:dyDescent="0.25">
      <c r="B1606" s="98"/>
      <c r="F1606">
        <v>1602</v>
      </c>
      <c r="G1606" s="109">
        <f t="shared" ref="G1606:G1669" ca="1" si="34">_xlfn.NORM.INV(RAND(),$M$5,$M$6)</f>
        <v>9.3488680930438856E-2</v>
      </c>
    </row>
    <row r="1607" spans="2:7" x14ac:dyDescent="0.25">
      <c r="B1607" s="98"/>
      <c r="F1607">
        <v>1603</v>
      </c>
      <c r="G1607" s="109">
        <f t="shared" ca="1" si="34"/>
        <v>6.4469774979733441E-2</v>
      </c>
    </row>
    <row r="1608" spans="2:7" x14ac:dyDescent="0.25">
      <c r="B1608" s="98"/>
      <c r="F1608">
        <v>1604</v>
      </c>
      <c r="G1608" s="109">
        <f t="shared" ca="1" si="34"/>
        <v>0.14737896278677268</v>
      </c>
    </row>
    <row r="1609" spans="2:7" x14ac:dyDescent="0.25">
      <c r="B1609" s="98"/>
      <c r="F1609">
        <v>1605</v>
      </c>
      <c r="G1609" s="109">
        <f t="shared" ca="1" si="34"/>
        <v>3.2296188810186893E-2</v>
      </c>
    </row>
    <row r="1610" spans="2:7" x14ac:dyDescent="0.25">
      <c r="B1610" s="98"/>
      <c r="F1610">
        <v>1606</v>
      </c>
      <c r="G1610" s="109">
        <f t="shared" ca="1" si="34"/>
        <v>7.5637416123787993E-2</v>
      </c>
    </row>
    <row r="1611" spans="2:7" x14ac:dyDescent="0.25">
      <c r="B1611" s="98"/>
      <c r="F1611">
        <v>1607</v>
      </c>
      <c r="G1611" s="109">
        <f t="shared" ca="1" si="34"/>
        <v>0.13042298299467381</v>
      </c>
    </row>
    <row r="1612" spans="2:7" x14ac:dyDescent="0.25">
      <c r="B1612" s="98"/>
      <c r="F1612">
        <v>1608</v>
      </c>
      <c r="G1612" s="109">
        <f t="shared" ca="1" si="34"/>
        <v>-0.10351088341982902</v>
      </c>
    </row>
    <row r="1613" spans="2:7" x14ac:dyDescent="0.25">
      <c r="B1613" s="98"/>
      <c r="F1613">
        <v>1609</v>
      </c>
      <c r="G1613" s="109">
        <f t="shared" ca="1" si="34"/>
        <v>0.16115694104532999</v>
      </c>
    </row>
    <row r="1614" spans="2:7" x14ac:dyDescent="0.25">
      <c r="B1614" s="98"/>
      <c r="F1614">
        <v>1610</v>
      </c>
      <c r="G1614" s="109">
        <f t="shared" ca="1" si="34"/>
        <v>-4.8559539668404511E-3</v>
      </c>
    </row>
    <row r="1615" spans="2:7" x14ac:dyDescent="0.25">
      <c r="B1615" s="98"/>
      <c r="F1615">
        <v>1611</v>
      </c>
      <c r="G1615" s="109">
        <f t="shared" ca="1" si="34"/>
        <v>0.21103753521735275</v>
      </c>
    </row>
    <row r="1616" spans="2:7" x14ac:dyDescent="0.25">
      <c r="B1616" s="98"/>
      <c r="F1616">
        <v>1612</v>
      </c>
      <c r="G1616" s="109">
        <f t="shared" ca="1" si="34"/>
        <v>-8.9735946632155186E-3</v>
      </c>
    </row>
    <row r="1617" spans="2:7" x14ac:dyDescent="0.25">
      <c r="B1617" s="98"/>
      <c r="F1617">
        <v>1613</v>
      </c>
      <c r="G1617" s="109">
        <f t="shared" ca="1" si="34"/>
        <v>-3.2392680595895521E-2</v>
      </c>
    </row>
    <row r="1618" spans="2:7" x14ac:dyDescent="0.25">
      <c r="B1618" s="98"/>
      <c r="F1618">
        <v>1614</v>
      </c>
      <c r="G1618" s="109">
        <f t="shared" ca="1" si="34"/>
        <v>-9.800867247692753E-3</v>
      </c>
    </row>
    <row r="1619" spans="2:7" x14ac:dyDescent="0.25">
      <c r="B1619" s="98"/>
      <c r="F1619">
        <v>1615</v>
      </c>
      <c r="G1619" s="109">
        <f t="shared" ca="1" si="34"/>
        <v>0.158216153214536</v>
      </c>
    </row>
    <row r="1620" spans="2:7" x14ac:dyDescent="0.25">
      <c r="B1620" s="98"/>
      <c r="F1620">
        <v>1616</v>
      </c>
      <c r="G1620" s="109">
        <f t="shared" ca="1" si="34"/>
        <v>-8.3459651608792942E-2</v>
      </c>
    </row>
    <row r="1621" spans="2:7" x14ac:dyDescent="0.25">
      <c r="B1621" s="98"/>
      <c r="F1621">
        <v>1617</v>
      </c>
      <c r="G1621" s="109">
        <f t="shared" ca="1" si="34"/>
        <v>0.14851652704501378</v>
      </c>
    </row>
    <row r="1622" spans="2:7" x14ac:dyDescent="0.25">
      <c r="B1622" s="98"/>
      <c r="F1622">
        <v>1618</v>
      </c>
      <c r="G1622" s="109">
        <f t="shared" ca="1" si="34"/>
        <v>-0.14120775438995919</v>
      </c>
    </row>
    <row r="1623" spans="2:7" x14ac:dyDescent="0.25">
      <c r="B1623" s="98"/>
      <c r="F1623">
        <v>1619</v>
      </c>
      <c r="G1623" s="109">
        <f t="shared" ca="1" si="34"/>
        <v>4.2151371216623768E-2</v>
      </c>
    </row>
    <row r="1624" spans="2:7" x14ac:dyDescent="0.25">
      <c r="B1624" s="98"/>
      <c r="F1624">
        <v>1620</v>
      </c>
      <c r="G1624" s="109">
        <f t="shared" ca="1" si="34"/>
        <v>0.2056621560893504</v>
      </c>
    </row>
    <row r="1625" spans="2:7" x14ac:dyDescent="0.25">
      <c r="B1625" s="98"/>
      <c r="F1625">
        <v>1621</v>
      </c>
      <c r="G1625" s="109">
        <f t="shared" ca="1" si="34"/>
        <v>-0.12611294747056301</v>
      </c>
    </row>
    <row r="1626" spans="2:7" x14ac:dyDescent="0.25">
      <c r="B1626" s="98"/>
      <c r="F1626">
        <v>1622</v>
      </c>
      <c r="G1626" s="109">
        <f t="shared" ca="1" si="34"/>
        <v>0.10440106322160841</v>
      </c>
    </row>
    <row r="1627" spans="2:7" x14ac:dyDescent="0.25">
      <c r="B1627" s="98"/>
      <c r="F1627">
        <v>1623</v>
      </c>
      <c r="G1627" s="109">
        <f t="shared" ca="1" si="34"/>
        <v>-0.13958304566919227</v>
      </c>
    </row>
    <row r="1628" spans="2:7" x14ac:dyDescent="0.25">
      <c r="B1628" s="98"/>
      <c r="F1628">
        <v>1624</v>
      </c>
      <c r="G1628" s="109">
        <f t="shared" ca="1" si="34"/>
        <v>0.16106877728147251</v>
      </c>
    </row>
    <row r="1629" spans="2:7" x14ac:dyDescent="0.25">
      <c r="B1629" s="98"/>
      <c r="F1629">
        <v>1625</v>
      </c>
      <c r="G1629" s="109">
        <f t="shared" ca="1" si="34"/>
        <v>0.1198992905223157</v>
      </c>
    </row>
    <row r="1630" spans="2:7" x14ac:dyDescent="0.25">
      <c r="B1630" s="98"/>
      <c r="F1630">
        <v>1626</v>
      </c>
      <c r="G1630" s="109">
        <f t="shared" ca="1" si="34"/>
        <v>-1.1134431366121252E-2</v>
      </c>
    </row>
    <row r="1631" spans="2:7" x14ac:dyDescent="0.25">
      <c r="B1631" s="98"/>
      <c r="F1631">
        <v>1627</v>
      </c>
      <c r="G1631" s="109">
        <f t="shared" ca="1" si="34"/>
        <v>-4.4853308104748135E-2</v>
      </c>
    </row>
    <row r="1632" spans="2:7" x14ac:dyDescent="0.25">
      <c r="B1632" s="98"/>
      <c r="F1632">
        <v>1628</v>
      </c>
      <c r="G1632" s="109">
        <f t="shared" ca="1" si="34"/>
        <v>0.18933751880942223</v>
      </c>
    </row>
    <row r="1633" spans="2:7" x14ac:dyDescent="0.25">
      <c r="B1633" s="98"/>
      <c r="F1633">
        <v>1629</v>
      </c>
      <c r="G1633" s="109">
        <f t="shared" ca="1" si="34"/>
        <v>-6.2276725478500189E-4</v>
      </c>
    </row>
    <row r="1634" spans="2:7" x14ac:dyDescent="0.25">
      <c r="B1634" s="98"/>
      <c r="F1634">
        <v>1630</v>
      </c>
      <c r="G1634" s="109">
        <f t="shared" ca="1" si="34"/>
        <v>-1.0514766146598825E-2</v>
      </c>
    </row>
    <row r="1635" spans="2:7" x14ac:dyDescent="0.25">
      <c r="B1635" s="98"/>
      <c r="F1635">
        <v>1631</v>
      </c>
      <c r="G1635" s="109">
        <f t="shared" ca="1" si="34"/>
        <v>-7.8090916926739487E-2</v>
      </c>
    </row>
    <row r="1636" spans="2:7" x14ac:dyDescent="0.25">
      <c r="B1636" s="98"/>
      <c r="F1636">
        <v>1632</v>
      </c>
      <c r="G1636" s="109">
        <f t="shared" ca="1" si="34"/>
        <v>0.12702579154702398</v>
      </c>
    </row>
    <row r="1637" spans="2:7" x14ac:dyDescent="0.25">
      <c r="B1637" s="98"/>
      <c r="F1637">
        <v>1633</v>
      </c>
      <c r="G1637" s="109">
        <f t="shared" ca="1" si="34"/>
        <v>-1.0156409073473011E-2</v>
      </c>
    </row>
    <row r="1638" spans="2:7" x14ac:dyDescent="0.25">
      <c r="B1638" s="98"/>
      <c r="F1638">
        <v>1634</v>
      </c>
      <c r="G1638" s="109">
        <f t="shared" ca="1" si="34"/>
        <v>-0.13064385351548957</v>
      </c>
    </row>
    <row r="1639" spans="2:7" x14ac:dyDescent="0.25">
      <c r="B1639" s="98"/>
      <c r="F1639">
        <v>1635</v>
      </c>
      <c r="G1639" s="109">
        <f t="shared" ca="1" si="34"/>
        <v>-2.8918509983264507E-2</v>
      </c>
    </row>
    <row r="1640" spans="2:7" x14ac:dyDescent="0.25">
      <c r="B1640" s="98"/>
      <c r="F1640">
        <v>1636</v>
      </c>
      <c r="G1640" s="109">
        <f t="shared" ca="1" si="34"/>
        <v>-2.8931967230407071E-2</v>
      </c>
    </row>
    <row r="1641" spans="2:7" x14ac:dyDescent="0.25">
      <c r="B1641" s="98"/>
      <c r="F1641">
        <v>1637</v>
      </c>
      <c r="G1641" s="109">
        <f t="shared" ca="1" si="34"/>
        <v>0.12443977114570695</v>
      </c>
    </row>
    <row r="1642" spans="2:7" x14ac:dyDescent="0.25">
      <c r="B1642" s="98"/>
      <c r="F1642">
        <v>1638</v>
      </c>
      <c r="G1642" s="109">
        <f t="shared" ca="1" si="34"/>
        <v>2.3066152503300852E-2</v>
      </c>
    </row>
    <row r="1643" spans="2:7" x14ac:dyDescent="0.25">
      <c r="B1643" s="98"/>
      <c r="F1643">
        <v>1639</v>
      </c>
      <c r="G1643" s="109">
        <f t="shared" ca="1" si="34"/>
        <v>0.1092343422996368</v>
      </c>
    </row>
    <row r="1644" spans="2:7" x14ac:dyDescent="0.25">
      <c r="B1644" s="98"/>
      <c r="F1644">
        <v>1640</v>
      </c>
      <c r="G1644" s="109">
        <f t="shared" ca="1" si="34"/>
        <v>-1.192017061606393E-2</v>
      </c>
    </row>
    <row r="1645" spans="2:7" x14ac:dyDescent="0.25">
      <c r="B1645" s="98"/>
      <c r="F1645">
        <v>1641</v>
      </c>
      <c r="G1645" s="109">
        <f t="shared" ca="1" si="34"/>
        <v>4.3649123568998444E-2</v>
      </c>
    </row>
    <row r="1646" spans="2:7" x14ac:dyDescent="0.25">
      <c r="B1646" s="98"/>
      <c r="F1646">
        <v>1642</v>
      </c>
      <c r="G1646" s="109">
        <f t="shared" ca="1" si="34"/>
        <v>-6.4341095904463033E-2</v>
      </c>
    </row>
    <row r="1647" spans="2:7" x14ac:dyDescent="0.25">
      <c r="B1647" s="98"/>
      <c r="F1647">
        <v>1643</v>
      </c>
      <c r="G1647" s="109">
        <f t="shared" ca="1" si="34"/>
        <v>3.4031387262548521E-2</v>
      </c>
    </row>
    <row r="1648" spans="2:7" x14ac:dyDescent="0.25">
      <c r="B1648" s="98"/>
      <c r="F1648">
        <v>1644</v>
      </c>
      <c r="G1648" s="109">
        <f t="shared" ca="1" si="34"/>
        <v>-5.2634648406335957E-2</v>
      </c>
    </row>
    <row r="1649" spans="2:7" x14ac:dyDescent="0.25">
      <c r="B1649" s="98"/>
      <c r="F1649">
        <v>1645</v>
      </c>
      <c r="G1649" s="109">
        <f t="shared" ca="1" si="34"/>
        <v>8.8487287902783152E-3</v>
      </c>
    </row>
    <row r="1650" spans="2:7" x14ac:dyDescent="0.25">
      <c r="B1650" s="98"/>
      <c r="F1650">
        <v>1646</v>
      </c>
      <c r="G1650" s="109">
        <f t="shared" ca="1" si="34"/>
        <v>-0.30997344334161986</v>
      </c>
    </row>
    <row r="1651" spans="2:7" x14ac:dyDescent="0.25">
      <c r="B1651" s="98"/>
      <c r="F1651">
        <v>1647</v>
      </c>
      <c r="G1651" s="109">
        <f t="shared" ca="1" si="34"/>
        <v>-4.3721998722756686E-3</v>
      </c>
    </row>
    <row r="1652" spans="2:7" x14ac:dyDescent="0.25">
      <c r="B1652" s="98"/>
      <c r="F1652">
        <v>1648</v>
      </c>
      <c r="G1652" s="109">
        <f t="shared" ca="1" si="34"/>
        <v>-6.1759493580204827E-2</v>
      </c>
    </row>
    <row r="1653" spans="2:7" x14ac:dyDescent="0.25">
      <c r="B1653" s="98"/>
      <c r="F1653">
        <v>1649</v>
      </c>
      <c r="G1653" s="109">
        <f t="shared" ca="1" si="34"/>
        <v>-9.7298034699411576E-2</v>
      </c>
    </row>
    <row r="1654" spans="2:7" x14ac:dyDescent="0.25">
      <c r="B1654" s="98"/>
      <c r="F1654">
        <v>1650</v>
      </c>
      <c r="G1654" s="109">
        <f t="shared" ca="1" si="34"/>
        <v>1.6818887516350217E-2</v>
      </c>
    </row>
    <row r="1655" spans="2:7" x14ac:dyDescent="0.25">
      <c r="B1655" s="98"/>
      <c r="F1655">
        <v>1651</v>
      </c>
      <c r="G1655" s="109">
        <f t="shared" ca="1" si="34"/>
        <v>0.17589376568346227</v>
      </c>
    </row>
    <row r="1656" spans="2:7" x14ac:dyDescent="0.25">
      <c r="B1656" s="98"/>
      <c r="F1656">
        <v>1652</v>
      </c>
      <c r="G1656" s="109">
        <f t="shared" ca="1" si="34"/>
        <v>-0.10353563779792806</v>
      </c>
    </row>
    <row r="1657" spans="2:7" x14ac:dyDescent="0.25">
      <c r="B1657" s="98"/>
      <c r="F1657">
        <v>1653</v>
      </c>
      <c r="G1657" s="109">
        <f t="shared" ca="1" si="34"/>
        <v>-0.13781734556866815</v>
      </c>
    </row>
    <row r="1658" spans="2:7" x14ac:dyDescent="0.25">
      <c r="B1658" s="98"/>
      <c r="F1658">
        <v>1654</v>
      </c>
      <c r="G1658" s="109">
        <f t="shared" ca="1" si="34"/>
        <v>6.2110942155404664E-2</v>
      </c>
    </row>
    <row r="1659" spans="2:7" x14ac:dyDescent="0.25">
      <c r="B1659" s="98"/>
      <c r="F1659">
        <v>1655</v>
      </c>
      <c r="G1659" s="109">
        <f t="shared" ca="1" si="34"/>
        <v>2.7145214605713293E-2</v>
      </c>
    </row>
    <row r="1660" spans="2:7" x14ac:dyDescent="0.25">
      <c r="B1660" s="98"/>
      <c r="F1660">
        <v>1656</v>
      </c>
      <c r="G1660" s="109">
        <f t="shared" ca="1" si="34"/>
        <v>-1.739234157024569E-2</v>
      </c>
    </row>
    <row r="1661" spans="2:7" x14ac:dyDescent="0.25">
      <c r="B1661" s="98"/>
      <c r="F1661">
        <v>1657</v>
      </c>
      <c r="G1661" s="109">
        <f t="shared" ca="1" si="34"/>
        <v>0.25124765241306563</v>
      </c>
    </row>
    <row r="1662" spans="2:7" x14ac:dyDescent="0.25">
      <c r="B1662" s="98"/>
      <c r="F1662">
        <v>1658</v>
      </c>
      <c r="G1662" s="109">
        <f t="shared" ca="1" si="34"/>
        <v>-0.16891401243245441</v>
      </c>
    </row>
    <row r="1663" spans="2:7" x14ac:dyDescent="0.25">
      <c r="B1663" s="98"/>
      <c r="F1663">
        <v>1659</v>
      </c>
      <c r="G1663" s="109">
        <f t="shared" ca="1" si="34"/>
        <v>0.16275487250716042</v>
      </c>
    </row>
    <row r="1664" spans="2:7" x14ac:dyDescent="0.25">
      <c r="B1664" s="98"/>
      <c r="F1664">
        <v>1660</v>
      </c>
      <c r="G1664" s="109">
        <f t="shared" ca="1" si="34"/>
        <v>-0.11154385164145043</v>
      </c>
    </row>
    <row r="1665" spans="2:7" x14ac:dyDescent="0.25">
      <c r="B1665" s="98"/>
      <c r="F1665">
        <v>1661</v>
      </c>
      <c r="G1665" s="109">
        <f t="shared" ca="1" si="34"/>
        <v>0.12395525424234925</v>
      </c>
    </row>
    <row r="1666" spans="2:7" x14ac:dyDescent="0.25">
      <c r="B1666" s="98"/>
      <c r="F1666">
        <v>1662</v>
      </c>
      <c r="G1666" s="109">
        <f t="shared" ca="1" si="34"/>
        <v>0.11675989691258483</v>
      </c>
    </row>
    <row r="1667" spans="2:7" x14ac:dyDescent="0.25">
      <c r="B1667" s="98"/>
      <c r="F1667">
        <v>1663</v>
      </c>
      <c r="G1667" s="109">
        <f t="shared" ca="1" si="34"/>
        <v>4.3739584440272782E-2</v>
      </c>
    </row>
    <row r="1668" spans="2:7" x14ac:dyDescent="0.25">
      <c r="B1668" s="98"/>
      <c r="F1668">
        <v>1664</v>
      </c>
      <c r="G1668" s="109">
        <f t="shared" ca="1" si="34"/>
        <v>0.28680051341460844</v>
      </c>
    </row>
    <row r="1669" spans="2:7" x14ac:dyDescent="0.25">
      <c r="B1669" s="98"/>
      <c r="F1669">
        <v>1665</v>
      </c>
      <c r="G1669" s="109">
        <f t="shared" ca="1" si="34"/>
        <v>-0.22481722317534802</v>
      </c>
    </row>
    <row r="1670" spans="2:7" x14ac:dyDescent="0.25">
      <c r="B1670" s="98"/>
      <c r="F1670">
        <v>1666</v>
      </c>
      <c r="G1670" s="109">
        <f t="shared" ref="G1670:G1733" ca="1" si="35">_xlfn.NORM.INV(RAND(),$M$5,$M$6)</f>
        <v>2.6064978165146656E-2</v>
      </c>
    </row>
    <row r="1671" spans="2:7" x14ac:dyDescent="0.25">
      <c r="B1671" s="98"/>
      <c r="F1671">
        <v>1667</v>
      </c>
      <c r="G1671" s="109">
        <f t="shared" ca="1" si="35"/>
        <v>5.6054196888745265E-2</v>
      </c>
    </row>
    <row r="1672" spans="2:7" x14ac:dyDescent="0.25">
      <c r="B1672" s="98"/>
      <c r="F1672">
        <v>1668</v>
      </c>
      <c r="G1672" s="109">
        <f t="shared" ca="1" si="35"/>
        <v>0.12209089496248231</v>
      </c>
    </row>
    <row r="1673" spans="2:7" x14ac:dyDescent="0.25">
      <c r="B1673" s="98"/>
      <c r="F1673">
        <v>1669</v>
      </c>
      <c r="G1673" s="109">
        <f t="shared" ca="1" si="35"/>
        <v>7.4856779487017314E-3</v>
      </c>
    </row>
    <row r="1674" spans="2:7" x14ac:dyDescent="0.25">
      <c r="B1674" s="98"/>
      <c r="F1674">
        <v>1670</v>
      </c>
      <c r="G1674" s="109">
        <f t="shared" ca="1" si="35"/>
        <v>-0.16195294756403111</v>
      </c>
    </row>
    <row r="1675" spans="2:7" x14ac:dyDescent="0.25">
      <c r="B1675" s="98"/>
      <c r="F1675">
        <v>1671</v>
      </c>
      <c r="G1675" s="109">
        <f t="shared" ca="1" si="35"/>
        <v>1.1980340825453441E-2</v>
      </c>
    </row>
    <row r="1676" spans="2:7" x14ac:dyDescent="0.25">
      <c r="B1676" s="98"/>
      <c r="F1676">
        <v>1672</v>
      </c>
      <c r="G1676" s="109">
        <f t="shared" ca="1" si="35"/>
        <v>0.20808454993685299</v>
      </c>
    </row>
    <row r="1677" spans="2:7" x14ac:dyDescent="0.25">
      <c r="B1677" s="98"/>
      <c r="F1677">
        <v>1673</v>
      </c>
      <c r="G1677" s="109">
        <f t="shared" ca="1" si="35"/>
        <v>-8.8738408909632457E-2</v>
      </c>
    </row>
    <row r="1678" spans="2:7" x14ac:dyDescent="0.25">
      <c r="B1678" s="98"/>
      <c r="F1678">
        <v>1674</v>
      </c>
      <c r="G1678" s="109">
        <f t="shared" ca="1" si="35"/>
        <v>0.13414923356943825</v>
      </c>
    </row>
    <row r="1679" spans="2:7" x14ac:dyDescent="0.25">
      <c r="B1679" s="98"/>
      <c r="F1679">
        <v>1675</v>
      </c>
      <c r="G1679" s="109">
        <f t="shared" ca="1" si="35"/>
        <v>0.11933120337532568</v>
      </c>
    </row>
    <row r="1680" spans="2:7" x14ac:dyDescent="0.25">
      <c r="B1680" s="98"/>
      <c r="F1680">
        <v>1676</v>
      </c>
      <c r="G1680" s="109">
        <f t="shared" ca="1" si="35"/>
        <v>0.19366279276290799</v>
      </c>
    </row>
    <row r="1681" spans="2:7" x14ac:dyDescent="0.25">
      <c r="B1681" s="98"/>
      <c r="F1681">
        <v>1677</v>
      </c>
      <c r="G1681" s="109">
        <f t="shared" ca="1" si="35"/>
        <v>-3.768068555255065E-2</v>
      </c>
    </row>
    <row r="1682" spans="2:7" x14ac:dyDescent="0.25">
      <c r="B1682" s="98"/>
      <c r="F1682">
        <v>1678</v>
      </c>
      <c r="G1682" s="109">
        <f t="shared" ca="1" si="35"/>
        <v>0.10533598552294883</v>
      </c>
    </row>
    <row r="1683" spans="2:7" x14ac:dyDescent="0.25">
      <c r="B1683" s="98"/>
      <c r="F1683">
        <v>1679</v>
      </c>
      <c r="G1683" s="109">
        <f t="shared" ca="1" si="35"/>
        <v>5.5036528189449874E-2</v>
      </c>
    </row>
    <row r="1684" spans="2:7" x14ac:dyDescent="0.25">
      <c r="B1684" s="98"/>
      <c r="F1684">
        <v>1680</v>
      </c>
      <c r="G1684" s="109">
        <f t="shared" ca="1" si="35"/>
        <v>4.1387057010300855E-2</v>
      </c>
    </row>
    <row r="1685" spans="2:7" x14ac:dyDescent="0.25">
      <c r="B1685" s="98"/>
      <c r="F1685">
        <v>1681</v>
      </c>
      <c r="G1685" s="109">
        <f t="shared" ca="1" si="35"/>
        <v>0.12637204295326754</v>
      </c>
    </row>
    <row r="1686" spans="2:7" x14ac:dyDescent="0.25">
      <c r="B1686" s="98"/>
      <c r="F1686">
        <v>1682</v>
      </c>
      <c r="G1686" s="109">
        <f t="shared" ca="1" si="35"/>
        <v>-9.5314139573318454E-2</v>
      </c>
    </row>
    <row r="1687" spans="2:7" x14ac:dyDescent="0.25">
      <c r="B1687" s="98"/>
      <c r="F1687">
        <v>1683</v>
      </c>
      <c r="G1687" s="109">
        <f t="shared" ca="1" si="35"/>
        <v>0.12805897245513079</v>
      </c>
    </row>
    <row r="1688" spans="2:7" x14ac:dyDescent="0.25">
      <c r="B1688" s="98"/>
      <c r="F1688">
        <v>1684</v>
      </c>
      <c r="G1688" s="109">
        <f t="shared" ca="1" si="35"/>
        <v>5.4307765866062535E-2</v>
      </c>
    </row>
    <row r="1689" spans="2:7" x14ac:dyDescent="0.25">
      <c r="B1689" s="98"/>
      <c r="F1689">
        <v>1685</v>
      </c>
      <c r="G1689" s="109">
        <f t="shared" ca="1" si="35"/>
        <v>2.202507459024225E-2</v>
      </c>
    </row>
    <row r="1690" spans="2:7" x14ac:dyDescent="0.25">
      <c r="B1690" s="98"/>
      <c r="F1690">
        <v>1686</v>
      </c>
      <c r="G1690" s="109">
        <f t="shared" ca="1" si="35"/>
        <v>8.0840904342200842E-2</v>
      </c>
    </row>
    <row r="1691" spans="2:7" x14ac:dyDescent="0.25">
      <c r="B1691" s="98"/>
      <c r="F1691">
        <v>1687</v>
      </c>
      <c r="G1691" s="109">
        <f t="shared" ca="1" si="35"/>
        <v>2.4182533934981796E-2</v>
      </c>
    </row>
    <row r="1692" spans="2:7" x14ac:dyDescent="0.25">
      <c r="B1692" s="98"/>
      <c r="F1692">
        <v>1688</v>
      </c>
      <c r="G1692" s="109">
        <f t="shared" ca="1" si="35"/>
        <v>-2.4256073829364191E-2</v>
      </c>
    </row>
    <row r="1693" spans="2:7" x14ac:dyDescent="0.25">
      <c r="B1693" s="98"/>
      <c r="F1693">
        <v>1689</v>
      </c>
      <c r="G1693" s="109">
        <f t="shared" ca="1" si="35"/>
        <v>0.11012136714197386</v>
      </c>
    </row>
    <row r="1694" spans="2:7" x14ac:dyDescent="0.25">
      <c r="B1694" s="98"/>
      <c r="F1694">
        <v>1690</v>
      </c>
      <c r="G1694" s="109">
        <f t="shared" ca="1" si="35"/>
        <v>0.11464653658127077</v>
      </c>
    </row>
    <row r="1695" spans="2:7" x14ac:dyDescent="0.25">
      <c r="B1695" s="98"/>
      <c r="F1695">
        <v>1691</v>
      </c>
      <c r="G1695" s="109">
        <f t="shared" ca="1" si="35"/>
        <v>-2.5498244264917896E-2</v>
      </c>
    </row>
    <row r="1696" spans="2:7" x14ac:dyDescent="0.25">
      <c r="B1696" s="98"/>
      <c r="F1696">
        <v>1692</v>
      </c>
      <c r="G1696" s="109">
        <f t="shared" ca="1" si="35"/>
        <v>9.3610551196425584E-2</v>
      </c>
    </row>
    <row r="1697" spans="2:7" x14ac:dyDescent="0.25">
      <c r="B1697" s="98"/>
      <c r="F1697">
        <v>1693</v>
      </c>
      <c r="G1697" s="109">
        <f t="shared" ca="1" si="35"/>
        <v>-0.1444869491427096</v>
      </c>
    </row>
    <row r="1698" spans="2:7" x14ac:dyDescent="0.25">
      <c r="B1698" s="98"/>
      <c r="F1698">
        <v>1694</v>
      </c>
      <c r="G1698" s="109">
        <f t="shared" ca="1" si="35"/>
        <v>-5.3065652049009981E-2</v>
      </c>
    </row>
    <row r="1699" spans="2:7" x14ac:dyDescent="0.25">
      <c r="B1699" s="98"/>
      <c r="F1699">
        <v>1695</v>
      </c>
      <c r="G1699" s="109">
        <f t="shared" ca="1" si="35"/>
        <v>-4.4901837550864437E-2</v>
      </c>
    </row>
    <row r="1700" spans="2:7" x14ac:dyDescent="0.25">
      <c r="B1700" s="98"/>
      <c r="F1700">
        <v>1696</v>
      </c>
      <c r="G1700" s="109">
        <f t="shared" ca="1" si="35"/>
        <v>0.18784573451495717</v>
      </c>
    </row>
    <row r="1701" spans="2:7" x14ac:dyDescent="0.25">
      <c r="B1701" s="98"/>
      <c r="F1701">
        <v>1697</v>
      </c>
      <c r="G1701" s="109">
        <f t="shared" ca="1" si="35"/>
        <v>0.14264373692465526</v>
      </c>
    </row>
    <row r="1702" spans="2:7" x14ac:dyDescent="0.25">
      <c r="B1702" s="98"/>
      <c r="F1702">
        <v>1698</v>
      </c>
      <c r="G1702" s="109">
        <f t="shared" ca="1" si="35"/>
        <v>2.6907621404276192E-2</v>
      </c>
    </row>
    <row r="1703" spans="2:7" x14ac:dyDescent="0.25">
      <c r="B1703" s="98"/>
      <c r="F1703">
        <v>1699</v>
      </c>
      <c r="G1703" s="109">
        <f t="shared" ca="1" si="35"/>
        <v>0.10198626144567871</v>
      </c>
    </row>
    <row r="1704" spans="2:7" x14ac:dyDescent="0.25">
      <c r="B1704" s="98"/>
      <c r="F1704">
        <v>1700</v>
      </c>
      <c r="G1704" s="109">
        <f t="shared" ca="1" si="35"/>
        <v>-0.10552151377117554</v>
      </c>
    </row>
    <row r="1705" spans="2:7" x14ac:dyDescent="0.25">
      <c r="B1705" s="98"/>
      <c r="F1705">
        <v>1701</v>
      </c>
      <c r="G1705" s="109">
        <f t="shared" ca="1" si="35"/>
        <v>8.0187750117185597E-2</v>
      </c>
    </row>
    <row r="1706" spans="2:7" x14ac:dyDescent="0.25">
      <c r="B1706" s="98"/>
      <c r="F1706">
        <v>1702</v>
      </c>
      <c r="G1706" s="109">
        <f t="shared" ca="1" si="35"/>
        <v>-1.7066437200148485E-2</v>
      </c>
    </row>
    <row r="1707" spans="2:7" x14ac:dyDescent="0.25">
      <c r="B1707" s="98"/>
      <c r="F1707">
        <v>1703</v>
      </c>
      <c r="G1707" s="109">
        <f t="shared" ca="1" si="35"/>
        <v>-0.14428328944936286</v>
      </c>
    </row>
    <row r="1708" spans="2:7" x14ac:dyDescent="0.25">
      <c r="B1708" s="98"/>
      <c r="F1708">
        <v>1704</v>
      </c>
      <c r="G1708" s="109">
        <f t="shared" ca="1" si="35"/>
        <v>-0.22986095920855498</v>
      </c>
    </row>
    <row r="1709" spans="2:7" x14ac:dyDescent="0.25">
      <c r="B1709" s="98"/>
      <c r="F1709">
        <v>1705</v>
      </c>
      <c r="G1709" s="109">
        <f t="shared" ca="1" si="35"/>
        <v>8.7030997475572053E-2</v>
      </c>
    </row>
    <row r="1710" spans="2:7" x14ac:dyDescent="0.25">
      <c r="B1710" s="98"/>
      <c r="F1710">
        <v>1706</v>
      </c>
      <c r="G1710" s="109">
        <f t="shared" ca="1" si="35"/>
        <v>0.10591958375323693</v>
      </c>
    </row>
    <row r="1711" spans="2:7" x14ac:dyDescent="0.25">
      <c r="B1711" s="98"/>
      <c r="F1711">
        <v>1707</v>
      </c>
      <c r="G1711" s="109">
        <f t="shared" ca="1" si="35"/>
        <v>-1.2212586526711047E-2</v>
      </c>
    </row>
    <row r="1712" spans="2:7" x14ac:dyDescent="0.25">
      <c r="B1712" s="98"/>
      <c r="F1712">
        <v>1708</v>
      </c>
      <c r="G1712" s="109">
        <f t="shared" ca="1" si="35"/>
        <v>0.21012049757121065</v>
      </c>
    </row>
    <row r="1713" spans="2:7" x14ac:dyDescent="0.25">
      <c r="B1713" s="98"/>
      <c r="F1713">
        <v>1709</v>
      </c>
      <c r="G1713" s="109">
        <f t="shared" ca="1" si="35"/>
        <v>2.0267270837978822E-2</v>
      </c>
    </row>
    <row r="1714" spans="2:7" x14ac:dyDescent="0.25">
      <c r="B1714" s="98"/>
      <c r="F1714">
        <v>1710</v>
      </c>
      <c r="G1714" s="109">
        <f t="shared" ca="1" si="35"/>
        <v>-0.1411601498064079</v>
      </c>
    </row>
    <row r="1715" spans="2:7" x14ac:dyDescent="0.25">
      <c r="B1715" s="98"/>
      <c r="F1715">
        <v>1711</v>
      </c>
      <c r="G1715" s="109">
        <f t="shared" ca="1" si="35"/>
        <v>-1.4836633802528899E-2</v>
      </c>
    </row>
    <row r="1716" spans="2:7" x14ac:dyDescent="0.25">
      <c r="B1716" s="98"/>
      <c r="F1716">
        <v>1712</v>
      </c>
      <c r="G1716" s="109">
        <f t="shared" ca="1" si="35"/>
        <v>0.10790129161800233</v>
      </c>
    </row>
    <row r="1717" spans="2:7" x14ac:dyDescent="0.25">
      <c r="B1717" s="98"/>
      <c r="F1717">
        <v>1713</v>
      </c>
      <c r="G1717" s="109">
        <f t="shared" ca="1" si="35"/>
        <v>-0.11387063855543765</v>
      </c>
    </row>
    <row r="1718" spans="2:7" x14ac:dyDescent="0.25">
      <c r="B1718" s="98"/>
      <c r="F1718">
        <v>1714</v>
      </c>
      <c r="G1718" s="109">
        <f t="shared" ca="1" si="35"/>
        <v>-9.537940912669253E-2</v>
      </c>
    </row>
    <row r="1719" spans="2:7" x14ac:dyDescent="0.25">
      <c r="B1719" s="98"/>
      <c r="F1719">
        <v>1715</v>
      </c>
      <c r="G1719" s="109">
        <f t="shared" ca="1" si="35"/>
        <v>9.2436997178266256E-4</v>
      </c>
    </row>
    <row r="1720" spans="2:7" x14ac:dyDescent="0.25">
      <c r="B1720" s="98"/>
      <c r="F1720">
        <v>1716</v>
      </c>
      <c r="G1720" s="109">
        <f t="shared" ca="1" si="35"/>
        <v>-0.1218531791748186</v>
      </c>
    </row>
    <row r="1721" spans="2:7" x14ac:dyDescent="0.25">
      <c r="B1721" s="98"/>
      <c r="F1721">
        <v>1717</v>
      </c>
      <c r="G1721" s="109">
        <f t="shared" ca="1" si="35"/>
        <v>6.0591942642395098E-2</v>
      </c>
    </row>
    <row r="1722" spans="2:7" x14ac:dyDescent="0.25">
      <c r="B1722" s="98"/>
      <c r="F1722">
        <v>1718</v>
      </c>
      <c r="G1722" s="109">
        <f t="shared" ca="1" si="35"/>
        <v>4.8237898969995252E-5</v>
      </c>
    </row>
    <row r="1723" spans="2:7" x14ac:dyDescent="0.25">
      <c r="B1723" s="98"/>
      <c r="F1723">
        <v>1719</v>
      </c>
      <c r="G1723" s="109">
        <f t="shared" ca="1" si="35"/>
        <v>6.9332999580507149E-2</v>
      </c>
    </row>
    <row r="1724" spans="2:7" x14ac:dyDescent="0.25">
      <c r="B1724" s="98"/>
      <c r="F1724">
        <v>1720</v>
      </c>
      <c r="G1724" s="109">
        <f t="shared" ca="1" si="35"/>
        <v>-7.3609434905208271E-3</v>
      </c>
    </row>
    <row r="1725" spans="2:7" x14ac:dyDescent="0.25">
      <c r="B1725" s="98"/>
      <c r="F1725">
        <v>1721</v>
      </c>
      <c r="G1725" s="109">
        <f t="shared" ca="1" si="35"/>
        <v>3.0744373112205972E-2</v>
      </c>
    </row>
    <row r="1726" spans="2:7" x14ac:dyDescent="0.25">
      <c r="B1726" s="98"/>
      <c r="F1726">
        <v>1722</v>
      </c>
      <c r="G1726" s="109">
        <f t="shared" ca="1" si="35"/>
        <v>1.7710919909808543E-2</v>
      </c>
    </row>
    <row r="1727" spans="2:7" x14ac:dyDescent="0.25">
      <c r="B1727" s="98"/>
      <c r="F1727">
        <v>1723</v>
      </c>
      <c r="G1727" s="109">
        <f t="shared" ca="1" si="35"/>
        <v>0.10212298952746562</v>
      </c>
    </row>
    <row r="1728" spans="2:7" x14ac:dyDescent="0.25">
      <c r="B1728" s="98"/>
      <c r="F1728">
        <v>1724</v>
      </c>
      <c r="G1728" s="109">
        <f t="shared" ca="1" si="35"/>
        <v>-2.155361064820463E-2</v>
      </c>
    </row>
    <row r="1729" spans="2:7" x14ac:dyDescent="0.25">
      <c r="B1729" s="98"/>
      <c r="F1729">
        <v>1725</v>
      </c>
      <c r="G1729" s="109">
        <f t="shared" ca="1" si="35"/>
        <v>7.7342385540490388E-2</v>
      </c>
    </row>
    <row r="1730" spans="2:7" x14ac:dyDescent="0.25">
      <c r="B1730" s="98"/>
      <c r="F1730">
        <v>1726</v>
      </c>
      <c r="G1730" s="109">
        <f t="shared" ca="1" si="35"/>
        <v>0.13675323981409165</v>
      </c>
    </row>
    <row r="1731" spans="2:7" x14ac:dyDescent="0.25">
      <c r="B1731" s="98"/>
      <c r="F1731">
        <v>1727</v>
      </c>
      <c r="G1731" s="109">
        <f t="shared" ca="1" si="35"/>
        <v>3.6074132727274749E-2</v>
      </c>
    </row>
    <row r="1732" spans="2:7" x14ac:dyDescent="0.25">
      <c r="B1732" s="98"/>
      <c r="F1732">
        <v>1728</v>
      </c>
      <c r="G1732" s="109">
        <f t="shared" ca="1" si="35"/>
        <v>-2.0578730449145613E-2</v>
      </c>
    </row>
    <row r="1733" spans="2:7" x14ac:dyDescent="0.25">
      <c r="B1733" s="98"/>
      <c r="F1733">
        <v>1729</v>
      </c>
      <c r="G1733" s="109">
        <f t="shared" ca="1" si="35"/>
        <v>0.14007477269790544</v>
      </c>
    </row>
    <row r="1734" spans="2:7" x14ac:dyDescent="0.25">
      <c r="B1734" s="98"/>
      <c r="F1734">
        <v>1730</v>
      </c>
      <c r="G1734" s="109">
        <f t="shared" ref="G1734:G1797" ca="1" si="36">_xlfn.NORM.INV(RAND(),$M$5,$M$6)</f>
        <v>-0.11604262964331526</v>
      </c>
    </row>
    <row r="1735" spans="2:7" x14ac:dyDescent="0.25">
      <c r="B1735" s="98"/>
      <c r="F1735">
        <v>1731</v>
      </c>
      <c r="G1735" s="109">
        <f t="shared" ca="1" si="36"/>
        <v>0.23772489994754964</v>
      </c>
    </row>
    <row r="1736" spans="2:7" x14ac:dyDescent="0.25">
      <c r="B1736" s="98"/>
      <c r="F1736">
        <v>1732</v>
      </c>
      <c r="G1736" s="109">
        <f t="shared" ca="1" si="36"/>
        <v>0.20304998671502178</v>
      </c>
    </row>
    <row r="1737" spans="2:7" x14ac:dyDescent="0.25">
      <c r="B1737" s="98"/>
      <c r="F1737">
        <v>1733</v>
      </c>
      <c r="G1737" s="109">
        <f t="shared" ca="1" si="36"/>
        <v>4.8889529001784601E-2</v>
      </c>
    </row>
    <row r="1738" spans="2:7" x14ac:dyDescent="0.25">
      <c r="B1738" s="98"/>
      <c r="F1738">
        <v>1734</v>
      </c>
      <c r="G1738" s="109">
        <f t="shared" ca="1" si="36"/>
        <v>8.809082517622828E-2</v>
      </c>
    </row>
    <row r="1739" spans="2:7" x14ac:dyDescent="0.25">
      <c r="B1739" s="98"/>
      <c r="F1739">
        <v>1735</v>
      </c>
      <c r="G1739" s="109">
        <f t="shared" ca="1" si="36"/>
        <v>2.6243796328331733E-2</v>
      </c>
    </row>
    <row r="1740" spans="2:7" x14ac:dyDescent="0.25">
      <c r="B1740" s="98"/>
      <c r="F1740">
        <v>1736</v>
      </c>
      <c r="G1740" s="109">
        <f t="shared" ca="1" si="36"/>
        <v>8.9571388223102788E-2</v>
      </c>
    </row>
    <row r="1741" spans="2:7" x14ac:dyDescent="0.25">
      <c r="B1741" s="98"/>
      <c r="F1741">
        <v>1737</v>
      </c>
      <c r="G1741" s="109">
        <f t="shared" ca="1" si="36"/>
        <v>0.10450562204760686</v>
      </c>
    </row>
    <row r="1742" spans="2:7" x14ac:dyDescent="0.25">
      <c r="B1742" s="98"/>
      <c r="F1742">
        <v>1738</v>
      </c>
      <c r="G1742" s="109">
        <f t="shared" ca="1" si="36"/>
        <v>-0.12839991918445376</v>
      </c>
    </row>
    <row r="1743" spans="2:7" x14ac:dyDescent="0.25">
      <c r="B1743" s="98"/>
      <c r="F1743">
        <v>1739</v>
      </c>
      <c r="G1743" s="109">
        <f t="shared" ca="1" si="36"/>
        <v>0.15201159993981944</v>
      </c>
    </row>
    <row r="1744" spans="2:7" x14ac:dyDescent="0.25">
      <c r="B1744" s="98"/>
      <c r="F1744">
        <v>1740</v>
      </c>
      <c r="G1744" s="109">
        <f t="shared" ca="1" si="36"/>
        <v>7.9153177171694483E-2</v>
      </c>
    </row>
    <row r="1745" spans="2:7" x14ac:dyDescent="0.25">
      <c r="B1745" s="98"/>
      <c r="F1745">
        <v>1741</v>
      </c>
      <c r="G1745" s="109">
        <f t="shared" ca="1" si="36"/>
        <v>-8.8678225744802872E-3</v>
      </c>
    </row>
    <row r="1746" spans="2:7" x14ac:dyDescent="0.25">
      <c r="B1746" s="98"/>
      <c r="F1746">
        <v>1742</v>
      </c>
      <c r="G1746" s="109">
        <f t="shared" ca="1" si="36"/>
        <v>8.3109620135634582E-2</v>
      </c>
    </row>
    <row r="1747" spans="2:7" x14ac:dyDescent="0.25">
      <c r="B1747" s="98"/>
      <c r="F1747">
        <v>1743</v>
      </c>
      <c r="G1747" s="109">
        <f t="shared" ca="1" si="36"/>
        <v>0.13978439793918845</v>
      </c>
    </row>
    <row r="1748" spans="2:7" x14ac:dyDescent="0.25">
      <c r="B1748" s="98"/>
      <c r="F1748">
        <v>1744</v>
      </c>
      <c r="G1748" s="109">
        <f t="shared" ca="1" si="36"/>
        <v>-7.2955684644251118E-3</v>
      </c>
    </row>
    <row r="1749" spans="2:7" x14ac:dyDescent="0.25">
      <c r="B1749" s="98"/>
      <c r="F1749">
        <v>1745</v>
      </c>
      <c r="G1749" s="109">
        <f t="shared" ca="1" si="36"/>
        <v>0.25806575397662695</v>
      </c>
    </row>
    <row r="1750" spans="2:7" x14ac:dyDescent="0.25">
      <c r="B1750" s="98"/>
      <c r="F1750">
        <v>1746</v>
      </c>
      <c r="G1750" s="109">
        <f t="shared" ca="1" si="36"/>
        <v>-5.5295796489595886E-2</v>
      </c>
    </row>
    <row r="1751" spans="2:7" x14ac:dyDescent="0.25">
      <c r="B1751" s="98"/>
      <c r="F1751">
        <v>1747</v>
      </c>
      <c r="G1751" s="109">
        <f t="shared" ca="1" si="36"/>
        <v>0.11465983581891448</v>
      </c>
    </row>
    <row r="1752" spans="2:7" x14ac:dyDescent="0.25">
      <c r="B1752" s="98"/>
      <c r="F1752">
        <v>1748</v>
      </c>
      <c r="G1752" s="109">
        <f t="shared" ca="1" si="36"/>
        <v>0.18354183512247091</v>
      </c>
    </row>
    <row r="1753" spans="2:7" x14ac:dyDescent="0.25">
      <c r="B1753" s="98"/>
      <c r="F1753">
        <v>1749</v>
      </c>
      <c r="G1753" s="109">
        <f t="shared" ca="1" si="36"/>
        <v>0.19354725309521553</v>
      </c>
    </row>
    <row r="1754" spans="2:7" x14ac:dyDescent="0.25">
      <c r="B1754" s="98"/>
      <c r="F1754">
        <v>1750</v>
      </c>
      <c r="G1754" s="109">
        <f t="shared" ca="1" si="36"/>
        <v>-6.3221432073280584E-2</v>
      </c>
    </row>
    <row r="1755" spans="2:7" x14ac:dyDescent="0.25">
      <c r="B1755" s="98"/>
      <c r="F1755">
        <v>1751</v>
      </c>
      <c r="G1755" s="109">
        <f t="shared" ca="1" si="36"/>
        <v>0.11307967915359164</v>
      </c>
    </row>
    <row r="1756" spans="2:7" x14ac:dyDescent="0.25">
      <c r="B1756" s="98"/>
      <c r="F1756">
        <v>1752</v>
      </c>
      <c r="G1756" s="109">
        <f t="shared" ca="1" si="36"/>
        <v>5.3877750490768268E-2</v>
      </c>
    </row>
    <row r="1757" spans="2:7" x14ac:dyDescent="0.25">
      <c r="B1757" s="98"/>
      <c r="F1757">
        <v>1753</v>
      </c>
      <c r="G1757" s="109">
        <f t="shared" ca="1" si="36"/>
        <v>0.12533380288217083</v>
      </c>
    </row>
    <row r="1758" spans="2:7" x14ac:dyDescent="0.25">
      <c r="B1758" s="98"/>
      <c r="F1758">
        <v>1754</v>
      </c>
      <c r="G1758" s="109">
        <f t="shared" ca="1" si="36"/>
        <v>0.21071415594016385</v>
      </c>
    </row>
    <row r="1759" spans="2:7" x14ac:dyDescent="0.25">
      <c r="B1759" s="98"/>
      <c r="F1759">
        <v>1755</v>
      </c>
      <c r="G1759" s="109">
        <f t="shared" ca="1" si="36"/>
        <v>0.27538908906585724</v>
      </c>
    </row>
    <row r="1760" spans="2:7" x14ac:dyDescent="0.25">
      <c r="B1760" s="98"/>
      <c r="F1760">
        <v>1756</v>
      </c>
      <c r="G1760" s="109">
        <f t="shared" ca="1" si="36"/>
        <v>5.6971225994427444E-3</v>
      </c>
    </row>
    <row r="1761" spans="2:7" x14ac:dyDescent="0.25">
      <c r="B1761" s="98"/>
      <c r="F1761">
        <v>1757</v>
      </c>
      <c r="G1761" s="109">
        <f t="shared" ca="1" si="36"/>
        <v>-8.8207729779788649E-2</v>
      </c>
    </row>
    <row r="1762" spans="2:7" x14ac:dyDescent="0.25">
      <c r="B1762" s="98"/>
      <c r="F1762">
        <v>1758</v>
      </c>
      <c r="G1762" s="109">
        <f t="shared" ca="1" si="36"/>
        <v>0.17289739938993165</v>
      </c>
    </row>
    <row r="1763" spans="2:7" x14ac:dyDescent="0.25">
      <c r="B1763" s="98"/>
      <c r="F1763">
        <v>1759</v>
      </c>
      <c r="G1763" s="109">
        <f t="shared" ca="1" si="36"/>
        <v>8.9830712023143411E-2</v>
      </c>
    </row>
    <row r="1764" spans="2:7" x14ac:dyDescent="0.25">
      <c r="B1764" s="98"/>
      <c r="F1764">
        <v>1760</v>
      </c>
      <c r="G1764" s="109">
        <f t="shared" ca="1" si="36"/>
        <v>2.8772684395952087E-2</v>
      </c>
    </row>
    <row r="1765" spans="2:7" x14ac:dyDescent="0.25">
      <c r="B1765" s="98"/>
      <c r="F1765">
        <v>1761</v>
      </c>
      <c r="G1765" s="109">
        <f t="shared" ca="1" si="36"/>
        <v>9.5486511626296539E-2</v>
      </c>
    </row>
    <row r="1766" spans="2:7" x14ac:dyDescent="0.25">
      <c r="B1766" s="98"/>
      <c r="F1766">
        <v>1762</v>
      </c>
      <c r="G1766" s="109">
        <f t="shared" ca="1" si="36"/>
        <v>5.2903974204781198E-2</v>
      </c>
    </row>
    <row r="1767" spans="2:7" x14ac:dyDescent="0.25">
      <c r="B1767" s="98"/>
      <c r="F1767">
        <v>1763</v>
      </c>
      <c r="G1767" s="109">
        <f t="shared" ca="1" si="36"/>
        <v>-0.10871869751142903</v>
      </c>
    </row>
    <row r="1768" spans="2:7" x14ac:dyDescent="0.25">
      <c r="B1768" s="98"/>
      <c r="F1768">
        <v>1764</v>
      </c>
      <c r="G1768" s="109">
        <f t="shared" ca="1" si="36"/>
        <v>5.5559804399146109E-2</v>
      </c>
    </row>
    <row r="1769" spans="2:7" x14ac:dyDescent="0.25">
      <c r="B1769" s="98"/>
      <c r="F1769">
        <v>1765</v>
      </c>
      <c r="G1769" s="109">
        <f t="shared" ca="1" si="36"/>
        <v>2.27064608612388E-3</v>
      </c>
    </row>
    <row r="1770" spans="2:7" x14ac:dyDescent="0.25">
      <c r="B1770" s="98"/>
      <c r="F1770">
        <v>1766</v>
      </c>
      <c r="G1770" s="109">
        <f t="shared" ca="1" si="36"/>
        <v>0.22562456614933568</v>
      </c>
    </row>
    <row r="1771" spans="2:7" x14ac:dyDescent="0.25">
      <c r="B1771" s="98"/>
      <c r="F1771">
        <v>1767</v>
      </c>
      <c r="G1771" s="109">
        <f t="shared" ca="1" si="36"/>
        <v>1.2324786043425608E-2</v>
      </c>
    </row>
    <row r="1772" spans="2:7" x14ac:dyDescent="0.25">
      <c r="B1772" s="98"/>
      <c r="F1772">
        <v>1768</v>
      </c>
      <c r="G1772" s="109">
        <f t="shared" ca="1" si="36"/>
        <v>-0.12942135388159348</v>
      </c>
    </row>
    <row r="1773" spans="2:7" x14ac:dyDescent="0.25">
      <c r="B1773" s="98"/>
      <c r="F1773">
        <v>1769</v>
      </c>
      <c r="G1773" s="109">
        <f t="shared" ca="1" si="36"/>
        <v>0.10750930719430568</v>
      </c>
    </row>
    <row r="1774" spans="2:7" x14ac:dyDescent="0.25">
      <c r="B1774" s="98"/>
      <c r="F1774">
        <v>1770</v>
      </c>
      <c r="G1774" s="109">
        <f t="shared" ca="1" si="36"/>
        <v>-5.9971882348688776E-2</v>
      </c>
    </row>
    <row r="1775" spans="2:7" x14ac:dyDescent="0.25">
      <c r="B1775" s="98"/>
      <c r="F1775">
        <v>1771</v>
      </c>
      <c r="G1775" s="109">
        <f t="shared" ca="1" si="36"/>
        <v>6.2525484013335603E-3</v>
      </c>
    </row>
    <row r="1776" spans="2:7" x14ac:dyDescent="0.25">
      <c r="B1776" s="98"/>
      <c r="F1776">
        <v>1772</v>
      </c>
      <c r="G1776" s="109">
        <f t="shared" ca="1" si="36"/>
        <v>-3.9511375313395852E-2</v>
      </c>
    </row>
    <row r="1777" spans="2:7" x14ac:dyDescent="0.25">
      <c r="B1777" s="98"/>
      <c r="F1777">
        <v>1773</v>
      </c>
      <c r="G1777" s="109">
        <f t="shared" ca="1" si="36"/>
        <v>0.16405705037684903</v>
      </c>
    </row>
    <row r="1778" spans="2:7" x14ac:dyDescent="0.25">
      <c r="B1778" s="98"/>
      <c r="F1778">
        <v>1774</v>
      </c>
      <c r="G1778" s="109">
        <f t="shared" ca="1" si="36"/>
        <v>6.0451871051463962E-2</v>
      </c>
    </row>
    <row r="1779" spans="2:7" x14ac:dyDescent="0.25">
      <c r="B1779" s="98"/>
      <c r="F1779">
        <v>1775</v>
      </c>
      <c r="G1779" s="109">
        <f t="shared" ca="1" si="36"/>
        <v>1.9004728335975267E-2</v>
      </c>
    </row>
    <row r="1780" spans="2:7" x14ac:dyDescent="0.25">
      <c r="B1780" s="98"/>
      <c r="F1780">
        <v>1776</v>
      </c>
      <c r="G1780" s="109">
        <f t="shared" ca="1" si="36"/>
        <v>6.7977121777549651E-2</v>
      </c>
    </row>
    <row r="1781" spans="2:7" x14ac:dyDescent="0.25">
      <c r="B1781" s="98"/>
      <c r="F1781">
        <v>1777</v>
      </c>
      <c r="G1781" s="109">
        <f t="shared" ca="1" si="36"/>
        <v>0.16287592999610964</v>
      </c>
    </row>
    <row r="1782" spans="2:7" x14ac:dyDescent="0.25">
      <c r="B1782" s="98"/>
      <c r="F1782">
        <v>1778</v>
      </c>
      <c r="G1782" s="109">
        <f t="shared" ca="1" si="36"/>
        <v>2.965031532046716E-2</v>
      </c>
    </row>
    <row r="1783" spans="2:7" x14ac:dyDescent="0.25">
      <c r="B1783" s="98"/>
      <c r="F1783">
        <v>1779</v>
      </c>
      <c r="G1783" s="109">
        <f t="shared" ca="1" si="36"/>
        <v>4.1702772389394141E-2</v>
      </c>
    </row>
    <row r="1784" spans="2:7" x14ac:dyDescent="0.25">
      <c r="B1784" s="98"/>
      <c r="F1784">
        <v>1780</v>
      </c>
      <c r="G1784" s="109">
        <f t="shared" ca="1" si="36"/>
        <v>8.1947734428449021E-2</v>
      </c>
    </row>
    <row r="1785" spans="2:7" x14ac:dyDescent="0.25">
      <c r="B1785" s="98"/>
      <c r="F1785">
        <v>1781</v>
      </c>
      <c r="G1785" s="109">
        <f t="shared" ca="1" si="36"/>
        <v>0.12220211407774063</v>
      </c>
    </row>
    <row r="1786" spans="2:7" x14ac:dyDescent="0.25">
      <c r="B1786" s="98"/>
      <c r="F1786">
        <v>1782</v>
      </c>
      <c r="G1786" s="109">
        <f t="shared" ca="1" si="36"/>
        <v>0.2388810653383856</v>
      </c>
    </row>
    <row r="1787" spans="2:7" x14ac:dyDescent="0.25">
      <c r="B1787" s="98"/>
      <c r="F1787">
        <v>1783</v>
      </c>
      <c r="G1787" s="109">
        <f t="shared" ca="1" si="36"/>
        <v>1.3233137842212986E-3</v>
      </c>
    </row>
    <row r="1788" spans="2:7" x14ac:dyDescent="0.25">
      <c r="B1788" s="98"/>
      <c r="F1788">
        <v>1784</v>
      </c>
      <c r="G1788" s="109">
        <f t="shared" ca="1" si="36"/>
        <v>-7.5794102727332599E-2</v>
      </c>
    </row>
    <row r="1789" spans="2:7" x14ac:dyDescent="0.25">
      <c r="B1789" s="98"/>
      <c r="F1789">
        <v>1785</v>
      </c>
      <c r="G1789" s="109">
        <f t="shared" ca="1" si="36"/>
        <v>-9.9275956631568171E-2</v>
      </c>
    </row>
    <row r="1790" spans="2:7" x14ac:dyDescent="0.25">
      <c r="B1790" s="98"/>
      <c r="F1790">
        <v>1786</v>
      </c>
      <c r="G1790" s="109">
        <f t="shared" ca="1" si="36"/>
        <v>-0.10772367493683004</v>
      </c>
    </row>
    <row r="1791" spans="2:7" x14ac:dyDescent="0.25">
      <c r="B1791" s="98"/>
      <c r="F1791">
        <v>1787</v>
      </c>
      <c r="G1791" s="109">
        <f t="shared" ca="1" si="36"/>
        <v>5.8025724374976675E-2</v>
      </c>
    </row>
    <row r="1792" spans="2:7" x14ac:dyDescent="0.25">
      <c r="B1792" s="98"/>
      <c r="F1792">
        <v>1788</v>
      </c>
      <c r="G1792" s="109">
        <f t="shared" ca="1" si="36"/>
        <v>6.7062039985494176E-2</v>
      </c>
    </row>
    <row r="1793" spans="2:7" x14ac:dyDescent="0.25">
      <c r="B1793" s="98"/>
      <c r="F1793">
        <v>1789</v>
      </c>
      <c r="G1793" s="109">
        <f t="shared" ca="1" si="36"/>
        <v>6.8345187862527051E-2</v>
      </c>
    </row>
    <row r="1794" spans="2:7" x14ac:dyDescent="0.25">
      <c r="B1794" s="98"/>
      <c r="F1794">
        <v>1790</v>
      </c>
      <c r="G1794" s="109">
        <f t="shared" ca="1" si="36"/>
        <v>-1.1144623377756166E-3</v>
      </c>
    </row>
    <row r="1795" spans="2:7" x14ac:dyDescent="0.25">
      <c r="B1795" s="98"/>
      <c r="F1795">
        <v>1791</v>
      </c>
      <c r="G1795" s="109">
        <f t="shared" ca="1" si="36"/>
        <v>0.13858724146437948</v>
      </c>
    </row>
    <row r="1796" spans="2:7" x14ac:dyDescent="0.25">
      <c r="B1796" s="98"/>
      <c r="F1796">
        <v>1792</v>
      </c>
      <c r="G1796" s="109">
        <f t="shared" ca="1" si="36"/>
        <v>3.6434313795603197E-2</v>
      </c>
    </row>
    <row r="1797" spans="2:7" x14ac:dyDescent="0.25">
      <c r="B1797" s="98"/>
      <c r="F1797">
        <v>1793</v>
      </c>
      <c r="G1797" s="109">
        <f t="shared" ca="1" si="36"/>
        <v>-7.0006971978542221E-2</v>
      </c>
    </row>
    <row r="1798" spans="2:7" x14ac:dyDescent="0.25">
      <c r="B1798" s="98"/>
      <c r="F1798">
        <v>1794</v>
      </c>
      <c r="G1798" s="109">
        <f t="shared" ref="G1798:G1861" ca="1" si="37">_xlfn.NORM.INV(RAND(),$M$5,$M$6)</f>
        <v>-3.5484587543477872E-2</v>
      </c>
    </row>
    <row r="1799" spans="2:7" x14ac:dyDescent="0.25">
      <c r="B1799" s="98"/>
      <c r="F1799">
        <v>1795</v>
      </c>
      <c r="G1799" s="109">
        <f t="shared" ca="1" si="37"/>
        <v>3.1844634343057621E-2</v>
      </c>
    </row>
    <row r="1800" spans="2:7" x14ac:dyDescent="0.25">
      <c r="B1800" s="98"/>
      <c r="F1800">
        <v>1796</v>
      </c>
      <c r="G1800" s="109">
        <f t="shared" ca="1" si="37"/>
        <v>3.1759113336445682E-2</v>
      </c>
    </row>
    <row r="1801" spans="2:7" x14ac:dyDescent="0.25">
      <c r="B1801" s="98"/>
      <c r="F1801">
        <v>1797</v>
      </c>
      <c r="G1801" s="109">
        <f t="shared" ca="1" si="37"/>
        <v>0.14260759862064848</v>
      </c>
    </row>
    <row r="1802" spans="2:7" x14ac:dyDescent="0.25">
      <c r="B1802" s="98"/>
      <c r="F1802">
        <v>1798</v>
      </c>
      <c r="G1802" s="109">
        <f t="shared" ca="1" si="37"/>
        <v>0.20321478350375016</v>
      </c>
    </row>
    <row r="1803" spans="2:7" x14ac:dyDescent="0.25">
      <c r="B1803" s="98"/>
      <c r="F1803">
        <v>1799</v>
      </c>
      <c r="G1803" s="109">
        <f t="shared" ca="1" si="37"/>
        <v>-7.0027008582731615E-3</v>
      </c>
    </row>
    <row r="1804" spans="2:7" x14ac:dyDescent="0.25">
      <c r="B1804" s="98"/>
      <c r="F1804">
        <v>1800</v>
      </c>
      <c r="G1804" s="109">
        <f t="shared" ca="1" si="37"/>
        <v>0.15617737717378477</v>
      </c>
    </row>
    <row r="1805" spans="2:7" x14ac:dyDescent="0.25">
      <c r="B1805" s="98"/>
      <c r="F1805">
        <v>1801</v>
      </c>
      <c r="G1805" s="109">
        <f t="shared" ca="1" si="37"/>
        <v>0.19270060774285436</v>
      </c>
    </row>
    <row r="1806" spans="2:7" x14ac:dyDescent="0.25">
      <c r="B1806" s="98"/>
      <c r="F1806">
        <v>1802</v>
      </c>
      <c r="G1806" s="109">
        <f t="shared" ca="1" si="37"/>
        <v>0.11001824081908299</v>
      </c>
    </row>
    <row r="1807" spans="2:7" x14ac:dyDescent="0.25">
      <c r="B1807" s="98"/>
      <c r="F1807">
        <v>1803</v>
      </c>
      <c r="G1807" s="109">
        <f t="shared" ca="1" si="37"/>
        <v>0.14129235253024075</v>
      </c>
    </row>
    <row r="1808" spans="2:7" x14ac:dyDescent="0.25">
      <c r="B1808" s="98"/>
      <c r="F1808">
        <v>1804</v>
      </c>
      <c r="G1808" s="109">
        <f t="shared" ca="1" si="37"/>
        <v>1.7551467605073524E-2</v>
      </c>
    </row>
    <row r="1809" spans="2:7" x14ac:dyDescent="0.25">
      <c r="B1809" s="98"/>
      <c r="F1809">
        <v>1805</v>
      </c>
      <c r="G1809" s="109">
        <f t="shared" ca="1" si="37"/>
        <v>-7.3503108261189512E-2</v>
      </c>
    </row>
    <row r="1810" spans="2:7" x14ac:dyDescent="0.25">
      <c r="B1810" s="98"/>
      <c r="F1810">
        <v>1806</v>
      </c>
      <c r="G1810" s="109">
        <f t="shared" ca="1" si="37"/>
        <v>4.0685553083945933E-2</v>
      </c>
    </row>
    <row r="1811" spans="2:7" x14ac:dyDescent="0.25">
      <c r="B1811" s="98"/>
      <c r="F1811">
        <v>1807</v>
      </c>
      <c r="G1811" s="109">
        <f t="shared" ca="1" si="37"/>
        <v>0.12940001070749382</v>
      </c>
    </row>
    <row r="1812" spans="2:7" x14ac:dyDescent="0.25">
      <c r="B1812" s="98"/>
      <c r="F1812">
        <v>1808</v>
      </c>
      <c r="G1812" s="109">
        <f t="shared" ca="1" si="37"/>
        <v>0.10230742826271241</v>
      </c>
    </row>
    <row r="1813" spans="2:7" x14ac:dyDescent="0.25">
      <c r="B1813" s="98"/>
      <c r="F1813">
        <v>1809</v>
      </c>
      <c r="G1813" s="109">
        <f t="shared" ca="1" si="37"/>
        <v>-5.925995682935814E-2</v>
      </c>
    </row>
    <row r="1814" spans="2:7" x14ac:dyDescent="0.25">
      <c r="B1814" s="98"/>
      <c r="F1814">
        <v>1810</v>
      </c>
      <c r="G1814" s="109">
        <f t="shared" ca="1" si="37"/>
        <v>-3.2119803456863175E-2</v>
      </c>
    </row>
    <row r="1815" spans="2:7" x14ac:dyDescent="0.25">
      <c r="B1815" s="98"/>
      <c r="F1815">
        <v>1811</v>
      </c>
      <c r="G1815" s="109">
        <f t="shared" ca="1" si="37"/>
        <v>0.27746940303284762</v>
      </c>
    </row>
    <row r="1816" spans="2:7" x14ac:dyDescent="0.25">
      <c r="B1816" s="98"/>
      <c r="F1816">
        <v>1812</v>
      </c>
      <c r="G1816" s="109">
        <f t="shared" ca="1" si="37"/>
        <v>0.12318628636624329</v>
      </c>
    </row>
    <row r="1817" spans="2:7" x14ac:dyDescent="0.25">
      <c r="B1817" s="98"/>
      <c r="F1817">
        <v>1813</v>
      </c>
      <c r="G1817" s="109">
        <f t="shared" ca="1" si="37"/>
        <v>-7.0894669718974124E-2</v>
      </c>
    </row>
    <row r="1818" spans="2:7" x14ac:dyDescent="0.25">
      <c r="B1818" s="98"/>
      <c r="F1818">
        <v>1814</v>
      </c>
      <c r="G1818" s="109">
        <f t="shared" ca="1" si="37"/>
        <v>0.24446234852205301</v>
      </c>
    </row>
    <row r="1819" spans="2:7" x14ac:dyDescent="0.25">
      <c r="B1819" s="98"/>
      <c r="F1819">
        <v>1815</v>
      </c>
      <c r="G1819" s="109">
        <f t="shared" ca="1" si="37"/>
        <v>7.2660440111113306E-2</v>
      </c>
    </row>
    <row r="1820" spans="2:7" x14ac:dyDescent="0.25">
      <c r="B1820" s="98"/>
      <c r="F1820">
        <v>1816</v>
      </c>
      <c r="G1820" s="109">
        <f t="shared" ca="1" si="37"/>
        <v>-0.10730575387308187</v>
      </c>
    </row>
    <row r="1821" spans="2:7" x14ac:dyDescent="0.25">
      <c r="B1821" s="98"/>
      <c r="F1821">
        <v>1817</v>
      </c>
      <c r="G1821" s="109">
        <f t="shared" ca="1" si="37"/>
        <v>2.5274026965214049E-2</v>
      </c>
    </row>
    <row r="1822" spans="2:7" x14ac:dyDescent="0.25">
      <c r="B1822" s="98"/>
      <c r="F1822">
        <v>1818</v>
      </c>
      <c r="G1822" s="109">
        <f t="shared" ca="1" si="37"/>
        <v>3.9884778771378797E-2</v>
      </c>
    </row>
    <row r="1823" spans="2:7" x14ac:dyDescent="0.25">
      <c r="B1823" s="98"/>
      <c r="F1823">
        <v>1819</v>
      </c>
      <c r="G1823" s="109">
        <f t="shared" ca="1" si="37"/>
        <v>1.3417573889317622E-2</v>
      </c>
    </row>
    <row r="1824" spans="2:7" x14ac:dyDescent="0.25">
      <c r="B1824" s="98"/>
      <c r="F1824">
        <v>1820</v>
      </c>
      <c r="G1824" s="109">
        <f t="shared" ca="1" si="37"/>
        <v>0.25577041133507794</v>
      </c>
    </row>
    <row r="1825" spans="2:7" x14ac:dyDescent="0.25">
      <c r="B1825" s="98"/>
      <c r="F1825">
        <v>1821</v>
      </c>
      <c r="G1825" s="109">
        <f t="shared" ca="1" si="37"/>
        <v>-6.0314143880262142E-3</v>
      </c>
    </row>
    <row r="1826" spans="2:7" x14ac:dyDescent="0.25">
      <c r="B1826" s="98"/>
      <c r="F1826">
        <v>1822</v>
      </c>
      <c r="G1826" s="109">
        <f t="shared" ca="1" si="37"/>
        <v>2.6018098110604786E-2</v>
      </c>
    </row>
    <row r="1827" spans="2:7" x14ac:dyDescent="0.25">
      <c r="B1827" s="98"/>
      <c r="F1827">
        <v>1823</v>
      </c>
      <c r="G1827" s="109">
        <f t="shared" ca="1" si="37"/>
        <v>4.9673769924708643E-2</v>
      </c>
    </row>
    <row r="1828" spans="2:7" x14ac:dyDescent="0.25">
      <c r="B1828" s="98"/>
      <c r="F1828">
        <v>1824</v>
      </c>
      <c r="G1828" s="109">
        <f t="shared" ca="1" si="37"/>
        <v>0.10885999784233164</v>
      </c>
    </row>
    <row r="1829" spans="2:7" x14ac:dyDescent="0.25">
      <c r="B1829" s="98"/>
      <c r="F1829">
        <v>1825</v>
      </c>
      <c r="G1829" s="109">
        <f t="shared" ca="1" si="37"/>
        <v>5.7049193487309281E-2</v>
      </c>
    </row>
    <row r="1830" spans="2:7" x14ac:dyDescent="0.25">
      <c r="B1830" s="98"/>
      <c r="F1830">
        <v>1826</v>
      </c>
      <c r="G1830" s="109">
        <f t="shared" ca="1" si="37"/>
        <v>0.27456533282451051</v>
      </c>
    </row>
    <row r="1831" spans="2:7" x14ac:dyDescent="0.25">
      <c r="B1831" s="98"/>
      <c r="F1831">
        <v>1827</v>
      </c>
      <c r="G1831" s="109">
        <f t="shared" ca="1" si="37"/>
        <v>-9.3426430960854498E-3</v>
      </c>
    </row>
    <row r="1832" spans="2:7" x14ac:dyDescent="0.25">
      <c r="B1832" s="98"/>
      <c r="F1832">
        <v>1828</v>
      </c>
      <c r="G1832" s="109">
        <f t="shared" ca="1" si="37"/>
        <v>-5.7790853600802675E-2</v>
      </c>
    </row>
    <row r="1833" spans="2:7" x14ac:dyDescent="0.25">
      <c r="B1833" s="98"/>
      <c r="F1833">
        <v>1829</v>
      </c>
      <c r="G1833" s="109">
        <f t="shared" ca="1" si="37"/>
        <v>-1.0477241565195722E-2</v>
      </c>
    </row>
    <row r="1834" spans="2:7" x14ac:dyDescent="0.25">
      <c r="B1834" s="98"/>
      <c r="F1834">
        <v>1830</v>
      </c>
      <c r="G1834" s="109">
        <f t="shared" ca="1" si="37"/>
        <v>-3.4812780280763775E-2</v>
      </c>
    </row>
    <row r="1835" spans="2:7" x14ac:dyDescent="0.25">
      <c r="B1835" s="98"/>
      <c r="F1835">
        <v>1831</v>
      </c>
      <c r="G1835" s="109">
        <f t="shared" ca="1" si="37"/>
        <v>0.10610588592074534</v>
      </c>
    </row>
    <row r="1836" spans="2:7" x14ac:dyDescent="0.25">
      <c r="B1836" s="98"/>
      <c r="F1836">
        <v>1832</v>
      </c>
      <c r="G1836" s="109">
        <f t="shared" ca="1" si="37"/>
        <v>-7.6515284066678513E-2</v>
      </c>
    </row>
    <row r="1837" spans="2:7" x14ac:dyDescent="0.25">
      <c r="B1837" s="98"/>
      <c r="F1837">
        <v>1833</v>
      </c>
      <c r="G1837" s="109">
        <f t="shared" ca="1" si="37"/>
        <v>0.11765340798985108</v>
      </c>
    </row>
    <row r="1838" spans="2:7" x14ac:dyDescent="0.25">
      <c r="B1838" s="98"/>
      <c r="F1838">
        <v>1834</v>
      </c>
      <c r="G1838" s="109">
        <f t="shared" ca="1" si="37"/>
        <v>-9.2820085382556636E-3</v>
      </c>
    </row>
    <row r="1839" spans="2:7" x14ac:dyDescent="0.25">
      <c r="B1839" s="98"/>
      <c r="F1839">
        <v>1835</v>
      </c>
      <c r="G1839" s="109">
        <f t="shared" ca="1" si="37"/>
        <v>0.10376201332049756</v>
      </c>
    </row>
    <row r="1840" spans="2:7" x14ac:dyDescent="0.25">
      <c r="B1840" s="98"/>
      <c r="F1840">
        <v>1836</v>
      </c>
      <c r="G1840" s="109">
        <f t="shared" ca="1" si="37"/>
        <v>0.16619639830304861</v>
      </c>
    </row>
    <row r="1841" spans="2:7" x14ac:dyDescent="0.25">
      <c r="B1841" s="98"/>
      <c r="F1841">
        <v>1837</v>
      </c>
      <c r="G1841" s="109">
        <f t="shared" ca="1" si="37"/>
        <v>-3.3165274822062066E-2</v>
      </c>
    </row>
    <row r="1842" spans="2:7" x14ac:dyDescent="0.25">
      <c r="B1842" s="98"/>
      <c r="F1842">
        <v>1838</v>
      </c>
      <c r="G1842" s="109">
        <f t="shared" ca="1" si="37"/>
        <v>0.12900390786587779</v>
      </c>
    </row>
    <row r="1843" spans="2:7" x14ac:dyDescent="0.25">
      <c r="B1843" s="98"/>
      <c r="F1843">
        <v>1839</v>
      </c>
      <c r="G1843" s="109">
        <f t="shared" ca="1" si="37"/>
        <v>-4.2730715086747431E-2</v>
      </c>
    </row>
    <row r="1844" spans="2:7" x14ac:dyDescent="0.25">
      <c r="B1844" s="98"/>
      <c r="F1844">
        <v>1840</v>
      </c>
      <c r="G1844" s="109">
        <f t="shared" ca="1" si="37"/>
        <v>9.8289077365949468E-2</v>
      </c>
    </row>
    <row r="1845" spans="2:7" x14ac:dyDescent="0.25">
      <c r="B1845" s="98"/>
      <c r="F1845">
        <v>1841</v>
      </c>
      <c r="G1845" s="109">
        <f t="shared" ca="1" si="37"/>
        <v>-0.13482959668932798</v>
      </c>
    </row>
    <row r="1846" spans="2:7" x14ac:dyDescent="0.25">
      <c r="B1846" s="98"/>
      <c r="F1846">
        <v>1842</v>
      </c>
      <c r="G1846" s="109">
        <f t="shared" ca="1" si="37"/>
        <v>-0.14565713325549762</v>
      </c>
    </row>
    <row r="1847" spans="2:7" x14ac:dyDescent="0.25">
      <c r="B1847" s="98"/>
      <c r="F1847">
        <v>1843</v>
      </c>
      <c r="G1847" s="109">
        <f t="shared" ca="1" si="37"/>
        <v>0.19614573006832636</v>
      </c>
    </row>
    <row r="1848" spans="2:7" x14ac:dyDescent="0.25">
      <c r="B1848" s="98"/>
      <c r="F1848">
        <v>1844</v>
      </c>
      <c r="G1848" s="109">
        <f t="shared" ca="1" si="37"/>
        <v>0.1628849260748006</v>
      </c>
    </row>
    <row r="1849" spans="2:7" x14ac:dyDescent="0.25">
      <c r="B1849" s="98"/>
      <c r="F1849">
        <v>1845</v>
      </c>
      <c r="G1849" s="109">
        <f t="shared" ca="1" si="37"/>
        <v>-7.7295232369593084E-2</v>
      </c>
    </row>
    <row r="1850" spans="2:7" x14ac:dyDescent="0.25">
      <c r="B1850" s="98"/>
      <c r="F1850">
        <v>1846</v>
      </c>
      <c r="G1850" s="109">
        <f t="shared" ca="1" si="37"/>
        <v>7.8408147981300677E-2</v>
      </c>
    </row>
    <row r="1851" spans="2:7" x14ac:dyDescent="0.25">
      <c r="B1851" s="98"/>
      <c r="F1851">
        <v>1847</v>
      </c>
      <c r="G1851" s="109">
        <f t="shared" ca="1" si="37"/>
        <v>7.8720208857160856E-2</v>
      </c>
    </row>
    <row r="1852" spans="2:7" x14ac:dyDescent="0.25">
      <c r="B1852" s="98"/>
      <c r="F1852">
        <v>1848</v>
      </c>
      <c r="G1852" s="109">
        <f t="shared" ca="1" si="37"/>
        <v>6.9183729430292537E-2</v>
      </c>
    </row>
    <row r="1853" spans="2:7" x14ac:dyDescent="0.25">
      <c r="B1853" s="98"/>
      <c r="F1853">
        <v>1849</v>
      </c>
      <c r="G1853" s="109">
        <f t="shared" ca="1" si="37"/>
        <v>0.19044566963249843</v>
      </c>
    </row>
    <row r="1854" spans="2:7" x14ac:dyDescent="0.25">
      <c r="B1854" s="98"/>
      <c r="F1854">
        <v>1850</v>
      </c>
      <c r="G1854" s="109">
        <f t="shared" ca="1" si="37"/>
        <v>-5.003662119496026E-2</v>
      </c>
    </row>
    <row r="1855" spans="2:7" x14ac:dyDescent="0.25">
      <c r="B1855" s="98"/>
      <c r="F1855">
        <v>1851</v>
      </c>
      <c r="G1855" s="109">
        <f t="shared" ca="1" si="37"/>
        <v>0.12447644674080334</v>
      </c>
    </row>
    <row r="1856" spans="2:7" x14ac:dyDescent="0.25">
      <c r="B1856" s="98"/>
      <c r="F1856">
        <v>1852</v>
      </c>
      <c r="G1856" s="109">
        <f t="shared" ca="1" si="37"/>
        <v>0.14709185357250082</v>
      </c>
    </row>
    <row r="1857" spans="2:7" x14ac:dyDescent="0.25">
      <c r="B1857" s="98"/>
      <c r="F1857">
        <v>1853</v>
      </c>
      <c r="G1857" s="109">
        <f t="shared" ca="1" si="37"/>
        <v>-1.0144501562617557E-2</v>
      </c>
    </row>
    <row r="1858" spans="2:7" x14ac:dyDescent="0.25">
      <c r="B1858" s="98"/>
      <c r="F1858">
        <v>1854</v>
      </c>
      <c r="G1858" s="109">
        <f t="shared" ca="1" si="37"/>
        <v>0.22585379343579054</v>
      </c>
    </row>
    <row r="1859" spans="2:7" x14ac:dyDescent="0.25">
      <c r="B1859" s="98"/>
      <c r="F1859">
        <v>1855</v>
      </c>
      <c r="G1859" s="109">
        <f t="shared" ca="1" si="37"/>
        <v>0.2172338566683637</v>
      </c>
    </row>
    <row r="1860" spans="2:7" x14ac:dyDescent="0.25">
      <c r="B1860" s="98"/>
      <c r="F1860">
        <v>1856</v>
      </c>
      <c r="G1860" s="109">
        <f t="shared" ca="1" si="37"/>
        <v>0.14444868095748276</v>
      </c>
    </row>
    <row r="1861" spans="2:7" x14ac:dyDescent="0.25">
      <c r="B1861" s="98"/>
      <c r="F1861">
        <v>1857</v>
      </c>
      <c r="G1861" s="109">
        <f t="shared" ca="1" si="37"/>
        <v>0.13799770359049807</v>
      </c>
    </row>
    <row r="1862" spans="2:7" x14ac:dyDescent="0.25">
      <c r="B1862" s="98"/>
      <c r="F1862">
        <v>1858</v>
      </c>
      <c r="G1862" s="109">
        <f t="shared" ref="G1862:G1925" ca="1" si="38">_xlfn.NORM.INV(RAND(),$M$5,$M$6)</f>
        <v>0.25721831033075815</v>
      </c>
    </row>
    <row r="1863" spans="2:7" x14ac:dyDescent="0.25">
      <c r="B1863" s="98"/>
      <c r="F1863">
        <v>1859</v>
      </c>
      <c r="G1863" s="109">
        <f t="shared" ca="1" si="38"/>
        <v>8.7718414532051633E-3</v>
      </c>
    </row>
    <row r="1864" spans="2:7" x14ac:dyDescent="0.25">
      <c r="B1864" s="98"/>
      <c r="F1864">
        <v>1860</v>
      </c>
      <c r="G1864" s="109">
        <f t="shared" ca="1" si="38"/>
        <v>-8.3750633631322416E-3</v>
      </c>
    </row>
    <row r="1865" spans="2:7" x14ac:dyDescent="0.25">
      <c r="B1865" s="98"/>
      <c r="F1865">
        <v>1861</v>
      </c>
      <c r="G1865" s="109">
        <f t="shared" ca="1" si="38"/>
        <v>7.6385373840343773E-2</v>
      </c>
    </row>
    <row r="1866" spans="2:7" x14ac:dyDescent="0.25">
      <c r="B1866" s="98"/>
      <c r="F1866">
        <v>1862</v>
      </c>
      <c r="G1866" s="109">
        <f t="shared" ca="1" si="38"/>
        <v>3.5714332990451146E-2</v>
      </c>
    </row>
    <row r="1867" spans="2:7" x14ac:dyDescent="0.25">
      <c r="B1867" s="98"/>
      <c r="F1867">
        <v>1863</v>
      </c>
      <c r="G1867" s="109">
        <f t="shared" ca="1" si="38"/>
        <v>0.11091102497450454</v>
      </c>
    </row>
    <row r="1868" spans="2:7" x14ac:dyDescent="0.25">
      <c r="B1868" s="98"/>
      <c r="F1868">
        <v>1864</v>
      </c>
      <c r="G1868" s="109">
        <f t="shared" ca="1" si="38"/>
        <v>0.13550370098993642</v>
      </c>
    </row>
    <row r="1869" spans="2:7" x14ac:dyDescent="0.25">
      <c r="B1869" s="98"/>
      <c r="F1869">
        <v>1865</v>
      </c>
      <c r="G1869" s="109">
        <f t="shared" ca="1" si="38"/>
        <v>0.31444991778515041</v>
      </c>
    </row>
    <row r="1870" spans="2:7" x14ac:dyDescent="0.25">
      <c r="B1870" s="98"/>
      <c r="F1870">
        <v>1866</v>
      </c>
      <c r="G1870" s="109">
        <f t="shared" ca="1" si="38"/>
        <v>0.10350918466265328</v>
      </c>
    </row>
    <row r="1871" spans="2:7" x14ac:dyDescent="0.25">
      <c r="B1871" s="98"/>
      <c r="F1871">
        <v>1867</v>
      </c>
      <c r="G1871" s="109">
        <f t="shared" ca="1" si="38"/>
        <v>-0.19358516191917513</v>
      </c>
    </row>
    <row r="1872" spans="2:7" x14ac:dyDescent="0.25">
      <c r="B1872" s="98"/>
      <c r="F1872">
        <v>1868</v>
      </c>
      <c r="G1872" s="109">
        <f t="shared" ca="1" si="38"/>
        <v>-5.6278890455573188E-2</v>
      </c>
    </row>
    <row r="1873" spans="2:7" x14ac:dyDescent="0.25">
      <c r="B1873" s="98"/>
      <c r="F1873">
        <v>1869</v>
      </c>
      <c r="G1873" s="109">
        <f t="shared" ca="1" si="38"/>
        <v>-4.9712758810982707E-2</v>
      </c>
    </row>
    <row r="1874" spans="2:7" x14ac:dyDescent="0.25">
      <c r="B1874" s="98"/>
      <c r="F1874">
        <v>1870</v>
      </c>
      <c r="G1874" s="109">
        <f t="shared" ca="1" si="38"/>
        <v>4.2936969813949906E-2</v>
      </c>
    </row>
    <row r="1875" spans="2:7" x14ac:dyDescent="0.25">
      <c r="B1875" s="98"/>
      <c r="F1875">
        <v>1871</v>
      </c>
      <c r="G1875" s="109">
        <f t="shared" ca="1" si="38"/>
        <v>-2.8038314568783751E-3</v>
      </c>
    </row>
    <row r="1876" spans="2:7" x14ac:dyDescent="0.25">
      <c r="B1876" s="98"/>
      <c r="F1876">
        <v>1872</v>
      </c>
      <c r="G1876" s="109">
        <f t="shared" ca="1" si="38"/>
        <v>1.2857705887942134E-2</v>
      </c>
    </row>
    <row r="1877" spans="2:7" x14ac:dyDescent="0.25">
      <c r="B1877" s="98"/>
      <c r="F1877">
        <v>1873</v>
      </c>
      <c r="G1877" s="109">
        <f t="shared" ca="1" si="38"/>
        <v>8.1568813415645702E-2</v>
      </c>
    </row>
    <row r="1878" spans="2:7" x14ac:dyDescent="0.25">
      <c r="B1878" s="98"/>
      <c r="F1878">
        <v>1874</v>
      </c>
      <c r="G1878" s="109">
        <f t="shared" ca="1" si="38"/>
        <v>0.11469816584017731</v>
      </c>
    </row>
    <row r="1879" spans="2:7" x14ac:dyDescent="0.25">
      <c r="B1879" s="98"/>
      <c r="F1879">
        <v>1875</v>
      </c>
      <c r="G1879" s="109">
        <f t="shared" ca="1" si="38"/>
        <v>0.19077183899376271</v>
      </c>
    </row>
    <row r="1880" spans="2:7" x14ac:dyDescent="0.25">
      <c r="B1880" s="98"/>
      <c r="F1880">
        <v>1876</v>
      </c>
      <c r="G1880" s="109">
        <f t="shared" ca="1" si="38"/>
        <v>-8.8699320545879159E-2</v>
      </c>
    </row>
    <row r="1881" spans="2:7" x14ac:dyDescent="0.25">
      <c r="B1881" s="98"/>
      <c r="F1881">
        <v>1877</v>
      </c>
      <c r="G1881" s="109">
        <f t="shared" ca="1" si="38"/>
        <v>-0.13470198554105228</v>
      </c>
    </row>
    <row r="1882" spans="2:7" x14ac:dyDescent="0.25">
      <c r="B1882" s="98"/>
      <c r="F1882">
        <v>1878</v>
      </c>
      <c r="G1882" s="109">
        <f t="shared" ca="1" si="38"/>
        <v>0.14890859389219446</v>
      </c>
    </row>
    <row r="1883" spans="2:7" x14ac:dyDescent="0.25">
      <c r="B1883" s="98"/>
      <c r="F1883">
        <v>1879</v>
      </c>
      <c r="G1883" s="109">
        <f t="shared" ca="1" si="38"/>
        <v>0.13176775453694678</v>
      </c>
    </row>
    <row r="1884" spans="2:7" x14ac:dyDescent="0.25">
      <c r="B1884" s="98"/>
      <c r="F1884">
        <v>1880</v>
      </c>
      <c r="G1884" s="109">
        <f t="shared" ca="1" si="38"/>
        <v>0.10134988924241539</v>
      </c>
    </row>
    <row r="1885" spans="2:7" x14ac:dyDescent="0.25">
      <c r="B1885" s="98"/>
      <c r="F1885">
        <v>1881</v>
      </c>
      <c r="G1885" s="109">
        <f t="shared" ca="1" si="38"/>
        <v>1.8295803335522286E-2</v>
      </c>
    </row>
    <row r="1886" spans="2:7" x14ac:dyDescent="0.25">
      <c r="B1886" s="98"/>
      <c r="F1886">
        <v>1882</v>
      </c>
      <c r="G1886" s="109">
        <f t="shared" ca="1" si="38"/>
        <v>7.9228485056885567E-4</v>
      </c>
    </row>
    <row r="1887" spans="2:7" x14ac:dyDescent="0.25">
      <c r="B1887" s="98"/>
      <c r="F1887">
        <v>1883</v>
      </c>
      <c r="G1887" s="109">
        <f t="shared" ca="1" si="38"/>
        <v>0.12216337933219877</v>
      </c>
    </row>
    <row r="1888" spans="2:7" x14ac:dyDescent="0.25">
      <c r="B1888" s="98"/>
      <c r="F1888">
        <v>1884</v>
      </c>
      <c r="G1888" s="109">
        <f t="shared" ca="1" si="38"/>
        <v>-1.0562458224598344E-2</v>
      </c>
    </row>
    <row r="1889" spans="2:7" x14ac:dyDescent="0.25">
      <c r="B1889" s="98"/>
      <c r="F1889">
        <v>1885</v>
      </c>
      <c r="G1889" s="109">
        <f t="shared" ca="1" si="38"/>
        <v>4.0764654439647073E-2</v>
      </c>
    </row>
    <row r="1890" spans="2:7" x14ac:dyDescent="0.25">
      <c r="B1890" s="98"/>
      <c r="F1890">
        <v>1886</v>
      </c>
      <c r="G1890" s="109">
        <f t="shared" ca="1" si="38"/>
        <v>0.15642963923483683</v>
      </c>
    </row>
    <row r="1891" spans="2:7" x14ac:dyDescent="0.25">
      <c r="B1891" s="98"/>
      <c r="F1891">
        <v>1887</v>
      </c>
      <c r="G1891" s="109">
        <f t="shared" ca="1" si="38"/>
        <v>1.0515274799596373E-2</v>
      </c>
    </row>
    <row r="1892" spans="2:7" x14ac:dyDescent="0.25">
      <c r="B1892" s="98"/>
      <c r="F1892">
        <v>1888</v>
      </c>
      <c r="G1892" s="109">
        <f t="shared" ca="1" si="38"/>
        <v>-5.1030768725172995E-3</v>
      </c>
    </row>
    <row r="1893" spans="2:7" x14ac:dyDescent="0.25">
      <c r="B1893" s="98"/>
      <c r="F1893">
        <v>1889</v>
      </c>
      <c r="G1893" s="109">
        <f t="shared" ca="1" si="38"/>
        <v>0.14601159221036542</v>
      </c>
    </row>
    <row r="1894" spans="2:7" x14ac:dyDescent="0.25">
      <c r="B1894" s="98"/>
      <c r="F1894">
        <v>1890</v>
      </c>
      <c r="G1894" s="109">
        <f t="shared" ca="1" si="38"/>
        <v>9.783838191730386E-2</v>
      </c>
    </row>
    <row r="1895" spans="2:7" x14ac:dyDescent="0.25">
      <c r="B1895" s="98"/>
      <c r="F1895">
        <v>1891</v>
      </c>
      <c r="G1895" s="109">
        <f t="shared" ca="1" si="38"/>
        <v>6.411342081215167E-2</v>
      </c>
    </row>
    <row r="1896" spans="2:7" x14ac:dyDescent="0.25">
      <c r="B1896" s="98"/>
      <c r="F1896">
        <v>1892</v>
      </c>
      <c r="G1896" s="109">
        <f t="shared" ca="1" si="38"/>
        <v>0.25514524828777091</v>
      </c>
    </row>
    <row r="1897" spans="2:7" x14ac:dyDescent="0.25">
      <c r="B1897" s="98"/>
      <c r="F1897">
        <v>1893</v>
      </c>
      <c r="G1897" s="109">
        <f t="shared" ca="1" si="38"/>
        <v>9.6555784621750393E-2</v>
      </c>
    </row>
    <row r="1898" spans="2:7" x14ac:dyDescent="0.25">
      <c r="B1898" s="98"/>
      <c r="F1898">
        <v>1894</v>
      </c>
      <c r="G1898" s="109">
        <f t="shared" ca="1" si="38"/>
        <v>6.5155892817269759E-2</v>
      </c>
    </row>
    <row r="1899" spans="2:7" x14ac:dyDescent="0.25">
      <c r="B1899" s="98"/>
      <c r="F1899">
        <v>1895</v>
      </c>
      <c r="G1899" s="109">
        <f t="shared" ca="1" si="38"/>
        <v>1.1336019802466131E-2</v>
      </c>
    </row>
    <row r="1900" spans="2:7" x14ac:dyDescent="0.25">
      <c r="B1900" s="98"/>
      <c r="F1900">
        <v>1896</v>
      </c>
      <c r="G1900" s="109">
        <f t="shared" ca="1" si="38"/>
        <v>9.2489493698381275E-2</v>
      </c>
    </row>
    <row r="1901" spans="2:7" x14ac:dyDescent="0.25">
      <c r="B1901" s="98"/>
      <c r="F1901">
        <v>1897</v>
      </c>
      <c r="G1901" s="109">
        <f t="shared" ca="1" si="38"/>
        <v>0.175975996291661</v>
      </c>
    </row>
    <row r="1902" spans="2:7" x14ac:dyDescent="0.25">
      <c r="B1902" s="98"/>
      <c r="F1902">
        <v>1898</v>
      </c>
      <c r="G1902" s="109">
        <f t="shared" ca="1" si="38"/>
        <v>-2.9936066094561425E-2</v>
      </c>
    </row>
    <row r="1903" spans="2:7" x14ac:dyDescent="0.25">
      <c r="B1903" s="98"/>
      <c r="F1903">
        <v>1899</v>
      </c>
      <c r="G1903" s="109">
        <f t="shared" ca="1" si="38"/>
        <v>0.27159077261321857</v>
      </c>
    </row>
    <row r="1904" spans="2:7" x14ac:dyDescent="0.25">
      <c r="B1904" s="98"/>
      <c r="F1904">
        <v>1900</v>
      </c>
      <c r="G1904" s="109">
        <f t="shared" ca="1" si="38"/>
        <v>9.335562163116734E-2</v>
      </c>
    </row>
    <row r="1905" spans="2:7" x14ac:dyDescent="0.25">
      <c r="B1905" s="98"/>
      <c r="F1905">
        <v>1901</v>
      </c>
      <c r="G1905" s="109">
        <f t="shared" ca="1" si="38"/>
        <v>0.21520156932169127</v>
      </c>
    </row>
    <row r="1906" spans="2:7" x14ac:dyDescent="0.25">
      <c r="B1906" s="98"/>
      <c r="F1906">
        <v>1902</v>
      </c>
      <c r="G1906" s="109">
        <f t="shared" ca="1" si="38"/>
        <v>3.7596422373947128E-2</v>
      </c>
    </row>
    <row r="1907" spans="2:7" x14ac:dyDescent="0.25">
      <c r="B1907" s="98"/>
      <c r="F1907">
        <v>1903</v>
      </c>
      <c r="G1907" s="109">
        <f t="shared" ca="1" si="38"/>
        <v>-4.3831558421651623E-2</v>
      </c>
    </row>
    <row r="1908" spans="2:7" x14ac:dyDescent="0.25">
      <c r="B1908" s="98"/>
      <c r="F1908">
        <v>1904</v>
      </c>
      <c r="G1908" s="109">
        <f t="shared" ca="1" si="38"/>
        <v>1.3388197452485512E-2</v>
      </c>
    </row>
    <row r="1909" spans="2:7" x14ac:dyDescent="0.25">
      <c r="B1909" s="98"/>
      <c r="F1909">
        <v>1905</v>
      </c>
      <c r="G1909" s="109">
        <f t="shared" ca="1" si="38"/>
        <v>4.913005321605856E-2</v>
      </c>
    </row>
    <row r="1910" spans="2:7" x14ac:dyDescent="0.25">
      <c r="B1910" s="98"/>
      <c r="F1910">
        <v>1906</v>
      </c>
      <c r="G1910" s="109">
        <f t="shared" ca="1" si="38"/>
        <v>-3.0703831294494735E-2</v>
      </c>
    </row>
    <row r="1911" spans="2:7" x14ac:dyDescent="0.25">
      <c r="B1911" s="98"/>
      <c r="F1911">
        <v>1907</v>
      </c>
      <c r="G1911" s="109">
        <f t="shared" ca="1" si="38"/>
        <v>3.960722216700005E-3</v>
      </c>
    </row>
    <row r="1912" spans="2:7" x14ac:dyDescent="0.25">
      <c r="B1912" s="98"/>
      <c r="F1912">
        <v>1908</v>
      </c>
      <c r="G1912" s="109">
        <f t="shared" ca="1" si="38"/>
        <v>3.3347698148817148E-2</v>
      </c>
    </row>
    <row r="1913" spans="2:7" x14ac:dyDescent="0.25">
      <c r="B1913" s="98"/>
      <c r="F1913">
        <v>1909</v>
      </c>
      <c r="G1913" s="109">
        <f t="shared" ca="1" si="38"/>
        <v>-5.2251634423519211E-2</v>
      </c>
    </row>
    <row r="1914" spans="2:7" x14ac:dyDescent="0.25">
      <c r="B1914" s="98"/>
      <c r="F1914">
        <v>1910</v>
      </c>
      <c r="G1914" s="109">
        <f t="shared" ca="1" si="38"/>
        <v>0.16847717680236368</v>
      </c>
    </row>
    <row r="1915" spans="2:7" x14ac:dyDescent="0.25">
      <c r="B1915" s="98"/>
      <c r="F1915">
        <v>1911</v>
      </c>
      <c r="G1915" s="109">
        <f t="shared" ca="1" si="38"/>
        <v>-0.1089928933162267</v>
      </c>
    </row>
    <row r="1916" spans="2:7" x14ac:dyDescent="0.25">
      <c r="B1916" s="98"/>
      <c r="F1916">
        <v>1912</v>
      </c>
      <c r="G1916" s="109">
        <f t="shared" ca="1" si="38"/>
        <v>0.12989596121281907</v>
      </c>
    </row>
    <row r="1917" spans="2:7" x14ac:dyDescent="0.25">
      <c r="B1917" s="98"/>
      <c r="F1917">
        <v>1913</v>
      </c>
      <c r="G1917" s="109">
        <f t="shared" ca="1" si="38"/>
        <v>8.8457215970232317E-2</v>
      </c>
    </row>
    <row r="1918" spans="2:7" x14ac:dyDescent="0.25">
      <c r="B1918" s="98"/>
      <c r="F1918">
        <v>1914</v>
      </c>
      <c r="G1918" s="109">
        <f t="shared" ca="1" si="38"/>
        <v>-0.14927918488100439</v>
      </c>
    </row>
    <row r="1919" spans="2:7" x14ac:dyDescent="0.25">
      <c r="B1919" s="98"/>
      <c r="F1919">
        <v>1915</v>
      </c>
      <c r="G1919" s="109">
        <f t="shared" ca="1" si="38"/>
        <v>2.3820944324250554E-3</v>
      </c>
    </row>
    <row r="1920" spans="2:7" x14ac:dyDescent="0.25">
      <c r="B1920" s="98"/>
      <c r="F1920">
        <v>1916</v>
      </c>
      <c r="G1920" s="109">
        <f t="shared" ca="1" si="38"/>
        <v>0.14415182591414269</v>
      </c>
    </row>
    <row r="1921" spans="2:7" x14ac:dyDescent="0.25">
      <c r="B1921" s="98"/>
      <c r="F1921">
        <v>1917</v>
      </c>
      <c r="G1921" s="109">
        <f t="shared" ca="1" si="38"/>
        <v>-6.0398864381344397E-2</v>
      </c>
    </row>
    <row r="1922" spans="2:7" x14ac:dyDescent="0.25">
      <c r="B1922" s="98"/>
      <c r="F1922">
        <v>1918</v>
      </c>
      <c r="G1922" s="109">
        <f t="shared" ca="1" si="38"/>
        <v>0.14276381645785374</v>
      </c>
    </row>
    <row r="1923" spans="2:7" x14ac:dyDescent="0.25">
      <c r="B1923" s="98"/>
      <c r="F1923">
        <v>1919</v>
      </c>
      <c r="G1923" s="109">
        <f t="shared" ca="1" si="38"/>
        <v>0.24261314864466926</v>
      </c>
    </row>
    <row r="1924" spans="2:7" x14ac:dyDescent="0.25">
      <c r="B1924" s="98"/>
      <c r="F1924">
        <v>1920</v>
      </c>
      <c r="G1924" s="109">
        <f t="shared" ca="1" si="38"/>
        <v>-8.9987303407617111E-2</v>
      </c>
    </row>
    <row r="1925" spans="2:7" x14ac:dyDescent="0.25">
      <c r="B1925" s="98"/>
      <c r="F1925">
        <v>1921</v>
      </c>
      <c r="G1925" s="109">
        <f t="shared" ca="1" si="38"/>
        <v>0.23352833437593346</v>
      </c>
    </row>
    <row r="1926" spans="2:7" x14ac:dyDescent="0.25">
      <c r="B1926" s="98"/>
      <c r="F1926">
        <v>1922</v>
      </c>
      <c r="G1926" s="109">
        <f t="shared" ref="G1926:G1989" ca="1" si="39">_xlfn.NORM.INV(RAND(),$M$5,$M$6)</f>
        <v>0.21110721944702537</v>
      </c>
    </row>
    <row r="1927" spans="2:7" x14ac:dyDescent="0.25">
      <c r="B1927" s="98"/>
      <c r="F1927">
        <v>1923</v>
      </c>
      <c r="G1927" s="109">
        <f t="shared" ca="1" si="39"/>
        <v>-2.3464675920219599E-2</v>
      </c>
    </row>
    <row r="1928" spans="2:7" x14ac:dyDescent="0.25">
      <c r="B1928" s="98"/>
      <c r="F1928">
        <v>1924</v>
      </c>
      <c r="G1928" s="109">
        <f t="shared" ca="1" si="39"/>
        <v>0.22352032069002514</v>
      </c>
    </row>
    <row r="1929" spans="2:7" x14ac:dyDescent="0.25">
      <c r="B1929" s="98"/>
      <c r="F1929">
        <v>1925</v>
      </c>
      <c r="G1929" s="109">
        <f t="shared" ca="1" si="39"/>
        <v>9.8676623180200013E-2</v>
      </c>
    </row>
    <row r="1930" spans="2:7" x14ac:dyDescent="0.25">
      <c r="B1930" s="98"/>
      <c r="F1930">
        <v>1926</v>
      </c>
      <c r="G1930" s="109">
        <f t="shared" ca="1" si="39"/>
        <v>5.1707486651116498E-2</v>
      </c>
    </row>
    <row r="1931" spans="2:7" x14ac:dyDescent="0.25">
      <c r="B1931" s="98"/>
      <c r="F1931">
        <v>1927</v>
      </c>
      <c r="G1931" s="109">
        <f t="shared" ca="1" si="39"/>
        <v>6.2780107625299425E-4</v>
      </c>
    </row>
    <row r="1932" spans="2:7" x14ac:dyDescent="0.25">
      <c r="B1932" s="98"/>
      <c r="F1932">
        <v>1928</v>
      </c>
      <c r="G1932" s="109">
        <f t="shared" ca="1" si="39"/>
        <v>0.15746928854692699</v>
      </c>
    </row>
    <row r="1933" spans="2:7" x14ac:dyDescent="0.25">
      <c r="B1933" s="98"/>
      <c r="F1933">
        <v>1929</v>
      </c>
      <c r="G1933" s="109">
        <f t="shared" ca="1" si="39"/>
        <v>4.9378808025868678E-2</v>
      </c>
    </row>
    <row r="1934" spans="2:7" x14ac:dyDescent="0.25">
      <c r="B1934" s="98"/>
      <c r="F1934">
        <v>1930</v>
      </c>
      <c r="G1934" s="109">
        <f t="shared" ca="1" si="39"/>
        <v>1.8209780256597186E-2</v>
      </c>
    </row>
    <row r="1935" spans="2:7" x14ac:dyDescent="0.25">
      <c r="B1935" s="98"/>
      <c r="F1935">
        <v>1931</v>
      </c>
      <c r="G1935" s="109">
        <f t="shared" ca="1" si="39"/>
        <v>-3.1719395462252178E-2</v>
      </c>
    </row>
    <row r="1936" spans="2:7" x14ac:dyDescent="0.25">
      <c r="B1936" s="98"/>
      <c r="F1936">
        <v>1932</v>
      </c>
      <c r="G1936" s="109">
        <f t="shared" ca="1" si="39"/>
        <v>6.5694014096296494E-2</v>
      </c>
    </row>
    <row r="1937" spans="2:7" x14ac:dyDescent="0.25">
      <c r="B1937" s="98"/>
      <c r="F1937">
        <v>1933</v>
      </c>
      <c r="G1937" s="109">
        <f t="shared" ca="1" si="39"/>
        <v>-0.12366702413924811</v>
      </c>
    </row>
    <row r="1938" spans="2:7" x14ac:dyDescent="0.25">
      <c r="B1938" s="98"/>
      <c r="F1938">
        <v>1934</v>
      </c>
      <c r="G1938" s="109">
        <f t="shared" ca="1" si="39"/>
        <v>8.8140546122180863E-2</v>
      </c>
    </row>
    <row r="1939" spans="2:7" x14ac:dyDescent="0.25">
      <c r="B1939" s="98"/>
      <c r="F1939">
        <v>1935</v>
      </c>
      <c r="G1939" s="109">
        <f t="shared" ca="1" si="39"/>
        <v>5.6869648916106727E-2</v>
      </c>
    </row>
    <row r="1940" spans="2:7" x14ac:dyDescent="0.25">
      <c r="B1940" s="98"/>
      <c r="F1940">
        <v>1936</v>
      </c>
      <c r="G1940" s="109">
        <f t="shared" ca="1" si="39"/>
        <v>0.18021719183932339</v>
      </c>
    </row>
    <row r="1941" spans="2:7" x14ac:dyDescent="0.25">
      <c r="B1941" s="98"/>
      <c r="F1941">
        <v>1937</v>
      </c>
      <c r="G1941" s="109">
        <f t="shared" ca="1" si="39"/>
        <v>0.13867834296124346</v>
      </c>
    </row>
    <row r="1942" spans="2:7" x14ac:dyDescent="0.25">
      <c r="B1942" s="98"/>
      <c r="F1942">
        <v>1938</v>
      </c>
      <c r="G1942" s="109">
        <f t="shared" ca="1" si="39"/>
        <v>-6.6958909029971175E-3</v>
      </c>
    </row>
    <row r="1943" spans="2:7" x14ac:dyDescent="0.25">
      <c r="B1943" s="98"/>
      <c r="F1943">
        <v>1939</v>
      </c>
      <c r="G1943" s="109">
        <f t="shared" ca="1" si="39"/>
        <v>4.0728141526922258E-2</v>
      </c>
    </row>
    <row r="1944" spans="2:7" x14ac:dyDescent="0.25">
      <c r="B1944" s="98"/>
      <c r="F1944">
        <v>1940</v>
      </c>
      <c r="G1944" s="109">
        <f t="shared" ca="1" si="39"/>
        <v>8.8742416320747641E-2</v>
      </c>
    </row>
    <row r="1945" spans="2:7" x14ac:dyDescent="0.25">
      <c r="B1945" s="98"/>
      <c r="F1945">
        <v>1941</v>
      </c>
      <c r="G1945" s="109">
        <f t="shared" ca="1" si="39"/>
        <v>-1.8958165692395487E-2</v>
      </c>
    </row>
    <row r="1946" spans="2:7" x14ac:dyDescent="0.25">
      <c r="B1946" s="98"/>
      <c r="F1946">
        <v>1942</v>
      </c>
      <c r="G1946" s="109">
        <f t="shared" ca="1" si="39"/>
        <v>-7.151919792341449E-3</v>
      </c>
    </row>
    <row r="1947" spans="2:7" x14ac:dyDescent="0.25">
      <c r="B1947" s="98"/>
      <c r="F1947">
        <v>1943</v>
      </c>
      <c r="G1947" s="109">
        <f t="shared" ca="1" si="39"/>
        <v>0.15260498862512833</v>
      </c>
    </row>
    <row r="1948" spans="2:7" x14ac:dyDescent="0.25">
      <c r="B1948" s="98"/>
      <c r="F1948">
        <v>1944</v>
      </c>
      <c r="G1948" s="109">
        <f t="shared" ca="1" si="39"/>
        <v>-2.4976243267096965E-2</v>
      </c>
    </row>
    <row r="1949" spans="2:7" x14ac:dyDescent="0.25">
      <c r="B1949" s="98"/>
      <c r="F1949">
        <v>1945</v>
      </c>
      <c r="G1949" s="109">
        <f t="shared" ca="1" si="39"/>
        <v>0.1966307737334495</v>
      </c>
    </row>
    <row r="1950" spans="2:7" x14ac:dyDescent="0.25">
      <c r="B1950" s="98"/>
      <c r="F1950">
        <v>1946</v>
      </c>
      <c r="G1950" s="109">
        <f t="shared" ca="1" si="39"/>
        <v>0.17023347471552541</v>
      </c>
    </row>
    <row r="1951" spans="2:7" x14ac:dyDescent="0.25">
      <c r="B1951" s="98"/>
      <c r="F1951">
        <v>1947</v>
      </c>
      <c r="G1951" s="109">
        <f t="shared" ca="1" si="39"/>
        <v>1.3659870766678801E-2</v>
      </c>
    </row>
    <row r="1952" spans="2:7" x14ac:dyDescent="0.25">
      <c r="B1952" s="98"/>
      <c r="F1952">
        <v>1948</v>
      </c>
      <c r="G1952" s="109">
        <f t="shared" ca="1" si="39"/>
        <v>-7.3787729281293804E-2</v>
      </c>
    </row>
    <row r="1953" spans="2:7" x14ac:dyDescent="0.25">
      <c r="B1953" s="98"/>
      <c r="F1953">
        <v>1949</v>
      </c>
      <c r="G1953" s="109">
        <f t="shared" ca="1" si="39"/>
        <v>-5.8901171084985132E-2</v>
      </c>
    </row>
    <row r="1954" spans="2:7" x14ac:dyDescent="0.25">
      <c r="B1954" s="98"/>
      <c r="F1954">
        <v>1950</v>
      </c>
      <c r="G1954" s="109">
        <f t="shared" ca="1" si="39"/>
        <v>7.2881718563385017E-2</v>
      </c>
    </row>
    <row r="1955" spans="2:7" x14ac:dyDescent="0.25">
      <c r="B1955" s="98"/>
      <c r="F1955">
        <v>1951</v>
      </c>
      <c r="G1955" s="109">
        <f t="shared" ca="1" si="39"/>
        <v>-3.3816258719850459E-3</v>
      </c>
    </row>
    <row r="1956" spans="2:7" x14ac:dyDescent="0.25">
      <c r="B1956" s="98"/>
      <c r="F1956">
        <v>1952</v>
      </c>
      <c r="G1956" s="109">
        <f t="shared" ca="1" si="39"/>
        <v>0.13706463057903928</v>
      </c>
    </row>
    <row r="1957" spans="2:7" x14ac:dyDescent="0.25">
      <c r="B1957" s="98"/>
      <c r="F1957">
        <v>1953</v>
      </c>
      <c r="G1957" s="109">
        <f t="shared" ca="1" si="39"/>
        <v>2.3051115116600893E-2</v>
      </c>
    </row>
    <row r="1958" spans="2:7" x14ac:dyDescent="0.25">
      <c r="B1958" s="98"/>
      <c r="F1958">
        <v>1954</v>
      </c>
      <c r="G1958" s="109">
        <f t="shared" ca="1" si="39"/>
        <v>3.7722003530541649E-2</v>
      </c>
    </row>
    <row r="1959" spans="2:7" x14ac:dyDescent="0.25">
      <c r="B1959" s="98"/>
      <c r="F1959">
        <v>1955</v>
      </c>
      <c r="G1959" s="109">
        <f t="shared" ca="1" si="39"/>
        <v>-2.9123248360354098E-2</v>
      </c>
    </row>
    <row r="1960" spans="2:7" x14ac:dyDescent="0.25">
      <c r="B1960" s="98"/>
      <c r="F1960">
        <v>1956</v>
      </c>
      <c r="G1960" s="109">
        <f t="shared" ca="1" si="39"/>
        <v>0.15186817341390577</v>
      </c>
    </row>
    <row r="1961" spans="2:7" x14ac:dyDescent="0.25">
      <c r="B1961" s="98"/>
      <c r="F1961">
        <v>1957</v>
      </c>
      <c r="G1961" s="109">
        <f t="shared" ca="1" si="39"/>
        <v>-9.6281948272541898E-2</v>
      </c>
    </row>
    <row r="1962" spans="2:7" x14ac:dyDescent="0.25">
      <c r="B1962" s="98"/>
      <c r="F1962">
        <v>1958</v>
      </c>
      <c r="G1962" s="109">
        <f t="shared" ca="1" si="39"/>
        <v>-0.16918726731411321</v>
      </c>
    </row>
    <row r="1963" spans="2:7" x14ac:dyDescent="0.25">
      <c r="B1963" s="98"/>
      <c r="F1963">
        <v>1959</v>
      </c>
      <c r="G1963" s="109">
        <f t="shared" ca="1" si="39"/>
        <v>2.8115788070387723E-2</v>
      </c>
    </row>
    <row r="1964" spans="2:7" x14ac:dyDescent="0.25">
      <c r="B1964" s="98"/>
      <c r="F1964">
        <v>1960</v>
      </c>
      <c r="G1964" s="109">
        <f t="shared" ca="1" si="39"/>
        <v>8.0013923851878749E-2</v>
      </c>
    </row>
    <row r="1965" spans="2:7" x14ac:dyDescent="0.25">
      <c r="B1965" s="98"/>
      <c r="F1965">
        <v>1961</v>
      </c>
      <c r="G1965" s="109">
        <f t="shared" ca="1" si="39"/>
        <v>0.12759202379288057</v>
      </c>
    </row>
    <row r="1966" spans="2:7" x14ac:dyDescent="0.25">
      <c r="B1966" s="98"/>
      <c r="F1966">
        <v>1962</v>
      </c>
      <c r="G1966" s="109">
        <f t="shared" ca="1" si="39"/>
        <v>-9.2154438259653873E-2</v>
      </c>
    </row>
    <row r="1967" spans="2:7" x14ac:dyDescent="0.25">
      <c r="B1967" s="98"/>
      <c r="F1967">
        <v>1963</v>
      </c>
      <c r="G1967" s="109">
        <f t="shared" ca="1" si="39"/>
        <v>0.15243820461502305</v>
      </c>
    </row>
    <row r="1968" spans="2:7" x14ac:dyDescent="0.25">
      <c r="B1968" s="98"/>
      <c r="F1968">
        <v>1964</v>
      </c>
      <c r="G1968" s="109">
        <f t="shared" ca="1" si="39"/>
        <v>4.091606924581187E-2</v>
      </c>
    </row>
    <row r="1969" spans="2:7" x14ac:dyDescent="0.25">
      <c r="B1969" s="98"/>
      <c r="F1969">
        <v>1965</v>
      </c>
      <c r="G1969" s="109">
        <f t="shared" ca="1" si="39"/>
        <v>6.2050104826293861E-2</v>
      </c>
    </row>
    <row r="1970" spans="2:7" x14ac:dyDescent="0.25">
      <c r="B1970" s="98"/>
      <c r="F1970">
        <v>1966</v>
      </c>
      <c r="G1970" s="109">
        <f t="shared" ca="1" si="39"/>
        <v>0.10347454193192143</v>
      </c>
    </row>
    <row r="1971" spans="2:7" x14ac:dyDescent="0.25">
      <c r="B1971" s="98"/>
      <c r="F1971">
        <v>1967</v>
      </c>
      <c r="G1971" s="109">
        <f t="shared" ca="1" si="39"/>
        <v>-7.6748214245441829E-2</v>
      </c>
    </row>
    <row r="1972" spans="2:7" x14ac:dyDescent="0.25">
      <c r="B1972" s="98"/>
      <c r="F1972">
        <v>1968</v>
      </c>
      <c r="G1972" s="109">
        <f t="shared" ca="1" si="39"/>
        <v>6.2207081097717914E-2</v>
      </c>
    </row>
    <row r="1973" spans="2:7" x14ac:dyDescent="0.25">
      <c r="B1973" s="98"/>
      <c r="F1973">
        <v>1969</v>
      </c>
      <c r="G1973" s="109">
        <f t="shared" ca="1" si="39"/>
        <v>-6.428097405430426E-2</v>
      </c>
    </row>
    <row r="1974" spans="2:7" x14ac:dyDescent="0.25">
      <c r="B1974" s="98"/>
      <c r="F1974">
        <v>1970</v>
      </c>
      <c r="G1974" s="109">
        <f t="shared" ca="1" si="39"/>
        <v>1.6168892075480886E-2</v>
      </c>
    </row>
    <row r="1975" spans="2:7" x14ac:dyDescent="0.25">
      <c r="B1975" s="98"/>
      <c r="F1975">
        <v>1971</v>
      </c>
      <c r="G1975" s="109">
        <f t="shared" ca="1" si="39"/>
        <v>-3.6997620580525858E-3</v>
      </c>
    </row>
    <row r="1976" spans="2:7" x14ac:dyDescent="0.25">
      <c r="B1976" s="98"/>
      <c r="F1976">
        <v>1972</v>
      </c>
      <c r="G1976" s="109">
        <f t="shared" ca="1" si="39"/>
        <v>-7.5188538428049984E-2</v>
      </c>
    </row>
    <row r="1977" spans="2:7" x14ac:dyDescent="0.25">
      <c r="B1977" s="98"/>
      <c r="F1977">
        <v>1973</v>
      </c>
      <c r="G1977" s="109">
        <f t="shared" ca="1" si="39"/>
        <v>4.9309043278801326E-2</v>
      </c>
    </row>
    <row r="1978" spans="2:7" x14ac:dyDescent="0.25">
      <c r="B1978" s="98"/>
      <c r="F1978">
        <v>1974</v>
      </c>
      <c r="G1978" s="109">
        <f t="shared" ca="1" si="39"/>
        <v>-8.0124383645882577E-2</v>
      </c>
    </row>
    <row r="1979" spans="2:7" x14ac:dyDescent="0.25">
      <c r="B1979" s="98"/>
      <c r="F1979">
        <v>1975</v>
      </c>
      <c r="G1979" s="109">
        <f t="shared" ca="1" si="39"/>
        <v>-7.5262312399625581E-3</v>
      </c>
    </row>
    <row r="1980" spans="2:7" x14ac:dyDescent="0.25">
      <c r="B1980" s="98"/>
      <c r="F1980">
        <v>1976</v>
      </c>
      <c r="G1980" s="109">
        <f t="shared" ca="1" si="39"/>
        <v>0.18229251713053107</v>
      </c>
    </row>
    <row r="1981" spans="2:7" x14ac:dyDescent="0.25">
      <c r="B1981" s="98"/>
      <c r="F1981">
        <v>1977</v>
      </c>
      <c r="G1981" s="109">
        <f t="shared" ca="1" si="39"/>
        <v>0.13652533811216358</v>
      </c>
    </row>
    <row r="1982" spans="2:7" x14ac:dyDescent="0.25">
      <c r="B1982" s="98"/>
      <c r="F1982">
        <v>1978</v>
      </c>
      <c r="G1982" s="109">
        <f t="shared" ca="1" si="39"/>
        <v>0.17189436210194853</v>
      </c>
    </row>
    <row r="1983" spans="2:7" x14ac:dyDescent="0.25">
      <c r="B1983" s="98"/>
      <c r="F1983">
        <v>1979</v>
      </c>
      <c r="G1983" s="109">
        <f t="shared" ca="1" si="39"/>
        <v>8.0584286085009449E-2</v>
      </c>
    </row>
    <row r="1984" spans="2:7" x14ac:dyDescent="0.25">
      <c r="B1984" s="98"/>
      <c r="F1984">
        <v>1980</v>
      </c>
      <c r="G1984" s="109">
        <f t="shared" ca="1" si="39"/>
        <v>-3.2788229885577169E-2</v>
      </c>
    </row>
    <row r="1985" spans="2:7" x14ac:dyDescent="0.25">
      <c r="B1985" s="98"/>
      <c r="F1985">
        <v>1981</v>
      </c>
      <c r="G1985" s="109">
        <f t="shared" ca="1" si="39"/>
        <v>0.14538065950390494</v>
      </c>
    </row>
    <row r="1986" spans="2:7" x14ac:dyDescent="0.25">
      <c r="B1986" s="98"/>
      <c r="F1986">
        <v>1982</v>
      </c>
      <c r="G1986" s="109">
        <f t="shared" ca="1" si="39"/>
        <v>-0.12927277848577123</v>
      </c>
    </row>
    <row r="1987" spans="2:7" x14ac:dyDescent="0.25">
      <c r="B1987" s="98"/>
      <c r="F1987">
        <v>1983</v>
      </c>
      <c r="G1987" s="109">
        <f t="shared" ca="1" si="39"/>
        <v>-9.1186561614448783E-2</v>
      </c>
    </row>
    <row r="1988" spans="2:7" x14ac:dyDescent="0.25">
      <c r="B1988" s="98"/>
      <c r="F1988">
        <v>1984</v>
      </c>
      <c r="G1988" s="109">
        <f t="shared" ca="1" si="39"/>
        <v>0.10107807867170933</v>
      </c>
    </row>
    <row r="1989" spans="2:7" x14ac:dyDescent="0.25">
      <c r="B1989" s="98"/>
      <c r="F1989">
        <v>1985</v>
      </c>
      <c r="G1989" s="109">
        <f t="shared" ca="1" si="39"/>
        <v>0.10175664595877326</v>
      </c>
    </row>
    <row r="1990" spans="2:7" x14ac:dyDescent="0.25">
      <c r="B1990" s="98"/>
      <c r="F1990">
        <v>1986</v>
      </c>
      <c r="G1990" s="109">
        <f t="shared" ref="G1990:G2053" ca="1" si="40">_xlfn.NORM.INV(RAND(),$M$5,$M$6)</f>
        <v>-1.8100395526811849E-3</v>
      </c>
    </row>
    <row r="1991" spans="2:7" x14ac:dyDescent="0.25">
      <c r="B1991" s="98"/>
      <c r="F1991">
        <v>1987</v>
      </c>
      <c r="G1991" s="109">
        <f t="shared" ca="1" si="40"/>
        <v>6.626386598492004E-2</v>
      </c>
    </row>
    <row r="1992" spans="2:7" x14ac:dyDescent="0.25">
      <c r="B1992" s="98"/>
      <c r="F1992">
        <v>1988</v>
      </c>
      <c r="G1992" s="109">
        <f t="shared" ca="1" si="40"/>
        <v>-9.9279505413643845E-2</v>
      </c>
    </row>
    <row r="1993" spans="2:7" x14ac:dyDescent="0.25">
      <c r="B1993" s="98"/>
      <c r="F1993">
        <v>1989</v>
      </c>
      <c r="G1993" s="109">
        <f t="shared" ca="1" si="40"/>
        <v>-3.8436551010710598E-2</v>
      </c>
    </row>
    <row r="1994" spans="2:7" x14ac:dyDescent="0.25">
      <c r="B1994" s="98"/>
      <c r="F1994">
        <v>1990</v>
      </c>
      <c r="G1994" s="109">
        <f t="shared" ca="1" si="40"/>
        <v>-6.176479452000852E-2</v>
      </c>
    </row>
    <row r="1995" spans="2:7" x14ac:dyDescent="0.25">
      <c r="B1995" s="98"/>
      <c r="F1995">
        <v>1991</v>
      </c>
      <c r="G1995" s="109">
        <f t="shared" ca="1" si="40"/>
        <v>0.1747497949381297</v>
      </c>
    </row>
    <row r="1996" spans="2:7" x14ac:dyDescent="0.25">
      <c r="B1996" s="98"/>
      <c r="F1996">
        <v>1992</v>
      </c>
      <c r="G1996" s="109">
        <f t="shared" ca="1" si="40"/>
        <v>-6.8628227949806581E-2</v>
      </c>
    </row>
    <row r="1997" spans="2:7" x14ac:dyDescent="0.25">
      <c r="B1997" s="98"/>
      <c r="F1997">
        <v>1993</v>
      </c>
      <c r="G1997" s="109">
        <f t="shared" ca="1" si="40"/>
        <v>0.27315181695754787</v>
      </c>
    </row>
    <row r="1998" spans="2:7" x14ac:dyDescent="0.25">
      <c r="B1998" s="98"/>
      <c r="F1998">
        <v>1994</v>
      </c>
      <c r="G1998" s="109">
        <f t="shared" ca="1" si="40"/>
        <v>3.6738906076440508E-2</v>
      </c>
    </row>
    <row r="1999" spans="2:7" x14ac:dyDescent="0.25">
      <c r="B1999" s="98"/>
      <c r="F1999">
        <v>1995</v>
      </c>
      <c r="G1999" s="109">
        <f t="shared" ca="1" si="40"/>
        <v>-5.2127720786548662E-2</v>
      </c>
    </row>
    <row r="2000" spans="2:7" x14ac:dyDescent="0.25">
      <c r="B2000" s="98"/>
      <c r="F2000">
        <v>1996</v>
      </c>
      <c r="G2000" s="109">
        <f t="shared" ca="1" si="40"/>
        <v>-0.14530697945817111</v>
      </c>
    </row>
    <row r="2001" spans="2:7" x14ac:dyDescent="0.25">
      <c r="B2001" s="98"/>
      <c r="F2001">
        <v>1997</v>
      </c>
      <c r="G2001" s="109">
        <f t="shared" ca="1" si="40"/>
        <v>4.0393416396278622E-2</v>
      </c>
    </row>
    <row r="2002" spans="2:7" x14ac:dyDescent="0.25">
      <c r="B2002" s="98"/>
      <c r="F2002">
        <v>1998</v>
      </c>
      <c r="G2002" s="109">
        <f t="shared" ca="1" si="40"/>
        <v>4.5733333754168166E-2</v>
      </c>
    </row>
    <row r="2003" spans="2:7" x14ac:dyDescent="0.25">
      <c r="B2003" s="98"/>
      <c r="F2003">
        <v>1999</v>
      </c>
      <c r="G2003" s="109">
        <f t="shared" ca="1" si="40"/>
        <v>0.1487358552535486</v>
      </c>
    </row>
    <row r="2004" spans="2:7" x14ac:dyDescent="0.25">
      <c r="B2004" s="98"/>
      <c r="F2004">
        <v>2000</v>
      </c>
      <c r="G2004" s="109">
        <f t="shared" ca="1" si="40"/>
        <v>-3.2175996904986195E-2</v>
      </c>
    </row>
    <row r="2005" spans="2:7" x14ac:dyDescent="0.25">
      <c r="B2005" s="98"/>
      <c r="F2005">
        <v>2001</v>
      </c>
      <c r="G2005" s="109">
        <f t="shared" ca="1" si="40"/>
        <v>2.3709168583039196E-2</v>
      </c>
    </row>
    <row r="2006" spans="2:7" x14ac:dyDescent="0.25">
      <c r="B2006" s="98"/>
      <c r="F2006">
        <v>2002</v>
      </c>
      <c r="G2006" s="109">
        <f t="shared" ca="1" si="40"/>
        <v>-9.6258848077184253E-2</v>
      </c>
    </row>
    <row r="2007" spans="2:7" x14ac:dyDescent="0.25">
      <c r="B2007" s="98"/>
      <c r="F2007">
        <v>2003</v>
      </c>
      <c r="G2007" s="109">
        <f t="shared" ca="1" si="40"/>
        <v>-0.13400152414831817</v>
      </c>
    </row>
    <row r="2008" spans="2:7" x14ac:dyDescent="0.25">
      <c r="B2008" s="98"/>
      <c r="F2008">
        <v>2004</v>
      </c>
      <c r="G2008" s="109">
        <f t="shared" ca="1" si="40"/>
        <v>-0.15965430057125518</v>
      </c>
    </row>
    <row r="2009" spans="2:7" x14ac:dyDescent="0.25">
      <c r="B2009" s="98"/>
      <c r="F2009">
        <v>2005</v>
      </c>
      <c r="G2009" s="109">
        <f t="shared" ca="1" si="40"/>
        <v>0.17261893466086092</v>
      </c>
    </row>
    <row r="2010" spans="2:7" x14ac:dyDescent="0.25">
      <c r="B2010" s="98"/>
      <c r="F2010">
        <v>2006</v>
      </c>
      <c r="G2010" s="109">
        <f t="shared" ca="1" si="40"/>
        <v>3.6751091863595299E-2</v>
      </c>
    </row>
    <row r="2011" spans="2:7" x14ac:dyDescent="0.25">
      <c r="B2011" s="98"/>
      <c r="F2011">
        <v>2007</v>
      </c>
      <c r="G2011" s="109">
        <f t="shared" ca="1" si="40"/>
        <v>9.289227180937798E-2</v>
      </c>
    </row>
    <row r="2012" spans="2:7" x14ac:dyDescent="0.25">
      <c r="B2012" s="98"/>
      <c r="F2012">
        <v>2008</v>
      </c>
      <c r="G2012" s="109">
        <f t="shared" ca="1" si="40"/>
        <v>-3.7812221264460003E-2</v>
      </c>
    </row>
    <row r="2013" spans="2:7" x14ac:dyDescent="0.25">
      <c r="B2013" s="98"/>
      <c r="F2013">
        <v>2009</v>
      </c>
      <c r="G2013" s="109">
        <f t="shared" ca="1" si="40"/>
        <v>-1.2108579212622587E-2</v>
      </c>
    </row>
    <row r="2014" spans="2:7" x14ac:dyDescent="0.25">
      <c r="B2014" s="98"/>
      <c r="F2014">
        <v>2010</v>
      </c>
      <c r="G2014" s="109">
        <f t="shared" ca="1" si="40"/>
        <v>-3.5987962328235243E-2</v>
      </c>
    </row>
    <row r="2015" spans="2:7" x14ac:dyDescent="0.25">
      <c r="B2015" s="98"/>
      <c r="F2015">
        <v>2011</v>
      </c>
      <c r="G2015" s="109">
        <f t="shared" ca="1" si="40"/>
        <v>3.0381218984973368E-3</v>
      </c>
    </row>
    <row r="2016" spans="2:7" x14ac:dyDescent="0.25">
      <c r="B2016" s="98"/>
      <c r="F2016">
        <v>2012</v>
      </c>
      <c r="G2016" s="109">
        <f t="shared" ca="1" si="40"/>
        <v>0.16292979057737672</v>
      </c>
    </row>
    <row r="2017" spans="2:7" x14ac:dyDescent="0.25">
      <c r="B2017" s="98"/>
      <c r="F2017">
        <v>2013</v>
      </c>
      <c r="G2017" s="109">
        <f t="shared" ca="1" si="40"/>
        <v>4.0071531525999571E-2</v>
      </c>
    </row>
    <row r="2018" spans="2:7" x14ac:dyDescent="0.25">
      <c r="B2018" s="98"/>
      <c r="F2018">
        <v>2014</v>
      </c>
      <c r="G2018" s="109">
        <f t="shared" ca="1" si="40"/>
        <v>2.6132825298334782E-2</v>
      </c>
    </row>
    <row r="2019" spans="2:7" x14ac:dyDescent="0.25">
      <c r="B2019" s="98"/>
      <c r="F2019">
        <v>2015</v>
      </c>
      <c r="G2019" s="109">
        <f t="shared" ca="1" si="40"/>
        <v>5.0373331057148314E-2</v>
      </c>
    </row>
    <row r="2020" spans="2:7" x14ac:dyDescent="0.25">
      <c r="B2020" s="98"/>
      <c r="F2020">
        <v>2016</v>
      </c>
      <c r="G2020" s="109">
        <f t="shared" ca="1" si="40"/>
        <v>0.24075630181177105</v>
      </c>
    </row>
    <row r="2021" spans="2:7" x14ac:dyDescent="0.25">
      <c r="B2021" s="98"/>
      <c r="F2021">
        <v>2017</v>
      </c>
      <c r="G2021" s="109">
        <f t="shared" ca="1" si="40"/>
        <v>5.9382077753181668E-2</v>
      </c>
    </row>
    <row r="2022" spans="2:7" x14ac:dyDescent="0.25">
      <c r="B2022" s="98"/>
      <c r="F2022">
        <v>2018</v>
      </c>
      <c r="G2022" s="109">
        <f t="shared" ca="1" si="40"/>
        <v>-3.8704589417208821E-2</v>
      </c>
    </row>
    <row r="2023" spans="2:7" x14ac:dyDescent="0.25">
      <c r="B2023" s="98"/>
      <c r="F2023">
        <v>2019</v>
      </c>
      <c r="G2023" s="109">
        <f t="shared" ca="1" si="40"/>
        <v>-0.21571620549437936</v>
      </c>
    </row>
    <row r="2024" spans="2:7" x14ac:dyDescent="0.25">
      <c r="B2024" s="98"/>
      <c r="F2024">
        <v>2020</v>
      </c>
      <c r="G2024" s="109">
        <f t="shared" ca="1" si="40"/>
        <v>-6.1644932555552298E-3</v>
      </c>
    </row>
    <row r="2025" spans="2:7" x14ac:dyDescent="0.25">
      <c r="B2025" s="98"/>
      <c r="F2025">
        <v>2021</v>
      </c>
      <c r="G2025" s="109">
        <f t="shared" ca="1" si="40"/>
        <v>-2.1133433755384623E-2</v>
      </c>
    </row>
    <row r="2026" spans="2:7" x14ac:dyDescent="0.25">
      <c r="B2026" s="98"/>
      <c r="F2026">
        <v>2022</v>
      </c>
      <c r="G2026" s="109">
        <f t="shared" ca="1" si="40"/>
        <v>3.0992234437907114E-2</v>
      </c>
    </row>
    <row r="2027" spans="2:7" x14ac:dyDescent="0.25">
      <c r="B2027" s="98"/>
      <c r="F2027">
        <v>2023</v>
      </c>
      <c r="G2027" s="109">
        <f t="shared" ca="1" si="40"/>
        <v>0.2722697877610018</v>
      </c>
    </row>
    <row r="2028" spans="2:7" x14ac:dyDescent="0.25">
      <c r="B2028" s="98"/>
      <c r="F2028">
        <v>2024</v>
      </c>
      <c r="G2028" s="109">
        <f t="shared" ca="1" si="40"/>
        <v>0.11117215723517712</v>
      </c>
    </row>
    <row r="2029" spans="2:7" x14ac:dyDescent="0.25">
      <c r="B2029" s="98"/>
      <c r="F2029">
        <v>2025</v>
      </c>
      <c r="G2029" s="109">
        <f t="shared" ca="1" si="40"/>
        <v>6.1269080921960914E-3</v>
      </c>
    </row>
    <row r="2030" spans="2:7" x14ac:dyDescent="0.25">
      <c r="B2030" s="98"/>
      <c r="F2030">
        <v>2026</v>
      </c>
      <c r="G2030" s="109">
        <f t="shared" ca="1" si="40"/>
        <v>6.8524343101258739E-2</v>
      </c>
    </row>
    <row r="2031" spans="2:7" x14ac:dyDescent="0.25">
      <c r="B2031" s="98"/>
      <c r="F2031">
        <v>2027</v>
      </c>
      <c r="G2031" s="109">
        <f t="shared" ca="1" si="40"/>
        <v>0.20262503824689143</v>
      </c>
    </row>
    <row r="2032" spans="2:7" x14ac:dyDescent="0.25">
      <c r="B2032" s="98"/>
      <c r="F2032">
        <v>2028</v>
      </c>
      <c r="G2032" s="109">
        <f t="shared" ca="1" si="40"/>
        <v>0.15163074731776213</v>
      </c>
    </row>
    <row r="2033" spans="2:7" x14ac:dyDescent="0.25">
      <c r="B2033" s="98"/>
      <c r="F2033">
        <v>2029</v>
      </c>
      <c r="G2033" s="109">
        <f t="shared" ca="1" si="40"/>
        <v>9.8705432137836391E-3</v>
      </c>
    </row>
    <row r="2034" spans="2:7" x14ac:dyDescent="0.25">
      <c r="B2034" s="98"/>
      <c r="F2034">
        <v>2030</v>
      </c>
      <c r="G2034" s="109">
        <f t="shared" ca="1" si="40"/>
        <v>-1.0196659627762228E-3</v>
      </c>
    </row>
    <row r="2035" spans="2:7" x14ac:dyDescent="0.25">
      <c r="B2035" s="98"/>
      <c r="F2035">
        <v>2031</v>
      </c>
      <c r="G2035" s="109">
        <f t="shared" ca="1" si="40"/>
        <v>6.9894999517205042E-2</v>
      </c>
    </row>
    <row r="2036" spans="2:7" x14ac:dyDescent="0.25">
      <c r="B2036" s="98"/>
      <c r="F2036">
        <v>2032</v>
      </c>
      <c r="G2036" s="109">
        <f t="shared" ca="1" si="40"/>
        <v>8.9650162287835122E-2</v>
      </c>
    </row>
    <row r="2037" spans="2:7" x14ac:dyDescent="0.25">
      <c r="B2037" s="98"/>
      <c r="F2037">
        <v>2033</v>
      </c>
      <c r="G2037" s="109">
        <f t="shared" ca="1" si="40"/>
        <v>-4.1163590540553352E-2</v>
      </c>
    </row>
    <row r="2038" spans="2:7" x14ac:dyDescent="0.25">
      <c r="B2038" s="98"/>
      <c r="F2038">
        <v>2034</v>
      </c>
      <c r="G2038" s="109">
        <f t="shared" ca="1" si="40"/>
        <v>0.10035826172845561</v>
      </c>
    </row>
    <row r="2039" spans="2:7" x14ac:dyDescent="0.25">
      <c r="B2039" s="98"/>
      <c r="F2039">
        <v>2035</v>
      </c>
      <c r="G2039" s="109">
        <f t="shared" ca="1" si="40"/>
        <v>0.1506086695165896</v>
      </c>
    </row>
    <row r="2040" spans="2:7" x14ac:dyDescent="0.25">
      <c r="B2040" s="98"/>
      <c r="F2040">
        <v>2036</v>
      </c>
      <c r="G2040" s="109">
        <f t="shared" ca="1" si="40"/>
        <v>-1.8173518077199233E-2</v>
      </c>
    </row>
    <row r="2041" spans="2:7" x14ac:dyDescent="0.25">
      <c r="B2041" s="98"/>
      <c r="F2041">
        <v>2037</v>
      </c>
      <c r="G2041" s="109">
        <f t="shared" ca="1" si="40"/>
        <v>0.10507515147094371</v>
      </c>
    </row>
    <row r="2042" spans="2:7" x14ac:dyDescent="0.25">
      <c r="B2042" s="98"/>
      <c r="F2042">
        <v>2038</v>
      </c>
      <c r="G2042" s="109">
        <f t="shared" ca="1" si="40"/>
        <v>7.9411723904939446E-2</v>
      </c>
    </row>
    <row r="2043" spans="2:7" x14ac:dyDescent="0.25">
      <c r="B2043" s="98"/>
      <c r="F2043">
        <v>2039</v>
      </c>
      <c r="G2043" s="109">
        <f t="shared" ca="1" si="40"/>
        <v>0.18458266062362272</v>
      </c>
    </row>
    <row r="2044" spans="2:7" x14ac:dyDescent="0.25">
      <c r="B2044" s="98"/>
      <c r="F2044">
        <v>2040</v>
      </c>
      <c r="G2044" s="109">
        <f t="shared" ca="1" si="40"/>
        <v>3.7676742205852431E-3</v>
      </c>
    </row>
    <row r="2045" spans="2:7" x14ac:dyDescent="0.25">
      <c r="B2045" s="98"/>
      <c r="F2045">
        <v>2041</v>
      </c>
      <c r="G2045" s="109">
        <f t="shared" ca="1" si="40"/>
        <v>0.21068798124253624</v>
      </c>
    </row>
    <row r="2046" spans="2:7" x14ac:dyDescent="0.25">
      <c r="B2046" s="98"/>
      <c r="F2046">
        <v>2042</v>
      </c>
      <c r="G2046" s="109">
        <f t="shared" ca="1" si="40"/>
        <v>-0.21463503561746372</v>
      </c>
    </row>
    <row r="2047" spans="2:7" x14ac:dyDescent="0.25">
      <c r="B2047" s="98"/>
      <c r="F2047">
        <v>2043</v>
      </c>
      <c r="G2047" s="109">
        <f t="shared" ca="1" si="40"/>
        <v>-0.1380803673941009</v>
      </c>
    </row>
    <row r="2048" spans="2:7" x14ac:dyDescent="0.25">
      <c r="B2048" s="98"/>
      <c r="F2048">
        <v>2044</v>
      </c>
      <c r="G2048" s="109">
        <f t="shared" ca="1" si="40"/>
        <v>7.290422086655074E-2</v>
      </c>
    </row>
    <row r="2049" spans="2:7" x14ac:dyDescent="0.25">
      <c r="B2049" s="98"/>
      <c r="F2049">
        <v>2045</v>
      </c>
      <c r="G2049" s="109">
        <f t="shared" ca="1" si="40"/>
        <v>0.16371914350400088</v>
      </c>
    </row>
    <row r="2050" spans="2:7" x14ac:dyDescent="0.25">
      <c r="B2050" s="98"/>
      <c r="F2050">
        <v>2046</v>
      </c>
      <c r="G2050" s="109">
        <f t="shared" ca="1" si="40"/>
        <v>8.1871841072528706E-2</v>
      </c>
    </row>
    <row r="2051" spans="2:7" x14ac:dyDescent="0.25">
      <c r="B2051" s="98"/>
      <c r="F2051">
        <v>2047</v>
      </c>
      <c r="G2051" s="109">
        <f t="shared" ca="1" si="40"/>
        <v>-4.4048872138553269E-2</v>
      </c>
    </row>
    <row r="2052" spans="2:7" x14ac:dyDescent="0.25">
      <c r="B2052" s="98"/>
      <c r="F2052">
        <v>2048</v>
      </c>
      <c r="G2052" s="109">
        <f t="shared" ca="1" si="40"/>
        <v>7.0327556408915276E-2</v>
      </c>
    </row>
    <row r="2053" spans="2:7" x14ac:dyDescent="0.25">
      <c r="B2053" s="98"/>
      <c r="F2053">
        <v>2049</v>
      </c>
      <c r="G2053" s="109">
        <f t="shared" ca="1" si="40"/>
        <v>0.20910791463229916</v>
      </c>
    </row>
    <row r="2054" spans="2:7" x14ac:dyDescent="0.25">
      <c r="B2054" s="98"/>
      <c r="F2054">
        <v>2050</v>
      </c>
      <c r="G2054" s="109">
        <f t="shared" ref="G2054:G2117" ca="1" si="41">_xlfn.NORM.INV(RAND(),$M$5,$M$6)</f>
        <v>-0.12903657333243435</v>
      </c>
    </row>
    <row r="2055" spans="2:7" x14ac:dyDescent="0.25">
      <c r="B2055" s="98"/>
      <c r="F2055">
        <v>2051</v>
      </c>
      <c r="G2055" s="109">
        <f t="shared" ca="1" si="41"/>
        <v>5.5399243289253636E-2</v>
      </c>
    </row>
    <row r="2056" spans="2:7" x14ac:dyDescent="0.25">
      <c r="B2056" s="98"/>
      <c r="F2056">
        <v>2052</v>
      </c>
      <c r="G2056" s="109">
        <f t="shared" ca="1" si="41"/>
        <v>-5.8610671294004796E-2</v>
      </c>
    </row>
    <row r="2057" spans="2:7" x14ac:dyDescent="0.25">
      <c r="B2057" s="98"/>
      <c r="F2057">
        <v>2053</v>
      </c>
      <c r="G2057" s="109">
        <f t="shared" ca="1" si="41"/>
        <v>-1.8214115960344668E-2</v>
      </c>
    </row>
    <row r="2058" spans="2:7" x14ac:dyDescent="0.25">
      <c r="B2058" s="98"/>
      <c r="F2058">
        <v>2054</v>
      </c>
      <c r="G2058" s="109">
        <f t="shared" ca="1" si="41"/>
        <v>6.2963369920702256E-2</v>
      </c>
    </row>
    <row r="2059" spans="2:7" x14ac:dyDescent="0.25">
      <c r="B2059" s="98"/>
      <c r="F2059">
        <v>2055</v>
      </c>
      <c r="G2059" s="109">
        <f t="shared" ca="1" si="41"/>
        <v>-2.8019123774284282E-2</v>
      </c>
    </row>
    <row r="2060" spans="2:7" x14ac:dyDescent="0.25">
      <c r="B2060" s="98"/>
      <c r="F2060">
        <v>2056</v>
      </c>
      <c r="G2060" s="109">
        <f t="shared" ca="1" si="41"/>
        <v>-2.9662395035761097E-2</v>
      </c>
    </row>
    <row r="2061" spans="2:7" x14ac:dyDescent="0.25">
      <c r="B2061" s="98"/>
      <c r="F2061">
        <v>2057</v>
      </c>
      <c r="G2061" s="109">
        <f t="shared" ca="1" si="41"/>
        <v>0.1458599356728747</v>
      </c>
    </row>
    <row r="2062" spans="2:7" x14ac:dyDescent="0.25">
      <c r="B2062" s="98"/>
      <c r="F2062">
        <v>2058</v>
      </c>
      <c r="G2062" s="109">
        <f t="shared" ca="1" si="41"/>
        <v>5.5930695615176641E-2</v>
      </c>
    </row>
    <row r="2063" spans="2:7" x14ac:dyDescent="0.25">
      <c r="B2063" s="98"/>
      <c r="F2063">
        <v>2059</v>
      </c>
      <c r="G2063" s="109">
        <f t="shared" ca="1" si="41"/>
        <v>0.10723605852455848</v>
      </c>
    </row>
    <row r="2064" spans="2:7" x14ac:dyDescent="0.25">
      <c r="B2064" s="98"/>
      <c r="F2064">
        <v>2060</v>
      </c>
      <c r="G2064" s="109">
        <f t="shared" ca="1" si="41"/>
        <v>-7.1825722504472653E-3</v>
      </c>
    </row>
    <row r="2065" spans="2:7" x14ac:dyDescent="0.25">
      <c r="B2065" s="98"/>
      <c r="F2065">
        <v>2061</v>
      </c>
      <c r="G2065" s="109">
        <f t="shared" ca="1" si="41"/>
        <v>-0.11645234699020386</v>
      </c>
    </row>
    <row r="2066" spans="2:7" x14ac:dyDescent="0.25">
      <c r="B2066" s="98"/>
      <c r="F2066">
        <v>2062</v>
      </c>
      <c r="G2066" s="109">
        <f t="shared" ca="1" si="41"/>
        <v>7.8846016721262485E-3</v>
      </c>
    </row>
    <row r="2067" spans="2:7" x14ac:dyDescent="0.25">
      <c r="B2067" s="98"/>
      <c r="F2067">
        <v>2063</v>
      </c>
      <c r="G2067" s="109">
        <f t="shared" ca="1" si="41"/>
        <v>2.3552816321785356E-2</v>
      </c>
    </row>
    <row r="2068" spans="2:7" x14ac:dyDescent="0.25">
      <c r="B2068" s="98"/>
      <c r="F2068">
        <v>2064</v>
      </c>
      <c r="G2068" s="109">
        <f t="shared" ca="1" si="41"/>
        <v>0.16742028604162029</v>
      </c>
    </row>
    <row r="2069" spans="2:7" x14ac:dyDescent="0.25">
      <c r="B2069" s="98"/>
      <c r="F2069">
        <v>2065</v>
      </c>
      <c r="G2069" s="109">
        <f t="shared" ca="1" si="41"/>
        <v>7.1929342296874338E-3</v>
      </c>
    </row>
    <row r="2070" spans="2:7" x14ac:dyDescent="0.25">
      <c r="B2070" s="98"/>
      <c r="F2070">
        <v>2066</v>
      </c>
      <c r="G2070" s="109">
        <f t="shared" ca="1" si="41"/>
        <v>-4.5732575213088406E-2</v>
      </c>
    </row>
    <row r="2071" spans="2:7" x14ac:dyDescent="0.25">
      <c r="B2071" s="98"/>
      <c r="F2071">
        <v>2067</v>
      </c>
      <c r="G2071" s="109">
        <f t="shared" ca="1" si="41"/>
        <v>-0.19483898618452128</v>
      </c>
    </row>
    <row r="2072" spans="2:7" x14ac:dyDescent="0.25">
      <c r="B2072" s="98"/>
      <c r="F2072">
        <v>2068</v>
      </c>
      <c r="G2072" s="109">
        <f t="shared" ca="1" si="41"/>
        <v>-1.2940442024261277E-2</v>
      </c>
    </row>
    <row r="2073" spans="2:7" x14ac:dyDescent="0.25">
      <c r="B2073" s="98"/>
      <c r="F2073">
        <v>2069</v>
      </c>
      <c r="G2073" s="109">
        <f t="shared" ca="1" si="41"/>
        <v>0.14820713424332138</v>
      </c>
    </row>
    <row r="2074" spans="2:7" x14ac:dyDescent="0.25">
      <c r="B2074" s="98"/>
      <c r="F2074">
        <v>2070</v>
      </c>
      <c r="G2074" s="109">
        <f t="shared" ca="1" si="41"/>
        <v>-0.11150688234323881</v>
      </c>
    </row>
    <row r="2075" spans="2:7" x14ac:dyDescent="0.25">
      <c r="B2075" s="98"/>
      <c r="F2075">
        <v>2071</v>
      </c>
      <c r="G2075" s="109">
        <f t="shared" ca="1" si="41"/>
        <v>-2.246349121679482E-2</v>
      </c>
    </row>
    <row r="2076" spans="2:7" x14ac:dyDescent="0.25">
      <c r="B2076" s="98"/>
      <c r="F2076">
        <v>2072</v>
      </c>
      <c r="G2076" s="109">
        <f t="shared" ca="1" si="41"/>
        <v>-5.0458249955417811E-2</v>
      </c>
    </row>
    <row r="2077" spans="2:7" x14ac:dyDescent="0.25">
      <c r="B2077" s="98"/>
      <c r="F2077">
        <v>2073</v>
      </c>
      <c r="G2077" s="109">
        <f t="shared" ca="1" si="41"/>
        <v>5.4091305733665038E-2</v>
      </c>
    </row>
    <row r="2078" spans="2:7" x14ac:dyDescent="0.25">
      <c r="B2078" s="98"/>
      <c r="F2078">
        <v>2074</v>
      </c>
      <c r="G2078" s="109">
        <f t="shared" ca="1" si="41"/>
        <v>-0.18191628855471109</v>
      </c>
    </row>
    <row r="2079" spans="2:7" x14ac:dyDescent="0.25">
      <c r="B2079" s="98"/>
      <c r="F2079">
        <v>2075</v>
      </c>
      <c r="G2079" s="109">
        <f t="shared" ca="1" si="41"/>
        <v>-0.17203999788179802</v>
      </c>
    </row>
    <row r="2080" spans="2:7" x14ac:dyDescent="0.25">
      <c r="B2080" s="98"/>
      <c r="F2080">
        <v>2076</v>
      </c>
      <c r="G2080" s="109">
        <f t="shared" ca="1" si="41"/>
        <v>7.3158588895718246E-2</v>
      </c>
    </row>
    <row r="2081" spans="2:7" x14ac:dyDescent="0.25">
      <c r="B2081" s="98"/>
      <c r="F2081">
        <v>2077</v>
      </c>
      <c r="G2081" s="109">
        <f t="shared" ca="1" si="41"/>
        <v>-1.5799760551156936E-3</v>
      </c>
    </row>
    <row r="2082" spans="2:7" x14ac:dyDescent="0.25">
      <c r="B2082" s="98"/>
      <c r="F2082">
        <v>2078</v>
      </c>
      <c r="G2082" s="109">
        <f t="shared" ca="1" si="41"/>
        <v>0.10019959554867355</v>
      </c>
    </row>
    <row r="2083" spans="2:7" x14ac:dyDescent="0.25">
      <c r="B2083" s="98"/>
      <c r="F2083">
        <v>2079</v>
      </c>
      <c r="G2083" s="109">
        <f t="shared" ca="1" si="41"/>
        <v>-0.13199879021846306</v>
      </c>
    </row>
    <row r="2084" spans="2:7" x14ac:dyDescent="0.25">
      <c r="B2084" s="98"/>
      <c r="F2084">
        <v>2080</v>
      </c>
      <c r="G2084" s="109">
        <f t="shared" ca="1" si="41"/>
        <v>5.2949432829924849E-2</v>
      </c>
    </row>
    <row r="2085" spans="2:7" x14ac:dyDescent="0.25">
      <c r="B2085" s="98"/>
      <c r="F2085">
        <v>2081</v>
      </c>
      <c r="G2085" s="109">
        <f t="shared" ca="1" si="41"/>
        <v>8.0153110246587875E-2</v>
      </c>
    </row>
    <row r="2086" spans="2:7" x14ac:dyDescent="0.25">
      <c r="B2086" s="98"/>
      <c r="F2086">
        <v>2082</v>
      </c>
      <c r="G2086" s="109">
        <f t="shared" ca="1" si="41"/>
        <v>8.3984915570549407E-2</v>
      </c>
    </row>
    <row r="2087" spans="2:7" x14ac:dyDescent="0.25">
      <c r="B2087" s="98"/>
      <c r="F2087">
        <v>2083</v>
      </c>
      <c r="G2087" s="109">
        <f t="shared" ca="1" si="41"/>
        <v>-0.28528461768235591</v>
      </c>
    </row>
    <row r="2088" spans="2:7" x14ac:dyDescent="0.25">
      <c r="B2088" s="98"/>
      <c r="F2088">
        <v>2084</v>
      </c>
      <c r="G2088" s="109">
        <f t="shared" ca="1" si="41"/>
        <v>-0.16027837033739256</v>
      </c>
    </row>
    <row r="2089" spans="2:7" x14ac:dyDescent="0.25">
      <c r="B2089" s="98"/>
      <c r="F2089">
        <v>2085</v>
      </c>
      <c r="G2089" s="109">
        <f t="shared" ca="1" si="41"/>
        <v>-6.3306283006934264E-2</v>
      </c>
    </row>
    <row r="2090" spans="2:7" x14ac:dyDescent="0.25">
      <c r="B2090" s="98"/>
      <c r="F2090">
        <v>2086</v>
      </c>
      <c r="G2090" s="109">
        <f t="shared" ca="1" si="41"/>
        <v>2.2423724509815987E-2</v>
      </c>
    </row>
    <row r="2091" spans="2:7" x14ac:dyDescent="0.25">
      <c r="B2091" s="98"/>
      <c r="F2091">
        <v>2087</v>
      </c>
      <c r="G2091" s="109">
        <f t="shared" ca="1" si="41"/>
        <v>0.12996531032782702</v>
      </c>
    </row>
    <row r="2092" spans="2:7" x14ac:dyDescent="0.25">
      <c r="B2092" s="98"/>
      <c r="F2092">
        <v>2088</v>
      </c>
      <c r="G2092" s="109">
        <f t="shared" ca="1" si="41"/>
        <v>-3.2768389777898005E-2</v>
      </c>
    </row>
    <row r="2093" spans="2:7" x14ac:dyDescent="0.25">
      <c r="B2093" s="98"/>
      <c r="F2093">
        <v>2089</v>
      </c>
      <c r="G2093" s="109">
        <f t="shared" ca="1" si="41"/>
        <v>-5.9906644114226526E-2</v>
      </c>
    </row>
    <row r="2094" spans="2:7" x14ac:dyDescent="0.25">
      <c r="B2094" s="98"/>
      <c r="F2094">
        <v>2090</v>
      </c>
      <c r="G2094" s="109">
        <f t="shared" ca="1" si="41"/>
        <v>4.0180619360401071E-2</v>
      </c>
    </row>
    <row r="2095" spans="2:7" x14ac:dyDescent="0.25">
      <c r="B2095" s="98"/>
      <c r="F2095">
        <v>2091</v>
      </c>
      <c r="G2095" s="109">
        <f t="shared" ca="1" si="41"/>
        <v>-9.259586649452696E-2</v>
      </c>
    </row>
    <row r="2096" spans="2:7" x14ac:dyDescent="0.25">
      <c r="B2096" s="98"/>
      <c r="F2096">
        <v>2092</v>
      </c>
      <c r="G2096" s="109">
        <f t="shared" ca="1" si="41"/>
        <v>-0.10566491325686993</v>
      </c>
    </row>
    <row r="2097" spans="2:7" x14ac:dyDescent="0.25">
      <c r="B2097" s="98"/>
      <c r="F2097">
        <v>2093</v>
      </c>
      <c r="G2097" s="109">
        <f t="shared" ca="1" si="41"/>
        <v>0.10679475215329422</v>
      </c>
    </row>
    <row r="2098" spans="2:7" x14ac:dyDescent="0.25">
      <c r="B2098" s="98"/>
      <c r="F2098">
        <v>2094</v>
      </c>
      <c r="G2098" s="109">
        <f t="shared" ca="1" si="41"/>
        <v>-8.9805922585208489E-2</v>
      </c>
    </row>
    <row r="2099" spans="2:7" x14ac:dyDescent="0.25">
      <c r="B2099" s="98"/>
      <c r="F2099">
        <v>2095</v>
      </c>
      <c r="G2099" s="109">
        <f t="shared" ca="1" si="41"/>
        <v>3.7905921367952608E-2</v>
      </c>
    </row>
    <row r="2100" spans="2:7" x14ac:dyDescent="0.25">
      <c r="B2100" s="98"/>
      <c r="F2100">
        <v>2096</v>
      </c>
      <c r="G2100" s="109">
        <f t="shared" ca="1" si="41"/>
        <v>0.21436380412962913</v>
      </c>
    </row>
    <row r="2101" spans="2:7" x14ac:dyDescent="0.25">
      <c r="B2101" s="98"/>
      <c r="F2101">
        <v>2097</v>
      </c>
      <c r="G2101" s="109">
        <f t="shared" ca="1" si="41"/>
        <v>-0.16814619760031285</v>
      </c>
    </row>
    <row r="2102" spans="2:7" x14ac:dyDescent="0.25">
      <c r="B2102" s="98"/>
      <c r="F2102">
        <v>2098</v>
      </c>
      <c r="G2102" s="109">
        <f t="shared" ca="1" si="41"/>
        <v>2.2382089872252237E-3</v>
      </c>
    </row>
    <row r="2103" spans="2:7" x14ac:dyDescent="0.25">
      <c r="B2103" s="98"/>
      <c r="F2103">
        <v>2099</v>
      </c>
      <c r="G2103" s="109">
        <f t="shared" ca="1" si="41"/>
        <v>-0.10670776408814021</v>
      </c>
    </row>
    <row r="2104" spans="2:7" x14ac:dyDescent="0.25">
      <c r="B2104" s="98"/>
      <c r="F2104">
        <v>2100</v>
      </c>
      <c r="G2104" s="109">
        <f t="shared" ca="1" si="41"/>
        <v>7.0895379333143063E-2</v>
      </c>
    </row>
    <row r="2105" spans="2:7" x14ac:dyDescent="0.25">
      <c r="B2105" s="98"/>
      <c r="F2105">
        <v>2101</v>
      </c>
      <c r="G2105" s="109">
        <f t="shared" ca="1" si="41"/>
        <v>-1.9520357897053392E-2</v>
      </c>
    </row>
    <row r="2106" spans="2:7" x14ac:dyDescent="0.25">
      <c r="B2106" s="98"/>
      <c r="F2106">
        <v>2102</v>
      </c>
      <c r="G2106" s="109">
        <f t="shared" ca="1" si="41"/>
        <v>0.12095299068845794</v>
      </c>
    </row>
    <row r="2107" spans="2:7" x14ac:dyDescent="0.25">
      <c r="B2107" s="98"/>
      <c r="F2107">
        <v>2103</v>
      </c>
      <c r="G2107" s="109">
        <f t="shared" ca="1" si="41"/>
        <v>-2.4339347907000403E-2</v>
      </c>
    </row>
    <row r="2108" spans="2:7" x14ac:dyDescent="0.25">
      <c r="B2108" s="98"/>
      <c r="F2108">
        <v>2104</v>
      </c>
      <c r="G2108" s="109">
        <f t="shared" ca="1" si="41"/>
        <v>-1.0506112397004823E-2</v>
      </c>
    </row>
    <row r="2109" spans="2:7" x14ac:dyDescent="0.25">
      <c r="B2109" s="98"/>
      <c r="F2109">
        <v>2105</v>
      </c>
      <c r="G2109" s="109">
        <f t="shared" ca="1" si="41"/>
        <v>2.8914500919290185E-2</v>
      </c>
    </row>
    <row r="2110" spans="2:7" x14ac:dyDescent="0.25">
      <c r="B2110" s="98"/>
      <c r="F2110">
        <v>2106</v>
      </c>
      <c r="G2110" s="109">
        <f t="shared" ca="1" si="41"/>
        <v>2.4421521627876891E-2</v>
      </c>
    </row>
    <row r="2111" spans="2:7" x14ac:dyDescent="0.25">
      <c r="B2111" s="98"/>
      <c r="F2111">
        <v>2107</v>
      </c>
      <c r="G2111" s="109">
        <f t="shared" ca="1" si="41"/>
        <v>8.5978812462491144E-2</v>
      </c>
    </row>
    <row r="2112" spans="2:7" x14ac:dyDescent="0.25">
      <c r="B2112" s="98"/>
      <c r="F2112">
        <v>2108</v>
      </c>
      <c r="G2112" s="109">
        <f t="shared" ca="1" si="41"/>
        <v>8.7504065625813018E-2</v>
      </c>
    </row>
    <row r="2113" spans="2:7" x14ac:dyDescent="0.25">
      <c r="B2113" s="98"/>
      <c r="F2113">
        <v>2109</v>
      </c>
      <c r="G2113" s="109">
        <f t="shared" ca="1" si="41"/>
        <v>-1.288988273442454E-3</v>
      </c>
    </row>
    <row r="2114" spans="2:7" x14ac:dyDescent="0.25">
      <c r="B2114" s="98"/>
      <c r="F2114">
        <v>2110</v>
      </c>
      <c r="G2114" s="109">
        <f t="shared" ca="1" si="41"/>
        <v>-0.15375249877030883</v>
      </c>
    </row>
    <row r="2115" spans="2:7" x14ac:dyDescent="0.25">
      <c r="B2115" s="98"/>
      <c r="F2115">
        <v>2111</v>
      </c>
      <c r="G2115" s="109">
        <f t="shared" ca="1" si="41"/>
        <v>5.7698884766214237E-2</v>
      </c>
    </row>
    <row r="2116" spans="2:7" x14ac:dyDescent="0.25">
      <c r="B2116" s="98"/>
      <c r="F2116">
        <v>2112</v>
      </c>
      <c r="G2116" s="109">
        <f t="shared" ca="1" si="41"/>
        <v>0.13174107596160373</v>
      </c>
    </row>
    <row r="2117" spans="2:7" x14ac:dyDescent="0.25">
      <c r="B2117" s="98"/>
      <c r="F2117">
        <v>2113</v>
      </c>
      <c r="G2117" s="109">
        <f t="shared" ca="1" si="41"/>
        <v>-8.8232207630772982E-2</v>
      </c>
    </row>
    <row r="2118" spans="2:7" x14ac:dyDescent="0.25">
      <c r="B2118" s="98"/>
      <c r="F2118">
        <v>2114</v>
      </c>
      <c r="G2118" s="109">
        <f t="shared" ref="G2118:G2181" ca="1" si="42">_xlfn.NORM.INV(RAND(),$M$5,$M$6)</f>
        <v>6.5802765304310437E-2</v>
      </c>
    </row>
    <row r="2119" spans="2:7" x14ac:dyDescent="0.25">
      <c r="B2119" s="98"/>
      <c r="F2119">
        <v>2115</v>
      </c>
      <c r="G2119" s="109">
        <f t="shared" ca="1" si="42"/>
        <v>1.7678736235116319E-2</v>
      </c>
    </row>
    <row r="2120" spans="2:7" x14ac:dyDescent="0.25">
      <c r="B2120" s="98"/>
      <c r="F2120">
        <v>2116</v>
      </c>
      <c r="G2120" s="109">
        <f t="shared" ca="1" si="42"/>
        <v>4.9636474197871136E-2</v>
      </c>
    </row>
    <row r="2121" spans="2:7" x14ac:dyDescent="0.25">
      <c r="B2121" s="98"/>
      <c r="F2121">
        <v>2117</v>
      </c>
      <c r="G2121" s="109">
        <f t="shared" ca="1" si="42"/>
        <v>-6.3747020787439726E-3</v>
      </c>
    </row>
    <row r="2122" spans="2:7" x14ac:dyDescent="0.25">
      <c r="B2122" s="98"/>
      <c r="F2122">
        <v>2118</v>
      </c>
      <c r="G2122" s="109">
        <f t="shared" ca="1" si="42"/>
        <v>-0.1320128025713469</v>
      </c>
    </row>
    <row r="2123" spans="2:7" x14ac:dyDescent="0.25">
      <c r="B2123" s="98"/>
      <c r="F2123">
        <v>2119</v>
      </c>
      <c r="G2123" s="109">
        <f t="shared" ca="1" si="42"/>
        <v>6.3675013514611439E-2</v>
      </c>
    </row>
    <row r="2124" spans="2:7" x14ac:dyDescent="0.25">
      <c r="B2124" s="98"/>
      <c r="F2124">
        <v>2120</v>
      </c>
      <c r="G2124" s="109">
        <f t="shared" ca="1" si="42"/>
        <v>1.1111856076944357E-2</v>
      </c>
    </row>
    <row r="2125" spans="2:7" x14ac:dyDescent="0.25">
      <c r="B2125" s="98"/>
      <c r="F2125">
        <v>2121</v>
      </c>
      <c r="G2125" s="109">
        <f t="shared" ca="1" si="42"/>
        <v>5.7529419316458559E-2</v>
      </c>
    </row>
    <row r="2126" spans="2:7" x14ac:dyDescent="0.25">
      <c r="B2126" s="98"/>
      <c r="F2126">
        <v>2122</v>
      </c>
      <c r="G2126" s="109">
        <f t="shared" ca="1" si="42"/>
        <v>-6.697806745846091E-2</v>
      </c>
    </row>
    <row r="2127" spans="2:7" x14ac:dyDescent="0.25">
      <c r="B2127" s="98"/>
      <c r="F2127">
        <v>2123</v>
      </c>
      <c r="G2127" s="109">
        <f t="shared" ca="1" si="42"/>
        <v>5.2652035620815878E-2</v>
      </c>
    </row>
    <row r="2128" spans="2:7" x14ac:dyDescent="0.25">
      <c r="B2128" s="98"/>
      <c r="F2128">
        <v>2124</v>
      </c>
      <c r="G2128" s="109">
        <f t="shared" ca="1" si="42"/>
        <v>-2.168165779906038E-2</v>
      </c>
    </row>
    <row r="2129" spans="2:7" x14ac:dyDescent="0.25">
      <c r="B2129" s="98"/>
      <c r="F2129">
        <v>2125</v>
      </c>
      <c r="G2129" s="109">
        <f t="shared" ca="1" si="42"/>
        <v>6.833495912706615E-2</v>
      </c>
    </row>
    <row r="2130" spans="2:7" x14ac:dyDescent="0.25">
      <c r="B2130" s="98"/>
      <c r="F2130">
        <v>2126</v>
      </c>
      <c r="G2130" s="109">
        <f t="shared" ca="1" si="42"/>
        <v>0.16464256024572405</v>
      </c>
    </row>
    <row r="2131" spans="2:7" x14ac:dyDescent="0.25">
      <c r="B2131" s="98"/>
      <c r="F2131">
        <v>2127</v>
      </c>
      <c r="G2131" s="109">
        <f t="shared" ca="1" si="42"/>
        <v>-5.8476526502726597E-2</v>
      </c>
    </row>
    <row r="2132" spans="2:7" x14ac:dyDescent="0.25">
      <c r="B2132" s="98"/>
      <c r="F2132">
        <v>2128</v>
      </c>
      <c r="G2132" s="109">
        <f t="shared" ca="1" si="42"/>
        <v>-4.6849851978199297E-3</v>
      </c>
    </row>
    <row r="2133" spans="2:7" x14ac:dyDescent="0.25">
      <c r="B2133" s="98"/>
      <c r="F2133">
        <v>2129</v>
      </c>
      <c r="G2133" s="109">
        <f t="shared" ca="1" si="42"/>
        <v>2.1697605604315742E-2</v>
      </c>
    </row>
    <row r="2134" spans="2:7" x14ac:dyDescent="0.25">
      <c r="B2134" s="98"/>
      <c r="F2134">
        <v>2130</v>
      </c>
      <c r="G2134" s="109">
        <f t="shared" ca="1" si="42"/>
        <v>-0.10774321892187845</v>
      </c>
    </row>
    <row r="2135" spans="2:7" x14ac:dyDescent="0.25">
      <c r="B2135" s="98"/>
      <c r="F2135">
        <v>2131</v>
      </c>
      <c r="G2135" s="109">
        <f t="shared" ca="1" si="42"/>
        <v>-6.4887055071759889E-2</v>
      </c>
    </row>
    <row r="2136" spans="2:7" x14ac:dyDescent="0.25">
      <c r="B2136" s="98"/>
      <c r="F2136">
        <v>2132</v>
      </c>
      <c r="G2136" s="109">
        <f t="shared" ca="1" si="42"/>
        <v>-6.6229965910550442E-2</v>
      </c>
    </row>
    <row r="2137" spans="2:7" x14ac:dyDescent="0.25">
      <c r="B2137" s="98"/>
      <c r="F2137">
        <v>2133</v>
      </c>
      <c r="G2137" s="109">
        <f t="shared" ca="1" si="42"/>
        <v>2.5605097338731984E-2</v>
      </c>
    </row>
    <row r="2138" spans="2:7" x14ac:dyDescent="0.25">
      <c r="B2138" s="98"/>
      <c r="F2138">
        <v>2134</v>
      </c>
      <c r="G2138" s="109">
        <f t="shared" ca="1" si="42"/>
        <v>9.7814802646853216E-2</v>
      </c>
    </row>
    <row r="2139" spans="2:7" x14ac:dyDescent="0.25">
      <c r="B2139" s="98"/>
      <c r="F2139">
        <v>2135</v>
      </c>
      <c r="G2139" s="109">
        <f t="shared" ca="1" si="42"/>
        <v>6.3791890422300879E-2</v>
      </c>
    </row>
    <row r="2140" spans="2:7" x14ac:dyDescent="0.25">
      <c r="B2140" s="98"/>
      <c r="F2140">
        <v>2136</v>
      </c>
      <c r="G2140" s="109">
        <f t="shared" ca="1" si="42"/>
        <v>-0.1009286791650323</v>
      </c>
    </row>
    <row r="2141" spans="2:7" x14ac:dyDescent="0.25">
      <c r="B2141" s="98"/>
      <c r="F2141">
        <v>2137</v>
      </c>
      <c r="G2141" s="109">
        <f t="shared" ca="1" si="42"/>
        <v>3.4359496208209994E-2</v>
      </c>
    </row>
    <row r="2142" spans="2:7" x14ac:dyDescent="0.25">
      <c r="B2142" s="98"/>
      <c r="F2142">
        <v>2138</v>
      </c>
      <c r="G2142" s="109">
        <f t="shared" ca="1" si="42"/>
        <v>-0.17665529739522484</v>
      </c>
    </row>
    <row r="2143" spans="2:7" x14ac:dyDescent="0.25">
      <c r="B2143" s="98"/>
      <c r="F2143">
        <v>2139</v>
      </c>
      <c r="G2143" s="109">
        <f t="shared" ca="1" si="42"/>
        <v>7.8417435240768996E-2</v>
      </c>
    </row>
    <row r="2144" spans="2:7" x14ac:dyDescent="0.25">
      <c r="B2144" s="98"/>
      <c r="F2144">
        <v>2140</v>
      </c>
      <c r="G2144" s="109">
        <f t="shared" ca="1" si="42"/>
        <v>0.10229757161486952</v>
      </c>
    </row>
    <row r="2145" spans="2:7" x14ac:dyDescent="0.25">
      <c r="B2145" s="98"/>
      <c r="F2145">
        <v>2141</v>
      </c>
      <c r="G2145" s="109">
        <f t="shared" ca="1" si="42"/>
        <v>7.1965423027779821E-2</v>
      </c>
    </row>
    <row r="2146" spans="2:7" x14ac:dyDescent="0.25">
      <c r="B2146" s="98"/>
      <c r="F2146">
        <v>2142</v>
      </c>
      <c r="G2146" s="109">
        <f t="shared" ca="1" si="42"/>
        <v>4.0117249620330496E-2</v>
      </c>
    </row>
    <row r="2147" spans="2:7" x14ac:dyDescent="0.25">
      <c r="B2147" s="98"/>
      <c r="F2147">
        <v>2143</v>
      </c>
      <c r="G2147" s="109">
        <f t="shared" ca="1" si="42"/>
        <v>4.1826496129480133E-2</v>
      </c>
    </row>
    <row r="2148" spans="2:7" x14ac:dyDescent="0.25">
      <c r="B2148" s="98"/>
      <c r="F2148">
        <v>2144</v>
      </c>
      <c r="G2148" s="109">
        <f t="shared" ca="1" si="42"/>
        <v>0.15387033118958293</v>
      </c>
    </row>
    <row r="2149" spans="2:7" x14ac:dyDescent="0.25">
      <c r="B2149" s="98"/>
      <c r="F2149">
        <v>2145</v>
      </c>
      <c r="G2149" s="109">
        <f t="shared" ca="1" si="42"/>
        <v>4.2265058495589473E-2</v>
      </c>
    </row>
    <row r="2150" spans="2:7" x14ac:dyDescent="0.25">
      <c r="B2150" s="98"/>
      <c r="F2150">
        <v>2146</v>
      </c>
      <c r="G2150" s="109">
        <f t="shared" ca="1" si="42"/>
        <v>7.7683714737434711E-2</v>
      </c>
    </row>
    <row r="2151" spans="2:7" x14ac:dyDescent="0.25">
      <c r="B2151" s="98"/>
      <c r="F2151">
        <v>2147</v>
      </c>
      <c r="G2151" s="109">
        <f t="shared" ca="1" si="42"/>
        <v>0.11517394485016554</v>
      </c>
    </row>
    <row r="2152" spans="2:7" x14ac:dyDescent="0.25">
      <c r="B2152" s="98"/>
      <c r="F2152">
        <v>2148</v>
      </c>
      <c r="G2152" s="109">
        <f t="shared" ca="1" si="42"/>
        <v>2.5291317186291882E-2</v>
      </c>
    </row>
    <row r="2153" spans="2:7" x14ac:dyDescent="0.25">
      <c r="B2153" s="98"/>
      <c r="F2153">
        <v>2149</v>
      </c>
      <c r="G2153" s="109">
        <f t="shared" ca="1" si="42"/>
        <v>-5.3066814980348043E-2</v>
      </c>
    </row>
    <row r="2154" spans="2:7" x14ac:dyDescent="0.25">
      <c r="B2154" s="98"/>
      <c r="F2154">
        <v>2150</v>
      </c>
      <c r="G2154" s="109">
        <f t="shared" ca="1" si="42"/>
        <v>2.2833317525891027E-2</v>
      </c>
    </row>
    <row r="2155" spans="2:7" x14ac:dyDescent="0.25">
      <c r="B2155" s="98"/>
      <c r="F2155">
        <v>2151</v>
      </c>
      <c r="G2155" s="109">
        <f t="shared" ca="1" si="42"/>
        <v>-0.12369920258715263</v>
      </c>
    </row>
    <row r="2156" spans="2:7" x14ac:dyDescent="0.25">
      <c r="B2156" s="98"/>
      <c r="F2156">
        <v>2152</v>
      </c>
      <c r="G2156" s="109">
        <f t="shared" ca="1" si="42"/>
        <v>-0.24188061272658329</v>
      </c>
    </row>
    <row r="2157" spans="2:7" x14ac:dyDescent="0.25">
      <c r="B2157" s="98"/>
      <c r="F2157">
        <v>2153</v>
      </c>
      <c r="G2157" s="109">
        <f t="shared" ca="1" si="42"/>
        <v>6.7577559692632433E-2</v>
      </c>
    </row>
    <row r="2158" spans="2:7" x14ac:dyDescent="0.25">
      <c r="B2158" s="98"/>
      <c r="F2158">
        <v>2154</v>
      </c>
      <c r="G2158" s="109">
        <f t="shared" ca="1" si="42"/>
        <v>0.12489391731119806</v>
      </c>
    </row>
    <row r="2159" spans="2:7" x14ac:dyDescent="0.25">
      <c r="B2159" s="98"/>
      <c r="F2159">
        <v>2155</v>
      </c>
      <c r="G2159" s="109">
        <f t="shared" ca="1" si="42"/>
        <v>4.9442861601826524E-2</v>
      </c>
    </row>
    <row r="2160" spans="2:7" x14ac:dyDescent="0.25">
      <c r="B2160" s="98"/>
      <c r="F2160">
        <v>2156</v>
      </c>
      <c r="G2160" s="109">
        <f t="shared" ca="1" si="42"/>
        <v>0.11428983991704016</v>
      </c>
    </row>
    <row r="2161" spans="2:7" x14ac:dyDescent="0.25">
      <c r="B2161" s="98"/>
      <c r="F2161">
        <v>2157</v>
      </c>
      <c r="G2161" s="109">
        <f t="shared" ca="1" si="42"/>
        <v>3.2417343965812577E-2</v>
      </c>
    </row>
    <row r="2162" spans="2:7" x14ac:dyDescent="0.25">
      <c r="B2162" s="98"/>
      <c r="F2162">
        <v>2158</v>
      </c>
      <c r="G2162" s="109">
        <f t="shared" ca="1" si="42"/>
        <v>0.20942546255040861</v>
      </c>
    </row>
    <row r="2163" spans="2:7" x14ac:dyDescent="0.25">
      <c r="B2163" s="98"/>
      <c r="F2163">
        <v>2159</v>
      </c>
      <c r="G2163" s="109">
        <f t="shared" ca="1" si="42"/>
        <v>-0.14189706037741839</v>
      </c>
    </row>
    <row r="2164" spans="2:7" x14ac:dyDescent="0.25">
      <c r="B2164" s="98"/>
      <c r="F2164">
        <v>2160</v>
      </c>
      <c r="G2164" s="109">
        <f t="shared" ca="1" si="42"/>
        <v>-6.3900174507294349E-2</v>
      </c>
    </row>
    <row r="2165" spans="2:7" x14ac:dyDescent="0.25">
      <c r="B2165" s="98"/>
      <c r="F2165">
        <v>2161</v>
      </c>
      <c r="G2165" s="109">
        <f t="shared" ca="1" si="42"/>
        <v>4.7497226548394958E-2</v>
      </c>
    </row>
    <row r="2166" spans="2:7" x14ac:dyDescent="0.25">
      <c r="B2166" s="98"/>
      <c r="F2166">
        <v>2162</v>
      </c>
      <c r="G2166" s="109">
        <f t="shared" ca="1" si="42"/>
        <v>-7.269575531543461E-2</v>
      </c>
    </row>
    <row r="2167" spans="2:7" x14ac:dyDescent="0.25">
      <c r="B2167" s="98"/>
      <c r="F2167">
        <v>2163</v>
      </c>
      <c r="G2167" s="109">
        <f t="shared" ca="1" si="42"/>
        <v>0.14285900320598965</v>
      </c>
    </row>
    <row r="2168" spans="2:7" x14ac:dyDescent="0.25">
      <c r="B2168" s="98"/>
      <c r="F2168">
        <v>2164</v>
      </c>
      <c r="G2168" s="109">
        <f t="shared" ca="1" si="42"/>
        <v>-2.2997158220710121E-2</v>
      </c>
    </row>
    <row r="2169" spans="2:7" x14ac:dyDescent="0.25">
      <c r="B2169" s="98"/>
      <c r="F2169">
        <v>2165</v>
      </c>
      <c r="G2169" s="109">
        <f t="shared" ca="1" si="42"/>
        <v>0.16380394574025914</v>
      </c>
    </row>
    <row r="2170" spans="2:7" x14ac:dyDescent="0.25">
      <c r="B2170" s="98"/>
      <c r="F2170">
        <v>2166</v>
      </c>
      <c r="G2170" s="109">
        <f t="shared" ca="1" si="42"/>
        <v>-8.9215042725458646E-2</v>
      </c>
    </row>
    <row r="2171" spans="2:7" x14ac:dyDescent="0.25">
      <c r="B2171" s="98"/>
      <c r="F2171">
        <v>2167</v>
      </c>
      <c r="G2171" s="109">
        <f t="shared" ca="1" si="42"/>
        <v>-8.9462236233727468E-2</v>
      </c>
    </row>
    <row r="2172" spans="2:7" x14ac:dyDescent="0.25">
      <c r="B2172" s="98"/>
      <c r="F2172">
        <v>2168</v>
      </c>
      <c r="G2172" s="109">
        <f t="shared" ca="1" si="42"/>
        <v>9.6833902239605862E-2</v>
      </c>
    </row>
    <row r="2173" spans="2:7" x14ac:dyDescent="0.25">
      <c r="B2173" s="98"/>
      <c r="F2173">
        <v>2169</v>
      </c>
      <c r="G2173" s="109">
        <f t="shared" ca="1" si="42"/>
        <v>-0.10882326045357026</v>
      </c>
    </row>
    <row r="2174" spans="2:7" x14ac:dyDescent="0.25">
      <c r="B2174" s="98"/>
      <c r="F2174">
        <v>2170</v>
      </c>
      <c r="G2174" s="109">
        <f t="shared" ca="1" si="42"/>
        <v>0.16752758785287125</v>
      </c>
    </row>
    <row r="2175" spans="2:7" x14ac:dyDescent="0.25">
      <c r="B2175" s="98"/>
      <c r="F2175">
        <v>2171</v>
      </c>
      <c r="G2175" s="109">
        <f t="shared" ca="1" si="42"/>
        <v>0.1322884655417837</v>
      </c>
    </row>
    <row r="2176" spans="2:7" x14ac:dyDescent="0.25">
      <c r="B2176" s="98"/>
      <c r="F2176">
        <v>2172</v>
      </c>
      <c r="G2176" s="109">
        <f t="shared" ca="1" si="42"/>
        <v>0.19060491950991038</v>
      </c>
    </row>
    <row r="2177" spans="2:7" x14ac:dyDescent="0.25">
      <c r="B2177" s="98"/>
      <c r="F2177">
        <v>2173</v>
      </c>
      <c r="G2177" s="109">
        <f t="shared" ca="1" si="42"/>
        <v>0.28411199242550461</v>
      </c>
    </row>
    <row r="2178" spans="2:7" x14ac:dyDescent="0.25">
      <c r="B2178" s="98"/>
      <c r="F2178">
        <v>2174</v>
      </c>
      <c r="G2178" s="109">
        <f t="shared" ca="1" si="42"/>
        <v>7.7615982148441176E-2</v>
      </c>
    </row>
    <row r="2179" spans="2:7" x14ac:dyDescent="0.25">
      <c r="B2179" s="98"/>
      <c r="F2179">
        <v>2175</v>
      </c>
      <c r="G2179" s="109">
        <f t="shared" ca="1" si="42"/>
        <v>-6.5000174221377396E-2</v>
      </c>
    </row>
    <row r="2180" spans="2:7" x14ac:dyDescent="0.25">
      <c r="B2180" s="98"/>
      <c r="F2180">
        <v>2176</v>
      </c>
      <c r="G2180" s="109">
        <f t="shared" ca="1" si="42"/>
        <v>-2.0978565792716244E-2</v>
      </c>
    </row>
    <row r="2181" spans="2:7" x14ac:dyDescent="0.25">
      <c r="B2181" s="98"/>
      <c r="F2181">
        <v>2177</v>
      </c>
      <c r="G2181" s="109">
        <f t="shared" ca="1" si="42"/>
        <v>0.18888599938069672</v>
      </c>
    </row>
    <row r="2182" spans="2:7" x14ac:dyDescent="0.25">
      <c r="B2182" s="98"/>
      <c r="F2182">
        <v>2178</v>
      </c>
      <c r="G2182" s="109">
        <f t="shared" ref="G2182:G2245" ca="1" si="43">_xlfn.NORM.INV(RAND(),$M$5,$M$6)</f>
        <v>9.8286977557536306E-3</v>
      </c>
    </row>
    <row r="2183" spans="2:7" x14ac:dyDescent="0.25">
      <c r="B2183" s="98"/>
      <c r="F2183">
        <v>2179</v>
      </c>
      <c r="G2183" s="109">
        <f t="shared" ca="1" si="43"/>
        <v>3.9603855410822231E-2</v>
      </c>
    </row>
    <row r="2184" spans="2:7" x14ac:dyDescent="0.25">
      <c r="B2184" s="98"/>
      <c r="F2184">
        <v>2180</v>
      </c>
      <c r="G2184" s="109">
        <f t="shared" ca="1" si="43"/>
        <v>-4.352458110139179E-2</v>
      </c>
    </row>
    <row r="2185" spans="2:7" x14ac:dyDescent="0.25">
      <c r="B2185" s="98"/>
      <c r="F2185">
        <v>2181</v>
      </c>
      <c r="G2185" s="109">
        <f t="shared" ca="1" si="43"/>
        <v>7.5588249280680586E-3</v>
      </c>
    </row>
    <row r="2186" spans="2:7" x14ac:dyDescent="0.25">
      <c r="B2186" s="98"/>
      <c r="F2186">
        <v>2182</v>
      </c>
      <c r="G2186" s="109">
        <f t="shared" ca="1" si="43"/>
        <v>0.18516480993695689</v>
      </c>
    </row>
    <row r="2187" spans="2:7" x14ac:dyDescent="0.25">
      <c r="B2187" s="98"/>
      <c r="F2187">
        <v>2183</v>
      </c>
      <c r="G2187" s="109">
        <f t="shared" ca="1" si="43"/>
        <v>0.19413498306118276</v>
      </c>
    </row>
    <row r="2188" spans="2:7" x14ac:dyDescent="0.25">
      <c r="B2188" s="98"/>
      <c r="F2188">
        <v>2184</v>
      </c>
      <c r="G2188" s="109">
        <f t="shared" ca="1" si="43"/>
        <v>-3.5454982271534805E-2</v>
      </c>
    </row>
    <row r="2189" spans="2:7" x14ac:dyDescent="0.25">
      <c r="B2189" s="98"/>
      <c r="F2189">
        <v>2185</v>
      </c>
      <c r="G2189" s="109">
        <f t="shared" ca="1" si="43"/>
        <v>-0.17875329726054345</v>
      </c>
    </row>
    <row r="2190" spans="2:7" x14ac:dyDescent="0.25">
      <c r="B2190" s="98"/>
      <c r="F2190">
        <v>2186</v>
      </c>
      <c r="G2190" s="109">
        <f t="shared" ca="1" si="43"/>
        <v>-2.7008058057776729E-2</v>
      </c>
    </row>
    <row r="2191" spans="2:7" x14ac:dyDescent="0.25">
      <c r="B2191" s="98"/>
      <c r="F2191">
        <v>2187</v>
      </c>
      <c r="G2191" s="109">
        <f t="shared" ca="1" si="43"/>
        <v>2.5693710966043695E-2</v>
      </c>
    </row>
    <row r="2192" spans="2:7" x14ac:dyDescent="0.25">
      <c r="B2192" s="98"/>
      <c r="F2192">
        <v>2188</v>
      </c>
      <c r="G2192" s="109">
        <f t="shared" ca="1" si="43"/>
        <v>-0.23585737472745233</v>
      </c>
    </row>
    <row r="2193" spans="2:7" x14ac:dyDescent="0.25">
      <c r="B2193" s="98"/>
      <c r="F2193">
        <v>2189</v>
      </c>
      <c r="G2193" s="109">
        <f t="shared" ca="1" si="43"/>
        <v>-1.9755221948873317E-2</v>
      </c>
    </row>
    <row r="2194" spans="2:7" x14ac:dyDescent="0.25">
      <c r="B2194" s="98"/>
      <c r="F2194">
        <v>2190</v>
      </c>
      <c r="G2194" s="109">
        <f t="shared" ca="1" si="43"/>
        <v>8.7288643579092606E-3</v>
      </c>
    </row>
    <row r="2195" spans="2:7" x14ac:dyDescent="0.25">
      <c r="B2195" s="98"/>
      <c r="F2195">
        <v>2191</v>
      </c>
      <c r="G2195" s="109">
        <f t="shared" ca="1" si="43"/>
        <v>0.10595775564395238</v>
      </c>
    </row>
    <row r="2196" spans="2:7" x14ac:dyDescent="0.25">
      <c r="B2196" s="98"/>
      <c r="F2196">
        <v>2192</v>
      </c>
      <c r="G2196" s="109">
        <f t="shared" ca="1" si="43"/>
        <v>7.1146805371193667E-2</v>
      </c>
    </row>
    <row r="2197" spans="2:7" x14ac:dyDescent="0.25">
      <c r="B2197" s="98"/>
      <c r="F2197">
        <v>2193</v>
      </c>
      <c r="G2197" s="109">
        <f t="shared" ca="1" si="43"/>
        <v>8.5892223439022225E-2</v>
      </c>
    </row>
    <row r="2198" spans="2:7" x14ac:dyDescent="0.25">
      <c r="B2198" s="98"/>
      <c r="F2198">
        <v>2194</v>
      </c>
      <c r="G2198" s="109">
        <f t="shared" ca="1" si="43"/>
        <v>0.22281896582819233</v>
      </c>
    </row>
    <row r="2199" spans="2:7" x14ac:dyDescent="0.25">
      <c r="B2199" s="98"/>
      <c r="F2199">
        <v>2195</v>
      </c>
      <c r="G2199" s="109">
        <f t="shared" ca="1" si="43"/>
        <v>-0.10590110961831108</v>
      </c>
    </row>
    <row r="2200" spans="2:7" x14ac:dyDescent="0.25">
      <c r="B2200" s="98"/>
      <c r="F2200">
        <v>2196</v>
      </c>
      <c r="G2200" s="109">
        <f t="shared" ca="1" si="43"/>
        <v>0.20148749910359337</v>
      </c>
    </row>
    <row r="2201" spans="2:7" x14ac:dyDescent="0.25">
      <c r="B2201" s="98"/>
      <c r="F2201">
        <v>2197</v>
      </c>
      <c r="G2201" s="109">
        <f t="shared" ca="1" si="43"/>
        <v>-4.9653698090283069E-2</v>
      </c>
    </row>
    <row r="2202" spans="2:7" x14ac:dyDescent="0.25">
      <c r="B2202" s="98"/>
      <c r="F2202">
        <v>2198</v>
      </c>
      <c r="G2202" s="109">
        <f t="shared" ca="1" si="43"/>
        <v>5.4492427938168872E-2</v>
      </c>
    </row>
    <row r="2203" spans="2:7" x14ac:dyDescent="0.25">
      <c r="B2203" s="98"/>
      <c r="F2203">
        <v>2199</v>
      </c>
      <c r="G2203" s="109">
        <f t="shared" ca="1" si="43"/>
        <v>6.8501583808387806E-2</v>
      </c>
    </row>
    <row r="2204" spans="2:7" x14ac:dyDescent="0.25">
      <c r="B2204" s="98"/>
      <c r="F2204">
        <v>2200</v>
      </c>
      <c r="G2204" s="109">
        <f t="shared" ca="1" si="43"/>
        <v>1.7448824224484998E-2</v>
      </c>
    </row>
    <row r="2205" spans="2:7" x14ac:dyDescent="0.25">
      <c r="B2205" s="98"/>
      <c r="F2205">
        <v>2201</v>
      </c>
      <c r="G2205" s="109">
        <f t="shared" ca="1" si="43"/>
        <v>3.2141289053240658E-2</v>
      </c>
    </row>
    <row r="2206" spans="2:7" x14ac:dyDescent="0.25">
      <c r="B2206" s="98"/>
      <c r="F2206">
        <v>2202</v>
      </c>
      <c r="G2206" s="109">
        <f t="shared" ca="1" si="43"/>
        <v>7.4056360502540441E-2</v>
      </c>
    </row>
    <row r="2207" spans="2:7" x14ac:dyDescent="0.25">
      <c r="B2207" s="98"/>
      <c r="F2207">
        <v>2203</v>
      </c>
      <c r="G2207" s="109">
        <f t="shared" ca="1" si="43"/>
        <v>0.15236577058109219</v>
      </c>
    </row>
    <row r="2208" spans="2:7" x14ac:dyDescent="0.25">
      <c r="B2208" s="98"/>
      <c r="F2208">
        <v>2204</v>
      </c>
      <c r="G2208" s="109">
        <f t="shared" ca="1" si="43"/>
        <v>0.15506090743529982</v>
      </c>
    </row>
    <row r="2209" spans="2:7" x14ac:dyDescent="0.25">
      <c r="B2209" s="98"/>
      <c r="F2209">
        <v>2205</v>
      </c>
      <c r="G2209" s="109">
        <f t="shared" ca="1" si="43"/>
        <v>-7.830562475901931E-2</v>
      </c>
    </row>
    <row r="2210" spans="2:7" x14ac:dyDescent="0.25">
      <c r="B2210" s="98"/>
      <c r="F2210">
        <v>2206</v>
      </c>
      <c r="G2210" s="109">
        <f t="shared" ca="1" si="43"/>
        <v>4.4133304664239134E-3</v>
      </c>
    </row>
    <row r="2211" spans="2:7" x14ac:dyDescent="0.25">
      <c r="B2211" s="98"/>
      <c r="F2211">
        <v>2207</v>
      </c>
      <c r="G2211" s="109">
        <f t="shared" ca="1" si="43"/>
        <v>-0.2427711408416357</v>
      </c>
    </row>
    <row r="2212" spans="2:7" x14ac:dyDescent="0.25">
      <c r="B2212" s="98"/>
      <c r="F2212">
        <v>2208</v>
      </c>
      <c r="G2212" s="109">
        <f t="shared" ca="1" si="43"/>
        <v>4.5676188683563664E-2</v>
      </c>
    </row>
    <row r="2213" spans="2:7" x14ac:dyDescent="0.25">
      <c r="B2213" s="98"/>
      <c r="F2213">
        <v>2209</v>
      </c>
      <c r="G2213" s="109">
        <f t="shared" ca="1" si="43"/>
        <v>2.6943616126678824E-2</v>
      </c>
    </row>
    <row r="2214" spans="2:7" x14ac:dyDescent="0.25">
      <c r="B2214" s="98"/>
      <c r="F2214">
        <v>2210</v>
      </c>
      <c r="G2214" s="109">
        <f t="shared" ca="1" si="43"/>
        <v>0.27095072855712832</v>
      </c>
    </row>
    <row r="2215" spans="2:7" x14ac:dyDescent="0.25">
      <c r="B2215" s="98"/>
      <c r="F2215">
        <v>2211</v>
      </c>
      <c r="G2215" s="109">
        <f t="shared" ca="1" si="43"/>
        <v>-8.7913364184289064E-2</v>
      </c>
    </row>
    <row r="2216" spans="2:7" x14ac:dyDescent="0.25">
      <c r="B2216" s="98"/>
      <c r="F2216">
        <v>2212</v>
      </c>
      <c r="G2216" s="109">
        <f t="shared" ca="1" si="43"/>
        <v>0.21504607876224879</v>
      </c>
    </row>
    <row r="2217" spans="2:7" x14ac:dyDescent="0.25">
      <c r="B2217" s="98"/>
      <c r="F2217">
        <v>2213</v>
      </c>
      <c r="G2217" s="109">
        <f t="shared" ca="1" si="43"/>
        <v>-1.8629551699507849E-2</v>
      </c>
    </row>
    <row r="2218" spans="2:7" x14ac:dyDescent="0.25">
      <c r="B2218" s="98"/>
      <c r="F2218">
        <v>2214</v>
      </c>
      <c r="G2218" s="109">
        <f t="shared" ca="1" si="43"/>
        <v>0.21773545498141467</v>
      </c>
    </row>
    <row r="2219" spans="2:7" x14ac:dyDescent="0.25">
      <c r="B2219" s="98"/>
      <c r="F2219">
        <v>2215</v>
      </c>
      <c r="G2219" s="109">
        <f t="shared" ca="1" si="43"/>
        <v>0.11866880361976341</v>
      </c>
    </row>
    <row r="2220" spans="2:7" x14ac:dyDescent="0.25">
      <c r="B2220" s="98"/>
      <c r="F2220">
        <v>2216</v>
      </c>
      <c r="G2220" s="109">
        <f t="shared" ca="1" si="43"/>
        <v>0.10885436684328635</v>
      </c>
    </row>
    <row r="2221" spans="2:7" x14ac:dyDescent="0.25">
      <c r="B2221" s="98"/>
      <c r="F2221">
        <v>2217</v>
      </c>
      <c r="G2221" s="109">
        <f t="shared" ca="1" si="43"/>
        <v>8.37384656413796E-2</v>
      </c>
    </row>
    <row r="2222" spans="2:7" x14ac:dyDescent="0.25">
      <c r="B2222" s="98"/>
      <c r="F2222">
        <v>2218</v>
      </c>
      <c r="G2222" s="109">
        <f t="shared" ca="1" si="43"/>
        <v>-3.5658676665049072E-2</v>
      </c>
    </row>
    <row r="2223" spans="2:7" x14ac:dyDescent="0.25">
      <c r="B2223" s="98"/>
      <c r="F2223">
        <v>2219</v>
      </c>
      <c r="G2223" s="109">
        <f t="shared" ca="1" si="43"/>
        <v>8.0352673856908252E-2</v>
      </c>
    </row>
    <row r="2224" spans="2:7" x14ac:dyDescent="0.25">
      <c r="B2224" s="98"/>
      <c r="F2224">
        <v>2220</v>
      </c>
      <c r="G2224" s="109">
        <f t="shared" ca="1" si="43"/>
        <v>-2.4986809985371061E-2</v>
      </c>
    </row>
    <row r="2225" spans="2:7" x14ac:dyDescent="0.25">
      <c r="B2225" s="98"/>
      <c r="F2225">
        <v>2221</v>
      </c>
      <c r="G2225" s="109">
        <f t="shared" ca="1" si="43"/>
        <v>6.0502686772177794E-5</v>
      </c>
    </row>
    <row r="2226" spans="2:7" x14ac:dyDescent="0.25">
      <c r="B2226" s="98"/>
      <c r="F2226">
        <v>2222</v>
      </c>
      <c r="G2226" s="109">
        <f t="shared" ca="1" si="43"/>
        <v>6.0417432372513111E-3</v>
      </c>
    </row>
    <row r="2227" spans="2:7" x14ac:dyDescent="0.25">
      <c r="B2227" s="98"/>
      <c r="F2227">
        <v>2223</v>
      </c>
      <c r="G2227" s="109">
        <f t="shared" ca="1" si="43"/>
        <v>0.11964422387135419</v>
      </c>
    </row>
    <row r="2228" spans="2:7" x14ac:dyDescent="0.25">
      <c r="B2228" s="98"/>
      <c r="F2228">
        <v>2224</v>
      </c>
      <c r="G2228" s="109">
        <f t="shared" ca="1" si="43"/>
        <v>-5.1850506134228203E-2</v>
      </c>
    </row>
    <row r="2229" spans="2:7" x14ac:dyDescent="0.25">
      <c r="B2229" s="98"/>
      <c r="F2229">
        <v>2225</v>
      </c>
      <c r="G2229" s="109">
        <f t="shared" ca="1" si="43"/>
        <v>0.16659812125285456</v>
      </c>
    </row>
    <row r="2230" spans="2:7" x14ac:dyDescent="0.25">
      <c r="B2230" s="98"/>
      <c r="F2230">
        <v>2226</v>
      </c>
      <c r="G2230" s="109">
        <f t="shared" ca="1" si="43"/>
        <v>8.184096309813288E-2</v>
      </c>
    </row>
    <row r="2231" spans="2:7" x14ac:dyDescent="0.25">
      <c r="B2231" s="98"/>
      <c r="F2231">
        <v>2227</v>
      </c>
      <c r="G2231" s="109">
        <f t="shared" ca="1" si="43"/>
        <v>9.9252324678589854E-2</v>
      </c>
    </row>
    <row r="2232" spans="2:7" x14ac:dyDescent="0.25">
      <c r="B2232" s="98"/>
      <c r="F2232">
        <v>2228</v>
      </c>
      <c r="G2232" s="109">
        <f t="shared" ca="1" si="43"/>
        <v>-1.0712772725625541E-2</v>
      </c>
    </row>
    <row r="2233" spans="2:7" x14ac:dyDescent="0.25">
      <c r="B2233" s="98"/>
      <c r="F2233">
        <v>2229</v>
      </c>
      <c r="G2233" s="109">
        <f t="shared" ca="1" si="43"/>
        <v>0.16051040449464124</v>
      </c>
    </row>
    <row r="2234" spans="2:7" x14ac:dyDescent="0.25">
      <c r="B2234" s="98"/>
      <c r="F2234">
        <v>2230</v>
      </c>
      <c r="G2234" s="109">
        <f t="shared" ca="1" si="43"/>
        <v>-3.7731937470161264E-2</v>
      </c>
    </row>
    <row r="2235" spans="2:7" x14ac:dyDescent="0.25">
      <c r="B2235" s="98"/>
      <c r="F2235">
        <v>2231</v>
      </c>
      <c r="G2235" s="109">
        <f t="shared" ca="1" si="43"/>
        <v>0.2142109429907435</v>
      </c>
    </row>
    <row r="2236" spans="2:7" x14ac:dyDescent="0.25">
      <c r="B2236" s="98"/>
      <c r="F2236">
        <v>2232</v>
      </c>
      <c r="G2236" s="109">
        <f t="shared" ca="1" si="43"/>
        <v>0.18111369053449761</v>
      </c>
    </row>
    <row r="2237" spans="2:7" x14ac:dyDescent="0.25">
      <c r="B2237" s="98"/>
      <c r="F2237">
        <v>2233</v>
      </c>
      <c r="G2237" s="109">
        <f t="shared" ca="1" si="43"/>
        <v>0.11325769279711137</v>
      </c>
    </row>
    <row r="2238" spans="2:7" x14ac:dyDescent="0.25">
      <c r="B2238" s="98"/>
      <c r="F2238">
        <v>2234</v>
      </c>
      <c r="G2238" s="109">
        <f t="shared" ca="1" si="43"/>
        <v>0.10492101051405253</v>
      </c>
    </row>
    <row r="2239" spans="2:7" x14ac:dyDescent="0.25">
      <c r="B2239" s="98"/>
      <c r="F2239">
        <v>2235</v>
      </c>
      <c r="G2239" s="109">
        <f t="shared" ca="1" si="43"/>
        <v>-3.659510071828273E-2</v>
      </c>
    </row>
    <row r="2240" spans="2:7" x14ac:dyDescent="0.25">
      <c r="B2240" s="98"/>
      <c r="F2240">
        <v>2236</v>
      </c>
      <c r="G2240" s="109">
        <f t="shared" ca="1" si="43"/>
        <v>-0.13309456967728667</v>
      </c>
    </row>
    <row r="2241" spans="2:7" x14ac:dyDescent="0.25">
      <c r="B2241" s="98"/>
      <c r="F2241">
        <v>2237</v>
      </c>
      <c r="G2241" s="109">
        <f t="shared" ca="1" si="43"/>
        <v>-1.1297011270242852E-2</v>
      </c>
    </row>
    <row r="2242" spans="2:7" x14ac:dyDescent="0.25">
      <c r="B2242" s="98"/>
      <c r="F2242">
        <v>2238</v>
      </c>
      <c r="G2242" s="109">
        <f t="shared" ca="1" si="43"/>
        <v>-3.852109471346421E-2</v>
      </c>
    </row>
    <row r="2243" spans="2:7" x14ac:dyDescent="0.25">
      <c r="B2243" s="98"/>
      <c r="F2243">
        <v>2239</v>
      </c>
      <c r="G2243" s="109">
        <f t="shared" ca="1" si="43"/>
        <v>9.0274981502572169E-2</v>
      </c>
    </row>
    <row r="2244" spans="2:7" x14ac:dyDescent="0.25">
      <c r="B2244" s="98"/>
      <c r="F2244">
        <v>2240</v>
      </c>
      <c r="G2244" s="109">
        <f t="shared" ca="1" si="43"/>
        <v>7.3659243184001855E-2</v>
      </c>
    </row>
    <row r="2245" spans="2:7" x14ac:dyDescent="0.25">
      <c r="B2245" s="98"/>
      <c r="F2245">
        <v>2241</v>
      </c>
      <c r="G2245" s="109">
        <f t="shared" ca="1" si="43"/>
        <v>1.3875831239425665E-2</v>
      </c>
    </row>
    <row r="2246" spans="2:7" x14ac:dyDescent="0.25">
      <c r="B2246" s="98"/>
      <c r="F2246">
        <v>2242</v>
      </c>
      <c r="G2246" s="109">
        <f t="shared" ref="G2246:G2309" ca="1" si="44">_xlfn.NORM.INV(RAND(),$M$5,$M$6)</f>
        <v>1.6579526351290633E-2</v>
      </c>
    </row>
    <row r="2247" spans="2:7" x14ac:dyDescent="0.25">
      <c r="B2247" s="98"/>
      <c r="F2247">
        <v>2243</v>
      </c>
      <c r="G2247" s="109">
        <f t="shared" ca="1" si="44"/>
        <v>3.4568783178674733E-2</v>
      </c>
    </row>
    <row r="2248" spans="2:7" x14ac:dyDescent="0.25">
      <c r="B2248" s="98"/>
      <c r="F2248">
        <v>2244</v>
      </c>
      <c r="G2248" s="109">
        <f t="shared" ca="1" si="44"/>
        <v>0.11177047978108484</v>
      </c>
    </row>
    <row r="2249" spans="2:7" x14ac:dyDescent="0.25">
      <c r="B2249" s="98"/>
      <c r="F2249">
        <v>2245</v>
      </c>
      <c r="G2249" s="109">
        <f t="shared" ca="1" si="44"/>
        <v>8.6221519568502436E-2</v>
      </c>
    </row>
    <row r="2250" spans="2:7" x14ac:dyDescent="0.25">
      <c r="B2250" s="98"/>
      <c r="F2250">
        <v>2246</v>
      </c>
      <c r="G2250" s="109">
        <f t="shared" ca="1" si="44"/>
        <v>8.2592304253565341E-3</v>
      </c>
    </row>
    <row r="2251" spans="2:7" x14ac:dyDescent="0.25">
      <c r="B2251" s="98"/>
      <c r="F2251">
        <v>2247</v>
      </c>
      <c r="G2251" s="109">
        <f t="shared" ca="1" si="44"/>
        <v>8.3656528570551156E-3</v>
      </c>
    </row>
    <row r="2252" spans="2:7" x14ac:dyDescent="0.25">
      <c r="B2252" s="98"/>
      <c r="F2252">
        <v>2248</v>
      </c>
      <c r="G2252" s="109">
        <f t="shared" ca="1" si="44"/>
        <v>0.15431816629606443</v>
      </c>
    </row>
    <row r="2253" spans="2:7" x14ac:dyDescent="0.25">
      <c r="B2253" s="98"/>
      <c r="F2253">
        <v>2249</v>
      </c>
      <c r="G2253" s="109">
        <f t="shared" ca="1" si="44"/>
        <v>0.29079272412059598</v>
      </c>
    </row>
    <row r="2254" spans="2:7" x14ac:dyDescent="0.25">
      <c r="B2254" s="98"/>
      <c r="F2254">
        <v>2250</v>
      </c>
      <c r="G2254" s="109">
        <f t="shared" ca="1" si="44"/>
        <v>-0.16598681243264696</v>
      </c>
    </row>
    <row r="2255" spans="2:7" x14ac:dyDescent="0.25">
      <c r="B2255" s="98"/>
      <c r="F2255">
        <v>2251</v>
      </c>
      <c r="G2255" s="109">
        <f t="shared" ca="1" si="44"/>
        <v>0.12967595025989559</v>
      </c>
    </row>
    <row r="2256" spans="2:7" x14ac:dyDescent="0.25">
      <c r="B2256" s="98"/>
      <c r="F2256">
        <v>2252</v>
      </c>
      <c r="G2256" s="109">
        <f t="shared" ca="1" si="44"/>
        <v>-3.8481744293230147E-2</v>
      </c>
    </row>
    <row r="2257" spans="2:7" x14ac:dyDescent="0.25">
      <c r="B2257" s="98"/>
      <c r="F2257">
        <v>2253</v>
      </c>
      <c r="G2257" s="109">
        <f t="shared" ca="1" si="44"/>
        <v>9.7930275070136408E-2</v>
      </c>
    </row>
    <row r="2258" spans="2:7" x14ac:dyDescent="0.25">
      <c r="B2258" s="98"/>
      <c r="F2258">
        <v>2254</v>
      </c>
      <c r="G2258" s="109">
        <f t="shared" ca="1" si="44"/>
        <v>0.22025939473858308</v>
      </c>
    </row>
    <row r="2259" spans="2:7" x14ac:dyDescent="0.25">
      <c r="B2259" s="98"/>
      <c r="F2259">
        <v>2255</v>
      </c>
      <c r="G2259" s="109">
        <f t="shared" ca="1" si="44"/>
        <v>-1.1825402106698711E-2</v>
      </c>
    </row>
    <row r="2260" spans="2:7" x14ac:dyDescent="0.25">
      <c r="B2260" s="98"/>
      <c r="F2260">
        <v>2256</v>
      </c>
      <c r="G2260" s="109">
        <f t="shared" ca="1" si="44"/>
        <v>2.2898467342397751E-2</v>
      </c>
    </row>
    <row r="2261" spans="2:7" x14ac:dyDescent="0.25">
      <c r="B2261" s="98"/>
      <c r="F2261">
        <v>2257</v>
      </c>
      <c r="G2261" s="109">
        <f t="shared" ca="1" si="44"/>
        <v>2.9359391066862129E-2</v>
      </c>
    </row>
    <row r="2262" spans="2:7" x14ac:dyDescent="0.25">
      <c r="B2262" s="98"/>
      <c r="F2262">
        <v>2258</v>
      </c>
      <c r="G2262" s="109">
        <f t="shared" ca="1" si="44"/>
        <v>0.23402869669518184</v>
      </c>
    </row>
    <row r="2263" spans="2:7" x14ac:dyDescent="0.25">
      <c r="B2263" s="98"/>
      <c r="F2263">
        <v>2259</v>
      </c>
      <c r="G2263" s="109">
        <f t="shared" ca="1" si="44"/>
        <v>-2.4591907359045706E-2</v>
      </c>
    </row>
    <row r="2264" spans="2:7" x14ac:dyDescent="0.25">
      <c r="B2264" s="98"/>
      <c r="F2264">
        <v>2260</v>
      </c>
      <c r="G2264" s="109">
        <f t="shared" ca="1" si="44"/>
        <v>7.8222493844194427E-2</v>
      </c>
    </row>
    <row r="2265" spans="2:7" x14ac:dyDescent="0.25">
      <c r="B2265" s="98"/>
      <c r="F2265">
        <v>2261</v>
      </c>
      <c r="G2265" s="109">
        <f t="shared" ca="1" si="44"/>
        <v>0.10575358635355236</v>
      </c>
    </row>
    <row r="2266" spans="2:7" x14ac:dyDescent="0.25">
      <c r="B2266" s="98"/>
      <c r="F2266">
        <v>2262</v>
      </c>
      <c r="G2266" s="109">
        <f t="shared" ca="1" si="44"/>
        <v>-5.6430760551461415E-2</v>
      </c>
    </row>
    <row r="2267" spans="2:7" x14ac:dyDescent="0.25">
      <c r="B2267" s="98"/>
      <c r="F2267">
        <v>2263</v>
      </c>
      <c r="G2267" s="109">
        <f t="shared" ca="1" si="44"/>
        <v>0.10883183278260915</v>
      </c>
    </row>
    <row r="2268" spans="2:7" x14ac:dyDescent="0.25">
      <c r="B2268" s="98"/>
      <c r="F2268">
        <v>2264</v>
      </c>
      <c r="G2268" s="109">
        <f t="shared" ca="1" si="44"/>
        <v>-5.7337107372880586E-2</v>
      </c>
    </row>
    <row r="2269" spans="2:7" x14ac:dyDescent="0.25">
      <c r="B2269" s="98"/>
      <c r="F2269">
        <v>2265</v>
      </c>
      <c r="G2269" s="109">
        <f t="shared" ca="1" si="44"/>
        <v>4.13555242127603E-2</v>
      </c>
    </row>
    <row r="2270" spans="2:7" x14ac:dyDescent="0.25">
      <c r="B2270" s="98"/>
      <c r="F2270">
        <v>2266</v>
      </c>
      <c r="G2270" s="109">
        <f t="shared" ca="1" si="44"/>
        <v>5.5298177609038775E-2</v>
      </c>
    </row>
    <row r="2271" spans="2:7" x14ac:dyDescent="0.25">
      <c r="B2271" s="98"/>
      <c r="F2271">
        <v>2267</v>
      </c>
      <c r="G2271" s="109">
        <f t="shared" ca="1" si="44"/>
        <v>0.12630627887133872</v>
      </c>
    </row>
    <row r="2272" spans="2:7" x14ac:dyDescent="0.25">
      <c r="B2272" s="98"/>
      <c r="F2272">
        <v>2268</v>
      </c>
      <c r="G2272" s="109">
        <f t="shared" ca="1" si="44"/>
        <v>0.10654548073968004</v>
      </c>
    </row>
    <row r="2273" spans="2:7" x14ac:dyDescent="0.25">
      <c r="B2273" s="98"/>
      <c r="F2273">
        <v>2269</v>
      </c>
      <c r="G2273" s="109">
        <f t="shared" ca="1" si="44"/>
        <v>-8.2668337699491098E-2</v>
      </c>
    </row>
    <row r="2274" spans="2:7" x14ac:dyDescent="0.25">
      <c r="B2274" s="98"/>
      <c r="F2274">
        <v>2270</v>
      </c>
      <c r="G2274" s="109">
        <f t="shared" ca="1" si="44"/>
        <v>-2.7906552060852838E-3</v>
      </c>
    </row>
    <row r="2275" spans="2:7" x14ac:dyDescent="0.25">
      <c r="B2275" s="98"/>
      <c r="F2275">
        <v>2271</v>
      </c>
      <c r="G2275" s="109">
        <f t="shared" ca="1" si="44"/>
        <v>1.0209646366009045E-2</v>
      </c>
    </row>
    <row r="2276" spans="2:7" x14ac:dyDescent="0.25">
      <c r="B2276" s="98"/>
      <c r="F2276">
        <v>2272</v>
      </c>
      <c r="G2276" s="109">
        <f t="shared" ca="1" si="44"/>
        <v>0.10139230550361897</v>
      </c>
    </row>
    <row r="2277" spans="2:7" x14ac:dyDescent="0.25">
      <c r="B2277" s="98"/>
      <c r="F2277">
        <v>2273</v>
      </c>
      <c r="G2277" s="109">
        <f t="shared" ca="1" si="44"/>
        <v>3.4971649902658837E-2</v>
      </c>
    </row>
    <row r="2278" spans="2:7" x14ac:dyDescent="0.25">
      <c r="B2278" s="98"/>
      <c r="F2278">
        <v>2274</v>
      </c>
      <c r="G2278" s="109">
        <f t="shared" ca="1" si="44"/>
        <v>0.15276402193611177</v>
      </c>
    </row>
    <row r="2279" spans="2:7" x14ac:dyDescent="0.25">
      <c r="B2279" s="98"/>
      <c r="F2279">
        <v>2275</v>
      </c>
      <c r="G2279" s="109">
        <f t="shared" ca="1" si="44"/>
        <v>0.14502691218748609</v>
      </c>
    </row>
    <row r="2280" spans="2:7" x14ac:dyDescent="0.25">
      <c r="B2280" s="98"/>
      <c r="F2280">
        <v>2276</v>
      </c>
      <c r="G2280" s="109">
        <f t="shared" ca="1" si="44"/>
        <v>5.7959955405907995E-2</v>
      </c>
    </row>
    <row r="2281" spans="2:7" x14ac:dyDescent="0.25">
      <c r="B2281" s="98"/>
      <c r="F2281">
        <v>2277</v>
      </c>
      <c r="G2281" s="109">
        <f t="shared" ca="1" si="44"/>
        <v>-0.10435701157595136</v>
      </c>
    </row>
    <row r="2282" spans="2:7" x14ac:dyDescent="0.25">
      <c r="B2282" s="98"/>
      <c r="F2282">
        <v>2278</v>
      </c>
      <c r="G2282" s="109">
        <f t="shared" ca="1" si="44"/>
        <v>-5.1340982046560971E-2</v>
      </c>
    </row>
    <row r="2283" spans="2:7" x14ac:dyDescent="0.25">
      <c r="B2283" s="98"/>
      <c r="F2283">
        <v>2279</v>
      </c>
      <c r="G2283" s="109">
        <f t="shared" ca="1" si="44"/>
        <v>3.4439749397608105E-2</v>
      </c>
    </row>
    <row r="2284" spans="2:7" x14ac:dyDescent="0.25">
      <c r="B2284" s="98"/>
      <c r="F2284">
        <v>2280</v>
      </c>
      <c r="G2284" s="109">
        <f t="shared" ca="1" si="44"/>
        <v>0.17806178478616275</v>
      </c>
    </row>
    <row r="2285" spans="2:7" x14ac:dyDescent="0.25">
      <c r="B2285" s="98"/>
      <c r="F2285">
        <v>2281</v>
      </c>
      <c r="G2285" s="109">
        <f t="shared" ca="1" si="44"/>
        <v>0.12826200780749608</v>
      </c>
    </row>
    <row r="2286" spans="2:7" x14ac:dyDescent="0.25">
      <c r="B2286" s="98"/>
      <c r="F2286">
        <v>2282</v>
      </c>
      <c r="G2286" s="109">
        <f t="shared" ca="1" si="44"/>
        <v>9.164302530304369E-2</v>
      </c>
    </row>
    <row r="2287" spans="2:7" x14ac:dyDescent="0.25">
      <c r="B2287" s="98"/>
      <c r="F2287">
        <v>2283</v>
      </c>
      <c r="G2287" s="109">
        <f t="shared" ca="1" si="44"/>
        <v>4.7626713824681699E-2</v>
      </c>
    </row>
    <row r="2288" spans="2:7" x14ac:dyDescent="0.25">
      <c r="B2288" s="98"/>
      <c r="F2288">
        <v>2284</v>
      </c>
      <c r="G2288" s="109">
        <f t="shared" ca="1" si="44"/>
        <v>0.19965246881773768</v>
      </c>
    </row>
    <row r="2289" spans="2:7" x14ac:dyDescent="0.25">
      <c r="B2289" s="98"/>
      <c r="F2289">
        <v>2285</v>
      </c>
      <c r="G2289" s="109">
        <f t="shared" ca="1" si="44"/>
        <v>-5.7969609799174815E-2</v>
      </c>
    </row>
    <row r="2290" spans="2:7" x14ac:dyDescent="0.25">
      <c r="B2290" s="98"/>
      <c r="F2290">
        <v>2286</v>
      </c>
      <c r="G2290" s="109">
        <f t="shared" ca="1" si="44"/>
        <v>-0.13865741837849627</v>
      </c>
    </row>
    <row r="2291" spans="2:7" x14ac:dyDescent="0.25">
      <c r="B2291" s="98"/>
      <c r="F2291">
        <v>2287</v>
      </c>
      <c r="G2291" s="109">
        <f t="shared" ca="1" si="44"/>
        <v>0.11324528525674959</v>
      </c>
    </row>
    <row r="2292" spans="2:7" x14ac:dyDescent="0.25">
      <c r="B2292" s="98"/>
      <c r="F2292">
        <v>2288</v>
      </c>
      <c r="G2292" s="109">
        <f t="shared" ca="1" si="44"/>
        <v>0.10263340955344891</v>
      </c>
    </row>
    <row r="2293" spans="2:7" x14ac:dyDescent="0.25">
      <c r="B2293" s="98"/>
      <c r="F2293">
        <v>2289</v>
      </c>
      <c r="G2293" s="109">
        <f t="shared" ca="1" si="44"/>
        <v>0.15586413125987614</v>
      </c>
    </row>
    <row r="2294" spans="2:7" x14ac:dyDescent="0.25">
      <c r="B2294" s="98"/>
      <c r="F2294">
        <v>2290</v>
      </c>
      <c r="G2294" s="109">
        <f t="shared" ca="1" si="44"/>
        <v>0.23777984464666974</v>
      </c>
    </row>
    <row r="2295" spans="2:7" x14ac:dyDescent="0.25">
      <c r="B2295" s="98"/>
      <c r="F2295">
        <v>2291</v>
      </c>
      <c r="G2295" s="109">
        <f t="shared" ca="1" si="44"/>
        <v>0.13520201414833066</v>
      </c>
    </row>
    <row r="2296" spans="2:7" x14ac:dyDescent="0.25">
      <c r="B2296" s="98"/>
      <c r="F2296">
        <v>2292</v>
      </c>
      <c r="G2296" s="109">
        <f t="shared" ca="1" si="44"/>
        <v>1.2193520996414797E-2</v>
      </c>
    </row>
    <row r="2297" spans="2:7" x14ac:dyDescent="0.25">
      <c r="B2297" s="98"/>
      <c r="F2297">
        <v>2293</v>
      </c>
      <c r="G2297" s="109">
        <f t="shared" ca="1" si="44"/>
        <v>0.24496221421122832</v>
      </c>
    </row>
    <row r="2298" spans="2:7" x14ac:dyDescent="0.25">
      <c r="B2298" s="98"/>
      <c r="F2298">
        <v>2294</v>
      </c>
      <c r="G2298" s="109">
        <f t="shared" ca="1" si="44"/>
        <v>7.0051649036383751E-2</v>
      </c>
    </row>
    <row r="2299" spans="2:7" x14ac:dyDescent="0.25">
      <c r="B2299" s="98"/>
      <c r="F2299">
        <v>2295</v>
      </c>
      <c r="G2299" s="109">
        <f t="shared" ca="1" si="44"/>
        <v>0.22791161860039788</v>
      </c>
    </row>
    <row r="2300" spans="2:7" x14ac:dyDescent="0.25">
      <c r="B2300" s="98"/>
      <c r="F2300">
        <v>2296</v>
      </c>
      <c r="G2300" s="109">
        <f t="shared" ca="1" si="44"/>
        <v>1.6570374333121154E-2</v>
      </c>
    </row>
    <row r="2301" spans="2:7" x14ac:dyDescent="0.25">
      <c r="B2301" s="98"/>
      <c r="F2301">
        <v>2297</v>
      </c>
      <c r="G2301" s="109">
        <f t="shared" ca="1" si="44"/>
        <v>9.1185082777479609E-3</v>
      </c>
    </row>
    <row r="2302" spans="2:7" x14ac:dyDescent="0.25">
      <c r="B2302" s="98"/>
      <c r="F2302">
        <v>2298</v>
      </c>
      <c r="G2302" s="109">
        <f t="shared" ca="1" si="44"/>
        <v>-9.6251045095441148E-2</v>
      </c>
    </row>
    <row r="2303" spans="2:7" x14ac:dyDescent="0.25">
      <c r="B2303" s="98"/>
      <c r="F2303">
        <v>2299</v>
      </c>
      <c r="G2303" s="109">
        <f t="shared" ca="1" si="44"/>
        <v>-4.3429133676145704E-2</v>
      </c>
    </row>
    <row r="2304" spans="2:7" x14ac:dyDescent="0.25">
      <c r="B2304" s="98"/>
      <c r="F2304">
        <v>2300</v>
      </c>
      <c r="G2304" s="109">
        <f t="shared" ca="1" si="44"/>
        <v>3.114113892169125E-2</v>
      </c>
    </row>
    <row r="2305" spans="2:7" x14ac:dyDescent="0.25">
      <c r="B2305" s="98"/>
      <c r="F2305">
        <v>2301</v>
      </c>
      <c r="G2305" s="109">
        <f t="shared" ca="1" si="44"/>
        <v>-4.7601218531949388E-2</v>
      </c>
    </row>
    <row r="2306" spans="2:7" x14ac:dyDescent="0.25">
      <c r="B2306" s="98"/>
      <c r="F2306">
        <v>2302</v>
      </c>
      <c r="G2306" s="109">
        <f t="shared" ca="1" si="44"/>
        <v>-7.7038954486491076E-2</v>
      </c>
    </row>
    <row r="2307" spans="2:7" x14ac:dyDescent="0.25">
      <c r="B2307" s="98"/>
      <c r="F2307">
        <v>2303</v>
      </c>
      <c r="G2307" s="109">
        <f t="shared" ca="1" si="44"/>
        <v>-5.518277402090592E-2</v>
      </c>
    </row>
    <row r="2308" spans="2:7" x14ac:dyDescent="0.25">
      <c r="B2308" s="98"/>
      <c r="F2308">
        <v>2304</v>
      </c>
      <c r="G2308" s="109">
        <f t="shared" ca="1" si="44"/>
        <v>2.9619355659488127E-2</v>
      </c>
    </row>
    <row r="2309" spans="2:7" x14ac:dyDescent="0.25">
      <c r="B2309" s="98"/>
      <c r="F2309">
        <v>2305</v>
      </c>
      <c r="G2309" s="109">
        <f t="shared" ca="1" si="44"/>
        <v>8.1020389185502473E-2</v>
      </c>
    </row>
    <row r="2310" spans="2:7" x14ac:dyDescent="0.25">
      <c r="B2310" s="98"/>
      <c r="F2310">
        <v>2306</v>
      </c>
      <c r="G2310" s="109">
        <f t="shared" ref="G2310:G2373" ca="1" si="45">_xlfn.NORM.INV(RAND(),$M$5,$M$6)</f>
        <v>0.11776558909044893</v>
      </c>
    </row>
    <row r="2311" spans="2:7" x14ac:dyDescent="0.25">
      <c r="B2311" s="98"/>
      <c r="F2311">
        <v>2307</v>
      </c>
      <c r="G2311" s="109">
        <f t="shared" ca="1" si="45"/>
        <v>3.4847806343441153E-2</v>
      </c>
    </row>
    <row r="2312" spans="2:7" x14ac:dyDescent="0.25">
      <c r="B2312" s="98"/>
      <c r="F2312">
        <v>2308</v>
      </c>
      <c r="G2312" s="109">
        <f t="shared" ca="1" si="45"/>
        <v>6.6420532408909494E-2</v>
      </c>
    </row>
    <row r="2313" spans="2:7" x14ac:dyDescent="0.25">
      <c r="B2313" s="98"/>
      <c r="F2313">
        <v>2309</v>
      </c>
      <c r="G2313" s="109">
        <f t="shared" ca="1" si="45"/>
        <v>0.2613487838715049</v>
      </c>
    </row>
    <row r="2314" spans="2:7" x14ac:dyDescent="0.25">
      <c r="B2314" s="98"/>
      <c r="F2314">
        <v>2310</v>
      </c>
      <c r="G2314" s="109">
        <f t="shared" ca="1" si="45"/>
        <v>2.8416389208293778E-2</v>
      </c>
    </row>
    <row r="2315" spans="2:7" x14ac:dyDescent="0.25">
      <c r="B2315" s="98"/>
      <c r="F2315">
        <v>2311</v>
      </c>
      <c r="G2315" s="109">
        <f t="shared" ca="1" si="45"/>
        <v>-5.7540896644373202E-2</v>
      </c>
    </row>
    <row r="2316" spans="2:7" x14ac:dyDescent="0.25">
      <c r="B2316" s="98"/>
      <c r="F2316">
        <v>2312</v>
      </c>
      <c r="G2316" s="109">
        <f t="shared" ca="1" si="45"/>
        <v>8.7934107501101755E-2</v>
      </c>
    </row>
    <row r="2317" spans="2:7" x14ac:dyDescent="0.25">
      <c r="B2317" s="98"/>
      <c r="F2317">
        <v>2313</v>
      </c>
      <c r="G2317" s="109">
        <f t="shared" ca="1" si="45"/>
        <v>3.7024812337329252E-2</v>
      </c>
    </row>
    <row r="2318" spans="2:7" x14ac:dyDescent="0.25">
      <c r="B2318" s="98"/>
      <c r="F2318">
        <v>2314</v>
      </c>
      <c r="G2318" s="109">
        <f t="shared" ca="1" si="45"/>
        <v>0.21035079966625281</v>
      </c>
    </row>
    <row r="2319" spans="2:7" x14ac:dyDescent="0.25">
      <c r="B2319" s="98"/>
      <c r="F2319">
        <v>2315</v>
      </c>
      <c r="G2319" s="109">
        <f t="shared" ca="1" si="45"/>
        <v>4.7582414496943809E-2</v>
      </c>
    </row>
    <row r="2320" spans="2:7" x14ac:dyDescent="0.25">
      <c r="B2320" s="98"/>
      <c r="F2320">
        <v>2316</v>
      </c>
      <c r="G2320" s="109">
        <f t="shared" ca="1" si="45"/>
        <v>-3.3832046656767048E-2</v>
      </c>
    </row>
    <row r="2321" spans="2:7" x14ac:dyDescent="0.25">
      <c r="B2321" s="98"/>
      <c r="F2321">
        <v>2317</v>
      </c>
      <c r="G2321" s="109">
        <f t="shared" ca="1" si="45"/>
        <v>2.9280729159640115E-2</v>
      </c>
    </row>
    <row r="2322" spans="2:7" x14ac:dyDescent="0.25">
      <c r="B2322" s="98"/>
      <c r="F2322">
        <v>2318</v>
      </c>
      <c r="G2322" s="109">
        <f t="shared" ca="1" si="45"/>
        <v>7.4595834769466421E-2</v>
      </c>
    </row>
    <row r="2323" spans="2:7" x14ac:dyDescent="0.25">
      <c r="B2323" s="98"/>
      <c r="F2323">
        <v>2319</v>
      </c>
      <c r="G2323" s="109">
        <f t="shared" ca="1" si="45"/>
        <v>-1.2367341537688287E-2</v>
      </c>
    </row>
    <row r="2324" spans="2:7" x14ac:dyDescent="0.25">
      <c r="B2324" s="98"/>
      <c r="F2324">
        <v>2320</v>
      </c>
      <c r="G2324" s="109">
        <f t="shared" ca="1" si="45"/>
        <v>-3.3036487376904497E-2</v>
      </c>
    </row>
    <row r="2325" spans="2:7" x14ac:dyDescent="0.25">
      <c r="B2325" s="98"/>
      <c r="F2325">
        <v>2321</v>
      </c>
      <c r="G2325" s="109">
        <f t="shared" ca="1" si="45"/>
        <v>2.6233595009316536E-2</v>
      </c>
    </row>
    <row r="2326" spans="2:7" x14ac:dyDescent="0.25">
      <c r="B2326" s="98"/>
      <c r="F2326">
        <v>2322</v>
      </c>
      <c r="G2326" s="109">
        <f t="shared" ca="1" si="45"/>
        <v>0.20582040943204943</v>
      </c>
    </row>
    <row r="2327" spans="2:7" x14ac:dyDescent="0.25">
      <c r="B2327" s="98"/>
      <c r="F2327">
        <v>2323</v>
      </c>
      <c r="G2327" s="109">
        <f t="shared" ca="1" si="45"/>
        <v>-0.19995790655760165</v>
      </c>
    </row>
    <row r="2328" spans="2:7" x14ac:dyDescent="0.25">
      <c r="B2328" s="98"/>
      <c r="F2328">
        <v>2324</v>
      </c>
      <c r="G2328" s="109">
        <f t="shared" ca="1" si="45"/>
        <v>0.27828495537590014</v>
      </c>
    </row>
    <row r="2329" spans="2:7" x14ac:dyDescent="0.25">
      <c r="B2329" s="98"/>
      <c r="F2329">
        <v>2325</v>
      </c>
      <c r="G2329" s="109">
        <f t="shared" ca="1" si="45"/>
        <v>0.11921173698983695</v>
      </c>
    </row>
    <row r="2330" spans="2:7" x14ac:dyDescent="0.25">
      <c r="B2330" s="98"/>
      <c r="F2330">
        <v>2326</v>
      </c>
      <c r="G2330" s="109">
        <f t="shared" ca="1" si="45"/>
        <v>-1.5747549730641651E-2</v>
      </c>
    </row>
    <row r="2331" spans="2:7" x14ac:dyDescent="0.25">
      <c r="B2331" s="98"/>
      <c r="F2331">
        <v>2327</v>
      </c>
      <c r="G2331" s="109">
        <f t="shared" ca="1" si="45"/>
        <v>-0.11568565912869451</v>
      </c>
    </row>
    <row r="2332" spans="2:7" x14ac:dyDescent="0.25">
      <c r="B2332" s="98"/>
      <c r="F2332">
        <v>2328</v>
      </c>
      <c r="G2332" s="109">
        <f t="shared" ca="1" si="45"/>
        <v>-1.2256530041581476E-2</v>
      </c>
    </row>
    <row r="2333" spans="2:7" x14ac:dyDescent="0.25">
      <c r="B2333" s="98"/>
      <c r="F2333">
        <v>2329</v>
      </c>
      <c r="G2333" s="109">
        <f t="shared" ca="1" si="45"/>
        <v>0.32212669640765251</v>
      </c>
    </row>
    <row r="2334" spans="2:7" x14ac:dyDescent="0.25">
      <c r="B2334" s="98"/>
      <c r="F2334">
        <v>2330</v>
      </c>
      <c r="G2334" s="109">
        <f t="shared" ca="1" si="45"/>
        <v>4.4627301703565117E-3</v>
      </c>
    </row>
    <row r="2335" spans="2:7" x14ac:dyDescent="0.25">
      <c r="B2335" s="98"/>
      <c r="F2335">
        <v>2331</v>
      </c>
      <c r="G2335" s="109">
        <f t="shared" ca="1" si="45"/>
        <v>-1.0860322678890741E-2</v>
      </c>
    </row>
    <row r="2336" spans="2:7" x14ac:dyDescent="0.25">
      <c r="B2336" s="98"/>
      <c r="F2336">
        <v>2332</v>
      </c>
      <c r="G2336" s="109">
        <f t="shared" ca="1" si="45"/>
        <v>8.3586607391307188E-2</v>
      </c>
    </row>
    <row r="2337" spans="2:7" x14ac:dyDescent="0.25">
      <c r="B2337" s="98"/>
      <c r="F2337">
        <v>2333</v>
      </c>
      <c r="G2337" s="109">
        <f t="shared" ca="1" si="45"/>
        <v>-6.0695167667314698E-2</v>
      </c>
    </row>
    <row r="2338" spans="2:7" x14ac:dyDescent="0.25">
      <c r="B2338" s="98"/>
      <c r="F2338">
        <v>2334</v>
      </c>
      <c r="G2338" s="109">
        <f t="shared" ca="1" si="45"/>
        <v>0.29601647150366994</v>
      </c>
    </row>
    <row r="2339" spans="2:7" x14ac:dyDescent="0.25">
      <c r="B2339" s="98"/>
      <c r="F2339">
        <v>2335</v>
      </c>
      <c r="G2339" s="109">
        <f t="shared" ca="1" si="45"/>
        <v>0.10320325436815506</v>
      </c>
    </row>
    <row r="2340" spans="2:7" x14ac:dyDescent="0.25">
      <c r="B2340" s="98"/>
      <c r="F2340">
        <v>2336</v>
      </c>
      <c r="G2340" s="109">
        <f t="shared" ca="1" si="45"/>
        <v>6.2850270079345946E-2</v>
      </c>
    </row>
    <row r="2341" spans="2:7" x14ac:dyDescent="0.25">
      <c r="B2341" s="98"/>
      <c r="F2341">
        <v>2337</v>
      </c>
      <c r="G2341" s="109">
        <f t="shared" ca="1" si="45"/>
        <v>0.18127716347828354</v>
      </c>
    </row>
    <row r="2342" spans="2:7" x14ac:dyDescent="0.25">
      <c r="B2342" s="98"/>
      <c r="F2342">
        <v>2338</v>
      </c>
      <c r="G2342" s="109">
        <f t="shared" ca="1" si="45"/>
        <v>8.4974075099058965E-2</v>
      </c>
    </row>
    <row r="2343" spans="2:7" x14ac:dyDescent="0.25">
      <c r="B2343" s="98"/>
      <c r="F2343">
        <v>2339</v>
      </c>
      <c r="G2343" s="109">
        <f t="shared" ca="1" si="45"/>
        <v>0.11201838570365502</v>
      </c>
    </row>
    <row r="2344" spans="2:7" x14ac:dyDescent="0.25">
      <c r="B2344" s="98"/>
      <c r="F2344">
        <v>2340</v>
      </c>
      <c r="G2344" s="109">
        <f t="shared" ca="1" si="45"/>
        <v>0.1180763098270292</v>
      </c>
    </row>
    <row r="2345" spans="2:7" x14ac:dyDescent="0.25">
      <c r="B2345" s="98"/>
      <c r="F2345">
        <v>2341</v>
      </c>
      <c r="G2345" s="109">
        <f t="shared" ca="1" si="45"/>
        <v>0.15185693685834226</v>
      </c>
    </row>
    <row r="2346" spans="2:7" x14ac:dyDescent="0.25">
      <c r="B2346" s="98"/>
      <c r="F2346">
        <v>2342</v>
      </c>
      <c r="G2346" s="109">
        <f t="shared" ca="1" si="45"/>
        <v>4.4481004489382109E-2</v>
      </c>
    </row>
    <row r="2347" spans="2:7" x14ac:dyDescent="0.25">
      <c r="B2347" s="98"/>
      <c r="F2347">
        <v>2343</v>
      </c>
      <c r="G2347" s="109">
        <f t="shared" ca="1" si="45"/>
        <v>0.27217841281783478</v>
      </c>
    </row>
    <row r="2348" spans="2:7" x14ac:dyDescent="0.25">
      <c r="B2348" s="98"/>
      <c r="F2348">
        <v>2344</v>
      </c>
      <c r="G2348" s="109">
        <f t="shared" ca="1" si="45"/>
        <v>6.6652715529551348E-2</v>
      </c>
    </row>
    <row r="2349" spans="2:7" x14ac:dyDescent="0.25">
      <c r="B2349" s="98"/>
      <c r="F2349">
        <v>2345</v>
      </c>
      <c r="G2349" s="109">
        <f t="shared" ca="1" si="45"/>
        <v>0.12638742326664631</v>
      </c>
    </row>
    <row r="2350" spans="2:7" x14ac:dyDescent="0.25">
      <c r="B2350" s="98"/>
      <c r="F2350">
        <v>2346</v>
      </c>
      <c r="G2350" s="109">
        <f t="shared" ca="1" si="45"/>
        <v>3.894438441897221E-2</v>
      </c>
    </row>
    <row r="2351" spans="2:7" x14ac:dyDescent="0.25">
      <c r="B2351" s="98"/>
      <c r="F2351">
        <v>2347</v>
      </c>
      <c r="G2351" s="109">
        <f t="shared" ca="1" si="45"/>
        <v>-2.4547273952640336E-2</v>
      </c>
    </row>
    <row r="2352" spans="2:7" x14ac:dyDescent="0.25">
      <c r="B2352" s="98"/>
      <c r="F2352">
        <v>2348</v>
      </c>
      <c r="G2352" s="109">
        <f t="shared" ca="1" si="45"/>
        <v>0.1530735995571384</v>
      </c>
    </row>
    <row r="2353" spans="2:7" x14ac:dyDescent="0.25">
      <c r="B2353" s="98"/>
      <c r="F2353">
        <v>2349</v>
      </c>
      <c r="G2353" s="109">
        <f t="shared" ca="1" si="45"/>
        <v>-4.1324371402894342E-2</v>
      </c>
    </row>
    <row r="2354" spans="2:7" x14ac:dyDescent="0.25">
      <c r="B2354" s="98"/>
      <c r="F2354">
        <v>2350</v>
      </c>
      <c r="G2354" s="109">
        <f t="shared" ca="1" si="45"/>
        <v>6.8783195763066976E-2</v>
      </c>
    </row>
    <row r="2355" spans="2:7" x14ac:dyDescent="0.25">
      <c r="B2355" s="98"/>
      <c r="F2355">
        <v>2351</v>
      </c>
      <c r="G2355" s="109">
        <f t="shared" ca="1" si="45"/>
        <v>-0.12313626302424531</v>
      </c>
    </row>
    <row r="2356" spans="2:7" x14ac:dyDescent="0.25">
      <c r="B2356" s="98"/>
      <c r="F2356">
        <v>2352</v>
      </c>
      <c r="G2356" s="109">
        <f t="shared" ca="1" si="45"/>
        <v>9.7891533322483487E-2</v>
      </c>
    </row>
    <row r="2357" spans="2:7" x14ac:dyDescent="0.25">
      <c r="B2357" s="98"/>
      <c r="F2357">
        <v>2353</v>
      </c>
      <c r="G2357" s="109">
        <f t="shared" ca="1" si="45"/>
        <v>-3.0082236911684213E-2</v>
      </c>
    </row>
    <row r="2358" spans="2:7" x14ac:dyDescent="0.25">
      <c r="B2358" s="98"/>
      <c r="F2358">
        <v>2354</v>
      </c>
      <c r="G2358" s="109">
        <f t="shared" ca="1" si="45"/>
        <v>0.13566919693176488</v>
      </c>
    </row>
    <row r="2359" spans="2:7" x14ac:dyDescent="0.25">
      <c r="B2359" s="98"/>
      <c r="F2359">
        <v>2355</v>
      </c>
      <c r="G2359" s="109">
        <f t="shared" ca="1" si="45"/>
        <v>-0.26288389340508261</v>
      </c>
    </row>
    <row r="2360" spans="2:7" x14ac:dyDescent="0.25">
      <c r="B2360" s="98"/>
      <c r="F2360">
        <v>2356</v>
      </c>
      <c r="G2360" s="109">
        <f t="shared" ca="1" si="45"/>
        <v>-3.9988973418653997E-2</v>
      </c>
    </row>
    <row r="2361" spans="2:7" x14ac:dyDescent="0.25">
      <c r="B2361" s="98"/>
      <c r="F2361">
        <v>2357</v>
      </c>
      <c r="G2361" s="109">
        <f t="shared" ca="1" si="45"/>
        <v>-0.13272372462582416</v>
      </c>
    </row>
    <row r="2362" spans="2:7" x14ac:dyDescent="0.25">
      <c r="B2362" s="98"/>
      <c r="F2362">
        <v>2358</v>
      </c>
      <c r="G2362" s="109">
        <f t="shared" ca="1" si="45"/>
        <v>0.12521833603873092</v>
      </c>
    </row>
    <row r="2363" spans="2:7" x14ac:dyDescent="0.25">
      <c r="B2363" s="98"/>
      <c r="F2363">
        <v>2359</v>
      </c>
      <c r="G2363" s="109">
        <f t="shared" ca="1" si="45"/>
        <v>1.266355137043941E-2</v>
      </c>
    </row>
    <row r="2364" spans="2:7" x14ac:dyDescent="0.25">
      <c r="B2364" s="98"/>
      <c r="F2364">
        <v>2360</v>
      </c>
      <c r="G2364" s="109">
        <f t="shared" ca="1" si="45"/>
        <v>-1.2894822693534182E-2</v>
      </c>
    </row>
    <row r="2365" spans="2:7" x14ac:dyDescent="0.25">
      <c r="B2365" s="98"/>
      <c r="F2365">
        <v>2361</v>
      </c>
      <c r="G2365" s="109">
        <f t="shared" ca="1" si="45"/>
        <v>0.20348691872625407</v>
      </c>
    </row>
    <row r="2366" spans="2:7" x14ac:dyDescent="0.25">
      <c r="B2366" s="98"/>
      <c r="F2366">
        <v>2362</v>
      </c>
      <c r="G2366" s="109">
        <f t="shared" ca="1" si="45"/>
        <v>2.6167896741426815E-2</v>
      </c>
    </row>
    <row r="2367" spans="2:7" x14ac:dyDescent="0.25">
      <c r="B2367" s="98"/>
      <c r="F2367">
        <v>2363</v>
      </c>
      <c r="G2367" s="109">
        <f t="shared" ca="1" si="45"/>
        <v>-4.6206909945671934E-2</v>
      </c>
    </row>
    <row r="2368" spans="2:7" x14ac:dyDescent="0.25">
      <c r="B2368" s="98"/>
      <c r="F2368">
        <v>2364</v>
      </c>
      <c r="G2368" s="109">
        <f t="shared" ca="1" si="45"/>
        <v>4.1606081318023243E-2</v>
      </c>
    </row>
    <row r="2369" spans="2:7" x14ac:dyDescent="0.25">
      <c r="B2369" s="98"/>
      <c r="F2369">
        <v>2365</v>
      </c>
      <c r="G2369" s="109">
        <f t="shared" ca="1" si="45"/>
        <v>-3.0090496575385303E-2</v>
      </c>
    </row>
    <row r="2370" spans="2:7" x14ac:dyDescent="0.25">
      <c r="B2370" s="98"/>
      <c r="F2370">
        <v>2366</v>
      </c>
      <c r="G2370" s="109">
        <f t="shared" ca="1" si="45"/>
        <v>0.15718905955229673</v>
      </c>
    </row>
    <row r="2371" spans="2:7" x14ac:dyDescent="0.25">
      <c r="B2371" s="98"/>
      <c r="F2371">
        <v>2367</v>
      </c>
      <c r="G2371" s="109">
        <f t="shared" ca="1" si="45"/>
        <v>-4.286111585401875E-3</v>
      </c>
    </row>
    <row r="2372" spans="2:7" x14ac:dyDescent="0.25">
      <c r="B2372" s="98"/>
      <c r="F2372">
        <v>2368</v>
      </c>
      <c r="G2372" s="109">
        <f t="shared" ca="1" si="45"/>
        <v>0.17826058289892077</v>
      </c>
    </row>
    <row r="2373" spans="2:7" x14ac:dyDescent="0.25">
      <c r="B2373" s="98"/>
      <c r="F2373">
        <v>2369</v>
      </c>
      <c r="G2373" s="109">
        <f t="shared" ca="1" si="45"/>
        <v>1.5617807432878605E-4</v>
      </c>
    </row>
    <row r="2374" spans="2:7" x14ac:dyDescent="0.25">
      <c r="B2374" s="98"/>
      <c r="F2374">
        <v>2370</v>
      </c>
      <c r="G2374" s="109">
        <f t="shared" ref="G2374:G2437" ca="1" si="46">_xlfn.NORM.INV(RAND(),$M$5,$M$6)</f>
        <v>0.13208505291411327</v>
      </c>
    </row>
    <row r="2375" spans="2:7" x14ac:dyDescent="0.25">
      <c r="B2375" s="98"/>
      <c r="F2375">
        <v>2371</v>
      </c>
      <c r="G2375" s="109">
        <f t="shared" ca="1" si="46"/>
        <v>-0.32625619655799076</v>
      </c>
    </row>
    <row r="2376" spans="2:7" x14ac:dyDescent="0.25">
      <c r="B2376" s="98"/>
      <c r="F2376">
        <v>2372</v>
      </c>
      <c r="G2376" s="109">
        <f t="shared" ca="1" si="46"/>
        <v>3.2114177425661736E-2</v>
      </c>
    </row>
    <row r="2377" spans="2:7" x14ac:dyDescent="0.25">
      <c r="B2377" s="98"/>
      <c r="F2377">
        <v>2373</v>
      </c>
      <c r="G2377" s="109">
        <f t="shared" ca="1" si="46"/>
        <v>0.17598256982708943</v>
      </c>
    </row>
    <row r="2378" spans="2:7" x14ac:dyDescent="0.25">
      <c r="B2378" s="98"/>
      <c r="F2378">
        <v>2374</v>
      </c>
      <c r="G2378" s="109">
        <f t="shared" ca="1" si="46"/>
        <v>0.1592170982689112</v>
      </c>
    </row>
    <row r="2379" spans="2:7" x14ac:dyDescent="0.25">
      <c r="B2379" s="98"/>
      <c r="F2379">
        <v>2375</v>
      </c>
      <c r="G2379" s="109">
        <f t="shared" ca="1" si="46"/>
        <v>-6.8361797648290451E-2</v>
      </c>
    </row>
    <row r="2380" spans="2:7" x14ac:dyDescent="0.25">
      <c r="B2380" s="98"/>
      <c r="F2380">
        <v>2376</v>
      </c>
      <c r="G2380" s="109">
        <f t="shared" ca="1" si="46"/>
        <v>-0.18570308180299422</v>
      </c>
    </row>
    <row r="2381" spans="2:7" x14ac:dyDescent="0.25">
      <c r="B2381" s="98"/>
      <c r="F2381">
        <v>2377</v>
      </c>
      <c r="G2381" s="109">
        <f t="shared" ca="1" si="46"/>
        <v>0.11938114969949853</v>
      </c>
    </row>
    <row r="2382" spans="2:7" x14ac:dyDescent="0.25">
      <c r="B2382" s="98"/>
      <c r="F2382">
        <v>2378</v>
      </c>
      <c r="G2382" s="109">
        <f t="shared" ca="1" si="46"/>
        <v>3.065222740160703E-3</v>
      </c>
    </row>
    <row r="2383" spans="2:7" x14ac:dyDescent="0.25">
      <c r="B2383" s="98"/>
      <c r="F2383">
        <v>2379</v>
      </c>
      <c r="G2383" s="109">
        <f t="shared" ca="1" si="46"/>
        <v>1.6813022110734589E-2</v>
      </c>
    </row>
    <row r="2384" spans="2:7" x14ac:dyDescent="0.25">
      <c r="B2384" s="98"/>
      <c r="F2384">
        <v>2380</v>
      </c>
      <c r="G2384" s="109">
        <f t="shared" ca="1" si="46"/>
        <v>0.13071349916537939</v>
      </c>
    </row>
    <row r="2385" spans="2:7" x14ac:dyDescent="0.25">
      <c r="B2385" s="98"/>
      <c r="F2385">
        <v>2381</v>
      </c>
      <c r="G2385" s="109">
        <f t="shared" ca="1" si="46"/>
        <v>3.7701847039464109E-2</v>
      </c>
    </row>
    <row r="2386" spans="2:7" x14ac:dyDescent="0.25">
      <c r="B2386" s="98"/>
      <c r="F2386">
        <v>2382</v>
      </c>
      <c r="G2386" s="109">
        <f t="shared" ca="1" si="46"/>
        <v>0.14288789101334176</v>
      </c>
    </row>
    <row r="2387" spans="2:7" x14ac:dyDescent="0.25">
      <c r="B2387" s="98"/>
      <c r="F2387">
        <v>2383</v>
      </c>
      <c r="G2387" s="109">
        <f t="shared" ca="1" si="46"/>
        <v>0.18611457092385569</v>
      </c>
    </row>
    <row r="2388" spans="2:7" x14ac:dyDescent="0.25">
      <c r="B2388" s="98"/>
      <c r="F2388">
        <v>2384</v>
      </c>
      <c r="G2388" s="109">
        <f t="shared" ca="1" si="46"/>
        <v>0.14227748185446454</v>
      </c>
    </row>
    <row r="2389" spans="2:7" x14ac:dyDescent="0.25">
      <c r="B2389" s="98"/>
      <c r="F2389">
        <v>2385</v>
      </c>
      <c r="G2389" s="109">
        <f t="shared" ca="1" si="46"/>
        <v>2.1256406690621177E-2</v>
      </c>
    </row>
    <row r="2390" spans="2:7" x14ac:dyDescent="0.25">
      <c r="B2390" s="98"/>
      <c r="F2390">
        <v>2386</v>
      </c>
      <c r="G2390" s="109">
        <f t="shared" ca="1" si="46"/>
        <v>-0.13531715629752344</v>
      </c>
    </row>
    <row r="2391" spans="2:7" x14ac:dyDescent="0.25">
      <c r="B2391" s="98"/>
      <c r="F2391">
        <v>2387</v>
      </c>
      <c r="G2391" s="109">
        <f t="shared" ca="1" si="46"/>
        <v>-2.9059451079101989E-2</v>
      </c>
    </row>
    <row r="2392" spans="2:7" x14ac:dyDescent="0.25">
      <c r="B2392" s="98"/>
      <c r="F2392">
        <v>2388</v>
      </c>
      <c r="G2392" s="109">
        <f t="shared" ca="1" si="46"/>
        <v>0.11024276623824029</v>
      </c>
    </row>
    <row r="2393" spans="2:7" x14ac:dyDescent="0.25">
      <c r="B2393" s="98"/>
      <c r="F2393">
        <v>2389</v>
      </c>
      <c r="G2393" s="109">
        <f t="shared" ca="1" si="46"/>
        <v>0.12132360752107774</v>
      </c>
    </row>
    <row r="2394" spans="2:7" x14ac:dyDescent="0.25">
      <c r="B2394" s="98"/>
      <c r="F2394">
        <v>2390</v>
      </c>
      <c r="G2394" s="109">
        <f t="shared" ca="1" si="46"/>
        <v>3.6201569912049904E-2</v>
      </c>
    </row>
    <row r="2395" spans="2:7" x14ac:dyDescent="0.25">
      <c r="B2395" s="98"/>
      <c r="F2395">
        <v>2391</v>
      </c>
      <c r="G2395" s="109">
        <f t="shared" ca="1" si="46"/>
        <v>-0.12044085076674817</v>
      </c>
    </row>
    <row r="2396" spans="2:7" x14ac:dyDescent="0.25">
      <c r="B2396" s="98"/>
      <c r="F2396">
        <v>2392</v>
      </c>
      <c r="G2396" s="109">
        <f t="shared" ca="1" si="46"/>
        <v>0.22416089843366599</v>
      </c>
    </row>
    <row r="2397" spans="2:7" x14ac:dyDescent="0.25">
      <c r="B2397" s="98"/>
      <c r="F2397">
        <v>2393</v>
      </c>
      <c r="G2397" s="109">
        <f t="shared" ca="1" si="46"/>
        <v>2.7331185966510536E-2</v>
      </c>
    </row>
    <row r="2398" spans="2:7" x14ac:dyDescent="0.25">
      <c r="B2398" s="98"/>
      <c r="F2398">
        <v>2394</v>
      </c>
      <c r="G2398" s="109">
        <f t="shared" ca="1" si="46"/>
        <v>-6.3667375975437437E-2</v>
      </c>
    </row>
    <row r="2399" spans="2:7" x14ac:dyDescent="0.25">
      <c r="B2399" s="98"/>
      <c r="F2399">
        <v>2395</v>
      </c>
      <c r="G2399" s="109">
        <f t="shared" ca="1" si="46"/>
        <v>0.20163742531458967</v>
      </c>
    </row>
    <row r="2400" spans="2:7" x14ac:dyDescent="0.25">
      <c r="B2400" s="98"/>
      <c r="F2400">
        <v>2396</v>
      </c>
      <c r="G2400" s="109">
        <f t="shared" ca="1" si="46"/>
        <v>2.3492196001463239E-2</v>
      </c>
    </row>
    <row r="2401" spans="2:7" x14ac:dyDescent="0.25">
      <c r="B2401" s="98"/>
      <c r="F2401">
        <v>2397</v>
      </c>
      <c r="G2401" s="109">
        <f t="shared" ca="1" si="46"/>
        <v>5.9986644272364768E-2</v>
      </c>
    </row>
    <row r="2402" spans="2:7" x14ac:dyDescent="0.25">
      <c r="B2402" s="98"/>
      <c r="F2402">
        <v>2398</v>
      </c>
      <c r="G2402" s="109">
        <f t="shared" ca="1" si="46"/>
        <v>-3.8928945161878739E-2</v>
      </c>
    </row>
    <row r="2403" spans="2:7" x14ac:dyDescent="0.25">
      <c r="B2403" s="98"/>
      <c r="F2403">
        <v>2399</v>
      </c>
      <c r="G2403" s="109">
        <f t="shared" ca="1" si="46"/>
        <v>-9.2738465302964743E-2</v>
      </c>
    </row>
    <row r="2404" spans="2:7" x14ac:dyDescent="0.25">
      <c r="B2404" s="98"/>
      <c r="F2404">
        <v>2400</v>
      </c>
      <c r="G2404" s="109">
        <f t="shared" ca="1" si="46"/>
        <v>3.8853353286468495E-3</v>
      </c>
    </row>
    <row r="2405" spans="2:7" x14ac:dyDescent="0.25">
      <c r="B2405" s="98"/>
      <c r="F2405">
        <v>2401</v>
      </c>
      <c r="G2405" s="109">
        <f t="shared" ca="1" si="46"/>
        <v>0.16227633404665337</v>
      </c>
    </row>
    <row r="2406" spans="2:7" x14ac:dyDescent="0.25">
      <c r="B2406" s="98"/>
      <c r="F2406">
        <v>2402</v>
      </c>
      <c r="G2406" s="109">
        <f t="shared" ca="1" si="46"/>
        <v>1.5350140606674306E-2</v>
      </c>
    </row>
    <row r="2407" spans="2:7" x14ac:dyDescent="0.25">
      <c r="B2407" s="98"/>
      <c r="F2407">
        <v>2403</v>
      </c>
      <c r="G2407" s="109">
        <f t="shared" ca="1" si="46"/>
        <v>2.1626298260170752E-2</v>
      </c>
    </row>
    <row r="2408" spans="2:7" x14ac:dyDescent="0.25">
      <c r="B2408" s="98"/>
      <c r="F2408">
        <v>2404</v>
      </c>
      <c r="G2408" s="109">
        <f t="shared" ca="1" si="46"/>
        <v>0.10887285280625475</v>
      </c>
    </row>
    <row r="2409" spans="2:7" x14ac:dyDescent="0.25">
      <c r="B2409" s="98"/>
      <c r="F2409">
        <v>2405</v>
      </c>
      <c r="G2409" s="109">
        <f t="shared" ca="1" si="46"/>
        <v>-9.7951913292666504E-3</v>
      </c>
    </row>
    <row r="2410" spans="2:7" x14ac:dyDescent="0.25">
      <c r="B2410" s="98"/>
      <c r="F2410">
        <v>2406</v>
      </c>
      <c r="G2410" s="109">
        <f t="shared" ca="1" si="46"/>
        <v>-5.0769325852587227E-2</v>
      </c>
    </row>
    <row r="2411" spans="2:7" x14ac:dyDescent="0.25">
      <c r="B2411" s="98"/>
      <c r="F2411">
        <v>2407</v>
      </c>
      <c r="G2411" s="109">
        <f t="shared" ca="1" si="46"/>
        <v>0.10755525260781262</v>
      </c>
    </row>
    <row r="2412" spans="2:7" x14ac:dyDescent="0.25">
      <c r="B2412" s="98"/>
      <c r="F2412">
        <v>2408</v>
      </c>
      <c r="G2412" s="109">
        <f t="shared" ca="1" si="46"/>
        <v>3.5925139489212277E-2</v>
      </c>
    </row>
    <row r="2413" spans="2:7" x14ac:dyDescent="0.25">
      <c r="B2413" s="98"/>
      <c r="F2413">
        <v>2409</v>
      </c>
      <c r="G2413" s="109">
        <f t="shared" ca="1" si="46"/>
        <v>3.921782948029913E-2</v>
      </c>
    </row>
    <row r="2414" spans="2:7" x14ac:dyDescent="0.25">
      <c r="B2414" s="98"/>
      <c r="F2414">
        <v>2410</v>
      </c>
      <c r="G2414" s="109">
        <f t="shared" ca="1" si="46"/>
        <v>7.2700556264003069E-2</v>
      </c>
    </row>
    <row r="2415" spans="2:7" x14ac:dyDescent="0.25">
      <c r="B2415" s="98"/>
      <c r="F2415">
        <v>2411</v>
      </c>
      <c r="G2415" s="109">
        <f t="shared" ca="1" si="46"/>
        <v>0.26839118642605575</v>
      </c>
    </row>
    <row r="2416" spans="2:7" x14ac:dyDescent="0.25">
      <c r="B2416" s="98"/>
      <c r="F2416">
        <v>2412</v>
      </c>
      <c r="G2416" s="109">
        <f t="shared" ca="1" si="46"/>
        <v>-2.1050973248396512E-2</v>
      </c>
    </row>
    <row r="2417" spans="2:7" x14ac:dyDescent="0.25">
      <c r="B2417" s="98"/>
      <c r="F2417">
        <v>2413</v>
      </c>
      <c r="G2417" s="109">
        <f t="shared" ca="1" si="46"/>
        <v>-2.2420590645104363E-3</v>
      </c>
    </row>
    <row r="2418" spans="2:7" x14ac:dyDescent="0.25">
      <c r="B2418" s="98"/>
      <c r="F2418">
        <v>2414</v>
      </c>
      <c r="G2418" s="109">
        <f t="shared" ca="1" si="46"/>
        <v>0.26106348997469692</v>
      </c>
    </row>
    <row r="2419" spans="2:7" x14ac:dyDescent="0.25">
      <c r="B2419" s="98"/>
      <c r="F2419">
        <v>2415</v>
      </c>
      <c r="G2419" s="109">
        <f t="shared" ca="1" si="46"/>
        <v>-3.984804527780994E-2</v>
      </c>
    </row>
    <row r="2420" spans="2:7" x14ac:dyDescent="0.25">
      <c r="B2420" s="98"/>
      <c r="F2420">
        <v>2416</v>
      </c>
      <c r="G2420" s="109">
        <f t="shared" ca="1" si="46"/>
        <v>6.964215796168724E-3</v>
      </c>
    </row>
    <row r="2421" spans="2:7" x14ac:dyDescent="0.25">
      <c r="B2421" s="98"/>
      <c r="F2421">
        <v>2417</v>
      </c>
      <c r="G2421" s="109">
        <f t="shared" ca="1" si="46"/>
        <v>2.5621270342516406E-4</v>
      </c>
    </row>
    <row r="2422" spans="2:7" x14ac:dyDescent="0.25">
      <c r="B2422" s="98"/>
      <c r="F2422">
        <v>2418</v>
      </c>
      <c r="G2422" s="109">
        <f t="shared" ca="1" si="46"/>
        <v>6.4312438006789915E-2</v>
      </c>
    </row>
    <row r="2423" spans="2:7" x14ac:dyDescent="0.25">
      <c r="B2423" s="98"/>
      <c r="F2423">
        <v>2419</v>
      </c>
      <c r="G2423" s="109">
        <f t="shared" ca="1" si="46"/>
        <v>0.12793632212499967</v>
      </c>
    </row>
    <row r="2424" spans="2:7" x14ac:dyDescent="0.25">
      <c r="B2424" s="98"/>
      <c r="F2424">
        <v>2420</v>
      </c>
      <c r="G2424" s="109">
        <f t="shared" ca="1" si="46"/>
        <v>1.3600155981409373E-2</v>
      </c>
    </row>
    <row r="2425" spans="2:7" x14ac:dyDescent="0.25">
      <c r="B2425" s="98"/>
      <c r="F2425">
        <v>2421</v>
      </c>
      <c r="G2425" s="109">
        <f t="shared" ca="1" si="46"/>
        <v>6.8912384185209508E-2</v>
      </c>
    </row>
    <row r="2426" spans="2:7" x14ac:dyDescent="0.25">
      <c r="B2426" s="98"/>
      <c r="F2426">
        <v>2422</v>
      </c>
      <c r="G2426" s="109">
        <f t="shared" ca="1" si="46"/>
        <v>-5.7068890543654688E-2</v>
      </c>
    </row>
    <row r="2427" spans="2:7" x14ac:dyDescent="0.25">
      <c r="B2427" s="98"/>
      <c r="F2427">
        <v>2423</v>
      </c>
      <c r="G2427" s="109">
        <f t="shared" ca="1" si="46"/>
        <v>0.1852977641258543</v>
      </c>
    </row>
    <row r="2428" spans="2:7" x14ac:dyDescent="0.25">
      <c r="B2428" s="98"/>
      <c r="F2428">
        <v>2424</v>
      </c>
      <c r="G2428" s="109">
        <f t="shared" ca="1" si="46"/>
        <v>-0.19319476198173724</v>
      </c>
    </row>
    <row r="2429" spans="2:7" x14ac:dyDescent="0.25">
      <c r="B2429" s="98"/>
      <c r="F2429">
        <v>2425</v>
      </c>
      <c r="G2429" s="109">
        <f t="shared" ca="1" si="46"/>
        <v>-0.30024163736665588</v>
      </c>
    </row>
    <row r="2430" spans="2:7" x14ac:dyDescent="0.25">
      <c r="B2430" s="98"/>
      <c r="F2430">
        <v>2426</v>
      </c>
      <c r="G2430" s="109">
        <f t="shared" ca="1" si="46"/>
        <v>-9.4568979183774424E-2</v>
      </c>
    </row>
    <row r="2431" spans="2:7" x14ac:dyDescent="0.25">
      <c r="B2431" s="98"/>
      <c r="F2431">
        <v>2427</v>
      </c>
      <c r="G2431" s="109">
        <f t="shared" ca="1" si="46"/>
        <v>-1.6908346069303956E-2</v>
      </c>
    </row>
    <row r="2432" spans="2:7" x14ac:dyDescent="0.25">
      <c r="B2432" s="98"/>
      <c r="F2432">
        <v>2428</v>
      </c>
      <c r="G2432" s="109">
        <f t="shared" ca="1" si="46"/>
        <v>4.4011755608603396E-2</v>
      </c>
    </row>
    <row r="2433" spans="2:7" x14ac:dyDescent="0.25">
      <c r="B2433" s="98"/>
      <c r="F2433">
        <v>2429</v>
      </c>
      <c r="G2433" s="109">
        <f t="shared" ca="1" si="46"/>
        <v>0.11263981429111182</v>
      </c>
    </row>
    <row r="2434" spans="2:7" x14ac:dyDescent="0.25">
      <c r="B2434" s="98"/>
      <c r="F2434">
        <v>2430</v>
      </c>
      <c r="G2434" s="109">
        <f t="shared" ca="1" si="46"/>
        <v>4.6376587105375303E-2</v>
      </c>
    </row>
    <row r="2435" spans="2:7" x14ac:dyDescent="0.25">
      <c r="B2435" s="98"/>
      <c r="F2435">
        <v>2431</v>
      </c>
      <c r="G2435" s="109">
        <f t="shared" ca="1" si="46"/>
        <v>-8.0698328578738279E-2</v>
      </c>
    </row>
    <row r="2436" spans="2:7" x14ac:dyDescent="0.25">
      <c r="B2436" s="98"/>
      <c r="F2436">
        <v>2432</v>
      </c>
      <c r="G2436" s="109">
        <f t="shared" ca="1" si="46"/>
        <v>-6.3413809708971022E-2</v>
      </c>
    </row>
    <row r="2437" spans="2:7" x14ac:dyDescent="0.25">
      <c r="B2437" s="98"/>
      <c r="F2437">
        <v>2433</v>
      </c>
      <c r="G2437" s="109">
        <f t="shared" ca="1" si="46"/>
        <v>-1.9422154627870059E-2</v>
      </c>
    </row>
    <row r="2438" spans="2:7" x14ac:dyDescent="0.25">
      <c r="B2438" s="98"/>
      <c r="F2438">
        <v>2434</v>
      </c>
      <c r="G2438" s="109">
        <f t="shared" ref="G2438:G2501" ca="1" si="47">_xlfn.NORM.INV(RAND(),$M$5,$M$6)</f>
        <v>1.9080641586520664E-2</v>
      </c>
    </row>
    <row r="2439" spans="2:7" x14ac:dyDescent="0.25">
      <c r="B2439" s="98"/>
      <c r="F2439">
        <v>2435</v>
      </c>
      <c r="G2439" s="109">
        <f t="shared" ca="1" si="47"/>
        <v>-8.7764871161359892E-3</v>
      </c>
    </row>
    <row r="2440" spans="2:7" x14ac:dyDescent="0.25">
      <c r="B2440" s="98"/>
      <c r="F2440">
        <v>2436</v>
      </c>
      <c r="G2440" s="109">
        <f t="shared" ca="1" si="47"/>
        <v>0.14323278172301659</v>
      </c>
    </row>
    <row r="2441" spans="2:7" x14ac:dyDescent="0.25">
      <c r="B2441" s="98"/>
      <c r="F2441">
        <v>2437</v>
      </c>
      <c r="G2441" s="109">
        <f t="shared" ca="1" si="47"/>
        <v>6.6544951465248317E-2</v>
      </c>
    </row>
    <row r="2442" spans="2:7" x14ac:dyDescent="0.25">
      <c r="B2442" s="98"/>
      <c r="F2442">
        <v>2438</v>
      </c>
      <c r="G2442" s="109">
        <f t="shared" ca="1" si="47"/>
        <v>-6.997515428125603E-2</v>
      </c>
    </row>
    <row r="2443" spans="2:7" x14ac:dyDescent="0.25">
      <c r="B2443" s="98"/>
      <c r="F2443">
        <v>2439</v>
      </c>
      <c r="G2443" s="109">
        <f t="shared" ca="1" si="47"/>
        <v>-0.1030676780108248</v>
      </c>
    </row>
    <row r="2444" spans="2:7" x14ac:dyDescent="0.25">
      <c r="B2444" s="98"/>
      <c r="F2444">
        <v>2440</v>
      </c>
      <c r="G2444" s="109">
        <f t="shared" ca="1" si="47"/>
        <v>5.6715146738452606E-2</v>
      </c>
    </row>
    <row r="2445" spans="2:7" x14ac:dyDescent="0.25">
      <c r="B2445" s="98"/>
      <c r="F2445">
        <v>2441</v>
      </c>
      <c r="G2445" s="109">
        <f t="shared" ca="1" si="47"/>
        <v>9.2228214344641526E-2</v>
      </c>
    </row>
    <row r="2446" spans="2:7" x14ac:dyDescent="0.25">
      <c r="B2446" s="98"/>
      <c r="F2446">
        <v>2442</v>
      </c>
      <c r="G2446" s="109">
        <f t="shared" ca="1" si="47"/>
        <v>-6.9506326813397232E-2</v>
      </c>
    </row>
    <row r="2447" spans="2:7" x14ac:dyDescent="0.25">
      <c r="B2447" s="98"/>
      <c r="F2447">
        <v>2443</v>
      </c>
      <c r="G2447" s="109">
        <f t="shared" ca="1" si="47"/>
        <v>2.9526141357967689E-2</v>
      </c>
    </row>
    <row r="2448" spans="2:7" x14ac:dyDescent="0.25">
      <c r="B2448" s="98"/>
      <c r="F2448">
        <v>2444</v>
      </c>
      <c r="G2448" s="109">
        <f t="shared" ca="1" si="47"/>
        <v>-3.0202163592015441E-2</v>
      </c>
    </row>
    <row r="2449" spans="2:7" x14ac:dyDescent="0.25">
      <c r="B2449" s="98"/>
      <c r="F2449">
        <v>2445</v>
      </c>
      <c r="G2449" s="109">
        <f t="shared" ca="1" si="47"/>
        <v>7.5136513658954601E-2</v>
      </c>
    </row>
    <row r="2450" spans="2:7" x14ac:dyDescent="0.25">
      <c r="B2450" s="98"/>
      <c r="F2450">
        <v>2446</v>
      </c>
      <c r="G2450" s="109">
        <f t="shared" ca="1" si="47"/>
        <v>3.0483808642097234E-2</v>
      </c>
    </row>
    <row r="2451" spans="2:7" x14ac:dyDescent="0.25">
      <c r="B2451" s="98"/>
      <c r="F2451">
        <v>2447</v>
      </c>
      <c r="G2451" s="109">
        <f t="shared" ca="1" si="47"/>
        <v>4.7568990685080928E-2</v>
      </c>
    </row>
    <row r="2452" spans="2:7" x14ac:dyDescent="0.25">
      <c r="B2452" s="98"/>
      <c r="F2452">
        <v>2448</v>
      </c>
      <c r="G2452" s="109">
        <f t="shared" ca="1" si="47"/>
        <v>-7.6042155324146724E-2</v>
      </c>
    </row>
    <row r="2453" spans="2:7" x14ac:dyDescent="0.25">
      <c r="B2453" s="98"/>
      <c r="F2453">
        <v>2449</v>
      </c>
      <c r="G2453" s="109">
        <f t="shared" ca="1" si="47"/>
        <v>0.11675104792238832</v>
      </c>
    </row>
    <row r="2454" spans="2:7" x14ac:dyDescent="0.25">
      <c r="B2454" s="98"/>
      <c r="F2454">
        <v>2450</v>
      </c>
      <c r="G2454" s="109">
        <f t="shared" ca="1" si="47"/>
        <v>0.29254470508492036</v>
      </c>
    </row>
    <row r="2455" spans="2:7" x14ac:dyDescent="0.25">
      <c r="B2455" s="98"/>
      <c r="F2455">
        <v>2451</v>
      </c>
      <c r="G2455" s="109">
        <f t="shared" ca="1" si="47"/>
        <v>0.17555267161933935</v>
      </c>
    </row>
    <row r="2456" spans="2:7" x14ac:dyDescent="0.25">
      <c r="B2456" s="98"/>
      <c r="F2456">
        <v>2452</v>
      </c>
      <c r="G2456" s="109">
        <f t="shared" ca="1" si="47"/>
        <v>3.3272974060785228E-2</v>
      </c>
    </row>
    <row r="2457" spans="2:7" x14ac:dyDescent="0.25">
      <c r="B2457" s="98"/>
      <c r="F2457">
        <v>2453</v>
      </c>
      <c r="G2457" s="109">
        <f t="shared" ca="1" si="47"/>
        <v>3.789731061275755E-2</v>
      </c>
    </row>
    <row r="2458" spans="2:7" x14ac:dyDescent="0.25">
      <c r="B2458" s="98"/>
      <c r="F2458">
        <v>2454</v>
      </c>
      <c r="G2458" s="109">
        <f t="shared" ca="1" si="47"/>
        <v>-1.6650222124261517E-2</v>
      </c>
    </row>
    <row r="2459" spans="2:7" x14ac:dyDescent="0.25">
      <c r="B2459" s="98"/>
      <c r="F2459">
        <v>2455</v>
      </c>
      <c r="G2459" s="109">
        <f t="shared" ca="1" si="47"/>
        <v>-7.3588458564559603E-2</v>
      </c>
    </row>
    <row r="2460" spans="2:7" x14ac:dyDescent="0.25">
      <c r="B2460" s="98"/>
      <c r="F2460">
        <v>2456</v>
      </c>
      <c r="G2460" s="109">
        <f t="shared" ca="1" si="47"/>
        <v>0.19458655592028989</v>
      </c>
    </row>
    <row r="2461" spans="2:7" x14ac:dyDescent="0.25">
      <c r="B2461" s="98"/>
      <c r="F2461">
        <v>2457</v>
      </c>
      <c r="G2461" s="109">
        <f t="shared" ca="1" si="47"/>
        <v>0.17391363041232299</v>
      </c>
    </row>
    <row r="2462" spans="2:7" x14ac:dyDescent="0.25">
      <c r="B2462" s="98"/>
      <c r="F2462">
        <v>2458</v>
      </c>
      <c r="G2462" s="109">
        <f t="shared" ca="1" si="47"/>
        <v>-3.7243468865638174E-2</v>
      </c>
    </row>
    <row r="2463" spans="2:7" x14ac:dyDescent="0.25">
      <c r="B2463" s="98"/>
      <c r="F2463">
        <v>2459</v>
      </c>
      <c r="G2463" s="109">
        <f t="shared" ca="1" si="47"/>
        <v>1.8035073604847799E-2</v>
      </c>
    </row>
    <row r="2464" spans="2:7" x14ac:dyDescent="0.25">
      <c r="B2464" s="98"/>
      <c r="F2464">
        <v>2460</v>
      </c>
      <c r="G2464" s="109">
        <f t="shared" ca="1" si="47"/>
        <v>-6.5729510237733824E-2</v>
      </c>
    </row>
    <row r="2465" spans="2:7" x14ac:dyDescent="0.25">
      <c r="B2465" s="98"/>
      <c r="F2465">
        <v>2461</v>
      </c>
      <c r="G2465" s="109">
        <f t="shared" ca="1" si="47"/>
        <v>-0.11517962925143409</v>
      </c>
    </row>
    <row r="2466" spans="2:7" x14ac:dyDescent="0.25">
      <c r="B2466" s="98"/>
      <c r="F2466">
        <v>2462</v>
      </c>
      <c r="G2466" s="109">
        <f t="shared" ca="1" si="47"/>
        <v>-0.15943605514014075</v>
      </c>
    </row>
    <row r="2467" spans="2:7" x14ac:dyDescent="0.25">
      <c r="B2467" s="98"/>
      <c r="F2467">
        <v>2463</v>
      </c>
      <c r="G2467" s="109">
        <f t="shared" ca="1" si="47"/>
        <v>2.584734230777962E-2</v>
      </c>
    </row>
    <row r="2468" spans="2:7" x14ac:dyDescent="0.25">
      <c r="B2468" s="98"/>
      <c r="F2468">
        <v>2464</v>
      </c>
      <c r="G2468" s="109">
        <f t="shared" ca="1" si="47"/>
        <v>0.11342000338277639</v>
      </c>
    </row>
    <row r="2469" spans="2:7" x14ac:dyDescent="0.25">
      <c r="B2469" s="98"/>
      <c r="F2469">
        <v>2465</v>
      </c>
      <c r="G2469" s="109">
        <f t="shared" ca="1" si="47"/>
        <v>3.7866080534972715E-2</v>
      </c>
    </row>
    <row r="2470" spans="2:7" x14ac:dyDescent="0.25">
      <c r="B2470" s="98"/>
      <c r="F2470">
        <v>2466</v>
      </c>
      <c r="G2470" s="109">
        <f t="shared" ca="1" si="47"/>
        <v>-3.2905781272760323E-2</v>
      </c>
    </row>
    <row r="2471" spans="2:7" x14ac:dyDescent="0.25">
      <c r="B2471" s="98"/>
      <c r="F2471">
        <v>2467</v>
      </c>
      <c r="G2471" s="109">
        <f t="shared" ca="1" si="47"/>
        <v>7.3904195559434213E-2</v>
      </c>
    </row>
    <row r="2472" spans="2:7" x14ac:dyDescent="0.25">
      <c r="B2472" s="98"/>
      <c r="F2472">
        <v>2468</v>
      </c>
      <c r="G2472" s="109">
        <f t="shared" ca="1" si="47"/>
        <v>3.3029357818198615E-2</v>
      </c>
    </row>
    <row r="2473" spans="2:7" x14ac:dyDescent="0.25">
      <c r="B2473" s="98"/>
      <c r="F2473">
        <v>2469</v>
      </c>
      <c r="G2473" s="109">
        <f t="shared" ca="1" si="47"/>
        <v>-2.3423170266613294E-2</v>
      </c>
    </row>
    <row r="2474" spans="2:7" x14ac:dyDescent="0.25">
      <c r="B2474" s="98"/>
      <c r="F2474">
        <v>2470</v>
      </c>
      <c r="G2474" s="109">
        <f t="shared" ca="1" si="47"/>
        <v>6.405607268881347E-2</v>
      </c>
    </row>
    <row r="2475" spans="2:7" x14ac:dyDescent="0.25">
      <c r="B2475" s="98"/>
      <c r="F2475">
        <v>2471</v>
      </c>
      <c r="G2475" s="109">
        <f t="shared" ca="1" si="47"/>
        <v>-5.0476524447560733E-2</v>
      </c>
    </row>
    <row r="2476" spans="2:7" x14ac:dyDescent="0.25">
      <c r="B2476" s="98"/>
      <c r="F2476">
        <v>2472</v>
      </c>
      <c r="G2476" s="109">
        <f t="shared" ca="1" si="47"/>
        <v>-0.11365209901042382</v>
      </c>
    </row>
    <row r="2477" spans="2:7" x14ac:dyDescent="0.25">
      <c r="B2477" s="98"/>
      <c r="F2477">
        <v>2473</v>
      </c>
      <c r="G2477" s="109">
        <f t="shared" ca="1" si="47"/>
        <v>-7.8652900599172293E-2</v>
      </c>
    </row>
    <row r="2478" spans="2:7" x14ac:dyDescent="0.25">
      <c r="B2478" s="98"/>
      <c r="F2478">
        <v>2474</v>
      </c>
      <c r="G2478" s="109">
        <f t="shared" ca="1" si="47"/>
        <v>2.7474324873425007E-3</v>
      </c>
    </row>
    <row r="2479" spans="2:7" x14ac:dyDescent="0.25">
      <c r="B2479" s="98"/>
      <c r="F2479">
        <v>2475</v>
      </c>
      <c r="G2479" s="109">
        <f t="shared" ca="1" si="47"/>
        <v>6.9965431687774665E-2</v>
      </c>
    </row>
    <row r="2480" spans="2:7" x14ac:dyDescent="0.25">
      <c r="B2480" s="98"/>
      <c r="F2480">
        <v>2476</v>
      </c>
      <c r="G2480" s="109">
        <f t="shared" ca="1" si="47"/>
        <v>0.18805919381476549</v>
      </c>
    </row>
    <row r="2481" spans="2:7" x14ac:dyDescent="0.25">
      <c r="B2481" s="98"/>
      <c r="F2481">
        <v>2477</v>
      </c>
      <c r="G2481" s="109">
        <f t="shared" ca="1" si="47"/>
        <v>2.3361370486118239E-2</v>
      </c>
    </row>
    <row r="2482" spans="2:7" x14ac:dyDescent="0.25">
      <c r="B2482" s="98"/>
      <c r="F2482">
        <v>2478</v>
      </c>
      <c r="G2482" s="109">
        <f t="shared" ca="1" si="47"/>
        <v>5.4325123802728678E-2</v>
      </c>
    </row>
    <row r="2483" spans="2:7" x14ac:dyDescent="0.25">
      <c r="B2483" s="98"/>
      <c r="F2483">
        <v>2479</v>
      </c>
      <c r="G2483" s="109">
        <f t="shared" ca="1" si="47"/>
        <v>9.8101825461362133E-2</v>
      </c>
    </row>
    <row r="2484" spans="2:7" x14ac:dyDescent="0.25">
      <c r="B2484" s="98"/>
      <c r="F2484">
        <v>2480</v>
      </c>
      <c r="G2484" s="109">
        <f t="shared" ca="1" si="47"/>
        <v>0.19734729545973029</v>
      </c>
    </row>
    <row r="2485" spans="2:7" x14ac:dyDescent="0.25">
      <c r="B2485" s="98"/>
      <c r="F2485">
        <v>2481</v>
      </c>
      <c r="G2485" s="109">
        <f t="shared" ca="1" si="47"/>
        <v>5.5810104337165767E-2</v>
      </c>
    </row>
    <row r="2486" spans="2:7" x14ac:dyDescent="0.25">
      <c r="B2486" s="98"/>
      <c r="F2486">
        <v>2482</v>
      </c>
      <c r="G2486" s="109">
        <f t="shared" ca="1" si="47"/>
        <v>-4.6309910998220349E-2</v>
      </c>
    </row>
    <row r="2487" spans="2:7" x14ac:dyDescent="0.25">
      <c r="B2487" s="98"/>
      <c r="F2487">
        <v>2483</v>
      </c>
      <c r="G2487" s="109">
        <f t="shared" ca="1" si="47"/>
        <v>0.15280115290136304</v>
      </c>
    </row>
    <row r="2488" spans="2:7" x14ac:dyDescent="0.25">
      <c r="B2488" s="98"/>
      <c r="F2488">
        <v>2484</v>
      </c>
      <c r="G2488" s="109">
        <f t="shared" ca="1" si="47"/>
        <v>5.803652513895266E-3</v>
      </c>
    </row>
    <row r="2489" spans="2:7" x14ac:dyDescent="0.25">
      <c r="B2489" s="98"/>
      <c r="F2489">
        <v>2485</v>
      </c>
      <c r="G2489" s="109">
        <f t="shared" ca="1" si="47"/>
        <v>-7.8044095658988594E-2</v>
      </c>
    </row>
    <row r="2490" spans="2:7" x14ac:dyDescent="0.25">
      <c r="B2490" s="98"/>
      <c r="F2490">
        <v>2486</v>
      </c>
      <c r="G2490" s="109">
        <f t="shared" ca="1" si="47"/>
        <v>1.394151663399841E-2</v>
      </c>
    </row>
    <row r="2491" spans="2:7" x14ac:dyDescent="0.25">
      <c r="B2491" s="98"/>
      <c r="F2491">
        <v>2487</v>
      </c>
      <c r="G2491" s="109">
        <f t="shared" ca="1" si="47"/>
        <v>0.14640809460431276</v>
      </c>
    </row>
    <row r="2492" spans="2:7" x14ac:dyDescent="0.25">
      <c r="B2492" s="98"/>
      <c r="F2492">
        <v>2488</v>
      </c>
      <c r="G2492" s="109">
        <f t="shared" ca="1" si="47"/>
        <v>-1.0847501025803757E-2</v>
      </c>
    </row>
    <row r="2493" spans="2:7" x14ac:dyDescent="0.25">
      <c r="B2493" s="98"/>
      <c r="F2493">
        <v>2489</v>
      </c>
      <c r="G2493" s="109">
        <f t="shared" ca="1" si="47"/>
        <v>-0.11665952274571088</v>
      </c>
    </row>
    <row r="2494" spans="2:7" x14ac:dyDescent="0.25">
      <c r="B2494" s="98"/>
      <c r="F2494">
        <v>2490</v>
      </c>
      <c r="G2494" s="109">
        <f t="shared" ca="1" si="47"/>
        <v>-1.5788295667387271E-2</v>
      </c>
    </row>
    <row r="2495" spans="2:7" x14ac:dyDescent="0.25">
      <c r="B2495" s="98"/>
      <c r="F2495">
        <v>2491</v>
      </c>
      <c r="G2495" s="109">
        <f t="shared" ca="1" si="47"/>
        <v>-4.2136837235984187E-2</v>
      </c>
    </row>
    <row r="2496" spans="2:7" x14ac:dyDescent="0.25">
      <c r="B2496" s="98"/>
      <c r="F2496">
        <v>2492</v>
      </c>
      <c r="G2496" s="109">
        <f t="shared" ca="1" si="47"/>
        <v>5.3771012421498218E-2</v>
      </c>
    </row>
    <row r="2497" spans="2:7" x14ac:dyDescent="0.25">
      <c r="B2497" s="98"/>
      <c r="F2497">
        <v>2493</v>
      </c>
      <c r="G2497" s="109">
        <f t="shared" ca="1" si="47"/>
        <v>2.532409507951288E-2</v>
      </c>
    </row>
    <row r="2498" spans="2:7" x14ac:dyDescent="0.25">
      <c r="B2498" s="98"/>
      <c r="F2498">
        <v>2494</v>
      </c>
      <c r="G2498" s="109">
        <f t="shared" ca="1" si="47"/>
        <v>7.4696777832456623E-2</v>
      </c>
    </row>
    <row r="2499" spans="2:7" x14ac:dyDescent="0.25">
      <c r="B2499" s="98"/>
      <c r="F2499">
        <v>2495</v>
      </c>
      <c r="G2499" s="109">
        <f t="shared" ca="1" si="47"/>
        <v>0.15635914117778993</v>
      </c>
    </row>
    <row r="2500" spans="2:7" x14ac:dyDescent="0.25">
      <c r="B2500" s="98"/>
      <c r="F2500">
        <v>2496</v>
      </c>
      <c r="G2500" s="109">
        <f t="shared" ca="1" si="47"/>
        <v>-0.10200698143024124</v>
      </c>
    </row>
    <row r="2501" spans="2:7" x14ac:dyDescent="0.25">
      <c r="B2501" s="98"/>
      <c r="F2501">
        <v>2497</v>
      </c>
      <c r="G2501" s="109">
        <f t="shared" ca="1" si="47"/>
        <v>-4.6288960739995083E-4</v>
      </c>
    </row>
    <row r="2502" spans="2:7" x14ac:dyDescent="0.25">
      <c r="B2502" s="98"/>
      <c r="F2502">
        <v>2498</v>
      </c>
      <c r="G2502" s="109">
        <f t="shared" ref="G2502:G2565" ca="1" si="48">_xlfn.NORM.INV(RAND(),$M$5,$M$6)</f>
        <v>-2.3696647423055453E-2</v>
      </c>
    </row>
    <row r="2503" spans="2:7" x14ac:dyDescent="0.25">
      <c r="B2503" s="98"/>
      <c r="F2503">
        <v>2499</v>
      </c>
      <c r="G2503" s="109">
        <f t="shared" ca="1" si="48"/>
        <v>-2.120993697965308E-2</v>
      </c>
    </row>
    <row r="2504" spans="2:7" x14ac:dyDescent="0.25">
      <c r="B2504" s="98"/>
      <c r="F2504">
        <v>2500</v>
      </c>
      <c r="G2504" s="109">
        <f t="shared" ca="1" si="48"/>
        <v>-9.9618004491469306E-2</v>
      </c>
    </row>
    <row r="2505" spans="2:7" x14ac:dyDescent="0.25">
      <c r="B2505" s="98"/>
      <c r="F2505">
        <v>2501</v>
      </c>
      <c r="G2505" s="109">
        <f t="shared" ca="1" si="48"/>
        <v>-3.025337961420814E-3</v>
      </c>
    </row>
    <row r="2506" spans="2:7" x14ac:dyDescent="0.25">
      <c r="B2506" s="98"/>
      <c r="F2506">
        <v>2502</v>
      </c>
      <c r="G2506" s="109">
        <f t="shared" ca="1" si="48"/>
        <v>0.23418379739334655</v>
      </c>
    </row>
    <row r="2507" spans="2:7" x14ac:dyDescent="0.25">
      <c r="B2507" s="98"/>
      <c r="F2507">
        <v>2503</v>
      </c>
      <c r="G2507" s="109">
        <f t="shared" ca="1" si="48"/>
        <v>4.3329189913779584E-2</v>
      </c>
    </row>
    <row r="2508" spans="2:7" x14ac:dyDescent="0.25">
      <c r="B2508" s="98"/>
      <c r="F2508">
        <v>2504</v>
      </c>
      <c r="G2508" s="109">
        <f t="shared" ca="1" si="48"/>
        <v>0.20808989624513463</v>
      </c>
    </row>
    <row r="2509" spans="2:7" x14ac:dyDescent="0.25">
      <c r="B2509" s="98"/>
      <c r="F2509">
        <v>2505</v>
      </c>
      <c r="G2509" s="109">
        <f t="shared" ca="1" si="48"/>
        <v>0.20839640239177659</v>
      </c>
    </row>
    <row r="2510" spans="2:7" x14ac:dyDescent="0.25">
      <c r="B2510" s="98"/>
      <c r="F2510">
        <v>2506</v>
      </c>
      <c r="G2510" s="109">
        <f t="shared" ca="1" si="48"/>
        <v>7.3892376723722383E-2</v>
      </c>
    </row>
    <row r="2511" spans="2:7" x14ac:dyDescent="0.25">
      <c r="B2511" s="98"/>
      <c r="F2511">
        <v>2507</v>
      </c>
      <c r="G2511" s="109">
        <f t="shared" ca="1" si="48"/>
        <v>4.9187330733820374E-2</v>
      </c>
    </row>
    <row r="2512" spans="2:7" x14ac:dyDescent="0.25">
      <c r="B2512" s="98"/>
      <c r="F2512">
        <v>2508</v>
      </c>
      <c r="G2512" s="109">
        <f t="shared" ca="1" si="48"/>
        <v>-1.8976833067070806E-3</v>
      </c>
    </row>
    <row r="2513" spans="2:7" x14ac:dyDescent="0.25">
      <c r="B2513" s="98"/>
      <c r="F2513">
        <v>2509</v>
      </c>
      <c r="G2513" s="109">
        <f t="shared" ca="1" si="48"/>
        <v>0.11850709481625629</v>
      </c>
    </row>
    <row r="2514" spans="2:7" x14ac:dyDescent="0.25">
      <c r="B2514" s="98"/>
      <c r="F2514">
        <v>2510</v>
      </c>
      <c r="G2514" s="109">
        <f t="shared" ca="1" si="48"/>
        <v>0.16908249729308689</v>
      </c>
    </row>
    <row r="2515" spans="2:7" x14ac:dyDescent="0.25">
      <c r="B2515" s="98"/>
      <c r="F2515">
        <v>2511</v>
      </c>
      <c r="G2515" s="109">
        <f t="shared" ca="1" si="48"/>
        <v>-3.8386449256526817E-2</v>
      </c>
    </row>
    <row r="2516" spans="2:7" x14ac:dyDescent="0.25">
      <c r="B2516" s="98"/>
      <c r="F2516">
        <v>2512</v>
      </c>
      <c r="G2516" s="109">
        <f t="shared" ca="1" si="48"/>
        <v>-3.011814864181378E-2</v>
      </c>
    </row>
    <row r="2517" spans="2:7" x14ac:dyDescent="0.25">
      <c r="B2517" s="98"/>
      <c r="F2517">
        <v>2513</v>
      </c>
      <c r="G2517" s="109">
        <f t="shared" ca="1" si="48"/>
        <v>3.7299685064829266E-2</v>
      </c>
    </row>
    <row r="2518" spans="2:7" x14ac:dyDescent="0.25">
      <c r="B2518" s="98"/>
      <c r="F2518">
        <v>2514</v>
      </c>
      <c r="G2518" s="109">
        <f t="shared" ca="1" si="48"/>
        <v>-7.944679235883996E-2</v>
      </c>
    </row>
    <row r="2519" spans="2:7" x14ac:dyDescent="0.25">
      <c r="B2519" s="98"/>
      <c r="F2519">
        <v>2515</v>
      </c>
      <c r="G2519" s="109">
        <f t="shared" ca="1" si="48"/>
        <v>2.1847302769993512E-2</v>
      </c>
    </row>
    <row r="2520" spans="2:7" x14ac:dyDescent="0.25">
      <c r="B2520" s="98"/>
      <c r="F2520">
        <v>2516</v>
      </c>
      <c r="G2520" s="109">
        <f t="shared" ca="1" si="48"/>
        <v>-3.9103196113022251E-2</v>
      </c>
    </row>
    <row r="2521" spans="2:7" x14ac:dyDescent="0.25">
      <c r="B2521" s="98"/>
      <c r="F2521">
        <v>2517</v>
      </c>
      <c r="G2521" s="109">
        <f t="shared" ca="1" si="48"/>
        <v>-4.5303890400373442E-2</v>
      </c>
    </row>
    <row r="2522" spans="2:7" x14ac:dyDescent="0.25">
      <c r="B2522" s="98"/>
      <c r="F2522">
        <v>2518</v>
      </c>
      <c r="G2522" s="109">
        <f t="shared" ca="1" si="48"/>
        <v>-0.15439309153819164</v>
      </c>
    </row>
    <row r="2523" spans="2:7" x14ac:dyDescent="0.25">
      <c r="B2523" s="98"/>
      <c r="F2523">
        <v>2519</v>
      </c>
      <c r="G2523" s="109">
        <f t="shared" ca="1" si="48"/>
        <v>-1.4451666270021597E-2</v>
      </c>
    </row>
    <row r="2524" spans="2:7" x14ac:dyDescent="0.25">
      <c r="B2524" s="98"/>
      <c r="F2524">
        <v>2520</v>
      </c>
      <c r="G2524" s="109">
        <f t="shared" ca="1" si="48"/>
        <v>-1.5750321088748798E-2</v>
      </c>
    </row>
    <row r="2525" spans="2:7" x14ac:dyDescent="0.25">
      <c r="B2525" s="98"/>
      <c r="F2525">
        <v>2521</v>
      </c>
      <c r="G2525" s="109">
        <f t="shared" ca="1" si="48"/>
        <v>0.15243555968371936</v>
      </c>
    </row>
    <row r="2526" spans="2:7" x14ac:dyDescent="0.25">
      <c r="B2526" s="98"/>
      <c r="F2526">
        <v>2522</v>
      </c>
      <c r="G2526" s="109">
        <f t="shared" ca="1" si="48"/>
        <v>-0.14273636996760353</v>
      </c>
    </row>
    <row r="2527" spans="2:7" x14ac:dyDescent="0.25">
      <c r="B2527" s="98"/>
      <c r="F2527">
        <v>2523</v>
      </c>
      <c r="G2527" s="109">
        <f t="shared" ca="1" si="48"/>
        <v>0.13490457361607611</v>
      </c>
    </row>
    <row r="2528" spans="2:7" x14ac:dyDescent="0.25">
      <c r="B2528" s="98"/>
      <c r="F2528">
        <v>2524</v>
      </c>
      <c r="G2528" s="109">
        <f t="shared" ca="1" si="48"/>
        <v>-3.8084716514366596E-2</v>
      </c>
    </row>
    <row r="2529" spans="2:7" x14ac:dyDescent="0.25">
      <c r="B2529" s="98"/>
      <c r="F2529">
        <v>2525</v>
      </c>
      <c r="G2529" s="109">
        <f t="shared" ca="1" si="48"/>
        <v>-7.2924141311137322E-2</v>
      </c>
    </row>
    <row r="2530" spans="2:7" x14ac:dyDescent="0.25">
      <c r="B2530" s="98"/>
      <c r="F2530">
        <v>2526</v>
      </c>
      <c r="G2530" s="109">
        <f t="shared" ca="1" si="48"/>
        <v>0.1857735373134406</v>
      </c>
    </row>
    <row r="2531" spans="2:7" x14ac:dyDescent="0.25">
      <c r="B2531" s="98"/>
      <c r="F2531">
        <v>2527</v>
      </c>
      <c r="G2531" s="109">
        <f t="shared" ca="1" si="48"/>
        <v>1.3502374850559037E-2</v>
      </c>
    </row>
    <row r="2532" spans="2:7" x14ac:dyDescent="0.25">
      <c r="B2532" s="98"/>
      <c r="F2532">
        <v>2528</v>
      </c>
      <c r="G2532" s="109">
        <f t="shared" ca="1" si="48"/>
        <v>-0.17253271818849919</v>
      </c>
    </row>
    <row r="2533" spans="2:7" x14ac:dyDescent="0.25">
      <c r="B2533" s="98"/>
      <c r="F2533">
        <v>2529</v>
      </c>
      <c r="G2533" s="109">
        <f t="shared" ca="1" si="48"/>
        <v>6.7925653798555446E-2</v>
      </c>
    </row>
    <row r="2534" spans="2:7" x14ac:dyDescent="0.25">
      <c r="B2534" s="98"/>
      <c r="F2534">
        <v>2530</v>
      </c>
      <c r="G2534" s="109">
        <f t="shared" ca="1" si="48"/>
        <v>3.8594750724897882E-2</v>
      </c>
    </row>
    <row r="2535" spans="2:7" x14ac:dyDescent="0.25">
      <c r="B2535" s="98"/>
      <c r="F2535">
        <v>2531</v>
      </c>
      <c r="G2535" s="109">
        <f t="shared" ca="1" si="48"/>
        <v>0.14284335232787293</v>
      </c>
    </row>
    <row r="2536" spans="2:7" x14ac:dyDescent="0.25">
      <c r="B2536" s="98"/>
      <c r="F2536">
        <v>2532</v>
      </c>
      <c r="G2536" s="109">
        <f t="shared" ca="1" si="48"/>
        <v>0.22616171057284679</v>
      </c>
    </row>
    <row r="2537" spans="2:7" x14ac:dyDescent="0.25">
      <c r="B2537" s="98"/>
      <c r="F2537">
        <v>2533</v>
      </c>
      <c r="G2537" s="109">
        <f t="shared" ca="1" si="48"/>
        <v>0.12234488832252348</v>
      </c>
    </row>
    <row r="2538" spans="2:7" x14ac:dyDescent="0.25">
      <c r="B2538" s="98"/>
      <c r="F2538">
        <v>2534</v>
      </c>
      <c r="G2538" s="109">
        <f t="shared" ca="1" si="48"/>
        <v>7.9984420048701294E-2</v>
      </c>
    </row>
    <row r="2539" spans="2:7" x14ac:dyDescent="0.25">
      <c r="B2539" s="98"/>
      <c r="F2539">
        <v>2535</v>
      </c>
      <c r="G2539" s="109">
        <f t="shared" ca="1" si="48"/>
        <v>-7.7626710566348484E-2</v>
      </c>
    </row>
    <row r="2540" spans="2:7" x14ac:dyDescent="0.25">
      <c r="B2540" s="98"/>
      <c r="F2540">
        <v>2536</v>
      </c>
      <c r="G2540" s="109">
        <f t="shared" ca="1" si="48"/>
        <v>-0.17776952582720296</v>
      </c>
    </row>
    <row r="2541" spans="2:7" x14ac:dyDescent="0.25">
      <c r="B2541" s="98"/>
      <c r="F2541">
        <v>2537</v>
      </c>
      <c r="G2541" s="109">
        <f t="shared" ca="1" si="48"/>
        <v>0.16494683508178337</v>
      </c>
    </row>
    <row r="2542" spans="2:7" x14ac:dyDescent="0.25">
      <c r="B2542" s="98"/>
      <c r="F2542">
        <v>2538</v>
      </c>
      <c r="G2542" s="109">
        <f t="shared" ca="1" si="48"/>
        <v>-6.1258754105184401E-2</v>
      </c>
    </row>
    <row r="2543" spans="2:7" x14ac:dyDescent="0.25">
      <c r="B2543" s="98"/>
      <c r="F2543">
        <v>2539</v>
      </c>
      <c r="G2543" s="109">
        <f t="shared" ca="1" si="48"/>
        <v>6.8756356401365751E-2</v>
      </c>
    </row>
    <row r="2544" spans="2:7" x14ac:dyDescent="0.25">
      <c r="B2544" s="98"/>
      <c r="F2544">
        <v>2540</v>
      </c>
      <c r="G2544" s="109">
        <f t="shared" ca="1" si="48"/>
        <v>5.3110326510183006E-2</v>
      </c>
    </row>
    <row r="2545" spans="2:7" x14ac:dyDescent="0.25">
      <c r="B2545" s="98"/>
      <c r="F2545">
        <v>2541</v>
      </c>
      <c r="G2545" s="109">
        <f t="shared" ca="1" si="48"/>
        <v>0.16376181166021925</v>
      </c>
    </row>
    <row r="2546" spans="2:7" x14ac:dyDescent="0.25">
      <c r="B2546" s="98"/>
      <c r="F2546">
        <v>2542</v>
      </c>
      <c r="G2546" s="109">
        <f t="shared" ca="1" si="48"/>
        <v>0.16766540981264783</v>
      </c>
    </row>
    <row r="2547" spans="2:7" x14ac:dyDescent="0.25">
      <c r="B2547" s="98"/>
      <c r="F2547">
        <v>2543</v>
      </c>
      <c r="G2547" s="109">
        <f t="shared" ca="1" si="48"/>
        <v>4.5448246370319585E-2</v>
      </c>
    </row>
    <row r="2548" spans="2:7" x14ac:dyDescent="0.25">
      <c r="B2548" s="98"/>
      <c r="F2548">
        <v>2544</v>
      </c>
      <c r="G2548" s="109">
        <f t="shared" ca="1" si="48"/>
        <v>7.6092133033275222E-2</v>
      </c>
    </row>
    <row r="2549" spans="2:7" x14ac:dyDescent="0.25">
      <c r="B2549" s="98"/>
      <c r="F2549">
        <v>2545</v>
      </c>
      <c r="G2549" s="109">
        <f t="shared" ca="1" si="48"/>
        <v>0.14693455047044454</v>
      </c>
    </row>
    <row r="2550" spans="2:7" x14ac:dyDescent="0.25">
      <c r="B2550" s="98"/>
      <c r="F2550">
        <v>2546</v>
      </c>
      <c r="G2550" s="109">
        <f t="shared" ca="1" si="48"/>
        <v>6.2703533621101079E-2</v>
      </c>
    </row>
    <row r="2551" spans="2:7" x14ac:dyDescent="0.25">
      <c r="B2551" s="98"/>
      <c r="F2551">
        <v>2547</v>
      </c>
      <c r="G2551" s="109">
        <f t="shared" ca="1" si="48"/>
        <v>0.15712819450302457</v>
      </c>
    </row>
    <row r="2552" spans="2:7" x14ac:dyDescent="0.25">
      <c r="B2552" s="98"/>
      <c r="F2552">
        <v>2548</v>
      </c>
      <c r="G2552" s="109">
        <f t="shared" ca="1" si="48"/>
        <v>0.10325030387663431</v>
      </c>
    </row>
    <row r="2553" spans="2:7" x14ac:dyDescent="0.25">
      <c r="B2553" s="98"/>
      <c r="F2553">
        <v>2549</v>
      </c>
      <c r="G2553" s="109">
        <f t="shared" ca="1" si="48"/>
        <v>-4.3250948525202282E-2</v>
      </c>
    </row>
    <row r="2554" spans="2:7" x14ac:dyDescent="0.25">
      <c r="B2554" s="98"/>
      <c r="F2554">
        <v>2550</v>
      </c>
      <c r="G2554" s="109">
        <f t="shared" ca="1" si="48"/>
        <v>0.10116265040252517</v>
      </c>
    </row>
    <row r="2555" spans="2:7" x14ac:dyDescent="0.25">
      <c r="B2555" s="98"/>
      <c r="F2555">
        <v>2551</v>
      </c>
      <c r="G2555" s="109">
        <f t="shared" ca="1" si="48"/>
        <v>0.10656132127982498</v>
      </c>
    </row>
    <row r="2556" spans="2:7" x14ac:dyDescent="0.25">
      <c r="B2556" s="98"/>
      <c r="F2556">
        <v>2552</v>
      </c>
      <c r="G2556" s="109">
        <f t="shared" ca="1" si="48"/>
        <v>-9.0653202498737026E-2</v>
      </c>
    </row>
    <row r="2557" spans="2:7" x14ac:dyDescent="0.25">
      <c r="B2557" s="98"/>
      <c r="F2557">
        <v>2553</v>
      </c>
      <c r="G2557" s="109">
        <f t="shared" ca="1" si="48"/>
        <v>7.2114120443055943E-3</v>
      </c>
    </row>
    <row r="2558" spans="2:7" x14ac:dyDescent="0.25">
      <c r="B2558" s="98"/>
      <c r="F2558">
        <v>2554</v>
      </c>
      <c r="G2558" s="109">
        <f t="shared" ca="1" si="48"/>
        <v>6.4632985266872001E-2</v>
      </c>
    </row>
    <row r="2559" spans="2:7" x14ac:dyDescent="0.25">
      <c r="B2559" s="98"/>
      <c r="F2559">
        <v>2555</v>
      </c>
      <c r="G2559" s="109">
        <f t="shared" ca="1" si="48"/>
        <v>6.0709735341960606E-2</v>
      </c>
    </row>
    <row r="2560" spans="2:7" x14ac:dyDescent="0.25">
      <c r="B2560" s="98"/>
      <c r="F2560">
        <v>2556</v>
      </c>
      <c r="G2560" s="109">
        <f t="shared" ca="1" si="48"/>
        <v>2.8585372470259347E-2</v>
      </c>
    </row>
    <row r="2561" spans="2:7" x14ac:dyDescent="0.25">
      <c r="B2561" s="98"/>
      <c r="F2561">
        <v>2557</v>
      </c>
      <c r="G2561" s="109">
        <f t="shared" ca="1" si="48"/>
        <v>-8.216507715585096E-2</v>
      </c>
    </row>
    <row r="2562" spans="2:7" x14ac:dyDescent="0.25">
      <c r="B2562" s="98"/>
      <c r="F2562">
        <v>2558</v>
      </c>
      <c r="G2562" s="109">
        <f t="shared" ca="1" si="48"/>
        <v>5.2016784935244469E-2</v>
      </c>
    </row>
    <row r="2563" spans="2:7" x14ac:dyDescent="0.25">
      <c r="B2563" s="98"/>
      <c r="F2563">
        <v>2559</v>
      </c>
      <c r="G2563" s="109">
        <f t="shared" ca="1" si="48"/>
        <v>0.13971728583506557</v>
      </c>
    </row>
    <row r="2564" spans="2:7" x14ac:dyDescent="0.25">
      <c r="B2564" s="98"/>
      <c r="F2564">
        <v>2560</v>
      </c>
      <c r="G2564" s="109">
        <f t="shared" ca="1" si="48"/>
        <v>4.236863075640699E-2</v>
      </c>
    </row>
    <row r="2565" spans="2:7" x14ac:dyDescent="0.25">
      <c r="B2565" s="98"/>
      <c r="F2565">
        <v>2561</v>
      </c>
      <c r="G2565" s="109">
        <f t="shared" ca="1" si="48"/>
        <v>-1.2639307734721154E-2</v>
      </c>
    </row>
    <row r="2566" spans="2:7" x14ac:dyDescent="0.25">
      <c r="B2566" s="98"/>
      <c r="F2566">
        <v>2562</v>
      </c>
      <c r="G2566" s="109">
        <f t="shared" ref="G2566:G2629" ca="1" si="49">_xlfn.NORM.INV(RAND(),$M$5,$M$6)</f>
        <v>0.14214186834723866</v>
      </c>
    </row>
    <row r="2567" spans="2:7" x14ac:dyDescent="0.25">
      <c r="B2567" s="98"/>
      <c r="F2567">
        <v>2563</v>
      </c>
      <c r="G2567" s="109">
        <f t="shared" ca="1" si="49"/>
        <v>0.10737847422417121</v>
      </c>
    </row>
    <row r="2568" spans="2:7" x14ac:dyDescent="0.25">
      <c r="B2568" s="98"/>
      <c r="F2568">
        <v>2564</v>
      </c>
      <c r="G2568" s="109">
        <f t="shared" ca="1" si="49"/>
        <v>7.6993403669117139E-2</v>
      </c>
    </row>
    <row r="2569" spans="2:7" x14ac:dyDescent="0.25">
      <c r="B2569" s="98"/>
      <c r="F2569">
        <v>2565</v>
      </c>
      <c r="G2569" s="109">
        <f t="shared" ca="1" si="49"/>
        <v>0.22271801154908311</v>
      </c>
    </row>
    <row r="2570" spans="2:7" x14ac:dyDescent="0.25">
      <c r="B2570" s="98"/>
      <c r="F2570">
        <v>2566</v>
      </c>
      <c r="G2570" s="109">
        <f t="shared" ca="1" si="49"/>
        <v>9.2433564380926453E-2</v>
      </c>
    </row>
    <row r="2571" spans="2:7" x14ac:dyDescent="0.25">
      <c r="B2571" s="98"/>
      <c r="F2571">
        <v>2567</v>
      </c>
      <c r="G2571" s="109">
        <f t="shared" ca="1" si="49"/>
        <v>0.12966822705467318</v>
      </c>
    </row>
    <row r="2572" spans="2:7" x14ac:dyDescent="0.25">
      <c r="B2572" s="98"/>
      <c r="F2572">
        <v>2568</v>
      </c>
      <c r="G2572" s="109">
        <f t="shared" ca="1" si="49"/>
        <v>0.13003897991768959</v>
      </c>
    </row>
    <row r="2573" spans="2:7" x14ac:dyDescent="0.25">
      <c r="B2573" s="98"/>
      <c r="F2573">
        <v>2569</v>
      </c>
      <c r="G2573" s="109">
        <f t="shared" ca="1" si="49"/>
        <v>-5.2673416032743919E-2</v>
      </c>
    </row>
    <row r="2574" spans="2:7" x14ac:dyDescent="0.25">
      <c r="B2574" s="98"/>
      <c r="F2574">
        <v>2570</v>
      </c>
      <c r="G2574" s="109">
        <f t="shared" ca="1" si="49"/>
        <v>6.7891017286003788E-2</v>
      </c>
    </row>
    <row r="2575" spans="2:7" x14ac:dyDescent="0.25">
      <c r="B2575" s="98"/>
      <c r="F2575">
        <v>2571</v>
      </c>
      <c r="G2575" s="109">
        <f t="shared" ca="1" si="49"/>
        <v>-4.3962197619185267E-2</v>
      </c>
    </row>
    <row r="2576" spans="2:7" x14ac:dyDescent="0.25">
      <c r="B2576" s="98"/>
      <c r="F2576">
        <v>2572</v>
      </c>
      <c r="G2576" s="109">
        <f t="shared" ca="1" si="49"/>
        <v>-7.5951614630017747E-2</v>
      </c>
    </row>
    <row r="2577" spans="2:7" x14ac:dyDescent="0.25">
      <c r="B2577" s="98"/>
      <c r="F2577">
        <v>2573</v>
      </c>
      <c r="G2577" s="109">
        <f t="shared" ca="1" si="49"/>
        <v>8.0270455254125128E-2</v>
      </c>
    </row>
    <row r="2578" spans="2:7" x14ac:dyDescent="0.25">
      <c r="B2578" s="98"/>
      <c r="F2578">
        <v>2574</v>
      </c>
      <c r="G2578" s="109">
        <f t="shared" ca="1" si="49"/>
        <v>2.529907459969338E-2</v>
      </c>
    </row>
    <row r="2579" spans="2:7" x14ac:dyDescent="0.25">
      <c r="B2579" s="98"/>
      <c r="F2579">
        <v>2575</v>
      </c>
      <c r="G2579" s="109">
        <f t="shared" ca="1" si="49"/>
        <v>8.5634256933374231E-2</v>
      </c>
    </row>
    <row r="2580" spans="2:7" x14ac:dyDescent="0.25">
      <c r="B2580" s="98"/>
      <c r="F2580">
        <v>2576</v>
      </c>
      <c r="G2580" s="109">
        <f t="shared" ca="1" si="49"/>
        <v>-6.8566373937287289E-2</v>
      </c>
    </row>
    <row r="2581" spans="2:7" x14ac:dyDescent="0.25">
      <c r="B2581" s="98"/>
      <c r="F2581">
        <v>2577</v>
      </c>
      <c r="G2581" s="109">
        <f t="shared" ca="1" si="49"/>
        <v>0.17626865846199974</v>
      </c>
    </row>
    <row r="2582" spans="2:7" x14ac:dyDescent="0.25">
      <c r="B2582" s="98"/>
      <c r="F2582">
        <v>2578</v>
      </c>
      <c r="G2582" s="109">
        <f t="shared" ca="1" si="49"/>
        <v>-0.11204025878394748</v>
      </c>
    </row>
    <row r="2583" spans="2:7" x14ac:dyDescent="0.25">
      <c r="B2583" s="98"/>
      <c r="F2583">
        <v>2579</v>
      </c>
      <c r="G2583" s="109">
        <f t="shared" ca="1" si="49"/>
        <v>-1.4253582451158112E-2</v>
      </c>
    </row>
    <row r="2584" spans="2:7" x14ac:dyDescent="0.25">
      <c r="B2584" s="98"/>
      <c r="F2584">
        <v>2580</v>
      </c>
      <c r="G2584" s="109">
        <f t="shared" ca="1" si="49"/>
        <v>0.11451258092533477</v>
      </c>
    </row>
    <row r="2585" spans="2:7" x14ac:dyDescent="0.25">
      <c r="B2585" s="98"/>
      <c r="F2585">
        <v>2581</v>
      </c>
      <c r="G2585" s="109">
        <f t="shared" ca="1" si="49"/>
        <v>8.38291529912365E-2</v>
      </c>
    </row>
    <row r="2586" spans="2:7" x14ac:dyDescent="0.25">
      <c r="B2586" s="98"/>
      <c r="F2586">
        <v>2582</v>
      </c>
      <c r="G2586" s="109">
        <f t="shared" ca="1" si="49"/>
        <v>7.6634310805029748E-2</v>
      </c>
    </row>
    <row r="2587" spans="2:7" x14ac:dyDescent="0.25">
      <c r="B2587" s="98"/>
      <c r="F2587">
        <v>2583</v>
      </c>
      <c r="G2587" s="109">
        <f t="shared" ca="1" si="49"/>
        <v>-5.5783890772507824E-2</v>
      </c>
    </row>
    <row r="2588" spans="2:7" x14ac:dyDescent="0.25">
      <c r="B2588" s="98"/>
      <c r="F2588">
        <v>2584</v>
      </c>
      <c r="G2588" s="109">
        <f t="shared" ca="1" si="49"/>
        <v>-3.851169698139971E-2</v>
      </c>
    </row>
    <row r="2589" spans="2:7" x14ac:dyDescent="0.25">
      <c r="B2589" s="98"/>
      <c r="F2589">
        <v>2585</v>
      </c>
      <c r="G2589" s="109">
        <f t="shared" ca="1" si="49"/>
        <v>-1.9037756258348373E-2</v>
      </c>
    </row>
    <row r="2590" spans="2:7" x14ac:dyDescent="0.25">
      <c r="B2590" s="98"/>
      <c r="F2590">
        <v>2586</v>
      </c>
      <c r="G2590" s="109">
        <f t="shared" ca="1" si="49"/>
        <v>1.1943580960770028E-2</v>
      </c>
    </row>
    <row r="2591" spans="2:7" x14ac:dyDescent="0.25">
      <c r="B2591" s="98"/>
      <c r="F2591">
        <v>2587</v>
      </c>
      <c r="G2591" s="109">
        <f t="shared" ca="1" si="49"/>
        <v>-4.2987138005150458E-3</v>
      </c>
    </row>
    <row r="2592" spans="2:7" x14ac:dyDescent="0.25">
      <c r="B2592" s="98"/>
      <c r="F2592">
        <v>2588</v>
      </c>
      <c r="G2592" s="109">
        <f t="shared" ca="1" si="49"/>
        <v>7.8285389605608616E-2</v>
      </c>
    </row>
    <row r="2593" spans="2:7" x14ac:dyDescent="0.25">
      <c r="B2593" s="98"/>
      <c r="F2593">
        <v>2589</v>
      </c>
      <c r="G2593" s="109">
        <f t="shared" ca="1" si="49"/>
        <v>2.8641516021474363E-2</v>
      </c>
    </row>
    <row r="2594" spans="2:7" x14ac:dyDescent="0.25">
      <c r="B2594" s="98"/>
      <c r="F2594">
        <v>2590</v>
      </c>
      <c r="G2594" s="109">
        <f t="shared" ca="1" si="49"/>
        <v>5.6735431386100398E-2</v>
      </c>
    </row>
    <row r="2595" spans="2:7" x14ac:dyDescent="0.25">
      <c r="B2595" s="98"/>
      <c r="F2595">
        <v>2591</v>
      </c>
      <c r="G2595" s="109">
        <f t="shared" ca="1" si="49"/>
        <v>0.12329873115415774</v>
      </c>
    </row>
    <row r="2596" spans="2:7" x14ac:dyDescent="0.25">
      <c r="B2596" s="98"/>
      <c r="F2596">
        <v>2592</v>
      </c>
      <c r="G2596" s="109">
        <f t="shared" ca="1" si="49"/>
        <v>-2.3796160652536077E-2</v>
      </c>
    </row>
    <row r="2597" spans="2:7" x14ac:dyDescent="0.25">
      <c r="B2597" s="98"/>
      <c r="F2597">
        <v>2593</v>
      </c>
      <c r="G2597" s="109">
        <f t="shared" ca="1" si="49"/>
        <v>0.26910397709487321</v>
      </c>
    </row>
    <row r="2598" spans="2:7" x14ac:dyDescent="0.25">
      <c r="B2598" s="98"/>
      <c r="F2598">
        <v>2594</v>
      </c>
      <c r="G2598" s="109">
        <f t="shared" ca="1" si="49"/>
        <v>-0.19542084445646168</v>
      </c>
    </row>
    <row r="2599" spans="2:7" x14ac:dyDescent="0.25">
      <c r="B2599" s="98"/>
      <c r="F2599">
        <v>2595</v>
      </c>
      <c r="G2599" s="109">
        <f t="shared" ca="1" si="49"/>
        <v>5.4795793051718875E-2</v>
      </c>
    </row>
    <row r="2600" spans="2:7" x14ac:dyDescent="0.25">
      <c r="B2600" s="98"/>
      <c r="F2600">
        <v>2596</v>
      </c>
      <c r="G2600" s="109">
        <f t="shared" ca="1" si="49"/>
        <v>4.1884242427151261E-2</v>
      </c>
    </row>
    <row r="2601" spans="2:7" x14ac:dyDescent="0.25">
      <c r="B2601" s="98"/>
      <c r="F2601">
        <v>2597</v>
      </c>
      <c r="G2601" s="109">
        <f t="shared" ca="1" si="49"/>
        <v>-9.1538558782525356E-2</v>
      </c>
    </row>
    <row r="2602" spans="2:7" x14ac:dyDescent="0.25">
      <c r="B2602" s="98"/>
      <c r="F2602">
        <v>2598</v>
      </c>
      <c r="G2602" s="109">
        <f t="shared" ca="1" si="49"/>
        <v>2.9609287727215623E-2</v>
      </c>
    </row>
    <row r="2603" spans="2:7" x14ac:dyDescent="0.25">
      <c r="B2603" s="98"/>
      <c r="F2603">
        <v>2599</v>
      </c>
      <c r="G2603" s="109">
        <f t="shared" ca="1" si="49"/>
        <v>2.6159928270254481E-2</v>
      </c>
    </row>
    <row r="2604" spans="2:7" x14ac:dyDescent="0.25">
      <c r="B2604" s="98"/>
      <c r="F2604">
        <v>2600</v>
      </c>
      <c r="G2604" s="109">
        <f t="shared" ca="1" si="49"/>
        <v>0.1246229098483653</v>
      </c>
    </row>
    <row r="2605" spans="2:7" x14ac:dyDescent="0.25">
      <c r="B2605" s="98"/>
      <c r="F2605">
        <v>2601</v>
      </c>
      <c r="G2605" s="109">
        <f t="shared" ca="1" si="49"/>
        <v>0.10663031327006281</v>
      </c>
    </row>
    <row r="2606" spans="2:7" x14ac:dyDescent="0.25">
      <c r="B2606" s="98"/>
      <c r="F2606">
        <v>2602</v>
      </c>
      <c r="G2606" s="109">
        <f t="shared" ca="1" si="49"/>
        <v>0.1211207228207189</v>
      </c>
    </row>
    <row r="2607" spans="2:7" x14ac:dyDescent="0.25">
      <c r="B2607" s="98"/>
      <c r="F2607">
        <v>2603</v>
      </c>
      <c r="G2607" s="109">
        <f t="shared" ca="1" si="49"/>
        <v>8.6581610081753885E-2</v>
      </c>
    </row>
    <row r="2608" spans="2:7" x14ac:dyDescent="0.25">
      <c r="B2608" s="98"/>
      <c r="F2608">
        <v>2604</v>
      </c>
      <c r="G2608" s="109">
        <f t="shared" ca="1" si="49"/>
        <v>-1.5138815456471985E-2</v>
      </c>
    </row>
    <row r="2609" spans="2:7" x14ac:dyDescent="0.25">
      <c r="B2609" s="98"/>
      <c r="F2609">
        <v>2605</v>
      </c>
      <c r="G2609" s="109">
        <f t="shared" ca="1" si="49"/>
        <v>2.2525496595399288E-2</v>
      </c>
    </row>
    <row r="2610" spans="2:7" x14ac:dyDescent="0.25">
      <c r="B2610" s="98"/>
      <c r="F2610">
        <v>2606</v>
      </c>
      <c r="G2610" s="109">
        <f t="shared" ca="1" si="49"/>
        <v>0.15149529360984373</v>
      </c>
    </row>
    <row r="2611" spans="2:7" x14ac:dyDescent="0.25">
      <c r="B2611" s="98"/>
      <c r="F2611">
        <v>2607</v>
      </c>
      <c r="G2611" s="109">
        <f t="shared" ca="1" si="49"/>
        <v>0.13831101155753878</v>
      </c>
    </row>
    <row r="2612" spans="2:7" x14ac:dyDescent="0.25">
      <c r="B2612" s="98"/>
      <c r="F2612">
        <v>2608</v>
      </c>
      <c r="G2612" s="109">
        <f t="shared" ca="1" si="49"/>
        <v>-0.10540973054400808</v>
      </c>
    </row>
    <row r="2613" spans="2:7" x14ac:dyDescent="0.25">
      <c r="B2613" s="98"/>
      <c r="F2613">
        <v>2609</v>
      </c>
      <c r="G2613" s="109">
        <f t="shared" ca="1" si="49"/>
        <v>-0.10897801408946044</v>
      </c>
    </row>
    <row r="2614" spans="2:7" x14ac:dyDescent="0.25">
      <c r="B2614" s="98"/>
      <c r="F2614">
        <v>2610</v>
      </c>
      <c r="G2614" s="109">
        <f t="shared" ca="1" si="49"/>
        <v>2.7807090431974789E-2</v>
      </c>
    </row>
    <row r="2615" spans="2:7" x14ac:dyDescent="0.25">
      <c r="B2615" s="98"/>
      <c r="F2615">
        <v>2611</v>
      </c>
      <c r="G2615" s="109">
        <f t="shared" ca="1" si="49"/>
        <v>0.21779000698173356</v>
      </c>
    </row>
    <row r="2616" spans="2:7" x14ac:dyDescent="0.25">
      <c r="B2616" s="98"/>
      <c r="F2616">
        <v>2612</v>
      </c>
      <c r="G2616" s="109">
        <f t="shared" ca="1" si="49"/>
        <v>-0.11102652660830285</v>
      </c>
    </row>
    <row r="2617" spans="2:7" x14ac:dyDescent="0.25">
      <c r="B2617" s="98"/>
      <c r="F2617">
        <v>2613</v>
      </c>
      <c r="G2617" s="109">
        <f t="shared" ca="1" si="49"/>
        <v>0.15122688846759541</v>
      </c>
    </row>
    <row r="2618" spans="2:7" x14ac:dyDescent="0.25">
      <c r="B2618" s="98"/>
      <c r="F2618">
        <v>2614</v>
      </c>
      <c r="G2618" s="109">
        <f t="shared" ca="1" si="49"/>
        <v>6.6676329541360935E-2</v>
      </c>
    </row>
    <row r="2619" spans="2:7" x14ac:dyDescent="0.25">
      <c r="B2619" s="98"/>
      <c r="F2619">
        <v>2615</v>
      </c>
      <c r="G2619" s="109">
        <f t="shared" ca="1" si="49"/>
        <v>5.948988355444744E-2</v>
      </c>
    </row>
    <row r="2620" spans="2:7" x14ac:dyDescent="0.25">
      <c r="B2620" s="98"/>
      <c r="F2620">
        <v>2616</v>
      </c>
      <c r="G2620" s="109">
        <f t="shared" ca="1" si="49"/>
        <v>6.3193933228395366E-2</v>
      </c>
    </row>
    <row r="2621" spans="2:7" x14ac:dyDescent="0.25">
      <c r="B2621" s="98"/>
      <c r="F2621">
        <v>2617</v>
      </c>
      <c r="G2621" s="109">
        <f t="shared" ca="1" si="49"/>
        <v>0.15979361132930259</v>
      </c>
    </row>
    <row r="2622" spans="2:7" x14ac:dyDescent="0.25">
      <c r="B2622" s="98"/>
      <c r="F2622">
        <v>2618</v>
      </c>
      <c r="G2622" s="109">
        <f t="shared" ca="1" si="49"/>
        <v>8.9618128510075723E-2</v>
      </c>
    </row>
    <row r="2623" spans="2:7" x14ac:dyDescent="0.25">
      <c r="B2623" s="98"/>
      <c r="F2623">
        <v>2619</v>
      </c>
      <c r="G2623" s="109">
        <f t="shared" ca="1" si="49"/>
        <v>-1.5937525811003349E-2</v>
      </c>
    </row>
    <row r="2624" spans="2:7" x14ac:dyDescent="0.25">
      <c r="B2624" s="98"/>
      <c r="F2624">
        <v>2620</v>
      </c>
      <c r="G2624" s="109">
        <f t="shared" ca="1" si="49"/>
        <v>4.6111039707580348E-3</v>
      </c>
    </row>
    <row r="2625" spans="2:7" x14ac:dyDescent="0.25">
      <c r="B2625" s="98"/>
      <c r="F2625">
        <v>2621</v>
      </c>
      <c r="G2625" s="109">
        <f t="shared" ca="1" si="49"/>
        <v>0.12748744934322148</v>
      </c>
    </row>
    <row r="2626" spans="2:7" x14ac:dyDescent="0.25">
      <c r="B2626" s="98"/>
      <c r="F2626">
        <v>2622</v>
      </c>
      <c r="G2626" s="109">
        <f t="shared" ca="1" si="49"/>
        <v>0.30721018301295649</v>
      </c>
    </row>
    <row r="2627" spans="2:7" x14ac:dyDescent="0.25">
      <c r="B2627" s="98"/>
      <c r="F2627">
        <v>2623</v>
      </c>
      <c r="G2627" s="109">
        <f t="shared" ca="1" si="49"/>
        <v>0.26614725296062303</v>
      </c>
    </row>
    <row r="2628" spans="2:7" x14ac:dyDescent="0.25">
      <c r="B2628" s="98"/>
      <c r="F2628">
        <v>2624</v>
      </c>
      <c r="G2628" s="109">
        <f t="shared" ca="1" si="49"/>
        <v>-6.1049672062392785E-2</v>
      </c>
    </row>
    <row r="2629" spans="2:7" x14ac:dyDescent="0.25">
      <c r="B2629" s="98"/>
      <c r="F2629">
        <v>2625</v>
      </c>
      <c r="G2629" s="109">
        <f t="shared" ca="1" si="49"/>
        <v>3.1546025199065235E-2</v>
      </c>
    </row>
    <row r="2630" spans="2:7" x14ac:dyDescent="0.25">
      <c r="B2630" s="98"/>
      <c r="F2630">
        <v>2626</v>
      </c>
      <c r="G2630" s="109">
        <f t="shared" ref="G2630:G2693" ca="1" si="50">_xlfn.NORM.INV(RAND(),$M$5,$M$6)</f>
        <v>9.3270895280666677E-2</v>
      </c>
    </row>
    <row r="2631" spans="2:7" x14ac:dyDescent="0.25">
      <c r="B2631" s="98"/>
      <c r="F2631">
        <v>2627</v>
      </c>
      <c r="G2631" s="109">
        <f t="shared" ca="1" si="50"/>
        <v>8.2855537303184401E-2</v>
      </c>
    </row>
    <row r="2632" spans="2:7" x14ac:dyDescent="0.25">
      <c r="B2632" s="98"/>
      <c r="F2632">
        <v>2628</v>
      </c>
      <c r="G2632" s="109">
        <f t="shared" ca="1" si="50"/>
        <v>-0.11448675815573679</v>
      </c>
    </row>
    <row r="2633" spans="2:7" x14ac:dyDescent="0.25">
      <c r="B2633" s="98"/>
      <c r="F2633">
        <v>2629</v>
      </c>
      <c r="G2633" s="109">
        <f t="shared" ca="1" si="50"/>
        <v>3.2938367333862628E-2</v>
      </c>
    </row>
    <row r="2634" spans="2:7" x14ac:dyDescent="0.25">
      <c r="B2634" s="98"/>
      <c r="F2634">
        <v>2630</v>
      </c>
      <c r="G2634" s="109">
        <f t="shared" ca="1" si="50"/>
        <v>1.38663366574703E-2</v>
      </c>
    </row>
    <row r="2635" spans="2:7" x14ac:dyDescent="0.25">
      <c r="B2635" s="98"/>
      <c r="F2635">
        <v>2631</v>
      </c>
      <c r="G2635" s="109">
        <f t="shared" ca="1" si="50"/>
        <v>-0.25758756747526584</v>
      </c>
    </row>
    <row r="2636" spans="2:7" x14ac:dyDescent="0.25">
      <c r="B2636" s="98"/>
      <c r="F2636">
        <v>2632</v>
      </c>
      <c r="G2636" s="109">
        <f t="shared" ca="1" si="50"/>
        <v>-3.5186264484137572E-2</v>
      </c>
    </row>
    <row r="2637" spans="2:7" x14ac:dyDescent="0.25">
      <c r="B2637" s="98"/>
      <c r="F2637">
        <v>2633</v>
      </c>
      <c r="G2637" s="109">
        <f t="shared" ca="1" si="50"/>
        <v>9.0171205038417357E-3</v>
      </c>
    </row>
    <row r="2638" spans="2:7" x14ac:dyDescent="0.25">
      <c r="B2638" s="98"/>
      <c r="F2638">
        <v>2634</v>
      </c>
      <c r="G2638" s="109">
        <f t="shared" ca="1" si="50"/>
        <v>1.3545879184707607E-2</v>
      </c>
    </row>
    <row r="2639" spans="2:7" x14ac:dyDescent="0.25">
      <c r="B2639" s="98"/>
      <c r="F2639">
        <v>2635</v>
      </c>
      <c r="G2639" s="109">
        <f t="shared" ca="1" si="50"/>
        <v>9.5617085989148601E-2</v>
      </c>
    </row>
    <row r="2640" spans="2:7" x14ac:dyDescent="0.25">
      <c r="B2640" s="98"/>
      <c r="F2640">
        <v>2636</v>
      </c>
      <c r="G2640" s="109">
        <f t="shared" ca="1" si="50"/>
        <v>0.1286244137215613</v>
      </c>
    </row>
    <row r="2641" spans="2:7" x14ac:dyDescent="0.25">
      <c r="B2641" s="98"/>
      <c r="F2641">
        <v>2637</v>
      </c>
      <c r="G2641" s="109">
        <f t="shared" ca="1" si="50"/>
        <v>-4.7047830899666798E-2</v>
      </c>
    </row>
    <row r="2642" spans="2:7" x14ac:dyDescent="0.25">
      <c r="B2642" s="98"/>
      <c r="F2642">
        <v>2638</v>
      </c>
      <c r="G2642" s="109">
        <f t="shared" ca="1" si="50"/>
        <v>7.0866521620260484E-2</v>
      </c>
    </row>
    <row r="2643" spans="2:7" x14ac:dyDescent="0.25">
      <c r="B2643" s="98"/>
      <c r="F2643">
        <v>2639</v>
      </c>
      <c r="G2643" s="109">
        <f t="shared" ca="1" si="50"/>
        <v>0.14002858783988778</v>
      </c>
    </row>
    <row r="2644" spans="2:7" x14ac:dyDescent="0.25">
      <c r="B2644" s="98"/>
      <c r="F2644">
        <v>2640</v>
      </c>
      <c r="G2644" s="109">
        <f t="shared" ca="1" si="50"/>
        <v>0.11740279152114504</v>
      </c>
    </row>
    <row r="2645" spans="2:7" x14ac:dyDescent="0.25">
      <c r="B2645" s="98"/>
      <c r="F2645">
        <v>2641</v>
      </c>
      <c r="G2645" s="109">
        <f t="shared" ca="1" si="50"/>
        <v>6.6201767963934427E-3</v>
      </c>
    </row>
    <row r="2646" spans="2:7" x14ac:dyDescent="0.25">
      <c r="B2646" s="98"/>
      <c r="F2646">
        <v>2642</v>
      </c>
      <c r="G2646" s="109">
        <f t="shared" ca="1" si="50"/>
        <v>0.21178647353436114</v>
      </c>
    </row>
    <row r="2647" spans="2:7" x14ac:dyDescent="0.25">
      <c r="B2647" s="98"/>
      <c r="F2647">
        <v>2643</v>
      </c>
      <c r="G2647" s="109">
        <f t="shared" ca="1" si="50"/>
        <v>-3.0073048838054936E-2</v>
      </c>
    </row>
    <row r="2648" spans="2:7" x14ac:dyDescent="0.25">
      <c r="B2648" s="98"/>
      <c r="F2648">
        <v>2644</v>
      </c>
      <c r="G2648" s="109">
        <f t="shared" ca="1" si="50"/>
        <v>0.12182719420809855</v>
      </c>
    </row>
    <row r="2649" spans="2:7" x14ac:dyDescent="0.25">
      <c r="B2649" s="98"/>
      <c r="F2649">
        <v>2645</v>
      </c>
      <c r="G2649" s="109">
        <f t="shared" ca="1" si="50"/>
        <v>-2.8117880922291158E-3</v>
      </c>
    </row>
    <row r="2650" spans="2:7" x14ac:dyDescent="0.25">
      <c r="B2650" s="98"/>
      <c r="F2650">
        <v>2646</v>
      </c>
      <c r="G2650" s="109">
        <f t="shared" ca="1" si="50"/>
        <v>0.16522794456379025</v>
      </c>
    </row>
    <row r="2651" spans="2:7" x14ac:dyDescent="0.25">
      <c r="B2651" s="98"/>
      <c r="F2651">
        <v>2647</v>
      </c>
      <c r="G2651" s="109">
        <f t="shared" ca="1" si="50"/>
        <v>6.3366992024054769E-2</v>
      </c>
    </row>
    <row r="2652" spans="2:7" x14ac:dyDescent="0.25">
      <c r="B2652" s="98"/>
      <c r="F2652">
        <v>2648</v>
      </c>
      <c r="G2652" s="109">
        <f t="shared" ca="1" si="50"/>
        <v>-3.5383091943536699E-2</v>
      </c>
    </row>
    <row r="2653" spans="2:7" x14ac:dyDescent="0.25">
      <c r="B2653" s="98"/>
      <c r="F2653">
        <v>2649</v>
      </c>
      <c r="G2653" s="109">
        <f t="shared" ca="1" si="50"/>
        <v>1.8354731730128842E-2</v>
      </c>
    </row>
    <row r="2654" spans="2:7" x14ac:dyDescent="0.25">
      <c r="B2654" s="98"/>
      <c r="F2654">
        <v>2650</v>
      </c>
      <c r="G2654" s="109">
        <f t="shared" ca="1" si="50"/>
        <v>3.5698771570799301E-2</v>
      </c>
    </row>
    <row r="2655" spans="2:7" x14ac:dyDescent="0.25">
      <c r="B2655" s="98"/>
      <c r="F2655">
        <v>2651</v>
      </c>
      <c r="G2655" s="109">
        <f t="shared" ca="1" si="50"/>
        <v>-4.0111392699757373E-2</v>
      </c>
    </row>
    <row r="2656" spans="2:7" x14ac:dyDescent="0.25">
      <c r="B2656" s="98"/>
      <c r="F2656">
        <v>2652</v>
      </c>
      <c r="G2656" s="109">
        <f t="shared" ca="1" si="50"/>
        <v>0.11961089105347814</v>
      </c>
    </row>
    <row r="2657" spans="2:7" x14ac:dyDescent="0.25">
      <c r="B2657" s="98"/>
      <c r="F2657">
        <v>2653</v>
      </c>
      <c r="G2657" s="109">
        <f t="shared" ca="1" si="50"/>
        <v>7.5728475255310665E-2</v>
      </c>
    </row>
    <row r="2658" spans="2:7" x14ac:dyDescent="0.25">
      <c r="B2658" s="98"/>
      <c r="F2658">
        <v>2654</v>
      </c>
      <c r="G2658" s="109">
        <f t="shared" ca="1" si="50"/>
        <v>0.20239625386007132</v>
      </c>
    </row>
    <row r="2659" spans="2:7" x14ac:dyDescent="0.25">
      <c r="B2659" s="98"/>
      <c r="F2659">
        <v>2655</v>
      </c>
      <c r="G2659" s="109">
        <f t="shared" ca="1" si="50"/>
        <v>-8.8874436234347778E-2</v>
      </c>
    </row>
    <row r="2660" spans="2:7" x14ac:dyDescent="0.25">
      <c r="B2660" s="98"/>
      <c r="F2660">
        <v>2656</v>
      </c>
      <c r="G2660" s="109">
        <f t="shared" ca="1" si="50"/>
        <v>-4.6307581710645085E-2</v>
      </c>
    </row>
    <row r="2661" spans="2:7" x14ac:dyDescent="0.25">
      <c r="B2661" s="98"/>
      <c r="F2661">
        <v>2657</v>
      </c>
      <c r="G2661" s="109">
        <f t="shared" ca="1" si="50"/>
        <v>1.1582190345116379E-2</v>
      </c>
    </row>
    <row r="2662" spans="2:7" x14ac:dyDescent="0.25">
      <c r="B2662" s="98"/>
      <c r="F2662">
        <v>2658</v>
      </c>
      <c r="G2662" s="109">
        <f t="shared" ca="1" si="50"/>
        <v>5.4036878633420334E-2</v>
      </c>
    </row>
    <row r="2663" spans="2:7" x14ac:dyDescent="0.25">
      <c r="B2663" s="98"/>
      <c r="F2663">
        <v>2659</v>
      </c>
      <c r="G2663" s="109">
        <f t="shared" ca="1" si="50"/>
        <v>6.3397638987692295E-2</v>
      </c>
    </row>
    <row r="2664" spans="2:7" x14ac:dyDescent="0.25">
      <c r="B2664" s="98"/>
      <c r="F2664">
        <v>2660</v>
      </c>
      <c r="G2664" s="109">
        <f t="shared" ca="1" si="50"/>
        <v>0.12686977923936113</v>
      </c>
    </row>
    <row r="2665" spans="2:7" x14ac:dyDescent="0.25">
      <c r="B2665" s="98"/>
      <c r="F2665">
        <v>2661</v>
      </c>
      <c r="G2665" s="109">
        <f t="shared" ca="1" si="50"/>
        <v>9.7955913615148354E-2</v>
      </c>
    </row>
    <row r="2666" spans="2:7" x14ac:dyDescent="0.25">
      <c r="B2666" s="98"/>
      <c r="F2666">
        <v>2662</v>
      </c>
      <c r="G2666" s="109">
        <f t="shared" ca="1" si="50"/>
        <v>-6.1017973042764018E-3</v>
      </c>
    </row>
    <row r="2667" spans="2:7" x14ac:dyDescent="0.25">
      <c r="B2667" s="98"/>
      <c r="F2667">
        <v>2663</v>
      </c>
      <c r="G2667" s="109">
        <f t="shared" ca="1" si="50"/>
        <v>-2.6813224582112383E-2</v>
      </c>
    </row>
    <row r="2668" spans="2:7" x14ac:dyDescent="0.25">
      <c r="B2668" s="98"/>
      <c r="F2668">
        <v>2664</v>
      </c>
      <c r="G2668" s="109">
        <f t="shared" ca="1" si="50"/>
        <v>-4.6300593745928528E-2</v>
      </c>
    </row>
    <row r="2669" spans="2:7" x14ac:dyDescent="0.25">
      <c r="B2669" s="98"/>
      <c r="F2669">
        <v>2665</v>
      </c>
      <c r="G2669" s="109">
        <f t="shared" ca="1" si="50"/>
        <v>6.730898001395029E-3</v>
      </c>
    </row>
    <row r="2670" spans="2:7" x14ac:dyDescent="0.25">
      <c r="B2670" s="98"/>
      <c r="F2670">
        <v>2666</v>
      </c>
      <c r="G2670" s="109">
        <f t="shared" ca="1" si="50"/>
        <v>0.11386261001185526</v>
      </c>
    </row>
    <row r="2671" spans="2:7" x14ac:dyDescent="0.25">
      <c r="B2671" s="98"/>
      <c r="F2671">
        <v>2667</v>
      </c>
      <c r="G2671" s="109">
        <f t="shared" ca="1" si="50"/>
        <v>0.11618955690838574</v>
      </c>
    </row>
    <row r="2672" spans="2:7" x14ac:dyDescent="0.25">
      <c r="B2672" s="98"/>
      <c r="F2672">
        <v>2668</v>
      </c>
      <c r="G2672" s="109">
        <f t="shared" ca="1" si="50"/>
        <v>5.1962633317758841E-2</v>
      </c>
    </row>
    <row r="2673" spans="2:7" x14ac:dyDescent="0.25">
      <c r="B2673" s="98"/>
      <c r="F2673">
        <v>2669</v>
      </c>
      <c r="G2673" s="109">
        <f t="shared" ca="1" si="50"/>
        <v>0.22756358769088136</v>
      </c>
    </row>
    <row r="2674" spans="2:7" x14ac:dyDescent="0.25">
      <c r="B2674" s="98"/>
      <c r="F2674">
        <v>2670</v>
      </c>
      <c r="G2674" s="109">
        <f t="shared" ca="1" si="50"/>
        <v>0.1479955843946501</v>
      </c>
    </row>
    <row r="2675" spans="2:7" x14ac:dyDescent="0.25">
      <c r="B2675" s="98"/>
      <c r="F2675">
        <v>2671</v>
      </c>
      <c r="G2675" s="109">
        <f t="shared" ca="1" si="50"/>
        <v>-4.9369200295498669E-2</v>
      </c>
    </row>
    <row r="2676" spans="2:7" x14ac:dyDescent="0.25">
      <c r="B2676" s="98"/>
      <c r="F2676">
        <v>2672</v>
      </c>
      <c r="G2676" s="109">
        <f t="shared" ca="1" si="50"/>
        <v>0.11770788892369018</v>
      </c>
    </row>
    <row r="2677" spans="2:7" x14ac:dyDescent="0.25">
      <c r="B2677" s="98"/>
      <c r="F2677">
        <v>2673</v>
      </c>
      <c r="G2677" s="109">
        <f t="shared" ca="1" si="50"/>
        <v>1.8210386891524471E-2</v>
      </c>
    </row>
    <row r="2678" spans="2:7" x14ac:dyDescent="0.25">
      <c r="B2678" s="98"/>
      <c r="F2678">
        <v>2674</v>
      </c>
      <c r="G2678" s="109">
        <f t="shared" ca="1" si="50"/>
        <v>3.2908654633115458E-3</v>
      </c>
    </row>
    <row r="2679" spans="2:7" x14ac:dyDescent="0.25">
      <c r="B2679" s="98"/>
      <c r="F2679">
        <v>2675</v>
      </c>
      <c r="G2679" s="109">
        <f t="shared" ca="1" si="50"/>
        <v>-0.1465517742393504</v>
      </c>
    </row>
    <row r="2680" spans="2:7" x14ac:dyDescent="0.25">
      <c r="B2680" s="98"/>
      <c r="F2680">
        <v>2676</v>
      </c>
      <c r="G2680" s="109">
        <f t="shared" ca="1" si="50"/>
        <v>-8.7754940542637647E-2</v>
      </c>
    </row>
    <row r="2681" spans="2:7" x14ac:dyDescent="0.25">
      <c r="B2681" s="98"/>
      <c r="F2681">
        <v>2677</v>
      </c>
      <c r="G2681" s="109">
        <f t="shared" ca="1" si="50"/>
        <v>4.5704592443933018E-2</v>
      </c>
    </row>
    <row r="2682" spans="2:7" x14ac:dyDescent="0.25">
      <c r="B2682" s="98"/>
      <c r="F2682">
        <v>2678</v>
      </c>
      <c r="G2682" s="109">
        <f t="shared" ca="1" si="50"/>
        <v>1.1963288397602793E-2</v>
      </c>
    </row>
    <row r="2683" spans="2:7" x14ac:dyDescent="0.25">
      <c r="B2683" s="98"/>
      <c r="F2683">
        <v>2679</v>
      </c>
      <c r="G2683" s="109">
        <f t="shared" ca="1" si="50"/>
        <v>-2.9537686454811404E-2</v>
      </c>
    </row>
    <row r="2684" spans="2:7" x14ac:dyDescent="0.25">
      <c r="B2684" s="98"/>
      <c r="F2684">
        <v>2680</v>
      </c>
      <c r="G2684" s="109">
        <f t="shared" ca="1" si="50"/>
        <v>-0.10944072380734678</v>
      </c>
    </row>
    <row r="2685" spans="2:7" x14ac:dyDescent="0.25">
      <c r="B2685" s="98"/>
      <c r="F2685">
        <v>2681</v>
      </c>
      <c r="G2685" s="109">
        <f t="shared" ca="1" si="50"/>
        <v>-7.9686503271653122E-2</v>
      </c>
    </row>
    <row r="2686" spans="2:7" x14ac:dyDescent="0.25">
      <c r="B2686" s="98"/>
      <c r="F2686">
        <v>2682</v>
      </c>
      <c r="G2686" s="109">
        <f t="shared" ca="1" si="50"/>
        <v>1.1365153365464377E-2</v>
      </c>
    </row>
    <row r="2687" spans="2:7" x14ac:dyDescent="0.25">
      <c r="B2687" s="98"/>
      <c r="F2687">
        <v>2683</v>
      </c>
      <c r="G2687" s="109">
        <f t="shared" ca="1" si="50"/>
        <v>-0.12269020369408064</v>
      </c>
    </row>
    <row r="2688" spans="2:7" x14ac:dyDescent="0.25">
      <c r="B2688" s="98"/>
      <c r="F2688">
        <v>2684</v>
      </c>
      <c r="G2688" s="109">
        <f t="shared" ca="1" si="50"/>
        <v>1.6641536262488692E-2</v>
      </c>
    </row>
    <row r="2689" spans="2:7" x14ac:dyDescent="0.25">
      <c r="B2689" s="98"/>
      <c r="F2689">
        <v>2685</v>
      </c>
      <c r="G2689" s="109">
        <f t="shared" ca="1" si="50"/>
        <v>0.14031267845121465</v>
      </c>
    </row>
    <row r="2690" spans="2:7" x14ac:dyDescent="0.25">
      <c r="B2690" s="98"/>
      <c r="F2690">
        <v>2686</v>
      </c>
      <c r="G2690" s="109">
        <f t="shared" ca="1" si="50"/>
        <v>-0.10409658622280117</v>
      </c>
    </row>
    <row r="2691" spans="2:7" x14ac:dyDescent="0.25">
      <c r="B2691" s="98"/>
      <c r="F2691">
        <v>2687</v>
      </c>
      <c r="G2691" s="109">
        <f t="shared" ca="1" si="50"/>
        <v>5.7335591374097869E-2</v>
      </c>
    </row>
    <row r="2692" spans="2:7" x14ac:dyDescent="0.25">
      <c r="B2692" s="98"/>
      <c r="F2692">
        <v>2688</v>
      </c>
      <c r="G2692" s="109">
        <f t="shared" ca="1" si="50"/>
        <v>2.1414854468489931E-2</v>
      </c>
    </row>
    <row r="2693" spans="2:7" x14ac:dyDescent="0.25">
      <c r="B2693" s="98"/>
      <c r="F2693">
        <v>2689</v>
      </c>
      <c r="G2693" s="109">
        <f t="shared" ca="1" si="50"/>
        <v>0.16191740015365297</v>
      </c>
    </row>
    <row r="2694" spans="2:7" x14ac:dyDescent="0.25">
      <c r="B2694" s="98"/>
      <c r="F2694">
        <v>2690</v>
      </c>
      <c r="G2694" s="109">
        <f t="shared" ref="G2694:G2757" ca="1" si="51">_xlfn.NORM.INV(RAND(),$M$5,$M$6)</f>
        <v>0.154031266426991</v>
      </c>
    </row>
    <row r="2695" spans="2:7" x14ac:dyDescent="0.25">
      <c r="B2695" s="98"/>
      <c r="F2695">
        <v>2691</v>
      </c>
      <c r="G2695" s="109">
        <f t="shared" ca="1" si="51"/>
        <v>-6.2351691105539592E-2</v>
      </c>
    </row>
    <row r="2696" spans="2:7" x14ac:dyDescent="0.25">
      <c r="B2696" s="98"/>
      <c r="F2696">
        <v>2692</v>
      </c>
      <c r="G2696" s="109">
        <f t="shared" ca="1" si="51"/>
        <v>0.11834240068440381</v>
      </c>
    </row>
    <row r="2697" spans="2:7" x14ac:dyDescent="0.25">
      <c r="B2697" s="98"/>
      <c r="F2697">
        <v>2693</v>
      </c>
      <c r="G2697" s="109">
        <f t="shared" ca="1" si="51"/>
        <v>0.20532302302961836</v>
      </c>
    </row>
    <row r="2698" spans="2:7" x14ac:dyDescent="0.25">
      <c r="B2698" s="98"/>
      <c r="F2698">
        <v>2694</v>
      </c>
      <c r="G2698" s="109">
        <f t="shared" ca="1" si="51"/>
        <v>0.13986100327012368</v>
      </c>
    </row>
    <row r="2699" spans="2:7" x14ac:dyDescent="0.25">
      <c r="B2699" s="98"/>
      <c r="F2699">
        <v>2695</v>
      </c>
      <c r="G2699" s="109">
        <f t="shared" ca="1" si="51"/>
        <v>-5.8429579394227715E-2</v>
      </c>
    </row>
    <row r="2700" spans="2:7" x14ac:dyDescent="0.25">
      <c r="B2700" s="98"/>
      <c r="F2700">
        <v>2696</v>
      </c>
      <c r="G2700" s="109">
        <f t="shared" ca="1" si="51"/>
        <v>8.4599424532330644E-2</v>
      </c>
    </row>
    <row r="2701" spans="2:7" x14ac:dyDescent="0.25">
      <c r="B2701" s="98"/>
      <c r="F2701">
        <v>2697</v>
      </c>
      <c r="G2701" s="109">
        <f t="shared" ca="1" si="51"/>
        <v>-5.6380100657074148E-2</v>
      </c>
    </row>
    <row r="2702" spans="2:7" x14ac:dyDescent="0.25">
      <c r="B2702" s="98"/>
      <c r="F2702">
        <v>2698</v>
      </c>
      <c r="G2702" s="109">
        <f t="shared" ca="1" si="51"/>
        <v>-1.7842939027333152E-2</v>
      </c>
    </row>
    <row r="2703" spans="2:7" x14ac:dyDescent="0.25">
      <c r="B2703" s="98"/>
      <c r="F2703">
        <v>2699</v>
      </c>
      <c r="G2703" s="109">
        <f t="shared" ca="1" si="51"/>
        <v>-5.3035231056468665E-2</v>
      </c>
    </row>
    <row r="2704" spans="2:7" x14ac:dyDescent="0.25">
      <c r="B2704" s="98"/>
      <c r="F2704">
        <v>2700</v>
      </c>
      <c r="G2704" s="109">
        <f t="shared" ca="1" si="51"/>
        <v>-3.4560931874083309E-2</v>
      </c>
    </row>
    <row r="2705" spans="2:7" x14ac:dyDescent="0.25">
      <c r="B2705" s="98"/>
      <c r="F2705">
        <v>2701</v>
      </c>
      <c r="G2705" s="109">
        <f t="shared" ca="1" si="51"/>
        <v>6.2356088629823281E-3</v>
      </c>
    </row>
    <row r="2706" spans="2:7" x14ac:dyDescent="0.25">
      <c r="B2706" s="98"/>
      <c r="F2706">
        <v>2702</v>
      </c>
      <c r="G2706" s="109">
        <f t="shared" ca="1" si="51"/>
        <v>0.15413737749562784</v>
      </c>
    </row>
    <row r="2707" spans="2:7" x14ac:dyDescent="0.25">
      <c r="B2707" s="98"/>
      <c r="F2707">
        <v>2703</v>
      </c>
      <c r="G2707" s="109">
        <f t="shared" ca="1" si="51"/>
        <v>0.15689354742987527</v>
      </c>
    </row>
    <row r="2708" spans="2:7" x14ac:dyDescent="0.25">
      <c r="B2708" s="98"/>
      <c r="F2708">
        <v>2704</v>
      </c>
      <c r="G2708" s="109">
        <f t="shared" ca="1" si="51"/>
        <v>5.7580253084950808E-2</v>
      </c>
    </row>
    <row r="2709" spans="2:7" x14ac:dyDescent="0.25">
      <c r="B2709" s="98"/>
      <c r="F2709">
        <v>2705</v>
      </c>
      <c r="G2709" s="109">
        <f t="shared" ca="1" si="51"/>
        <v>6.596760061123301E-3</v>
      </c>
    </row>
    <row r="2710" spans="2:7" x14ac:dyDescent="0.25">
      <c r="B2710" s="98"/>
      <c r="F2710">
        <v>2706</v>
      </c>
      <c r="G2710" s="109">
        <f t="shared" ca="1" si="51"/>
        <v>0.10464779643803518</v>
      </c>
    </row>
    <row r="2711" spans="2:7" x14ac:dyDescent="0.25">
      <c r="B2711" s="98"/>
      <c r="F2711">
        <v>2707</v>
      </c>
      <c r="G2711" s="109">
        <f t="shared" ca="1" si="51"/>
        <v>-4.0479544825549968E-2</v>
      </c>
    </row>
    <row r="2712" spans="2:7" x14ac:dyDescent="0.25">
      <c r="B2712" s="98"/>
      <c r="F2712">
        <v>2708</v>
      </c>
      <c r="G2712" s="109">
        <f t="shared" ca="1" si="51"/>
        <v>5.5491180186671409E-2</v>
      </c>
    </row>
    <row r="2713" spans="2:7" x14ac:dyDescent="0.25">
      <c r="B2713" s="98"/>
      <c r="F2713">
        <v>2709</v>
      </c>
      <c r="G2713" s="109">
        <f t="shared" ca="1" si="51"/>
        <v>0.15848879632998647</v>
      </c>
    </row>
    <row r="2714" spans="2:7" x14ac:dyDescent="0.25">
      <c r="B2714" s="98"/>
      <c r="F2714">
        <v>2710</v>
      </c>
      <c r="G2714" s="109">
        <f t="shared" ca="1" si="51"/>
        <v>5.1997258592636056E-2</v>
      </c>
    </row>
    <row r="2715" spans="2:7" x14ac:dyDescent="0.25">
      <c r="B2715" s="98"/>
      <c r="F2715">
        <v>2711</v>
      </c>
      <c r="G2715" s="109">
        <f t="shared" ca="1" si="51"/>
        <v>9.9334180984198744E-2</v>
      </c>
    </row>
    <row r="2716" spans="2:7" x14ac:dyDescent="0.25">
      <c r="B2716" s="98"/>
      <c r="F2716">
        <v>2712</v>
      </c>
      <c r="G2716" s="109">
        <f t="shared" ca="1" si="51"/>
        <v>8.2604991553307472E-2</v>
      </c>
    </row>
    <row r="2717" spans="2:7" x14ac:dyDescent="0.25">
      <c r="B2717" s="98"/>
      <c r="F2717">
        <v>2713</v>
      </c>
      <c r="G2717" s="109">
        <f t="shared" ca="1" si="51"/>
        <v>0.10269277921234055</v>
      </c>
    </row>
    <row r="2718" spans="2:7" x14ac:dyDescent="0.25">
      <c r="B2718" s="98"/>
      <c r="F2718">
        <v>2714</v>
      </c>
      <c r="G2718" s="109">
        <f t="shared" ca="1" si="51"/>
        <v>-9.6594821150232338E-2</v>
      </c>
    </row>
    <row r="2719" spans="2:7" x14ac:dyDescent="0.25">
      <c r="B2719" s="98"/>
      <c r="F2719">
        <v>2715</v>
      </c>
      <c r="G2719" s="109">
        <f t="shared" ca="1" si="51"/>
        <v>-7.2931278704735716E-2</v>
      </c>
    </row>
    <row r="2720" spans="2:7" x14ac:dyDescent="0.25">
      <c r="B2720" s="98"/>
      <c r="F2720">
        <v>2716</v>
      </c>
      <c r="G2720" s="109">
        <f t="shared" ca="1" si="51"/>
        <v>-1.7575994853117755E-2</v>
      </c>
    </row>
    <row r="2721" spans="2:7" x14ac:dyDescent="0.25">
      <c r="B2721" s="98"/>
      <c r="F2721">
        <v>2717</v>
      </c>
      <c r="G2721" s="109">
        <f t="shared" ca="1" si="51"/>
        <v>1.6685028202163738E-2</v>
      </c>
    </row>
    <row r="2722" spans="2:7" x14ac:dyDescent="0.25">
      <c r="B2722" s="98"/>
      <c r="F2722">
        <v>2718</v>
      </c>
      <c r="G2722" s="109">
        <f t="shared" ca="1" si="51"/>
        <v>0.13000202236826006</v>
      </c>
    </row>
    <row r="2723" spans="2:7" x14ac:dyDescent="0.25">
      <c r="B2723" s="98"/>
      <c r="F2723">
        <v>2719</v>
      </c>
      <c r="G2723" s="109">
        <f t="shared" ca="1" si="51"/>
        <v>-6.435455436692139E-2</v>
      </c>
    </row>
    <row r="2724" spans="2:7" x14ac:dyDescent="0.25">
      <c r="B2724" s="98"/>
      <c r="F2724">
        <v>2720</v>
      </c>
      <c r="G2724" s="109">
        <f t="shared" ca="1" si="51"/>
        <v>8.5188352431363995E-2</v>
      </c>
    </row>
    <row r="2725" spans="2:7" x14ac:dyDescent="0.25">
      <c r="B2725" s="98"/>
      <c r="F2725">
        <v>2721</v>
      </c>
      <c r="G2725" s="109">
        <f t="shared" ca="1" si="51"/>
        <v>0.25629107820865565</v>
      </c>
    </row>
    <row r="2726" spans="2:7" x14ac:dyDescent="0.25">
      <c r="B2726" s="98"/>
      <c r="F2726">
        <v>2722</v>
      </c>
      <c r="G2726" s="109">
        <f t="shared" ca="1" si="51"/>
        <v>-0.10287015805554571</v>
      </c>
    </row>
    <row r="2727" spans="2:7" x14ac:dyDescent="0.25">
      <c r="B2727" s="98"/>
      <c r="F2727">
        <v>2723</v>
      </c>
      <c r="G2727" s="109">
        <f t="shared" ca="1" si="51"/>
        <v>0.12531505028277606</v>
      </c>
    </row>
    <row r="2728" spans="2:7" x14ac:dyDescent="0.25">
      <c r="B2728" s="98"/>
      <c r="F2728">
        <v>2724</v>
      </c>
      <c r="G2728" s="109">
        <f t="shared" ca="1" si="51"/>
        <v>8.1957681462128007E-2</v>
      </c>
    </row>
    <row r="2729" spans="2:7" x14ac:dyDescent="0.25">
      <c r="B2729" s="98"/>
      <c r="F2729">
        <v>2725</v>
      </c>
      <c r="G2729" s="109">
        <f t="shared" ca="1" si="51"/>
        <v>0.19133907008587325</v>
      </c>
    </row>
    <row r="2730" spans="2:7" x14ac:dyDescent="0.25">
      <c r="B2730" s="98"/>
      <c r="F2730">
        <v>2726</v>
      </c>
      <c r="G2730" s="109">
        <f t="shared" ca="1" si="51"/>
        <v>0.13136624450790124</v>
      </c>
    </row>
    <row r="2731" spans="2:7" x14ac:dyDescent="0.25">
      <c r="B2731" s="98"/>
      <c r="F2731">
        <v>2727</v>
      </c>
      <c r="G2731" s="109">
        <f t="shared" ca="1" si="51"/>
        <v>0.17185859713812368</v>
      </c>
    </row>
    <row r="2732" spans="2:7" x14ac:dyDescent="0.25">
      <c r="B2732" s="98"/>
      <c r="F2732">
        <v>2728</v>
      </c>
      <c r="G2732" s="109">
        <f t="shared" ca="1" si="51"/>
        <v>5.9604178240181958E-2</v>
      </c>
    </row>
    <row r="2733" spans="2:7" x14ac:dyDescent="0.25">
      <c r="B2733" s="98"/>
      <c r="F2733">
        <v>2729</v>
      </c>
      <c r="G2733" s="109">
        <f t="shared" ca="1" si="51"/>
        <v>0.13529697537527066</v>
      </c>
    </row>
    <row r="2734" spans="2:7" x14ac:dyDescent="0.25">
      <c r="B2734" s="98"/>
      <c r="F2734">
        <v>2730</v>
      </c>
      <c r="G2734" s="109">
        <f t="shared" ca="1" si="51"/>
        <v>-0.11004588439277459</v>
      </c>
    </row>
    <row r="2735" spans="2:7" x14ac:dyDescent="0.25">
      <c r="B2735" s="98"/>
      <c r="F2735">
        <v>2731</v>
      </c>
      <c r="G2735" s="109">
        <f t="shared" ca="1" si="51"/>
        <v>0.11601102080762468</v>
      </c>
    </row>
    <row r="2736" spans="2:7" x14ac:dyDescent="0.25">
      <c r="B2736" s="98"/>
      <c r="F2736">
        <v>2732</v>
      </c>
      <c r="G2736" s="109">
        <f t="shared" ca="1" si="51"/>
        <v>1.5262054540796335E-2</v>
      </c>
    </row>
    <row r="2737" spans="2:7" x14ac:dyDescent="0.25">
      <c r="B2737" s="98"/>
      <c r="F2737">
        <v>2733</v>
      </c>
      <c r="G2737" s="109">
        <f t="shared" ca="1" si="51"/>
        <v>0.17751912316549007</v>
      </c>
    </row>
    <row r="2738" spans="2:7" x14ac:dyDescent="0.25">
      <c r="B2738" s="98"/>
      <c r="F2738">
        <v>2734</v>
      </c>
      <c r="G2738" s="109">
        <f t="shared" ca="1" si="51"/>
        <v>4.7123668753720226E-2</v>
      </c>
    </row>
    <row r="2739" spans="2:7" x14ac:dyDescent="0.25">
      <c r="B2739" s="98"/>
      <c r="F2739">
        <v>2735</v>
      </c>
      <c r="G2739" s="109">
        <f t="shared" ca="1" si="51"/>
        <v>-3.6847804155420522E-2</v>
      </c>
    </row>
    <row r="2740" spans="2:7" x14ac:dyDescent="0.25">
      <c r="B2740" s="98"/>
      <c r="F2740">
        <v>2736</v>
      </c>
      <c r="G2740" s="109">
        <f t="shared" ca="1" si="51"/>
        <v>-0.1294181753766574</v>
      </c>
    </row>
    <row r="2741" spans="2:7" x14ac:dyDescent="0.25">
      <c r="B2741" s="98"/>
      <c r="F2741">
        <v>2737</v>
      </c>
      <c r="G2741" s="109">
        <f t="shared" ca="1" si="51"/>
        <v>-0.12968903977915663</v>
      </c>
    </row>
    <row r="2742" spans="2:7" x14ac:dyDescent="0.25">
      <c r="B2742" s="98"/>
      <c r="F2742">
        <v>2738</v>
      </c>
      <c r="G2742" s="109">
        <f t="shared" ca="1" si="51"/>
        <v>0.14232247007229598</v>
      </c>
    </row>
    <row r="2743" spans="2:7" x14ac:dyDescent="0.25">
      <c r="B2743" s="98"/>
      <c r="F2743">
        <v>2739</v>
      </c>
      <c r="G2743" s="109">
        <f t="shared" ca="1" si="51"/>
        <v>0.10802608720029411</v>
      </c>
    </row>
    <row r="2744" spans="2:7" x14ac:dyDescent="0.25">
      <c r="B2744" s="98"/>
      <c r="F2744">
        <v>2740</v>
      </c>
      <c r="G2744" s="109">
        <f t="shared" ca="1" si="51"/>
        <v>0.12685213092469338</v>
      </c>
    </row>
    <row r="2745" spans="2:7" x14ac:dyDescent="0.25">
      <c r="B2745" s="98"/>
      <c r="F2745">
        <v>2741</v>
      </c>
      <c r="G2745" s="109">
        <f t="shared" ca="1" si="51"/>
        <v>-2.2099292564847592E-2</v>
      </c>
    </row>
    <row r="2746" spans="2:7" x14ac:dyDescent="0.25">
      <c r="B2746" s="98"/>
      <c r="F2746">
        <v>2742</v>
      </c>
      <c r="G2746" s="109">
        <f t="shared" ca="1" si="51"/>
        <v>0.16182351405224737</v>
      </c>
    </row>
    <row r="2747" spans="2:7" x14ac:dyDescent="0.25">
      <c r="B2747" s="98"/>
      <c r="F2747">
        <v>2743</v>
      </c>
      <c r="G2747" s="109">
        <f t="shared" ca="1" si="51"/>
        <v>4.413636524750441E-2</v>
      </c>
    </row>
    <row r="2748" spans="2:7" x14ac:dyDescent="0.25">
      <c r="B2748" s="98"/>
      <c r="F2748">
        <v>2744</v>
      </c>
      <c r="G2748" s="109">
        <f t="shared" ca="1" si="51"/>
        <v>-1.4740748179689636E-2</v>
      </c>
    </row>
    <row r="2749" spans="2:7" x14ac:dyDescent="0.25">
      <c r="B2749" s="98"/>
      <c r="F2749">
        <v>2745</v>
      </c>
      <c r="G2749" s="109">
        <f t="shared" ca="1" si="51"/>
        <v>0.19571130134881393</v>
      </c>
    </row>
    <row r="2750" spans="2:7" x14ac:dyDescent="0.25">
      <c r="B2750" s="98"/>
      <c r="F2750">
        <v>2746</v>
      </c>
      <c r="G2750" s="109">
        <f t="shared" ca="1" si="51"/>
        <v>-0.13691597290836649</v>
      </c>
    </row>
    <row r="2751" spans="2:7" x14ac:dyDescent="0.25">
      <c r="B2751" s="98"/>
      <c r="F2751">
        <v>2747</v>
      </c>
      <c r="G2751" s="109">
        <f t="shared" ca="1" si="51"/>
        <v>-6.6402742491758079E-2</v>
      </c>
    </row>
    <row r="2752" spans="2:7" x14ac:dyDescent="0.25">
      <c r="B2752" s="98"/>
      <c r="F2752">
        <v>2748</v>
      </c>
      <c r="G2752" s="109">
        <f t="shared" ca="1" si="51"/>
        <v>8.9808717097268509E-2</v>
      </c>
    </row>
    <row r="2753" spans="2:7" x14ac:dyDescent="0.25">
      <c r="B2753" s="98"/>
      <c r="F2753">
        <v>2749</v>
      </c>
      <c r="G2753" s="109">
        <f t="shared" ca="1" si="51"/>
        <v>4.6524754934059345E-2</v>
      </c>
    </row>
    <row r="2754" spans="2:7" x14ac:dyDescent="0.25">
      <c r="B2754" s="98"/>
      <c r="F2754">
        <v>2750</v>
      </c>
      <c r="G2754" s="109">
        <f t="shared" ca="1" si="51"/>
        <v>-3.2610109590649E-2</v>
      </c>
    </row>
    <row r="2755" spans="2:7" x14ac:dyDescent="0.25">
      <c r="B2755" s="98"/>
      <c r="F2755">
        <v>2751</v>
      </c>
      <c r="G2755" s="109">
        <f t="shared" ca="1" si="51"/>
        <v>-1.0330567786989014E-2</v>
      </c>
    </row>
    <row r="2756" spans="2:7" x14ac:dyDescent="0.25">
      <c r="B2756" s="98"/>
      <c r="F2756">
        <v>2752</v>
      </c>
      <c r="G2756" s="109">
        <f t="shared" ca="1" si="51"/>
        <v>9.7642485369041493E-3</v>
      </c>
    </row>
    <row r="2757" spans="2:7" x14ac:dyDescent="0.25">
      <c r="B2757" s="98"/>
      <c r="F2757">
        <v>2753</v>
      </c>
      <c r="G2757" s="109">
        <f t="shared" ca="1" si="51"/>
        <v>-2.1559792077756157E-2</v>
      </c>
    </row>
    <row r="2758" spans="2:7" x14ac:dyDescent="0.25">
      <c r="B2758" s="98"/>
      <c r="F2758">
        <v>2754</v>
      </c>
      <c r="G2758" s="109">
        <f t="shared" ref="G2758:G2821" ca="1" si="52">_xlfn.NORM.INV(RAND(),$M$5,$M$6)</f>
        <v>-6.5414197703429613E-2</v>
      </c>
    </row>
    <row r="2759" spans="2:7" x14ac:dyDescent="0.25">
      <c r="B2759" s="98"/>
      <c r="F2759">
        <v>2755</v>
      </c>
      <c r="G2759" s="109">
        <f t="shared" ca="1" si="52"/>
        <v>0.18175057315415105</v>
      </c>
    </row>
    <row r="2760" spans="2:7" x14ac:dyDescent="0.25">
      <c r="B2760" s="98"/>
      <c r="F2760">
        <v>2756</v>
      </c>
      <c r="G2760" s="109">
        <f t="shared" ca="1" si="52"/>
        <v>4.2540831544629766E-2</v>
      </c>
    </row>
    <row r="2761" spans="2:7" x14ac:dyDescent="0.25">
      <c r="B2761" s="98"/>
      <c r="F2761">
        <v>2757</v>
      </c>
      <c r="G2761" s="109">
        <f t="shared" ca="1" si="52"/>
        <v>8.0586259196569227E-2</v>
      </c>
    </row>
    <row r="2762" spans="2:7" x14ac:dyDescent="0.25">
      <c r="B2762" s="98"/>
      <c r="F2762">
        <v>2758</v>
      </c>
      <c r="G2762" s="109">
        <f t="shared" ca="1" si="52"/>
        <v>9.936394721063159E-2</v>
      </c>
    </row>
    <row r="2763" spans="2:7" x14ac:dyDescent="0.25">
      <c r="B2763" s="98"/>
      <c r="F2763">
        <v>2759</v>
      </c>
      <c r="G2763" s="109">
        <f t="shared" ca="1" si="52"/>
        <v>0.11776187846728865</v>
      </c>
    </row>
    <row r="2764" spans="2:7" x14ac:dyDescent="0.25">
      <c r="B2764" s="98"/>
      <c r="F2764">
        <v>2760</v>
      </c>
      <c r="G2764" s="109">
        <f t="shared" ca="1" si="52"/>
        <v>6.4890317405259454E-3</v>
      </c>
    </row>
    <row r="2765" spans="2:7" x14ac:dyDescent="0.25">
      <c r="B2765" s="98"/>
      <c r="F2765">
        <v>2761</v>
      </c>
      <c r="G2765" s="109">
        <f t="shared" ca="1" si="52"/>
        <v>-0.16499847317605698</v>
      </c>
    </row>
    <row r="2766" spans="2:7" x14ac:dyDescent="0.25">
      <c r="B2766" s="98"/>
      <c r="F2766">
        <v>2762</v>
      </c>
      <c r="G2766" s="109">
        <f t="shared" ca="1" si="52"/>
        <v>9.5098393916347168E-4</v>
      </c>
    </row>
    <row r="2767" spans="2:7" x14ac:dyDescent="0.25">
      <c r="B2767" s="98"/>
      <c r="F2767">
        <v>2763</v>
      </c>
      <c r="G2767" s="109">
        <f t="shared" ca="1" si="52"/>
        <v>-0.12297226605289137</v>
      </c>
    </row>
    <row r="2768" spans="2:7" x14ac:dyDescent="0.25">
      <c r="B2768" s="98"/>
      <c r="F2768">
        <v>2764</v>
      </c>
      <c r="G2768" s="109">
        <f t="shared" ca="1" si="52"/>
        <v>4.1383524739286033E-2</v>
      </c>
    </row>
    <row r="2769" spans="2:7" x14ac:dyDescent="0.25">
      <c r="B2769" s="98"/>
      <c r="F2769">
        <v>2765</v>
      </c>
      <c r="G2769" s="109">
        <f t="shared" ca="1" si="52"/>
        <v>-5.7312576870286611E-2</v>
      </c>
    </row>
    <row r="2770" spans="2:7" x14ac:dyDescent="0.25">
      <c r="B2770" s="98"/>
      <c r="F2770">
        <v>2766</v>
      </c>
      <c r="G2770" s="109">
        <f t="shared" ca="1" si="52"/>
        <v>0.12029125232546578</v>
      </c>
    </row>
    <row r="2771" spans="2:7" x14ac:dyDescent="0.25">
      <c r="B2771" s="98"/>
      <c r="F2771">
        <v>2767</v>
      </c>
      <c r="G2771" s="109">
        <f t="shared" ca="1" si="52"/>
        <v>0.11734213755115112</v>
      </c>
    </row>
    <row r="2772" spans="2:7" x14ac:dyDescent="0.25">
      <c r="B2772" s="98"/>
      <c r="F2772">
        <v>2768</v>
      </c>
      <c r="G2772" s="109">
        <f t="shared" ca="1" si="52"/>
        <v>0.13325952968738056</v>
      </c>
    </row>
    <row r="2773" spans="2:7" x14ac:dyDescent="0.25">
      <c r="B2773" s="98"/>
      <c r="F2773">
        <v>2769</v>
      </c>
      <c r="G2773" s="109">
        <f t="shared" ca="1" si="52"/>
        <v>-2.9643635617619721E-2</v>
      </c>
    </row>
    <row r="2774" spans="2:7" x14ac:dyDescent="0.25">
      <c r="B2774" s="98"/>
      <c r="F2774">
        <v>2770</v>
      </c>
      <c r="G2774" s="109">
        <f t="shared" ca="1" si="52"/>
        <v>8.2538040948744062E-2</v>
      </c>
    </row>
    <row r="2775" spans="2:7" x14ac:dyDescent="0.25">
      <c r="B2775" s="98"/>
      <c r="F2775">
        <v>2771</v>
      </c>
      <c r="G2775" s="109">
        <f t="shared" ca="1" si="52"/>
        <v>7.0994801740242766E-2</v>
      </c>
    </row>
    <row r="2776" spans="2:7" x14ac:dyDescent="0.25">
      <c r="B2776" s="98"/>
      <c r="F2776">
        <v>2772</v>
      </c>
      <c r="G2776" s="109">
        <f t="shared" ca="1" si="52"/>
        <v>0.15852580300130173</v>
      </c>
    </row>
    <row r="2777" spans="2:7" x14ac:dyDescent="0.25">
      <c r="B2777" s="98"/>
      <c r="F2777">
        <v>2773</v>
      </c>
      <c r="G2777" s="109">
        <f t="shared" ca="1" si="52"/>
        <v>0.26889076458845146</v>
      </c>
    </row>
    <row r="2778" spans="2:7" x14ac:dyDescent="0.25">
      <c r="B2778" s="98"/>
      <c r="F2778">
        <v>2774</v>
      </c>
      <c r="G2778" s="109">
        <f t="shared" ca="1" si="52"/>
        <v>7.5778390592576461E-2</v>
      </c>
    </row>
    <row r="2779" spans="2:7" x14ac:dyDescent="0.25">
      <c r="B2779" s="98"/>
      <c r="F2779">
        <v>2775</v>
      </c>
      <c r="G2779" s="109">
        <f t="shared" ca="1" si="52"/>
        <v>0.19076495969905433</v>
      </c>
    </row>
    <row r="2780" spans="2:7" x14ac:dyDescent="0.25">
      <c r="B2780" s="98"/>
      <c r="F2780">
        <v>2776</v>
      </c>
      <c r="G2780" s="109">
        <f t="shared" ca="1" si="52"/>
        <v>0.21843444322035871</v>
      </c>
    </row>
    <row r="2781" spans="2:7" x14ac:dyDescent="0.25">
      <c r="B2781" s="98"/>
      <c r="F2781">
        <v>2777</v>
      </c>
      <c r="G2781" s="109">
        <f t="shared" ca="1" si="52"/>
        <v>9.2677312721645172E-2</v>
      </c>
    </row>
    <row r="2782" spans="2:7" x14ac:dyDescent="0.25">
      <c r="B2782" s="98"/>
      <c r="F2782">
        <v>2778</v>
      </c>
      <c r="G2782" s="109">
        <f t="shared" ca="1" si="52"/>
        <v>4.4368789595568975E-3</v>
      </c>
    </row>
    <row r="2783" spans="2:7" x14ac:dyDescent="0.25">
      <c r="B2783" s="98"/>
      <c r="F2783">
        <v>2779</v>
      </c>
      <c r="G2783" s="109">
        <f t="shared" ca="1" si="52"/>
        <v>-0.15085782775660217</v>
      </c>
    </row>
    <row r="2784" spans="2:7" x14ac:dyDescent="0.25">
      <c r="B2784" s="98"/>
      <c r="F2784">
        <v>2780</v>
      </c>
      <c r="G2784" s="109">
        <f t="shared" ca="1" si="52"/>
        <v>0.10966700168860079</v>
      </c>
    </row>
    <row r="2785" spans="2:7" x14ac:dyDescent="0.25">
      <c r="B2785" s="98"/>
      <c r="F2785">
        <v>2781</v>
      </c>
      <c r="G2785" s="109">
        <f t="shared" ca="1" si="52"/>
        <v>8.6274593963816426E-2</v>
      </c>
    </row>
    <row r="2786" spans="2:7" x14ac:dyDescent="0.25">
      <c r="B2786" s="98"/>
      <c r="F2786">
        <v>2782</v>
      </c>
      <c r="G2786" s="109">
        <f t="shared" ca="1" si="52"/>
        <v>0.17755911641794503</v>
      </c>
    </row>
    <row r="2787" spans="2:7" x14ac:dyDescent="0.25">
      <c r="B2787" s="98"/>
      <c r="F2787">
        <v>2783</v>
      </c>
      <c r="G2787" s="109">
        <f t="shared" ca="1" si="52"/>
        <v>-2.0907550065055305E-2</v>
      </c>
    </row>
    <row r="2788" spans="2:7" x14ac:dyDescent="0.25">
      <c r="B2788" s="98"/>
      <c r="F2788">
        <v>2784</v>
      </c>
      <c r="G2788" s="109">
        <f t="shared" ca="1" si="52"/>
        <v>-0.10876870115163094</v>
      </c>
    </row>
    <row r="2789" spans="2:7" x14ac:dyDescent="0.25">
      <c r="B2789" s="98"/>
      <c r="F2789">
        <v>2785</v>
      </c>
      <c r="G2789" s="109">
        <f t="shared" ca="1" si="52"/>
        <v>0.1247540605006518</v>
      </c>
    </row>
    <row r="2790" spans="2:7" x14ac:dyDescent="0.25">
      <c r="B2790" s="98"/>
      <c r="F2790">
        <v>2786</v>
      </c>
      <c r="G2790" s="109">
        <f t="shared" ca="1" si="52"/>
        <v>-9.5540101944430481E-2</v>
      </c>
    </row>
    <row r="2791" spans="2:7" x14ac:dyDescent="0.25">
      <c r="B2791" s="98"/>
      <c r="F2791">
        <v>2787</v>
      </c>
      <c r="G2791" s="109">
        <f t="shared" ca="1" si="52"/>
        <v>0.12064562453449935</v>
      </c>
    </row>
    <row r="2792" spans="2:7" x14ac:dyDescent="0.25">
      <c r="B2792" s="98"/>
      <c r="F2792">
        <v>2788</v>
      </c>
      <c r="G2792" s="109">
        <f t="shared" ca="1" si="52"/>
        <v>4.9014541118737438E-2</v>
      </c>
    </row>
    <row r="2793" spans="2:7" x14ac:dyDescent="0.25">
      <c r="B2793" s="98"/>
      <c r="F2793">
        <v>2789</v>
      </c>
      <c r="G2793" s="109">
        <f t="shared" ca="1" si="52"/>
        <v>-6.2949223737457219E-2</v>
      </c>
    </row>
    <row r="2794" spans="2:7" x14ac:dyDescent="0.25">
      <c r="B2794" s="98"/>
      <c r="F2794">
        <v>2790</v>
      </c>
      <c r="G2794" s="109">
        <f t="shared" ca="1" si="52"/>
        <v>0.11681036559966727</v>
      </c>
    </row>
    <row r="2795" spans="2:7" x14ac:dyDescent="0.25">
      <c r="B2795" s="98"/>
      <c r="F2795">
        <v>2791</v>
      </c>
      <c r="G2795" s="109">
        <f t="shared" ca="1" si="52"/>
        <v>0.1586760548522369</v>
      </c>
    </row>
    <row r="2796" spans="2:7" x14ac:dyDescent="0.25">
      <c r="B2796" s="98"/>
      <c r="F2796">
        <v>2792</v>
      </c>
      <c r="G2796" s="109">
        <f t="shared" ca="1" si="52"/>
        <v>-8.5753130827957311E-2</v>
      </c>
    </row>
    <row r="2797" spans="2:7" x14ac:dyDescent="0.25">
      <c r="B2797" s="98"/>
      <c r="F2797">
        <v>2793</v>
      </c>
      <c r="G2797" s="109">
        <f t="shared" ca="1" si="52"/>
        <v>-8.3460619226121399E-2</v>
      </c>
    </row>
    <row r="2798" spans="2:7" x14ac:dyDescent="0.25">
      <c r="B2798" s="98"/>
      <c r="F2798">
        <v>2794</v>
      </c>
      <c r="G2798" s="109">
        <f t="shared" ca="1" si="52"/>
        <v>0.18526570133379139</v>
      </c>
    </row>
    <row r="2799" spans="2:7" x14ac:dyDescent="0.25">
      <c r="B2799" s="98"/>
      <c r="F2799">
        <v>2795</v>
      </c>
      <c r="G2799" s="109">
        <f t="shared" ca="1" si="52"/>
        <v>0.13129667117139793</v>
      </c>
    </row>
    <row r="2800" spans="2:7" x14ac:dyDescent="0.25">
      <c r="B2800" s="98"/>
      <c r="F2800">
        <v>2796</v>
      </c>
      <c r="G2800" s="109">
        <f t="shared" ca="1" si="52"/>
        <v>4.2278883106083832E-2</v>
      </c>
    </row>
    <row r="2801" spans="2:7" x14ac:dyDescent="0.25">
      <c r="B2801" s="98"/>
      <c r="F2801">
        <v>2797</v>
      </c>
      <c r="G2801" s="109">
        <f t="shared" ca="1" si="52"/>
        <v>0.17128044618514626</v>
      </c>
    </row>
    <row r="2802" spans="2:7" x14ac:dyDescent="0.25">
      <c r="B2802" s="98"/>
      <c r="F2802">
        <v>2798</v>
      </c>
      <c r="G2802" s="109">
        <f t="shared" ca="1" si="52"/>
        <v>-0.11037496334235171</v>
      </c>
    </row>
    <row r="2803" spans="2:7" x14ac:dyDescent="0.25">
      <c r="B2803" s="98"/>
      <c r="F2803">
        <v>2799</v>
      </c>
      <c r="G2803" s="109">
        <f t="shared" ca="1" si="52"/>
        <v>0.13967629023546091</v>
      </c>
    </row>
    <row r="2804" spans="2:7" x14ac:dyDescent="0.25">
      <c r="B2804" s="98"/>
      <c r="F2804">
        <v>2800</v>
      </c>
      <c r="G2804" s="109">
        <f t="shared" ca="1" si="52"/>
        <v>0.11240755012111429</v>
      </c>
    </row>
    <row r="2805" spans="2:7" x14ac:dyDescent="0.25">
      <c r="B2805" s="98"/>
      <c r="F2805">
        <v>2801</v>
      </c>
      <c r="G2805" s="109">
        <f t="shared" ca="1" si="52"/>
        <v>-0.11941549930214364</v>
      </c>
    </row>
    <row r="2806" spans="2:7" x14ac:dyDescent="0.25">
      <c r="B2806" s="98"/>
      <c r="F2806">
        <v>2802</v>
      </c>
      <c r="G2806" s="109">
        <f t="shared" ca="1" si="52"/>
        <v>5.8667237039197483E-2</v>
      </c>
    </row>
    <row r="2807" spans="2:7" x14ac:dyDescent="0.25">
      <c r="B2807" s="98"/>
      <c r="F2807">
        <v>2803</v>
      </c>
      <c r="G2807" s="109">
        <f t="shared" ca="1" si="52"/>
        <v>-9.9980907608447064E-2</v>
      </c>
    </row>
    <row r="2808" spans="2:7" x14ac:dyDescent="0.25">
      <c r="B2808" s="98"/>
      <c r="F2808">
        <v>2804</v>
      </c>
      <c r="G2808" s="109">
        <f t="shared" ca="1" si="52"/>
        <v>5.5401217835490006E-2</v>
      </c>
    </row>
    <row r="2809" spans="2:7" x14ac:dyDescent="0.25">
      <c r="B2809" s="98"/>
      <c r="F2809">
        <v>2805</v>
      </c>
      <c r="G2809" s="109">
        <f t="shared" ca="1" si="52"/>
        <v>3.3254570165146193E-2</v>
      </c>
    </row>
    <row r="2810" spans="2:7" x14ac:dyDescent="0.25">
      <c r="B2810" s="98"/>
      <c r="F2810">
        <v>2806</v>
      </c>
      <c r="G2810" s="109">
        <f t="shared" ca="1" si="52"/>
        <v>0.13086512802211381</v>
      </c>
    </row>
    <row r="2811" spans="2:7" x14ac:dyDescent="0.25">
      <c r="B2811" s="98"/>
      <c r="F2811">
        <v>2807</v>
      </c>
      <c r="G2811" s="109">
        <f t="shared" ca="1" si="52"/>
        <v>4.7639617658744998E-4</v>
      </c>
    </row>
    <row r="2812" spans="2:7" x14ac:dyDescent="0.25">
      <c r="B2812" s="98"/>
      <c r="F2812">
        <v>2808</v>
      </c>
      <c r="G2812" s="109">
        <f t="shared" ca="1" si="52"/>
        <v>-1.8810118934243392E-2</v>
      </c>
    </row>
    <row r="2813" spans="2:7" x14ac:dyDescent="0.25">
      <c r="B2813" s="98"/>
      <c r="F2813">
        <v>2809</v>
      </c>
      <c r="G2813" s="109">
        <f t="shared" ca="1" si="52"/>
        <v>-2.7480856037347789E-2</v>
      </c>
    </row>
    <row r="2814" spans="2:7" x14ac:dyDescent="0.25">
      <c r="B2814" s="98"/>
      <c r="F2814">
        <v>2810</v>
      </c>
      <c r="G2814" s="109">
        <f t="shared" ca="1" si="52"/>
        <v>0.22534522255081335</v>
      </c>
    </row>
    <row r="2815" spans="2:7" x14ac:dyDescent="0.25">
      <c r="B2815" s="98"/>
      <c r="F2815">
        <v>2811</v>
      </c>
      <c r="G2815" s="109">
        <f t="shared" ca="1" si="52"/>
        <v>-0.13379734844439145</v>
      </c>
    </row>
    <row r="2816" spans="2:7" x14ac:dyDescent="0.25">
      <c r="B2816" s="98"/>
      <c r="F2816">
        <v>2812</v>
      </c>
      <c r="G2816" s="109">
        <f t="shared" ca="1" si="52"/>
        <v>0.13051780704237964</v>
      </c>
    </row>
    <row r="2817" spans="2:7" x14ac:dyDescent="0.25">
      <c r="B2817" s="98"/>
      <c r="F2817">
        <v>2813</v>
      </c>
      <c r="G2817" s="109">
        <f t="shared" ca="1" si="52"/>
        <v>0.16788550935990293</v>
      </c>
    </row>
    <row r="2818" spans="2:7" x14ac:dyDescent="0.25">
      <c r="B2818" s="98"/>
      <c r="F2818">
        <v>2814</v>
      </c>
      <c r="G2818" s="109">
        <f t="shared" ca="1" si="52"/>
        <v>-4.4810475413477116E-2</v>
      </c>
    </row>
    <row r="2819" spans="2:7" x14ac:dyDescent="0.25">
      <c r="B2819" s="98"/>
      <c r="F2819">
        <v>2815</v>
      </c>
      <c r="G2819" s="109">
        <f t="shared" ca="1" si="52"/>
        <v>0.12984664697446222</v>
      </c>
    </row>
    <row r="2820" spans="2:7" x14ac:dyDescent="0.25">
      <c r="B2820" s="98"/>
      <c r="F2820">
        <v>2816</v>
      </c>
      <c r="G2820" s="109">
        <f t="shared" ca="1" si="52"/>
        <v>-0.23891359826021102</v>
      </c>
    </row>
    <row r="2821" spans="2:7" x14ac:dyDescent="0.25">
      <c r="B2821" s="98"/>
      <c r="F2821">
        <v>2817</v>
      </c>
      <c r="G2821" s="109">
        <f t="shared" ca="1" si="52"/>
        <v>0.16961331771891527</v>
      </c>
    </row>
    <row r="2822" spans="2:7" x14ac:dyDescent="0.25">
      <c r="B2822" s="98"/>
      <c r="F2822">
        <v>2818</v>
      </c>
      <c r="G2822" s="109">
        <f t="shared" ref="G2822:G2885" ca="1" si="53">_xlfn.NORM.INV(RAND(),$M$5,$M$6)</f>
        <v>5.8678118202143852E-2</v>
      </c>
    </row>
    <row r="2823" spans="2:7" x14ac:dyDescent="0.25">
      <c r="B2823" s="98"/>
      <c r="F2823">
        <v>2819</v>
      </c>
      <c r="G2823" s="109">
        <f t="shared" ca="1" si="53"/>
        <v>3.7531958886772909E-2</v>
      </c>
    </row>
    <row r="2824" spans="2:7" x14ac:dyDescent="0.25">
      <c r="B2824" s="98"/>
      <c r="F2824">
        <v>2820</v>
      </c>
      <c r="G2824" s="109">
        <f t="shared" ca="1" si="53"/>
        <v>9.5152767494427332E-2</v>
      </c>
    </row>
    <row r="2825" spans="2:7" x14ac:dyDescent="0.25">
      <c r="B2825" s="98"/>
      <c r="F2825">
        <v>2821</v>
      </c>
      <c r="G2825" s="109">
        <f t="shared" ca="1" si="53"/>
        <v>-4.6893958183117673E-2</v>
      </c>
    </row>
    <row r="2826" spans="2:7" x14ac:dyDescent="0.25">
      <c r="B2826" s="98"/>
      <c r="F2826">
        <v>2822</v>
      </c>
      <c r="G2826" s="109">
        <f t="shared" ca="1" si="53"/>
        <v>6.2489387634583921E-2</v>
      </c>
    </row>
    <row r="2827" spans="2:7" x14ac:dyDescent="0.25">
      <c r="B2827" s="98"/>
      <c r="F2827">
        <v>2823</v>
      </c>
      <c r="G2827" s="109">
        <f t="shared" ca="1" si="53"/>
        <v>3.3897494621634439E-2</v>
      </c>
    </row>
    <row r="2828" spans="2:7" x14ac:dyDescent="0.25">
      <c r="B2828" s="98"/>
      <c r="F2828">
        <v>2824</v>
      </c>
      <c r="G2828" s="109">
        <f t="shared" ca="1" si="53"/>
        <v>-1.9696248355944246E-2</v>
      </c>
    </row>
    <row r="2829" spans="2:7" x14ac:dyDescent="0.25">
      <c r="B2829" s="98"/>
      <c r="F2829">
        <v>2825</v>
      </c>
      <c r="G2829" s="109">
        <f t="shared" ca="1" si="53"/>
        <v>0.29854519364540338</v>
      </c>
    </row>
    <row r="2830" spans="2:7" x14ac:dyDescent="0.25">
      <c r="B2830" s="98"/>
      <c r="F2830">
        <v>2826</v>
      </c>
      <c r="G2830" s="109">
        <f t="shared" ca="1" si="53"/>
        <v>2.035904497328378E-2</v>
      </c>
    </row>
    <row r="2831" spans="2:7" x14ac:dyDescent="0.25">
      <c r="B2831" s="98"/>
      <c r="F2831">
        <v>2827</v>
      </c>
      <c r="G2831" s="109">
        <f t="shared" ca="1" si="53"/>
        <v>-2.2335237010946168E-2</v>
      </c>
    </row>
    <row r="2832" spans="2:7" x14ac:dyDescent="0.25">
      <c r="B2832" s="98"/>
      <c r="F2832">
        <v>2828</v>
      </c>
      <c r="G2832" s="109">
        <f t="shared" ca="1" si="53"/>
        <v>-4.5586651669563757E-2</v>
      </c>
    </row>
    <row r="2833" spans="2:7" x14ac:dyDescent="0.25">
      <c r="B2833" s="98"/>
      <c r="F2833">
        <v>2829</v>
      </c>
      <c r="G2833" s="109">
        <f t="shared" ca="1" si="53"/>
        <v>3.9940364227270903E-2</v>
      </c>
    </row>
    <row r="2834" spans="2:7" x14ac:dyDescent="0.25">
      <c r="B2834" s="98"/>
      <c r="F2834">
        <v>2830</v>
      </c>
      <c r="G2834" s="109">
        <f t="shared" ca="1" si="53"/>
        <v>0.10586193520679889</v>
      </c>
    </row>
    <row r="2835" spans="2:7" x14ac:dyDescent="0.25">
      <c r="B2835" s="98"/>
      <c r="F2835">
        <v>2831</v>
      </c>
      <c r="G2835" s="109">
        <f t="shared" ca="1" si="53"/>
        <v>0.20820477554481848</v>
      </c>
    </row>
    <row r="2836" spans="2:7" x14ac:dyDescent="0.25">
      <c r="B2836" s="98"/>
      <c r="F2836">
        <v>2832</v>
      </c>
      <c r="G2836" s="109">
        <f t="shared" ca="1" si="53"/>
        <v>7.2125406469228034E-3</v>
      </c>
    </row>
    <row r="2837" spans="2:7" x14ac:dyDescent="0.25">
      <c r="B2837" s="98"/>
      <c r="F2837">
        <v>2833</v>
      </c>
      <c r="G2837" s="109">
        <f t="shared" ca="1" si="53"/>
        <v>0.10247206390281882</v>
      </c>
    </row>
    <row r="2838" spans="2:7" x14ac:dyDescent="0.25">
      <c r="B2838" s="98"/>
      <c r="F2838">
        <v>2834</v>
      </c>
      <c r="G2838" s="109">
        <f t="shared" ca="1" si="53"/>
        <v>0.11839764750645805</v>
      </c>
    </row>
    <row r="2839" spans="2:7" x14ac:dyDescent="0.25">
      <c r="B2839" s="98"/>
      <c r="F2839">
        <v>2835</v>
      </c>
      <c r="G2839" s="109">
        <f t="shared" ca="1" si="53"/>
        <v>0.10167050472053676</v>
      </c>
    </row>
    <row r="2840" spans="2:7" x14ac:dyDescent="0.25">
      <c r="B2840" s="98"/>
      <c r="F2840">
        <v>2836</v>
      </c>
      <c r="G2840" s="109">
        <f t="shared" ca="1" si="53"/>
        <v>-6.937845072097934E-2</v>
      </c>
    </row>
    <row r="2841" spans="2:7" x14ac:dyDescent="0.25">
      <c r="B2841" s="98"/>
      <c r="F2841">
        <v>2837</v>
      </c>
      <c r="G2841" s="109">
        <f t="shared" ca="1" si="53"/>
        <v>3.8507626096822706E-2</v>
      </c>
    </row>
    <row r="2842" spans="2:7" x14ac:dyDescent="0.25">
      <c r="B2842" s="98"/>
      <c r="F2842">
        <v>2838</v>
      </c>
      <c r="G2842" s="109">
        <f t="shared" ca="1" si="53"/>
        <v>-4.8547866033574985E-2</v>
      </c>
    </row>
    <row r="2843" spans="2:7" x14ac:dyDescent="0.25">
      <c r="B2843" s="98"/>
      <c r="F2843">
        <v>2839</v>
      </c>
      <c r="G2843" s="109">
        <f t="shared" ca="1" si="53"/>
        <v>-1.3823076686408989E-3</v>
      </c>
    </row>
    <row r="2844" spans="2:7" x14ac:dyDescent="0.25">
      <c r="B2844" s="98"/>
      <c r="F2844">
        <v>2840</v>
      </c>
      <c r="G2844" s="109">
        <f t="shared" ca="1" si="53"/>
        <v>3.3706116604502442E-2</v>
      </c>
    </row>
    <row r="2845" spans="2:7" x14ac:dyDescent="0.25">
      <c r="B2845" s="98"/>
      <c r="F2845">
        <v>2841</v>
      </c>
      <c r="G2845" s="109">
        <f t="shared" ca="1" si="53"/>
        <v>5.9099505621987028E-2</v>
      </c>
    </row>
    <row r="2846" spans="2:7" x14ac:dyDescent="0.25">
      <c r="B2846" s="98"/>
      <c r="F2846">
        <v>2842</v>
      </c>
      <c r="G2846" s="109">
        <f t="shared" ca="1" si="53"/>
        <v>-7.4898318768822469E-2</v>
      </c>
    </row>
    <row r="2847" spans="2:7" x14ac:dyDescent="0.25">
      <c r="B2847" s="98"/>
      <c r="F2847">
        <v>2843</v>
      </c>
      <c r="G2847" s="109">
        <f t="shared" ca="1" si="53"/>
        <v>3.0979452728832471E-2</v>
      </c>
    </row>
    <row r="2848" spans="2:7" x14ac:dyDescent="0.25">
      <c r="B2848" s="98"/>
      <c r="F2848">
        <v>2844</v>
      </c>
      <c r="G2848" s="109">
        <f t="shared" ca="1" si="53"/>
        <v>3.6423064677901268E-2</v>
      </c>
    </row>
    <row r="2849" spans="2:7" x14ac:dyDescent="0.25">
      <c r="B2849" s="98"/>
      <c r="F2849">
        <v>2845</v>
      </c>
      <c r="G2849" s="109">
        <f t="shared" ca="1" si="53"/>
        <v>0.30577990193555099</v>
      </c>
    </row>
    <row r="2850" spans="2:7" x14ac:dyDescent="0.25">
      <c r="B2850" s="98"/>
      <c r="F2850">
        <v>2846</v>
      </c>
      <c r="G2850" s="109">
        <f t="shared" ca="1" si="53"/>
        <v>-0.17059534077223376</v>
      </c>
    </row>
    <row r="2851" spans="2:7" x14ac:dyDescent="0.25">
      <c r="B2851" s="98"/>
      <c r="F2851">
        <v>2847</v>
      </c>
      <c r="G2851" s="109">
        <f t="shared" ca="1" si="53"/>
        <v>0.22013573995529889</v>
      </c>
    </row>
    <row r="2852" spans="2:7" x14ac:dyDescent="0.25">
      <c r="B2852" s="98"/>
      <c r="F2852">
        <v>2848</v>
      </c>
      <c r="G2852" s="109">
        <f t="shared" ca="1" si="53"/>
        <v>6.6136165976201325E-2</v>
      </c>
    </row>
    <row r="2853" spans="2:7" x14ac:dyDescent="0.25">
      <c r="B2853" s="98"/>
      <c r="F2853">
        <v>2849</v>
      </c>
      <c r="G2853" s="109">
        <f t="shared" ca="1" si="53"/>
        <v>5.8811964320329792E-2</v>
      </c>
    </row>
    <row r="2854" spans="2:7" x14ac:dyDescent="0.25">
      <c r="B2854" s="98"/>
      <c r="F2854">
        <v>2850</v>
      </c>
      <c r="G2854" s="109">
        <f t="shared" ca="1" si="53"/>
        <v>4.3291822086645518E-2</v>
      </c>
    </row>
    <row r="2855" spans="2:7" x14ac:dyDescent="0.25">
      <c r="B2855" s="98"/>
      <c r="F2855">
        <v>2851</v>
      </c>
      <c r="G2855" s="109">
        <f t="shared" ca="1" si="53"/>
        <v>2.9394415317784278E-2</v>
      </c>
    </row>
    <row r="2856" spans="2:7" x14ac:dyDescent="0.25">
      <c r="B2856" s="98"/>
      <c r="F2856">
        <v>2852</v>
      </c>
      <c r="G2856" s="109">
        <f t="shared" ca="1" si="53"/>
        <v>0.11752959071770419</v>
      </c>
    </row>
    <row r="2857" spans="2:7" x14ac:dyDescent="0.25">
      <c r="B2857" s="98"/>
      <c r="F2857">
        <v>2853</v>
      </c>
      <c r="G2857" s="109">
        <f t="shared" ca="1" si="53"/>
        <v>7.6093732647931484E-3</v>
      </c>
    </row>
    <row r="2858" spans="2:7" x14ac:dyDescent="0.25">
      <c r="B2858" s="98"/>
      <c r="F2858">
        <v>2854</v>
      </c>
      <c r="G2858" s="109">
        <f t="shared" ca="1" si="53"/>
        <v>0.21732101752047839</v>
      </c>
    </row>
    <row r="2859" spans="2:7" x14ac:dyDescent="0.25">
      <c r="B2859" s="98"/>
      <c r="F2859">
        <v>2855</v>
      </c>
      <c r="G2859" s="109">
        <f t="shared" ca="1" si="53"/>
        <v>-6.6897149218941368E-2</v>
      </c>
    </row>
    <row r="2860" spans="2:7" x14ac:dyDescent="0.25">
      <c r="B2860" s="98"/>
      <c r="F2860">
        <v>2856</v>
      </c>
      <c r="G2860" s="109">
        <f t="shared" ca="1" si="53"/>
        <v>-0.1187717444879109</v>
      </c>
    </row>
    <row r="2861" spans="2:7" x14ac:dyDescent="0.25">
      <c r="B2861" s="98"/>
      <c r="F2861">
        <v>2857</v>
      </c>
      <c r="G2861" s="109">
        <f t="shared" ca="1" si="53"/>
        <v>3.7562693291206053E-2</v>
      </c>
    </row>
    <row r="2862" spans="2:7" x14ac:dyDescent="0.25">
      <c r="B2862" s="98"/>
      <c r="F2862">
        <v>2858</v>
      </c>
      <c r="G2862" s="109">
        <f t="shared" ca="1" si="53"/>
        <v>4.6747623350858893E-2</v>
      </c>
    </row>
    <row r="2863" spans="2:7" x14ac:dyDescent="0.25">
      <c r="B2863" s="98"/>
      <c r="F2863">
        <v>2859</v>
      </c>
      <c r="G2863" s="109">
        <f t="shared" ca="1" si="53"/>
        <v>4.3109746492381619E-2</v>
      </c>
    </row>
    <row r="2864" spans="2:7" x14ac:dyDescent="0.25">
      <c r="B2864" s="98"/>
      <c r="F2864">
        <v>2860</v>
      </c>
      <c r="G2864" s="109">
        <f t="shared" ca="1" si="53"/>
        <v>0.10990385210108047</v>
      </c>
    </row>
    <row r="2865" spans="2:7" x14ac:dyDescent="0.25">
      <c r="B2865" s="98"/>
      <c r="F2865">
        <v>2861</v>
      </c>
      <c r="G2865" s="109">
        <f t="shared" ca="1" si="53"/>
        <v>5.5743632595354996E-2</v>
      </c>
    </row>
    <row r="2866" spans="2:7" x14ac:dyDescent="0.25">
      <c r="B2866" s="98"/>
      <c r="F2866">
        <v>2862</v>
      </c>
      <c r="G2866" s="109">
        <f t="shared" ca="1" si="53"/>
        <v>0.22595649189903683</v>
      </c>
    </row>
    <row r="2867" spans="2:7" x14ac:dyDescent="0.25">
      <c r="B2867" s="98"/>
      <c r="F2867">
        <v>2863</v>
      </c>
      <c r="G2867" s="109">
        <f t="shared" ca="1" si="53"/>
        <v>-8.4208343446925474E-2</v>
      </c>
    </row>
    <row r="2868" spans="2:7" x14ac:dyDescent="0.25">
      <c r="B2868" s="98"/>
      <c r="F2868">
        <v>2864</v>
      </c>
      <c r="G2868" s="109">
        <f t="shared" ca="1" si="53"/>
        <v>0.16283620918916392</v>
      </c>
    </row>
    <row r="2869" spans="2:7" x14ac:dyDescent="0.25">
      <c r="B2869" s="98"/>
      <c r="F2869">
        <v>2865</v>
      </c>
      <c r="G2869" s="109">
        <f t="shared" ca="1" si="53"/>
        <v>0.30524821416511921</v>
      </c>
    </row>
    <row r="2870" spans="2:7" x14ac:dyDescent="0.25">
      <c r="B2870" s="98"/>
      <c r="F2870">
        <v>2866</v>
      </c>
      <c r="G2870" s="109">
        <f t="shared" ca="1" si="53"/>
        <v>-4.662673748264759E-2</v>
      </c>
    </row>
    <row r="2871" spans="2:7" x14ac:dyDescent="0.25">
      <c r="B2871" s="98"/>
      <c r="F2871">
        <v>2867</v>
      </c>
      <c r="G2871" s="109">
        <f t="shared" ca="1" si="53"/>
        <v>-9.6532166784421794E-2</v>
      </c>
    </row>
    <row r="2872" spans="2:7" x14ac:dyDescent="0.25">
      <c r="B2872" s="98"/>
      <c r="F2872">
        <v>2868</v>
      </c>
      <c r="G2872" s="109">
        <f t="shared" ca="1" si="53"/>
        <v>1.1350431761563355E-2</v>
      </c>
    </row>
    <row r="2873" spans="2:7" x14ac:dyDescent="0.25">
      <c r="B2873" s="98"/>
      <c r="F2873">
        <v>2869</v>
      </c>
      <c r="G2873" s="109">
        <f t="shared" ca="1" si="53"/>
        <v>-2.2344804457933354E-2</v>
      </c>
    </row>
    <row r="2874" spans="2:7" x14ac:dyDescent="0.25">
      <c r="B2874" s="98"/>
      <c r="F2874">
        <v>2870</v>
      </c>
      <c r="G2874" s="109">
        <f t="shared" ca="1" si="53"/>
        <v>1.1904912205111043E-2</v>
      </c>
    </row>
    <row r="2875" spans="2:7" x14ac:dyDescent="0.25">
      <c r="B2875" s="98"/>
      <c r="F2875">
        <v>2871</v>
      </c>
      <c r="G2875" s="109">
        <f t="shared" ca="1" si="53"/>
        <v>-0.21315572383013809</v>
      </c>
    </row>
    <row r="2876" spans="2:7" x14ac:dyDescent="0.25">
      <c r="B2876" s="98"/>
      <c r="F2876">
        <v>2872</v>
      </c>
      <c r="G2876" s="109">
        <f t="shared" ca="1" si="53"/>
        <v>-7.6554633622313017E-2</v>
      </c>
    </row>
    <row r="2877" spans="2:7" x14ac:dyDescent="0.25">
      <c r="B2877" s="98"/>
      <c r="F2877">
        <v>2873</v>
      </c>
      <c r="G2877" s="109">
        <f t="shared" ca="1" si="53"/>
        <v>7.3143473665169281E-2</v>
      </c>
    </row>
    <row r="2878" spans="2:7" x14ac:dyDescent="0.25">
      <c r="B2878" s="98"/>
      <c r="F2878">
        <v>2874</v>
      </c>
      <c r="G2878" s="109">
        <f t="shared" ca="1" si="53"/>
        <v>0.18320201429754424</v>
      </c>
    </row>
    <row r="2879" spans="2:7" x14ac:dyDescent="0.25">
      <c r="B2879" s="98"/>
      <c r="F2879">
        <v>2875</v>
      </c>
      <c r="G2879" s="109">
        <f t="shared" ca="1" si="53"/>
        <v>0.1225114262123264</v>
      </c>
    </row>
    <row r="2880" spans="2:7" x14ac:dyDescent="0.25">
      <c r="B2880" s="98"/>
      <c r="F2880">
        <v>2876</v>
      </c>
      <c r="G2880" s="109">
        <f t="shared" ca="1" si="53"/>
        <v>-0.27289117756836068</v>
      </c>
    </row>
    <row r="2881" spans="2:7" x14ac:dyDescent="0.25">
      <c r="B2881" s="98"/>
      <c r="F2881">
        <v>2877</v>
      </c>
      <c r="G2881" s="109">
        <f t="shared" ca="1" si="53"/>
        <v>-1.2547929929855824E-2</v>
      </c>
    </row>
    <row r="2882" spans="2:7" x14ac:dyDescent="0.25">
      <c r="B2882" s="98"/>
      <c r="F2882">
        <v>2878</v>
      </c>
      <c r="G2882" s="109">
        <f t="shared" ca="1" si="53"/>
        <v>7.0231384792145898E-2</v>
      </c>
    </row>
    <row r="2883" spans="2:7" x14ac:dyDescent="0.25">
      <c r="B2883" s="98"/>
      <c r="F2883">
        <v>2879</v>
      </c>
      <c r="G2883" s="109">
        <f t="shared" ca="1" si="53"/>
        <v>2.0285654674108363E-2</v>
      </c>
    </row>
    <row r="2884" spans="2:7" x14ac:dyDescent="0.25">
      <c r="B2884" s="98"/>
      <c r="F2884">
        <v>2880</v>
      </c>
      <c r="G2884" s="109">
        <f t="shared" ca="1" si="53"/>
        <v>9.6114403499232892E-2</v>
      </c>
    </row>
    <row r="2885" spans="2:7" x14ac:dyDescent="0.25">
      <c r="B2885" s="98"/>
      <c r="F2885">
        <v>2881</v>
      </c>
      <c r="G2885" s="109">
        <f t="shared" ca="1" si="53"/>
        <v>0.18843482476386464</v>
      </c>
    </row>
    <row r="2886" spans="2:7" x14ac:dyDescent="0.25">
      <c r="B2886" s="98"/>
      <c r="F2886">
        <v>2882</v>
      </c>
      <c r="G2886" s="109">
        <f t="shared" ref="G2886:G2949" ca="1" si="54">_xlfn.NORM.INV(RAND(),$M$5,$M$6)</f>
        <v>-0.18310197292880553</v>
      </c>
    </row>
    <row r="2887" spans="2:7" x14ac:dyDescent="0.25">
      <c r="B2887" s="98"/>
      <c r="F2887">
        <v>2883</v>
      </c>
      <c r="G2887" s="109">
        <f t="shared" ca="1" si="54"/>
        <v>0.11358086388331498</v>
      </c>
    </row>
    <row r="2888" spans="2:7" x14ac:dyDescent="0.25">
      <c r="B2888" s="98"/>
      <c r="F2888">
        <v>2884</v>
      </c>
      <c r="G2888" s="109">
        <f t="shared" ca="1" si="54"/>
        <v>-0.12793381845484769</v>
      </c>
    </row>
    <row r="2889" spans="2:7" x14ac:dyDescent="0.25">
      <c r="B2889" s="98"/>
      <c r="F2889">
        <v>2885</v>
      </c>
      <c r="G2889" s="109">
        <f t="shared" ca="1" si="54"/>
        <v>4.2195148467299354E-2</v>
      </c>
    </row>
    <row r="2890" spans="2:7" x14ac:dyDescent="0.25">
      <c r="B2890" s="98"/>
      <c r="F2890">
        <v>2886</v>
      </c>
      <c r="G2890" s="109">
        <f t="shared" ca="1" si="54"/>
        <v>-6.9270011986138344E-2</v>
      </c>
    </row>
    <row r="2891" spans="2:7" x14ac:dyDescent="0.25">
      <c r="B2891" s="98"/>
      <c r="F2891">
        <v>2887</v>
      </c>
      <c r="G2891" s="109">
        <f t="shared" ca="1" si="54"/>
        <v>-0.33703227652386264</v>
      </c>
    </row>
    <row r="2892" spans="2:7" x14ac:dyDescent="0.25">
      <c r="B2892" s="98"/>
      <c r="F2892">
        <v>2888</v>
      </c>
      <c r="G2892" s="109">
        <f t="shared" ca="1" si="54"/>
        <v>6.6879806003440706E-2</v>
      </c>
    </row>
    <row r="2893" spans="2:7" x14ac:dyDescent="0.25">
      <c r="B2893" s="98"/>
      <c r="F2893">
        <v>2889</v>
      </c>
      <c r="G2893" s="109">
        <f t="shared" ca="1" si="54"/>
        <v>7.9139565126795375E-2</v>
      </c>
    </row>
    <row r="2894" spans="2:7" x14ac:dyDescent="0.25">
      <c r="B2894" s="98"/>
      <c r="F2894">
        <v>2890</v>
      </c>
      <c r="G2894" s="109">
        <f t="shared" ca="1" si="54"/>
        <v>-5.0751498727522187E-2</v>
      </c>
    </row>
    <row r="2895" spans="2:7" x14ac:dyDescent="0.25">
      <c r="B2895" s="98"/>
      <c r="F2895">
        <v>2891</v>
      </c>
      <c r="G2895" s="109">
        <f t="shared" ca="1" si="54"/>
        <v>-0.14755385396365761</v>
      </c>
    </row>
    <row r="2896" spans="2:7" x14ac:dyDescent="0.25">
      <c r="B2896" s="98"/>
      <c r="F2896">
        <v>2892</v>
      </c>
      <c r="G2896" s="109">
        <f t="shared" ca="1" si="54"/>
        <v>0.14358817299030407</v>
      </c>
    </row>
    <row r="2897" spans="2:7" x14ac:dyDescent="0.25">
      <c r="B2897" s="98"/>
      <c r="F2897">
        <v>2893</v>
      </c>
      <c r="G2897" s="109">
        <f t="shared" ca="1" si="54"/>
        <v>-2.0021856822648593E-2</v>
      </c>
    </row>
    <row r="2898" spans="2:7" x14ac:dyDescent="0.25">
      <c r="B2898" s="98"/>
      <c r="F2898">
        <v>2894</v>
      </c>
      <c r="G2898" s="109">
        <f t="shared" ca="1" si="54"/>
        <v>5.2273644665703681E-2</v>
      </c>
    </row>
    <row r="2899" spans="2:7" x14ac:dyDescent="0.25">
      <c r="B2899" s="98"/>
      <c r="F2899">
        <v>2895</v>
      </c>
      <c r="G2899" s="109">
        <f t="shared" ca="1" si="54"/>
        <v>0.15202191970191234</v>
      </c>
    </row>
    <row r="2900" spans="2:7" x14ac:dyDescent="0.25">
      <c r="B2900" s="98"/>
      <c r="F2900">
        <v>2896</v>
      </c>
      <c r="G2900" s="109">
        <f t="shared" ca="1" si="54"/>
        <v>8.0785067473188171E-2</v>
      </c>
    </row>
    <row r="2901" spans="2:7" x14ac:dyDescent="0.25">
      <c r="B2901" s="98"/>
      <c r="F2901">
        <v>2897</v>
      </c>
      <c r="G2901" s="109">
        <f t="shared" ca="1" si="54"/>
        <v>4.4311891997803332E-3</v>
      </c>
    </row>
    <row r="2902" spans="2:7" x14ac:dyDescent="0.25">
      <c r="B2902" s="98"/>
      <c r="F2902">
        <v>2898</v>
      </c>
      <c r="G2902" s="109">
        <f t="shared" ca="1" si="54"/>
        <v>0.2082512642293517</v>
      </c>
    </row>
    <row r="2903" spans="2:7" x14ac:dyDescent="0.25">
      <c r="B2903" s="98"/>
      <c r="F2903">
        <v>2899</v>
      </c>
      <c r="G2903" s="109">
        <f t="shared" ca="1" si="54"/>
        <v>0.11985033619887814</v>
      </c>
    </row>
    <row r="2904" spans="2:7" x14ac:dyDescent="0.25">
      <c r="B2904" s="98"/>
      <c r="F2904">
        <v>2900</v>
      </c>
      <c r="G2904" s="109">
        <f t="shared" ca="1" si="54"/>
        <v>9.2769864689772746E-2</v>
      </c>
    </row>
    <row r="2905" spans="2:7" x14ac:dyDescent="0.25">
      <c r="B2905" s="98"/>
      <c r="F2905">
        <v>2901</v>
      </c>
      <c r="G2905" s="109">
        <f t="shared" ca="1" si="54"/>
        <v>-4.2409916942765732E-2</v>
      </c>
    </row>
    <row r="2906" spans="2:7" x14ac:dyDescent="0.25">
      <c r="B2906" s="98"/>
      <c r="F2906">
        <v>2902</v>
      </c>
      <c r="G2906" s="109">
        <f t="shared" ca="1" si="54"/>
        <v>6.8085942801745208E-2</v>
      </c>
    </row>
    <row r="2907" spans="2:7" x14ac:dyDescent="0.25">
      <c r="B2907" s="98"/>
      <c r="F2907">
        <v>2903</v>
      </c>
      <c r="G2907" s="109">
        <f t="shared" ca="1" si="54"/>
        <v>-6.1380275538699555E-2</v>
      </c>
    </row>
    <row r="2908" spans="2:7" x14ac:dyDescent="0.25">
      <c r="B2908" s="98"/>
      <c r="F2908">
        <v>2904</v>
      </c>
      <c r="G2908" s="109">
        <f t="shared" ca="1" si="54"/>
        <v>7.8812287944363291E-2</v>
      </c>
    </row>
    <row r="2909" spans="2:7" x14ac:dyDescent="0.25">
      <c r="B2909" s="98"/>
      <c r="F2909">
        <v>2905</v>
      </c>
      <c r="G2909" s="109">
        <f t="shared" ca="1" si="54"/>
        <v>-5.4037817281265679E-2</v>
      </c>
    </row>
    <row r="2910" spans="2:7" x14ac:dyDescent="0.25">
      <c r="B2910" s="98"/>
      <c r="F2910">
        <v>2906</v>
      </c>
      <c r="G2910" s="109">
        <f t="shared" ca="1" si="54"/>
        <v>-9.8125257873780972E-2</v>
      </c>
    </row>
    <row r="2911" spans="2:7" x14ac:dyDescent="0.25">
      <c r="B2911" s="98"/>
      <c r="F2911">
        <v>2907</v>
      </c>
      <c r="G2911" s="109">
        <f t="shared" ca="1" si="54"/>
        <v>0.15102010497484708</v>
      </c>
    </row>
    <row r="2912" spans="2:7" x14ac:dyDescent="0.25">
      <c r="B2912" s="98"/>
      <c r="F2912">
        <v>2908</v>
      </c>
      <c r="G2912" s="109">
        <f t="shared" ca="1" si="54"/>
        <v>-8.8578361592355312E-2</v>
      </c>
    </row>
    <row r="2913" spans="2:7" x14ac:dyDescent="0.25">
      <c r="B2913" s="98"/>
      <c r="F2913">
        <v>2909</v>
      </c>
      <c r="G2913" s="109">
        <f t="shared" ca="1" si="54"/>
        <v>7.9149328974176314E-2</v>
      </c>
    </row>
    <row r="2914" spans="2:7" x14ac:dyDescent="0.25">
      <c r="B2914" s="98"/>
      <c r="F2914">
        <v>2910</v>
      </c>
      <c r="G2914" s="109">
        <f t="shared" ca="1" si="54"/>
        <v>-2.9636106778003352E-4</v>
      </c>
    </row>
    <row r="2915" spans="2:7" x14ac:dyDescent="0.25">
      <c r="B2915" s="98"/>
      <c r="F2915">
        <v>2911</v>
      </c>
      <c r="G2915" s="109">
        <f t="shared" ca="1" si="54"/>
        <v>2.0998048672085483E-2</v>
      </c>
    </row>
    <row r="2916" spans="2:7" x14ac:dyDescent="0.25">
      <c r="B2916" s="98"/>
      <c r="F2916">
        <v>2912</v>
      </c>
      <c r="G2916" s="109">
        <f t="shared" ca="1" si="54"/>
        <v>2.8772197446702324E-2</v>
      </c>
    </row>
    <row r="2917" spans="2:7" x14ac:dyDescent="0.25">
      <c r="B2917" s="98"/>
      <c r="F2917">
        <v>2913</v>
      </c>
      <c r="G2917" s="109">
        <f t="shared" ca="1" si="54"/>
        <v>-2.8155946368633042E-2</v>
      </c>
    </row>
    <row r="2918" spans="2:7" x14ac:dyDescent="0.25">
      <c r="B2918" s="98"/>
      <c r="F2918">
        <v>2914</v>
      </c>
      <c r="G2918" s="109">
        <f t="shared" ca="1" si="54"/>
        <v>-0.11668491435869809</v>
      </c>
    </row>
    <row r="2919" spans="2:7" x14ac:dyDescent="0.25">
      <c r="B2919" s="98"/>
      <c r="F2919">
        <v>2915</v>
      </c>
      <c r="G2919" s="109">
        <f t="shared" ca="1" si="54"/>
        <v>0.11299947511642736</v>
      </c>
    </row>
    <row r="2920" spans="2:7" x14ac:dyDescent="0.25">
      <c r="B2920" s="98"/>
      <c r="F2920">
        <v>2916</v>
      </c>
      <c r="G2920" s="109">
        <f t="shared" ca="1" si="54"/>
        <v>8.2710815278268665E-2</v>
      </c>
    </row>
    <row r="2921" spans="2:7" x14ac:dyDescent="0.25">
      <c r="B2921" s="98"/>
      <c r="F2921">
        <v>2917</v>
      </c>
      <c r="G2921" s="109">
        <f t="shared" ca="1" si="54"/>
        <v>0.19712080041803443</v>
      </c>
    </row>
    <row r="2922" spans="2:7" x14ac:dyDescent="0.25">
      <c r="B2922" s="98"/>
      <c r="F2922">
        <v>2918</v>
      </c>
      <c r="G2922" s="109">
        <f t="shared" ca="1" si="54"/>
        <v>0.11572118021006048</v>
      </c>
    </row>
    <row r="2923" spans="2:7" x14ac:dyDescent="0.25">
      <c r="B2923" s="98"/>
      <c r="F2923">
        <v>2919</v>
      </c>
      <c r="G2923" s="109">
        <f t="shared" ca="1" si="54"/>
        <v>-6.1319338242027968E-2</v>
      </c>
    </row>
    <row r="2924" spans="2:7" x14ac:dyDescent="0.25">
      <c r="B2924" s="98"/>
      <c r="F2924">
        <v>2920</v>
      </c>
      <c r="G2924" s="109">
        <f t="shared" ca="1" si="54"/>
        <v>-0.1223181417413917</v>
      </c>
    </row>
    <row r="2925" spans="2:7" x14ac:dyDescent="0.25">
      <c r="B2925" s="98"/>
      <c r="F2925">
        <v>2921</v>
      </c>
      <c r="G2925" s="109">
        <f t="shared" ca="1" si="54"/>
        <v>4.6676300810380614E-2</v>
      </c>
    </row>
    <row r="2926" spans="2:7" x14ac:dyDescent="0.25">
      <c r="B2926" s="98"/>
      <c r="F2926">
        <v>2922</v>
      </c>
      <c r="G2926" s="109">
        <f t="shared" ca="1" si="54"/>
        <v>-0.16021208579231805</v>
      </c>
    </row>
    <row r="2927" spans="2:7" x14ac:dyDescent="0.25">
      <c r="B2927" s="98"/>
      <c r="F2927">
        <v>2923</v>
      </c>
      <c r="G2927" s="109">
        <f t="shared" ca="1" si="54"/>
        <v>4.8750618694727854E-2</v>
      </c>
    </row>
    <row r="2928" spans="2:7" x14ac:dyDescent="0.25">
      <c r="B2928" s="98"/>
      <c r="F2928">
        <v>2924</v>
      </c>
      <c r="G2928" s="109">
        <f t="shared" ca="1" si="54"/>
        <v>1.3388783782388648E-2</v>
      </c>
    </row>
    <row r="2929" spans="2:7" x14ac:dyDescent="0.25">
      <c r="B2929" s="98"/>
      <c r="F2929">
        <v>2925</v>
      </c>
      <c r="G2929" s="109">
        <f t="shared" ca="1" si="54"/>
        <v>0.15147675162312063</v>
      </c>
    </row>
    <row r="2930" spans="2:7" x14ac:dyDescent="0.25">
      <c r="B2930" s="98"/>
      <c r="F2930">
        <v>2926</v>
      </c>
      <c r="G2930" s="109">
        <f t="shared" ca="1" si="54"/>
        <v>-1.9953966672167034E-2</v>
      </c>
    </row>
    <row r="2931" spans="2:7" x14ac:dyDescent="0.25">
      <c r="B2931" s="98"/>
      <c r="F2931">
        <v>2927</v>
      </c>
      <c r="G2931" s="109">
        <f t="shared" ca="1" si="54"/>
        <v>-3.1964510607948859E-2</v>
      </c>
    </row>
    <row r="2932" spans="2:7" x14ac:dyDescent="0.25">
      <c r="B2932" s="98"/>
      <c r="F2932">
        <v>2928</v>
      </c>
      <c r="G2932" s="109">
        <f t="shared" ca="1" si="54"/>
        <v>-3.2152395400195932E-2</v>
      </c>
    </row>
    <row r="2933" spans="2:7" x14ac:dyDescent="0.25">
      <c r="B2933" s="98"/>
      <c r="F2933">
        <v>2929</v>
      </c>
      <c r="G2933" s="109">
        <f t="shared" ca="1" si="54"/>
        <v>4.2774543981208953E-2</v>
      </c>
    </row>
    <row r="2934" spans="2:7" x14ac:dyDescent="0.25">
      <c r="B2934" s="98"/>
      <c r="F2934">
        <v>2930</v>
      </c>
      <c r="G2934" s="109">
        <f t="shared" ca="1" si="54"/>
        <v>-3.7278825156908141E-2</v>
      </c>
    </row>
    <row r="2935" spans="2:7" x14ac:dyDescent="0.25">
      <c r="B2935" s="98"/>
      <c r="F2935">
        <v>2931</v>
      </c>
      <c r="G2935" s="109">
        <f t="shared" ca="1" si="54"/>
        <v>7.7052068597861331E-2</v>
      </c>
    </row>
    <row r="2936" spans="2:7" x14ac:dyDescent="0.25">
      <c r="B2936" s="98"/>
      <c r="F2936">
        <v>2932</v>
      </c>
      <c r="G2936" s="109">
        <f t="shared" ca="1" si="54"/>
        <v>-0.11157434351502098</v>
      </c>
    </row>
    <row r="2937" spans="2:7" x14ac:dyDescent="0.25">
      <c r="B2937" s="98"/>
      <c r="F2937">
        <v>2933</v>
      </c>
      <c r="G2937" s="109">
        <f t="shared" ca="1" si="54"/>
        <v>0.13750120230583754</v>
      </c>
    </row>
    <row r="2938" spans="2:7" x14ac:dyDescent="0.25">
      <c r="B2938" s="98"/>
      <c r="F2938">
        <v>2934</v>
      </c>
      <c r="G2938" s="109">
        <f t="shared" ca="1" si="54"/>
        <v>-3.6742034185850661E-2</v>
      </c>
    </row>
    <row r="2939" spans="2:7" x14ac:dyDescent="0.25">
      <c r="B2939" s="98"/>
      <c r="F2939">
        <v>2935</v>
      </c>
      <c r="G2939" s="109">
        <f t="shared" ca="1" si="54"/>
        <v>5.1639012696917314E-2</v>
      </c>
    </row>
    <row r="2940" spans="2:7" x14ac:dyDescent="0.25">
      <c r="B2940" s="98"/>
      <c r="F2940">
        <v>2936</v>
      </c>
      <c r="G2940" s="109">
        <f t="shared" ca="1" si="54"/>
        <v>-6.1718260641479339E-2</v>
      </c>
    </row>
    <row r="2941" spans="2:7" x14ac:dyDescent="0.25">
      <c r="B2941" s="98"/>
      <c r="F2941">
        <v>2937</v>
      </c>
      <c r="G2941" s="109">
        <f t="shared" ca="1" si="54"/>
        <v>0.13793234414267264</v>
      </c>
    </row>
    <row r="2942" spans="2:7" x14ac:dyDescent="0.25">
      <c r="B2942" s="98"/>
      <c r="F2942">
        <v>2938</v>
      </c>
      <c r="G2942" s="109">
        <f t="shared" ca="1" si="54"/>
        <v>4.6329412418056791E-2</v>
      </c>
    </row>
    <row r="2943" spans="2:7" x14ac:dyDescent="0.25">
      <c r="B2943" s="98"/>
      <c r="F2943">
        <v>2939</v>
      </c>
      <c r="G2943" s="109">
        <f t="shared" ca="1" si="54"/>
        <v>7.9698492332499538E-2</v>
      </c>
    </row>
    <row r="2944" spans="2:7" x14ac:dyDescent="0.25">
      <c r="B2944" s="98"/>
      <c r="F2944">
        <v>2940</v>
      </c>
      <c r="G2944" s="109">
        <f t="shared" ca="1" si="54"/>
        <v>0.16062107503140388</v>
      </c>
    </row>
    <row r="2945" spans="2:7" x14ac:dyDescent="0.25">
      <c r="B2945" s="98"/>
      <c r="F2945">
        <v>2941</v>
      </c>
      <c r="G2945" s="109">
        <f t="shared" ca="1" si="54"/>
        <v>3.5244386485498908E-2</v>
      </c>
    </row>
    <row r="2946" spans="2:7" x14ac:dyDescent="0.25">
      <c r="B2946" s="98"/>
      <c r="F2946">
        <v>2942</v>
      </c>
      <c r="G2946" s="109">
        <f t="shared" ca="1" si="54"/>
        <v>8.5299684689934777E-2</v>
      </c>
    </row>
    <row r="2947" spans="2:7" x14ac:dyDescent="0.25">
      <c r="B2947" s="98"/>
      <c r="F2947">
        <v>2943</v>
      </c>
      <c r="G2947" s="109">
        <f t="shared" ca="1" si="54"/>
        <v>0.10426047681948297</v>
      </c>
    </row>
    <row r="2948" spans="2:7" x14ac:dyDescent="0.25">
      <c r="B2948" s="98"/>
      <c r="F2948">
        <v>2944</v>
      </c>
      <c r="G2948" s="109">
        <f t="shared" ca="1" si="54"/>
        <v>-1.0240808449348202E-2</v>
      </c>
    </row>
    <row r="2949" spans="2:7" x14ac:dyDescent="0.25">
      <c r="B2949" s="98"/>
      <c r="F2949">
        <v>2945</v>
      </c>
      <c r="G2949" s="109">
        <f t="shared" ca="1" si="54"/>
        <v>-9.9458900372365308E-2</v>
      </c>
    </row>
    <row r="2950" spans="2:7" x14ac:dyDescent="0.25">
      <c r="B2950" s="98"/>
      <c r="F2950">
        <v>2946</v>
      </c>
      <c r="G2950" s="109">
        <f t="shared" ref="G2950:G3013" ca="1" si="55">_xlfn.NORM.INV(RAND(),$M$5,$M$6)</f>
        <v>1.7610611102715619E-2</v>
      </c>
    </row>
    <row r="2951" spans="2:7" x14ac:dyDescent="0.25">
      <c r="B2951" s="98"/>
      <c r="F2951">
        <v>2947</v>
      </c>
      <c r="G2951" s="109">
        <f t="shared" ca="1" si="55"/>
        <v>9.5835345731671837E-2</v>
      </c>
    </row>
    <row r="2952" spans="2:7" x14ac:dyDescent="0.25">
      <c r="B2952" s="98"/>
      <c r="F2952">
        <v>2948</v>
      </c>
      <c r="G2952" s="109">
        <f t="shared" ca="1" si="55"/>
        <v>9.4638695305174977E-3</v>
      </c>
    </row>
    <row r="2953" spans="2:7" x14ac:dyDescent="0.25">
      <c r="B2953" s="98"/>
      <c r="F2953">
        <v>2949</v>
      </c>
      <c r="G2953" s="109">
        <f t="shared" ca="1" si="55"/>
        <v>-1.0184229852789731E-2</v>
      </c>
    </row>
    <row r="2954" spans="2:7" x14ac:dyDescent="0.25">
      <c r="B2954" s="98"/>
      <c r="F2954">
        <v>2950</v>
      </c>
      <c r="G2954" s="109">
        <f t="shared" ca="1" si="55"/>
        <v>0.1231884882989029</v>
      </c>
    </row>
    <row r="2955" spans="2:7" x14ac:dyDescent="0.25">
      <c r="B2955" s="98"/>
      <c r="F2955">
        <v>2951</v>
      </c>
      <c r="G2955" s="109">
        <f t="shared" ca="1" si="55"/>
        <v>0.23351421998630123</v>
      </c>
    </row>
    <row r="2956" spans="2:7" x14ac:dyDescent="0.25">
      <c r="B2956" s="98"/>
      <c r="F2956">
        <v>2952</v>
      </c>
      <c r="G2956" s="109">
        <f t="shared" ca="1" si="55"/>
        <v>8.609804550618215E-2</v>
      </c>
    </row>
    <row r="2957" spans="2:7" x14ac:dyDescent="0.25">
      <c r="B2957" s="98"/>
      <c r="F2957">
        <v>2953</v>
      </c>
      <c r="G2957" s="109">
        <f t="shared" ca="1" si="55"/>
        <v>-7.6211276659747279E-2</v>
      </c>
    </row>
    <row r="2958" spans="2:7" x14ac:dyDescent="0.25">
      <c r="B2958" s="98"/>
      <c r="F2958">
        <v>2954</v>
      </c>
      <c r="G2958" s="109">
        <f t="shared" ca="1" si="55"/>
        <v>5.0720843589149286E-2</v>
      </c>
    </row>
    <row r="2959" spans="2:7" x14ac:dyDescent="0.25">
      <c r="B2959" s="98"/>
      <c r="F2959">
        <v>2955</v>
      </c>
      <c r="G2959" s="109">
        <f t="shared" ca="1" si="55"/>
        <v>6.9884696319641809E-2</v>
      </c>
    </row>
    <row r="2960" spans="2:7" x14ac:dyDescent="0.25">
      <c r="B2960" s="98"/>
      <c r="F2960">
        <v>2956</v>
      </c>
      <c r="G2960" s="109">
        <f t="shared" ca="1" si="55"/>
        <v>2.6738022491883801E-2</v>
      </c>
    </row>
    <row r="2961" spans="2:7" x14ac:dyDescent="0.25">
      <c r="B2961" s="98"/>
      <c r="F2961">
        <v>2957</v>
      </c>
      <c r="G2961" s="109">
        <f t="shared" ca="1" si="55"/>
        <v>-4.6105496919571581E-2</v>
      </c>
    </row>
    <row r="2962" spans="2:7" x14ac:dyDescent="0.25">
      <c r="B2962" s="98"/>
      <c r="F2962">
        <v>2958</v>
      </c>
      <c r="G2962" s="109">
        <f t="shared" ca="1" si="55"/>
        <v>0.1870596421600848</v>
      </c>
    </row>
    <row r="2963" spans="2:7" x14ac:dyDescent="0.25">
      <c r="B2963" s="98"/>
      <c r="F2963">
        <v>2959</v>
      </c>
      <c r="G2963" s="109">
        <f t="shared" ca="1" si="55"/>
        <v>5.3204546808843407E-2</v>
      </c>
    </row>
    <row r="2964" spans="2:7" x14ac:dyDescent="0.25">
      <c r="B2964" s="98"/>
      <c r="F2964">
        <v>2960</v>
      </c>
      <c r="G2964" s="109">
        <f t="shared" ca="1" si="55"/>
        <v>0.15794173708246395</v>
      </c>
    </row>
    <row r="2965" spans="2:7" x14ac:dyDescent="0.25">
      <c r="B2965" s="98"/>
      <c r="F2965">
        <v>2961</v>
      </c>
      <c r="G2965" s="109">
        <f t="shared" ca="1" si="55"/>
        <v>3.3038074316273522E-2</v>
      </c>
    </row>
    <row r="2966" spans="2:7" x14ac:dyDescent="0.25">
      <c r="B2966" s="98"/>
      <c r="F2966">
        <v>2962</v>
      </c>
      <c r="G2966" s="109">
        <f t="shared" ca="1" si="55"/>
        <v>8.2159854948505612E-2</v>
      </c>
    </row>
    <row r="2967" spans="2:7" x14ac:dyDescent="0.25">
      <c r="B2967" s="98"/>
      <c r="F2967">
        <v>2963</v>
      </c>
      <c r="G2967" s="109">
        <f t="shared" ca="1" si="55"/>
        <v>0.1233241463970749</v>
      </c>
    </row>
    <row r="2968" spans="2:7" x14ac:dyDescent="0.25">
      <c r="B2968" s="98"/>
      <c r="F2968">
        <v>2964</v>
      </c>
      <c r="G2968" s="109">
        <f t="shared" ca="1" si="55"/>
        <v>-5.6860784227110578E-3</v>
      </c>
    </row>
    <row r="2969" spans="2:7" x14ac:dyDescent="0.25">
      <c r="B2969" s="98"/>
      <c r="F2969">
        <v>2965</v>
      </c>
      <c r="G2969" s="109">
        <f t="shared" ca="1" si="55"/>
        <v>9.2846440782477432E-3</v>
      </c>
    </row>
    <row r="2970" spans="2:7" x14ac:dyDescent="0.25">
      <c r="B2970" s="98"/>
      <c r="F2970">
        <v>2966</v>
      </c>
      <c r="G2970" s="109">
        <f t="shared" ca="1" si="55"/>
        <v>0.2884603633365308</v>
      </c>
    </row>
    <row r="2971" spans="2:7" x14ac:dyDescent="0.25">
      <c r="B2971" s="98"/>
      <c r="F2971">
        <v>2967</v>
      </c>
      <c r="G2971" s="109">
        <f t="shared" ca="1" si="55"/>
        <v>-0.12938174288331244</v>
      </c>
    </row>
    <row r="2972" spans="2:7" x14ac:dyDescent="0.25">
      <c r="B2972" s="98"/>
      <c r="F2972">
        <v>2968</v>
      </c>
      <c r="G2972" s="109">
        <f t="shared" ca="1" si="55"/>
        <v>1.8483482515717353E-2</v>
      </c>
    </row>
    <row r="2973" spans="2:7" x14ac:dyDescent="0.25">
      <c r="B2973" s="98"/>
      <c r="F2973">
        <v>2969</v>
      </c>
      <c r="G2973" s="109">
        <f t="shared" ca="1" si="55"/>
        <v>5.7824726467177963E-2</v>
      </c>
    </row>
    <row r="2974" spans="2:7" x14ac:dyDescent="0.25">
      <c r="B2974" s="98"/>
      <c r="F2974">
        <v>2970</v>
      </c>
      <c r="G2974" s="109">
        <f t="shared" ca="1" si="55"/>
        <v>-5.2475124236403992E-2</v>
      </c>
    </row>
    <row r="2975" spans="2:7" x14ac:dyDescent="0.25">
      <c r="B2975" s="98"/>
      <c r="F2975">
        <v>2971</v>
      </c>
      <c r="G2975" s="109">
        <f t="shared" ca="1" si="55"/>
        <v>-6.1113392531694094E-3</v>
      </c>
    </row>
    <row r="2976" spans="2:7" x14ac:dyDescent="0.25">
      <c r="B2976" s="98"/>
      <c r="F2976">
        <v>2972</v>
      </c>
      <c r="G2976" s="109">
        <f t="shared" ca="1" si="55"/>
        <v>0.13609995201415653</v>
      </c>
    </row>
    <row r="2977" spans="2:7" x14ac:dyDescent="0.25">
      <c r="B2977" s="98"/>
      <c r="F2977">
        <v>2973</v>
      </c>
      <c r="G2977" s="109">
        <f t="shared" ca="1" si="55"/>
        <v>0.16690756812727708</v>
      </c>
    </row>
    <row r="2978" spans="2:7" x14ac:dyDescent="0.25">
      <c r="B2978" s="98"/>
      <c r="F2978">
        <v>2974</v>
      </c>
      <c r="G2978" s="109">
        <f t="shared" ca="1" si="55"/>
        <v>0.19975941641538342</v>
      </c>
    </row>
    <row r="2979" spans="2:7" x14ac:dyDescent="0.25">
      <c r="B2979" s="98"/>
      <c r="F2979">
        <v>2975</v>
      </c>
      <c r="G2979" s="109">
        <f t="shared" ca="1" si="55"/>
        <v>4.0066165170190945E-2</v>
      </c>
    </row>
    <row r="2980" spans="2:7" x14ac:dyDescent="0.25">
      <c r="B2980" s="98"/>
      <c r="F2980">
        <v>2976</v>
      </c>
      <c r="G2980" s="109">
        <f t="shared" ca="1" si="55"/>
        <v>8.4289641112801905E-3</v>
      </c>
    </row>
    <row r="2981" spans="2:7" x14ac:dyDescent="0.25">
      <c r="B2981" s="98"/>
      <c r="F2981">
        <v>2977</v>
      </c>
      <c r="G2981" s="109">
        <f t="shared" ca="1" si="55"/>
        <v>1.3544260971103256E-3</v>
      </c>
    </row>
    <row r="2982" spans="2:7" x14ac:dyDescent="0.25">
      <c r="B2982" s="98"/>
      <c r="F2982">
        <v>2978</v>
      </c>
      <c r="G2982" s="109">
        <f t="shared" ca="1" si="55"/>
        <v>-0.10541346103508915</v>
      </c>
    </row>
    <row r="2983" spans="2:7" x14ac:dyDescent="0.25">
      <c r="B2983" s="98"/>
      <c r="F2983">
        <v>2979</v>
      </c>
      <c r="G2983" s="109">
        <f t="shared" ca="1" si="55"/>
        <v>-1.7418246636007675E-3</v>
      </c>
    </row>
    <row r="2984" spans="2:7" x14ac:dyDescent="0.25">
      <c r="B2984" s="98"/>
      <c r="F2984">
        <v>2980</v>
      </c>
      <c r="G2984" s="109">
        <f t="shared" ca="1" si="55"/>
        <v>0.21350932456115956</v>
      </c>
    </row>
    <row r="2985" spans="2:7" x14ac:dyDescent="0.25">
      <c r="B2985" s="98"/>
      <c r="F2985">
        <v>2981</v>
      </c>
      <c r="G2985" s="109">
        <f t="shared" ca="1" si="55"/>
        <v>-8.3838071523689092E-3</v>
      </c>
    </row>
    <row r="2986" spans="2:7" x14ac:dyDescent="0.25">
      <c r="B2986" s="98"/>
      <c r="F2986">
        <v>2982</v>
      </c>
      <c r="G2986" s="109">
        <f t="shared" ca="1" si="55"/>
        <v>2.8706586937470954E-2</v>
      </c>
    </row>
    <row r="2987" spans="2:7" x14ac:dyDescent="0.25">
      <c r="B2987" s="98"/>
      <c r="F2987">
        <v>2983</v>
      </c>
      <c r="G2987" s="109">
        <f t="shared" ca="1" si="55"/>
        <v>0.12607281214731342</v>
      </c>
    </row>
    <row r="2988" spans="2:7" x14ac:dyDescent="0.25">
      <c r="B2988" s="98"/>
      <c r="F2988">
        <v>2984</v>
      </c>
      <c r="G2988" s="109">
        <f t="shared" ca="1" si="55"/>
        <v>0.11070028931912478</v>
      </c>
    </row>
    <row r="2989" spans="2:7" x14ac:dyDescent="0.25">
      <c r="B2989" s="98"/>
      <c r="F2989">
        <v>2985</v>
      </c>
      <c r="G2989" s="109">
        <f t="shared" ca="1" si="55"/>
        <v>-3.5588593349249423E-2</v>
      </c>
    </row>
    <row r="2990" spans="2:7" x14ac:dyDescent="0.25">
      <c r="B2990" s="98"/>
      <c r="F2990">
        <v>2986</v>
      </c>
      <c r="G2990" s="109">
        <f t="shared" ca="1" si="55"/>
        <v>0.25772508404365146</v>
      </c>
    </row>
    <row r="2991" spans="2:7" x14ac:dyDescent="0.25">
      <c r="B2991" s="98"/>
      <c r="F2991">
        <v>2987</v>
      </c>
      <c r="G2991" s="109">
        <f t="shared" ca="1" si="55"/>
        <v>0.21664874532980116</v>
      </c>
    </row>
    <row r="2992" spans="2:7" x14ac:dyDescent="0.25">
      <c r="B2992" s="98"/>
      <c r="F2992">
        <v>2988</v>
      </c>
      <c r="G2992" s="109">
        <f t="shared" ca="1" si="55"/>
        <v>0.215963408216584</v>
      </c>
    </row>
    <row r="2993" spans="2:7" x14ac:dyDescent="0.25">
      <c r="B2993" s="98"/>
      <c r="F2993">
        <v>2989</v>
      </c>
      <c r="G2993" s="109">
        <f t="shared" ca="1" si="55"/>
        <v>0.15088376991259236</v>
      </c>
    </row>
    <row r="2994" spans="2:7" x14ac:dyDescent="0.25">
      <c r="B2994" s="98"/>
      <c r="F2994">
        <v>2990</v>
      </c>
      <c r="G2994" s="109">
        <f t="shared" ca="1" si="55"/>
        <v>-9.9775146868800332E-2</v>
      </c>
    </row>
    <row r="2995" spans="2:7" x14ac:dyDescent="0.25">
      <c r="B2995" s="98"/>
      <c r="F2995">
        <v>2991</v>
      </c>
      <c r="G2995" s="109">
        <f t="shared" ca="1" si="55"/>
        <v>4.3330032623724812E-2</v>
      </c>
    </row>
    <row r="2996" spans="2:7" x14ac:dyDescent="0.25">
      <c r="B2996" s="98"/>
      <c r="F2996">
        <v>2992</v>
      </c>
      <c r="G2996" s="109">
        <f t="shared" ca="1" si="55"/>
        <v>7.2637321130800944E-2</v>
      </c>
    </row>
    <row r="2997" spans="2:7" x14ac:dyDescent="0.25">
      <c r="B2997" s="98"/>
      <c r="F2997">
        <v>2993</v>
      </c>
      <c r="G2997" s="109">
        <f t="shared" ca="1" si="55"/>
        <v>0.10686861865600496</v>
      </c>
    </row>
    <row r="2998" spans="2:7" x14ac:dyDescent="0.25">
      <c r="B2998" s="98"/>
      <c r="F2998">
        <v>2994</v>
      </c>
      <c r="G2998" s="109">
        <f t="shared" ca="1" si="55"/>
        <v>4.1908688373771819E-2</v>
      </c>
    </row>
    <row r="2999" spans="2:7" x14ac:dyDescent="0.25">
      <c r="B2999" s="98"/>
      <c r="F2999">
        <v>2995</v>
      </c>
      <c r="G2999" s="109">
        <f t="shared" ca="1" si="55"/>
        <v>-4.4243714055688624E-2</v>
      </c>
    </row>
    <row r="3000" spans="2:7" x14ac:dyDescent="0.25">
      <c r="B3000" s="98"/>
      <c r="F3000">
        <v>2996</v>
      </c>
      <c r="G3000" s="109">
        <f t="shared" ca="1" si="55"/>
        <v>0.25040095057361789</v>
      </c>
    </row>
    <row r="3001" spans="2:7" x14ac:dyDescent="0.25">
      <c r="B3001" s="98"/>
      <c r="F3001">
        <v>2997</v>
      </c>
      <c r="G3001" s="109">
        <f t="shared" ca="1" si="55"/>
        <v>4.8590449194504781E-2</v>
      </c>
    </row>
    <row r="3002" spans="2:7" x14ac:dyDescent="0.25">
      <c r="B3002" s="98"/>
      <c r="F3002">
        <v>2998</v>
      </c>
      <c r="G3002" s="109">
        <f t="shared" ca="1" si="55"/>
        <v>-7.5749236319410315E-2</v>
      </c>
    </row>
    <row r="3003" spans="2:7" x14ac:dyDescent="0.25">
      <c r="B3003" s="98"/>
      <c r="F3003">
        <v>2999</v>
      </c>
      <c r="G3003" s="109">
        <f t="shared" ca="1" si="55"/>
        <v>0.11453488487882235</v>
      </c>
    </row>
    <row r="3004" spans="2:7" x14ac:dyDescent="0.25">
      <c r="B3004" s="98"/>
      <c r="F3004">
        <v>3000</v>
      </c>
      <c r="G3004" s="109">
        <f t="shared" ca="1" si="55"/>
        <v>0.20331106369315072</v>
      </c>
    </row>
    <row r="3005" spans="2:7" x14ac:dyDescent="0.25">
      <c r="B3005" s="98"/>
      <c r="F3005">
        <v>3001</v>
      </c>
      <c r="G3005" s="109">
        <f t="shared" ca="1" si="55"/>
        <v>0.1182990342402243</v>
      </c>
    </row>
    <row r="3006" spans="2:7" x14ac:dyDescent="0.25">
      <c r="B3006" s="98"/>
      <c r="F3006">
        <v>3002</v>
      </c>
      <c r="G3006" s="109">
        <f t="shared" ca="1" si="55"/>
        <v>-0.16205781939726449</v>
      </c>
    </row>
    <row r="3007" spans="2:7" x14ac:dyDescent="0.25">
      <c r="B3007" s="98"/>
      <c r="F3007">
        <v>3003</v>
      </c>
      <c r="G3007" s="109">
        <f t="shared" ca="1" si="55"/>
        <v>8.3162585122666569E-2</v>
      </c>
    </row>
    <row r="3008" spans="2:7" x14ac:dyDescent="0.25">
      <c r="B3008" s="98"/>
      <c r="F3008">
        <v>3004</v>
      </c>
      <c r="G3008" s="109">
        <f t="shared" ca="1" si="55"/>
        <v>0.19553218984996679</v>
      </c>
    </row>
    <row r="3009" spans="2:7" x14ac:dyDescent="0.25">
      <c r="B3009" s="98"/>
      <c r="F3009">
        <v>3005</v>
      </c>
      <c r="G3009" s="109">
        <f t="shared" ca="1" si="55"/>
        <v>0.20143253455567312</v>
      </c>
    </row>
    <row r="3010" spans="2:7" x14ac:dyDescent="0.25">
      <c r="B3010" s="98"/>
      <c r="F3010">
        <v>3006</v>
      </c>
      <c r="G3010" s="109">
        <f t="shared" ca="1" si="55"/>
        <v>-2.4123353590835381E-2</v>
      </c>
    </row>
    <row r="3011" spans="2:7" x14ac:dyDescent="0.25">
      <c r="B3011" s="98"/>
      <c r="F3011">
        <v>3007</v>
      </c>
      <c r="G3011" s="109">
        <f t="shared" ca="1" si="55"/>
        <v>0.10790347804764883</v>
      </c>
    </row>
    <row r="3012" spans="2:7" x14ac:dyDescent="0.25">
      <c r="B3012" s="98"/>
      <c r="F3012">
        <v>3008</v>
      </c>
      <c r="G3012" s="109">
        <f t="shared" ca="1" si="55"/>
        <v>-1.5583956277259267E-2</v>
      </c>
    </row>
    <row r="3013" spans="2:7" x14ac:dyDescent="0.25">
      <c r="B3013" s="98"/>
      <c r="F3013">
        <v>3009</v>
      </c>
      <c r="G3013" s="109">
        <f t="shared" ca="1" si="55"/>
        <v>9.2845953311862267E-2</v>
      </c>
    </row>
    <row r="3014" spans="2:7" x14ac:dyDescent="0.25">
      <c r="B3014" s="98"/>
      <c r="F3014">
        <v>3010</v>
      </c>
      <c r="G3014" s="109">
        <f t="shared" ref="G3014:G3077" ca="1" si="56">_xlfn.NORM.INV(RAND(),$M$5,$M$6)</f>
        <v>-1.1018430024296103E-2</v>
      </c>
    </row>
    <row r="3015" spans="2:7" x14ac:dyDescent="0.25">
      <c r="B3015" s="98"/>
      <c r="F3015">
        <v>3011</v>
      </c>
      <c r="G3015" s="109">
        <f t="shared" ca="1" si="56"/>
        <v>-0.11595325464727203</v>
      </c>
    </row>
    <row r="3016" spans="2:7" x14ac:dyDescent="0.25">
      <c r="B3016" s="98"/>
      <c r="F3016">
        <v>3012</v>
      </c>
      <c r="G3016" s="109">
        <f t="shared" ca="1" si="56"/>
        <v>0.20948213697195905</v>
      </c>
    </row>
    <row r="3017" spans="2:7" x14ac:dyDescent="0.25">
      <c r="B3017" s="98"/>
      <c r="F3017">
        <v>3013</v>
      </c>
      <c r="G3017" s="109">
        <f t="shared" ca="1" si="56"/>
        <v>0.10608752984349602</v>
      </c>
    </row>
    <row r="3018" spans="2:7" x14ac:dyDescent="0.25">
      <c r="B3018" s="98"/>
      <c r="F3018">
        <v>3014</v>
      </c>
      <c r="G3018" s="109">
        <f t="shared" ca="1" si="56"/>
        <v>-7.3769250049402435E-2</v>
      </c>
    </row>
    <row r="3019" spans="2:7" x14ac:dyDescent="0.25">
      <c r="B3019" s="98"/>
      <c r="F3019">
        <v>3015</v>
      </c>
      <c r="G3019" s="109">
        <f t="shared" ca="1" si="56"/>
        <v>0.25538663535351919</v>
      </c>
    </row>
    <row r="3020" spans="2:7" x14ac:dyDescent="0.25">
      <c r="B3020" s="98"/>
      <c r="F3020">
        <v>3016</v>
      </c>
      <c r="G3020" s="109">
        <f t="shared" ca="1" si="56"/>
        <v>2.7307419066559382E-2</v>
      </c>
    </row>
    <row r="3021" spans="2:7" x14ac:dyDescent="0.25">
      <c r="B3021" s="98"/>
      <c r="F3021">
        <v>3017</v>
      </c>
      <c r="G3021" s="109">
        <f t="shared" ca="1" si="56"/>
        <v>0.22130842098665487</v>
      </c>
    </row>
    <row r="3022" spans="2:7" x14ac:dyDescent="0.25">
      <c r="B3022" s="98"/>
      <c r="F3022">
        <v>3018</v>
      </c>
      <c r="G3022" s="109">
        <f t="shared" ca="1" si="56"/>
        <v>0.20883050860529762</v>
      </c>
    </row>
    <row r="3023" spans="2:7" x14ac:dyDescent="0.25">
      <c r="B3023" s="98"/>
      <c r="F3023">
        <v>3019</v>
      </c>
      <c r="G3023" s="109">
        <f t="shared" ca="1" si="56"/>
        <v>0.37513404404470663</v>
      </c>
    </row>
    <row r="3024" spans="2:7" x14ac:dyDescent="0.25">
      <c r="B3024" s="98"/>
      <c r="F3024">
        <v>3020</v>
      </c>
      <c r="G3024" s="109">
        <f t="shared" ca="1" si="56"/>
        <v>0.19650522978301793</v>
      </c>
    </row>
    <row r="3025" spans="2:7" x14ac:dyDescent="0.25">
      <c r="B3025" s="98"/>
      <c r="F3025">
        <v>3021</v>
      </c>
      <c r="G3025" s="109">
        <f t="shared" ca="1" si="56"/>
        <v>6.2230789005754079E-2</v>
      </c>
    </row>
    <row r="3026" spans="2:7" x14ac:dyDescent="0.25">
      <c r="B3026" s="98"/>
      <c r="F3026">
        <v>3022</v>
      </c>
      <c r="G3026" s="109">
        <f t="shared" ca="1" si="56"/>
        <v>9.4678320165013458E-2</v>
      </c>
    </row>
    <row r="3027" spans="2:7" x14ac:dyDescent="0.25">
      <c r="B3027" s="98"/>
      <c r="F3027">
        <v>3023</v>
      </c>
      <c r="G3027" s="109">
        <f t="shared" ca="1" si="56"/>
        <v>2.060612083752654E-2</v>
      </c>
    </row>
    <row r="3028" spans="2:7" x14ac:dyDescent="0.25">
      <c r="B3028" s="98"/>
      <c r="F3028">
        <v>3024</v>
      </c>
      <c r="G3028" s="109">
        <f t="shared" ca="1" si="56"/>
        <v>-2.0393326859804647E-3</v>
      </c>
    </row>
    <row r="3029" spans="2:7" x14ac:dyDescent="0.25">
      <c r="B3029" s="98"/>
      <c r="F3029">
        <v>3025</v>
      </c>
      <c r="G3029" s="109">
        <f t="shared" ca="1" si="56"/>
        <v>0.1392189504873142</v>
      </c>
    </row>
    <row r="3030" spans="2:7" x14ac:dyDescent="0.25">
      <c r="B3030" s="98"/>
      <c r="F3030">
        <v>3026</v>
      </c>
      <c r="G3030" s="109">
        <f t="shared" ca="1" si="56"/>
        <v>-1.8035509497676863E-2</v>
      </c>
    </row>
    <row r="3031" spans="2:7" x14ac:dyDescent="0.25">
      <c r="B3031" s="98"/>
      <c r="F3031">
        <v>3027</v>
      </c>
      <c r="G3031" s="109">
        <f t="shared" ca="1" si="56"/>
        <v>-1.5059688711497564E-2</v>
      </c>
    </row>
    <row r="3032" spans="2:7" x14ac:dyDescent="0.25">
      <c r="B3032" s="98"/>
      <c r="F3032">
        <v>3028</v>
      </c>
      <c r="G3032" s="109">
        <f t="shared" ca="1" si="56"/>
        <v>-4.7335002717599425E-2</v>
      </c>
    </row>
    <row r="3033" spans="2:7" x14ac:dyDescent="0.25">
      <c r="B3033" s="98"/>
      <c r="F3033">
        <v>3029</v>
      </c>
      <c r="G3033" s="109">
        <f t="shared" ca="1" si="56"/>
        <v>4.3679057098710734E-2</v>
      </c>
    </row>
    <row r="3034" spans="2:7" x14ac:dyDescent="0.25">
      <c r="B3034" s="98"/>
      <c r="F3034">
        <v>3030</v>
      </c>
      <c r="G3034" s="109">
        <f t="shared" ca="1" si="56"/>
        <v>0.10881327641858755</v>
      </c>
    </row>
    <row r="3035" spans="2:7" x14ac:dyDescent="0.25">
      <c r="B3035" s="98"/>
      <c r="F3035">
        <v>3031</v>
      </c>
      <c r="G3035" s="109">
        <f t="shared" ca="1" si="56"/>
        <v>0.13538306246711879</v>
      </c>
    </row>
    <row r="3036" spans="2:7" x14ac:dyDescent="0.25">
      <c r="B3036" s="98"/>
      <c r="F3036">
        <v>3032</v>
      </c>
      <c r="G3036" s="109">
        <f t="shared" ca="1" si="56"/>
        <v>-6.6047738225151434E-2</v>
      </c>
    </row>
    <row r="3037" spans="2:7" x14ac:dyDescent="0.25">
      <c r="B3037" s="98"/>
      <c r="F3037">
        <v>3033</v>
      </c>
      <c r="G3037" s="109">
        <f t="shared" ca="1" si="56"/>
        <v>1.7375174505906182E-2</v>
      </c>
    </row>
    <row r="3038" spans="2:7" x14ac:dyDescent="0.25">
      <c r="B3038" s="98"/>
      <c r="F3038">
        <v>3034</v>
      </c>
      <c r="G3038" s="109">
        <f t="shared" ca="1" si="56"/>
        <v>-1.6766741506550921E-2</v>
      </c>
    </row>
    <row r="3039" spans="2:7" x14ac:dyDescent="0.25">
      <c r="B3039" s="98"/>
      <c r="F3039">
        <v>3035</v>
      </c>
      <c r="G3039" s="109">
        <f t="shared" ca="1" si="56"/>
        <v>-4.5086492883385232E-2</v>
      </c>
    </row>
    <row r="3040" spans="2:7" x14ac:dyDescent="0.25">
      <c r="B3040" s="98"/>
      <c r="F3040">
        <v>3036</v>
      </c>
      <c r="G3040" s="109">
        <f t="shared" ca="1" si="56"/>
        <v>-6.4077163180459862E-2</v>
      </c>
    </row>
    <row r="3041" spans="2:7" x14ac:dyDescent="0.25">
      <c r="B3041" s="98"/>
      <c r="F3041">
        <v>3037</v>
      </c>
      <c r="G3041" s="109">
        <f t="shared" ca="1" si="56"/>
        <v>-2.9985297588491389E-2</v>
      </c>
    </row>
    <row r="3042" spans="2:7" x14ac:dyDescent="0.25">
      <c r="B3042" s="98"/>
      <c r="F3042">
        <v>3038</v>
      </c>
      <c r="G3042" s="109">
        <f t="shared" ca="1" si="56"/>
        <v>-2.1817111226869829E-2</v>
      </c>
    </row>
    <row r="3043" spans="2:7" x14ac:dyDescent="0.25">
      <c r="B3043" s="98"/>
      <c r="F3043">
        <v>3039</v>
      </c>
      <c r="G3043" s="109">
        <f t="shared" ca="1" si="56"/>
        <v>0.15479483268957248</v>
      </c>
    </row>
    <row r="3044" spans="2:7" x14ac:dyDescent="0.25">
      <c r="B3044" s="98"/>
      <c r="F3044">
        <v>3040</v>
      </c>
      <c r="G3044" s="109">
        <f t="shared" ca="1" si="56"/>
        <v>0.10031357789981901</v>
      </c>
    </row>
    <row r="3045" spans="2:7" x14ac:dyDescent="0.25">
      <c r="B3045" s="98"/>
      <c r="F3045">
        <v>3041</v>
      </c>
      <c r="G3045" s="109">
        <f t="shared" ca="1" si="56"/>
        <v>-1.8641422928979676E-2</v>
      </c>
    </row>
    <row r="3046" spans="2:7" x14ac:dyDescent="0.25">
      <c r="B3046" s="98"/>
      <c r="F3046">
        <v>3042</v>
      </c>
      <c r="G3046" s="109">
        <f t="shared" ca="1" si="56"/>
        <v>-1.701270418390316E-2</v>
      </c>
    </row>
    <row r="3047" spans="2:7" x14ac:dyDescent="0.25">
      <c r="B3047" s="98"/>
      <c r="F3047">
        <v>3043</v>
      </c>
      <c r="G3047" s="109">
        <f t="shared" ca="1" si="56"/>
        <v>8.5878446608261369E-2</v>
      </c>
    </row>
    <row r="3048" spans="2:7" x14ac:dyDescent="0.25">
      <c r="B3048" s="98"/>
      <c r="F3048">
        <v>3044</v>
      </c>
      <c r="G3048" s="109">
        <f t="shared" ca="1" si="56"/>
        <v>-1.2745521602322153E-2</v>
      </c>
    </row>
    <row r="3049" spans="2:7" x14ac:dyDescent="0.25">
      <c r="B3049" s="98"/>
      <c r="F3049">
        <v>3045</v>
      </c>
      <c r="G3049" s="109">
        <f t="shared" ca="1" si="56"/>
        <v>1.7622821022825537E-2</v>
      </c>
    </row>
    <row r="3050" spans="2:7" x14ac:dyDescent="0.25">
      <c r="B3050" s="98"/>
      <c r="F3050">
        <v>3046</v>
      </c>
      <c r="G3050" s="109">
        <f t="shared" ca="1" si="56"/>
        <v>0.1922224136994683</v>
      </c>
    </row>
    <row r="3051" spans="2:7" x14ac:dyDescent="0.25">
      <c r="B3051" s="98"/>
      <c r="F3051">
        <v>3047</v>
      </c>
      <c r="G3051" s="109">
        <f t="shared" ca="1" si="56"/>
        <v>2.9697858728774919E-2</v>
      </c>
    </row>
    <row r="3052" spans="2:7" x14ac:dyDescent="0.25">
      <c r="B3052" s="98"/>
      <c r="F3052">
        <v>3048</v>
      </c>
      <c r="G3052" s="109">
        <f t="shared" ca="1" si="56"/>
        <v>-4.5250770984270161E-2</v>
      </c>
    </row>
    <row r="3053" spans="2:7" x14ac:dyDescent="0.25">
      <c r="B3053" s="98"/>
      <c r="F3053">
        <v>3049</v>
      </c>
      <c r="G3053" s="109">
        <f t="shared" ca="1" si="56"/>
        <v>-1.8310968888410953E-3</v>
      </c>
    </row>
    <row r="3054" spans="2:7" x14ac:dyDescent="0.25">
      <c r="B3054" s="98"/>
      <c r="F3054">
        <v>3050</v>
      </c>
      <c r="G3054" s="109">
        <f t="shared" ca="1" si="56"/>
        <v>-2.5436961355311358E-2</v>
      </c>
    </row>
    <row r="3055" spans="2:7" x14ac:dyDescent="0.25">
      <c r="B3055" s="98"/>
      <c r="F3055">
        <v>3051</v>
      </c>
      <c r="G3055" s="109">
        <f t="shared" ca="1" si="56"/>
        <v>1.0284887693580602E-2</v>
      </c>
    </row>
    <row r="3056" spans="2:7" x14ac:dyDescent="0.25">
      <c r="B3056" s="98"/>
      <c r="F3056">
        <v>3052</v>
      </c>
      <c r="G3056" s="109">
        <f t="shared" ca="1" si="56"/>
        <v>-0.26489621674112607</v>
      </c>
    </row>
    <row r="3057" spans="2:7" x14ac:dyDescent="0.25">
      <c r="B3057" s="98"/>
      <c r="F3057">
        <v>3053</v>
      </c>
      <c r="G3057" s="109">
        <f t="shared" ca="1" si="56"/>
        <v>-1.9703320678259056E-2</v>
      </c>
    </row>
    <row r="3058" spans="2:7" x14ac:dyDescent="0.25">
      <c r="B3058" s="98"/>
      <c r="F3058">
        <v>3054</v>
      </c>
      <c r="G3058" s="109">
        <f t="shared" ca="1" si="56"/>
        <v>-2.978449561751384E-2</v>
      </c>
    </row>
    <row r="3059" spans="2:7" x14ac:dyDescent="0.25">
      <c r="B3059" s="98"/>
      <c r="F3059">
        <v>3055</v>
      </c>
      <c r="G3059" s="109">
        <f t="shared" ca="1" si="56"/>
        <v>-0.18491743218377593</v>
      </c>
    </row>
    <row r="3060" spans="2:7" x14ac:dyDescent="0.25">
      <c r="B3060" s="98"/>
      <c r="F3060">
        <v>3056</v>
      </c>
      <c r="G3060" s="109">
        <f t="shared" ca="1" si="56"/>
        <v>0.15065009441671068</v>
      </c>
    </row>
    <row r="3061" spans="2:7" x14ac:dyDescent="0.25">
      <c r="B3061" s="98"/>
      <c r="F3061">
        <v>3057</v>
      </c>
      <c r="G3061" s="109">
        <f t="shared" ca="1" si="56"/>
        <v>-5.7141314243840974E-2</v>
      </c>
    </row>
    <row r="3062" spans="2:7" x14ac:dyDescent="0.25">
      <c r="B3062" s="98"/>
      <c r="F3062">
        <v>3058</v>
      </c>
      <c r="G3062" s="109">
        <f t="shared" ca="1" si="56"/>
        <v>3.0915374503767322E-2</v>
      </c>
    </row>
    <row r="3063" spans="2:7" x14ac:dyDescent="0.25">
      <c r="B3063" s="98"/>
      <c r="F3063">
        <v>3059</v>
      </c>
      <c r="G3063" s="109">
        <f t="shared" ca="1" si="56"/>
        <v>0.10417643755653053</v>
      </c>
    </row>
    <row r="3064" spans="2:7" x14ac:dyDescent="0.25">
      <c r="B3064" s="98"/>
      <c r="F3064">
        <v>3060</v>
      </c>
      <c r="G3064" s="109">
        <f t="shared" ca="1" si="56"/>
        <v>2.5389642079838709E-2</v>
      </c>
    </row>
    <row r="3065" spans="2:7" x14ac:dyDescent="0.25">
      <c r="B3065" s="98"/>
      <c r="F3065">
        <v>3061</v>
      </c>
      <c r="G3065" s="109">
        <f t="shared" ca="1" si="56"/>
        <v>-3.6682727255339886E-2</v>
      </c>
    </row>
    <row r="3066" spans="2:7" x14ac:dyDescent="0.25">
      <c r="B3066" s="98"/>
      <c r="F3066">
        <v>3062</v>
      </c>
      <c r="G3066" s="109">
        <f t="shared" ca="1" si="56"/>
        <v>7.6279968123343173E-2</v>
      </c>
    </row>
    <row r="3067" spans="2:7" x14ac:dyDescent="0.25">
      <c r="B3067" s="98"/>
      <c r="F3067">
        <v>3063</v>
      </c>
      <c r="G3067" s="109">
        <f t="shared" ca="1" si="56"/>
        <v>3.1335290476358343E-2</v>
      </c>
    </row>
    <row r="3068" spans="2:7" x14ac:dyDescent="0.25">
      <c r="B3068" s="98"/>
      <c r="F3068">
        <v>3064</v>
      </c>
      <c r="G3068" s="109">
        <f t="shared" ca="1" si="56"/>
        <v>0.14270665148069497</v>
      </c>
    </row>
    <row r="3069" spans="2:7" x14ac:dyDescent="0.25">
      <c r="B3069" s="98"/>
      <c r="F3069">
        <v>3065</v>
      </c>
      <c r="G3069" s="109">
        <f t="shared" ca="1" si="56"/>
        <v>0.2440721586902993</v>
      </c>
    </row>
    <row r="3070" spans="2:7" x14ac:dyDescent="0.25">
      <c r="B3070" s="98"/>
      <c r="F3070">
        <v>3066</v>
      </c>
      <c r="G3070" s="109">
        <f t="shared" ca="1" si="56"/>
        <v>-7.4215369216163216E-2</v>
      </c>
    </row>
    <row r="3071" spans="2:7" x14ac:dyDescent="0.25">
      <c r="B3071" s="98"/>
      <c r="F3071">
        <v>3067</v>
      </c>
      <c r="G3071" s="109">
        <f t="shared" ca="1" si="56"/>
        <v>-0.17451364858236945</v>
      </c>
    </row>
    <row r="3072" spans="2:7" x14ac:dyDescent="0.25">
      <c r="B3072" s="98"/>
      <c r="F3072">
        <v>3068</v>
      </c>
      <c r="G3072" s="109">
        <f t="shared" ca="1" si="56"/>
        <v>-0.13334445913719167</v>
      </c>
    </row>
    <row r="3073" spans="2:7" x14ac:dyDescent="0.25">
      <c r="B3073" s="98"/>
      <c r="F3073">
        <v>3069</v>
      </c>
      <c r="G3073" s="109">
        <f t="shared" ca="1" si="56"/>
        <v>-2.0407810700399306E-2</v>
      </c>
    </row>
    <row r="3074" spans="2:7" x14ac:dyDescent="0.25">
      <c r="B3074" s="98"/>
      <c r="F3074">
        <v>3070</v>
      </c>
      <c r="G3074" s="109">
        <f t="shared" ca="1" si="56"/>
        <v>7.4051322992301008E-3</v>
      </c>
    </row>
    <row r="3075" spans="2:7" x14ac:dyDescent="0.25">
      <c r="B3075" s="98"/>
      <c r="F3075">
        <v>3071</v>
      </c>
      <c r="G3075" s="109">
        <f t="shared" ca="1" si="56"/>
        <v>1.8159641535520618E-2</v>
      </c>
    </row>
    <row r="3076" spans="2:7" x14ac:dyDescent="0.25">
      <c r="B3076" s="98"/>
      <c r="F3076">
        <v>3072</v>
      </c>
      <c r="G3076" s="109">
        <f t="shared" ca="1" si="56"/>
        <v>-9.326213714056629E-2</v>
      </c>
    </row>
    <row r="3077" spans="2:7" x14ac:dyDescent="0.25">
      <c r="B3077" s="98"/>
      <c r="F3077">
        <v>3073</v>
      </c>
      <c r="G3077" s="109">
        <f t="shared" ca="1" si="56"/>
        <v>0.16943534787350206</v>
      </c>
    </row>
    <row r="3078" spans="2:7" x14ac:dyDescent="0.25">
      <c r="B3078" s="98"/>
      <c r="F3078">
        <v>3074</v>
      </c>
      <c r="G3078" s="109">
        <f t="shared" ref="G3078:G3141" ca="1" si="57">_xlfn.NORM.INV(RAND(),$M$5,$M$6)</f>
        <v>-8.8539476046830407E-4</v>
      </c>
    </row>
    <row r="3079" spans="2:7" x14ac:dyDescent="0.25">
      <c r="B3079" s="98"/>
      <c r="F3079">
        <v>3075</v>
      </c>
      <c r="G3079" s="109">
        <f t="shared" ca="1" si="57"/>
        <v>6.0136449152397083E-2</v>
      </c>
    </row>
    <row r="3080" spans="2:7" x14ac:dyDescent="0.25">
      <c r="B3080" s="98"/>
      <c r="F3080">
        <v>3076</v>
      </c>
      <c r="G3080" s="109">
        <f t="shared" ca="1" si="57"/>
        <v>7.8367722123067821E-2</v>
      </c>
    </row>
    <row r="3081" spans="2:7" x14ac:dyDescent="0.25">
      <c r="B3081" s="98"/>
      <c r="F3081">
        <v>3077</v>
      </c>
      <c r="G3081" s="109">
        <f t="shared" ca="1" si="57"/>
        <v>4.6996400892499547E-2</v>
      </c>
    </row>
    <row r="3082" spans="2:7" x14ac:dyDescent="0.25">
      <c r="B3082" s="98"/>
      <c r="F3082">
        <v>3078</v>
      </c>
      <c r="G3082" s="109">
        <f t="shared" ca="1" si="57"/>
        <v>8.641485388847403E-2</v>
      </c>
    </row>
    <row r="3083" spans="2:7" x14ac:dyDescent="0.25">
      <c r="B3083" s="98"/>
      <c r="F3083">
        <v>3079</v>
      </c>
      <c r="G3083" s="109">
        <f t="shared" ca="1" si="57"/>
        <v>1.8800943805896767E-2</v>
      </c>
    </row>
    <row r="3084" spans="2:7" x14ac:dyDescent="0.25">
      <c r="B3084" s="98"/>
      <c r="F3084">
        <v>3080</v>
      </c>
      <c r="G3084" s="109">
        <f t="shared" ca="1" si="57"/>
        <v>0.23365315650189877</v>
      </c>
    </row>
    <row r="3085" spans="2:7" x14ac:dyDescent="0.25">
      <c r="B3085" s="98"/>
      <c r="F3085">
        <v>3081</v>
      </c>
      <c r="G3085" s="109">
        <f t="shared" ca="1" si="57"/>
        <v>0.15600628494016006</v>
      </c>
    </row>
    <row r="3086" spans="2:7" x14ac:dyDescent="0.25">
      <c r="B3086" s="98"/>
      <c r="F3086">
        <v>3082</v>
      </c>
      <c r="G3086" s="109">
        <f t="shared" ca="1" si="57"/>
        <v>0.18168608321690616</v>
      </c>
    </row>
    <row r="3087" spans="2:7" x14ac:dyDescent="0.25">
      <c r="B3087" s="98"/>
      <c r="F3087">
        <v>3083</v>
      </c>
      <c r="G3087" s="109">
        <f t="shared" ca="1" si="57"/>
        <v>-2.1262878918336378E-2</v>
      </c>
    </row>
    <row r="3088" spans="2:7" x14ac:dyDescent="0.25">
      <c r="B3088" s="98"/>
      <c r="F3088">
        <v>3084</v>
      </c>
      <c r="G3088" s="109">
        <f t="shared" ca="1" si="57"/>
        <v>0.15307497757724381</v>
      </c>
    </row>
    <row r="3089" spans="2:7" x14ac:dyDescent="0.25">
      <c r="B3089" s="98"/>
      <c r="F3089">
        <v>3085</v>
      </c>
      <c r="G3089" s="109">
        <f t="shared" ca="1" si="57"/>
        <v>0.10798317742468219</v>
      </c>
    </row>
    <row r="3090" spans="2:7" x14ac:dyDescent="0.25">
      <c r="B3090" s="98"/>
      <c r="F3090">
        <v>3086</v>
      </c>
      <c r="G3090" s="109">
        <f t="shared" ca="1" si="57"/>
        <v>-0.13693275015734385</v>
      </c>
    </row>
    <row r="3091" spans="2:7" x14ac:dyDescent="0.25">
      <c r="B3091" s="98"/>
      <c r="F3091">
        <v>3087</v>
      </c>
      <c r="G3091" s="109">
        <f t="shared" ca="1" si="57"/>
        <v>7.4148039707885721E-2</v>
      </c>
    </row>
    <row r="3092" spans="2:7" x14ac:dyDescent="0.25">
      <c r="B3092" s="98"/>
      <c r="F3092">
        <v>3088</v>
      </c>
      <c r="G3092" s="109">
        <f t="shared" ca="1" si="57"/>
        <v>-0.15985268221294102</v>
      </c>
    </row>
    <row r="3093" spans="2:7" x14ac:dyDescent="0.25">
      <c r="B3093" s="98"/>
      <c r="F3093">
        <v>3089</v>
      </c>
      <c r="G3093" s="109">
        <f t="shared" ca="1" si="57"/>
        <v>0.25019742114575627</v>
      </c>
    </row>
    <row r="3094" spans="2:7" x14ac:dyDescent="0.25">
      <c r="B3094" s="98"/>
      <c r="F3094">
        <v>3090</v>
      </c>
      <c r="G3094" s="109">
        <f t="shared" ca="1" si="57"/>
        <v>-0.11874785176407422</v>
      </c>
    </row>
    <row r="3095" spans="2:7" x14ac:dyDescent="0.25">
      <c r="B3095" s="98"/>
      <c r="F3095">
        <v>3091</v>
      </c>
      <c r="G3095" s="109">
        <f t="shared" ca="1" si="57"/>
        <v>1.7414461652180777E-2</v>
      </c>
    </row>
    <row r="3096" spans="2:7" x14ac:dyDescent="0.25">
      <c r="B3096" s="98"/>
      <c r="F3096">
        <v>3092</v>
      </c>
      <c r="G3096" s="109">
        <f t="shared" ca="1" si="57"/>
        <v>-0.15007016952456442</v>
      </c>
    </row>
    <row r="3097" spans="2:7" x14ac:dyDescent="0.25">
      <c r="B3097" s="98"/>
      <c r="F3097">
        <v>3093</v>
      </c>
      <c r="G3097" s="109">
        <f t="shared" ca="1" si="57"/>
        <v>9.1849199103595375E-3</v>
      </c>
    </row>
    <row r="3098" spans="2:7" x14ac:dyDescent="0.25">
      <c r="B3098" s="98"/>
      <c r="F3098">
        <v>3094</v>
      </c>
      <c r="G3098" s="109">
        <f t="shared" ca="1" si="57"/>
        <v>2.8829986926725573E-2</v>
      </c>
    </row>
    <row r="3099" spans="2:7" x14ac:dyDescent="0.25">
      <c r="B3099" s="98"/>
      <c r="F3099">
        <v>3095</v>
      </c>
      <c r="G3099" s="109">
        <f t="shared" ca="1" si="57"/>
        <v>-5.7173213328911843E-2</v>
      </c>
    </row>
    <row r="3100" spans="2:7" x14ac:dyDescent="0.25">
      <c r="B3100" s="98"/>
      <c r="F3100">
        <v>3096</v>
      </c>
      <c r="G3100" s="109">
        <f t="shared" ca="1" si="57"/>
        <v>2.0627075437147476E-2</v>
      </c>
    </row>
    <row r="3101" spans="2:7" x14ac:dyDescent="0.25">
      <c r="B3101" s="98"/>
      <c r="F3101">
        <v>3097</v>
      </c>
      <c r="G3101" s="109">
        <f t="shared" ca="1" si="57"/>
        <v>0.22594697256305313</v>
      </c>
    </row>
    <row r="3102" spans="2:7" x14ac:dyDescent="0.25">
      <c r="B3102" s="98"/>
      <c r="F3102">
        <v>3098</v>
      </c>
      <c r="G3102" s="109">
        <f t="shared" ca="1" si="57"/>
        <v>-0.12956826677078259</v>
      </c>
    </row>
    <row r="3103" spans="2:7" x14ac:dyDescent="0.25">
      <c r="B3103" s="98"/>
      <c r="F3103">
        <v>3099</v>
      </c>
      <c r="G3103" s="109">
        <f t="shared" ca="1" si="57"/>
        <v>0.18584067699539059</v>
      </c>
    </row>
    <row r="3104" spans="2:7" x14ac:dyDescent="0.25">
      <c r="B3104" s="98"/>
      <c r="F3104">
        <v>3100</v>
      </c>
      <c r="G3104" s="109">
        <f t="shared" ca="1" si="57"/>
        <v>-2.3203903559084207E-2</v>
      </c>
    </row>
    <row r="3105" spans="2:7" x14ac:dyDescent="0.25">
      <c r="B3105" s="98"/>
      <c r="F3105">
        <v>3101</v>
      </c>
      <c r="G3105" s="109">
        <f t="shared" ca="1" si="57"/>
        <v>1.5197400843135606E-2</v>
      </c>
    </row>
    <row r="3106" spans="2:7" x14ac:dyDescent="0.25">
      <c r="B3106" s="98"/>
      <c r="F3106">
        <v>3102</v>
      </c>
      <c r="G3106" s="109">
        <f t="shared" ca="1" si="57"/>
        <v>9.4089949800334444E-2</v>
      </c>
    </row>
    <row r="3107" spans="2:7" x14ac:dyDescent="0.25">
      <c r="B3107" s="98"/>
      <c r="F3107">
        <v>3103</v>
      </c>
      <c r="G3107" s="109">
        <f t="shared" ca="1" si="57"/>
        <v>-9.3865287995789956E-2</v>
      </c>
    </row>
    <row r="3108" spans="2:7" x14ac:dyDescent="0.25">
      <c r="B3108" s="98"/>
      <c r="F3108">
        <v>3104</v>
      </c>
      <c r="G3108" s="109">
        <f t="shared" ca="1" si="57"/>
        <v>-1.489525777855253E-2</v>
      </c>
    </row>
    <row r="3109" spans="2:7" x14ac:dyDescent="0.25">
      <c r="B3109" s="98"/>
      <c r="F3109">
        <v>3105</v>
      </c>
      <c r="G3109" s="109">
        <f t="shared" ca="1" si="57"/>
        <v>-1.4158349803365042E-2</v>
      </c>
    </row>
    <row r="3110" spans="2:7" x14ac:dyDescent="0.25">
      <c r="B3110" s="98"/>
      <c r="F3110">
        <v>3106</v>
      </c>
      <c r="G3110" s="109">
        <f t="shared" ca="1" si="57"/>
        <v>2.2253933628167077E-2</v>
      </c>
    </row>
    <row r="3111" spans="2:7" x14ac:dyDescent="0.25">
      <c r="B3111" s="98"/>
      <c r="F3111">
        <v>3107</v>
      </c>
      <c r="G3111" s="109">
        <f t="shared" ca="1" si="57"/>
        <v>-9.2801167149189664E-2</v>
      </c>
    </row>
    <row r="3112" spans="2:7" x14ac:dyDescent="0.25">
      <c r="B3112" s="98"/>
      <c r="F3112">
        <v>3108</v>
      </c>
      <c r="G3112" s="109">
        <f t="shared" ca="1" si="57"/>
        <v>-0.10972107394789392</v>
      </c>
    </row>
    <row r="3113" spans="2:7" x14ac:dyDescent="0.25">
      <c r="B3113" s="98"/>
      <c r="F3113">
        <v>3109</v>
      </c>
      <c r="G3113" s="109">
        <f t="shared" ca="1" si="57"/>
        <v>-9.1761715874536798E-3</v>
      </c>
    </row>
    <row r="3114" spans="2:7" x14ac:dyDescent="0.25">
      <c r="B3114" s="98"/>
      <c r="F3114">
        <v>3110</v>
      </c>
      <c r="G3114" s="109">
        <f t="shared" ca="1" si="57"/>
        <v>0.10189361143501326</v>
      </c>
    </row>
    <row r="3115" spans="2:7" x14ac:dyDescent="0.25">
      <c r="B3115" s="98"/>
      <c r="F3115">
        <v>3111</v>
      </c>
      <c r="G3115" s="109">
        <f t="shared" ca="1" si="57"/>
        <v>-8.3381330364217174E-2</v>
      </c>
    </row>
    <row r="3116" spans="2:7" x14ac:dyDescent="0.25">
      <c r="B3116" s="98"/>
      <c r="F3116">
        <v>3112</v>
      </c>
      <c r="G3116" s="109">
        <f t="shared" ca="1" si="57"/>
        <v>-5.091878078791065E-2</v>
      </c>
    </row>
    <row r="3117" spans="2:7" x14ac:dyDescent="0.25">
      <c r="B3117" s="98"/>
      <c r="F3117">
        <v>3113</v>
      </c>
      <c r="G3117" s="109">
        <f t="shared" ca="1" si="57"/>
        <v>0.10139376652489787</v>
      </c>
    </row>
    <row r="3118" spans="2:7" x14ac:dyDescent="0.25">
      <c r="B3118" s="98"/>
      <c r="F3118">
        <v>3114</v>
      </c>
      <c r="G3118" s="109">
        <f t="shared" ca="1" si="57"/>
        <v>-6.0583311661659339E-2</v>
      </c>
    </row>
    <row r="3119" spans="2:7" x14ac:dyDescent="0.25">
      <c r="B3119" s="98"/>
      <c r="F3119">
        <v>3115</v>
      </c>
      <c r="G3119" s="109">
        <f t="shared" ca="1" si="57"/>
        <v>-0.22284516793667519</v>
      </c>
    </row>
    <row r="3120" spans="2:7" x14ac:dyDescent="0.25">
      <c r="B3120" s="98"/>
      <c r="F3120">
        <v>3116</v>
      </c>
      <c r="G3120" s="109">
        <f t="shared" ca="1" si="57"/>
        <v>7.6254353835528213E-2</v>
      </c>
    </row>
    <row r="3121" spans="2:7" x14ac:dyDescent="0.25">
      <c r="B3121" s="98"/>
      <c r="F3121">
        <v>3117</v>
      </c>
      <c r="G3121" s="109">
        <f t="shared" ca="1" si="57"/>
        <v>0.24318366031898958</v>
      </c>
    </row>
    <row r="3122" spans="2:7" x14ac:dyDescent="0.25">
      <c r="B3122" s="98"/>
      <c r="F3122">
        <v>3118</v>
      </c>
      <c r="G3122" s="109">
        <f t="shared" ca="1" si="57"/>
        <v>7.7532195796172543E-2</v>
      </c>
    </row>
    <row r="3123" spans="2:7" x14ac:dyDescent="0.25">
      <c r="B3123" s="98"/>
      <c r="F3123">
        <v>3119</v>
      </c>
      <c r="G3123" s="109">
        <f t="shared" ca="1" si="57"/>
        <v>2.6508550413759865E-3</v>
      </c>
    </row>
    <row r="3124" spans="2:7" x14ac:dyDescent="0.25">
      <c r="B3124" s="98"/>
      <c r="F3124">
        <v>3120</v>
      </c>
      <c r="G3124" s="109">
        <f t="shared" ca="1" si="57"/>
        <v>-8.7748646316828785E-2</v>
      </c>
    </row>
    <row r="3125" spans="2:7" x14ac:dyDescent="0.25">
      <c r="B3125" s="98"/>
      <c r="F3125">
        <v>3121</v>
      </c>
      <c r="G3125" s="109">
        <f t="shared" ca="1" si="57"/>
        <v>-2.142433812381242E-2</v>
      </c>
    </row>
    <row r="3126" spans="2:7" x14ac:dyDescent="0.25">
      <c r="B3126" s="98"/>
      <c r="F3126">
        <v>3122</v>
      </c>
      <c r="G3126" s="109">
        <f t="shared" ca="1" si="57"/>
        <v>2.6184513437438293E-2</v>
      </c>
    </row>
    <row r="3127" spans="2:7" x14ac:dyDescent="0.25">
      <c r="B3127" s="98"/>
      <c r="F3127">
        <v>3123</v>
      </c>
      <c r="G3127" s="109">
        <f t="shared" ca="1" si="57"/>
        <v>8.6152353576263094E-2</v>
      </c>
    </row>
    <row r="3128" spans="2:7" x14ac:dyDescent="0.25">
      <c r="B3128" s="98"/>
      <c r="F3128">
        <v>3124</v>
      </c>
      <c r="G3128" s="109">
        <f t="shared" ca="1" si="57"/>
        <v>8.6971336349583317E-2</v>
      </c>
    </row>
    <row r="3129" spans="2:7" x14ac:dyDescent="0.25">
      <c r="B3129" s="98"/>
      <c r="F3129">
        <v>3125</v>
      </c>
      <c r="G3129" s="109">
        <f t="shared" ca="1" si="57"/>
        <v>-0.10860911602623054</v>
      </c>
    </row>
    <row r="3130" spans="2:7" x14ac:dyDescent="0.25">
      <c r="B3130" s="98"/>
      <c r="F3130">
        <v>3126</v>
      </c>
      <c r="G3130" s="109">
        <f t="shared" ca="1" si="57"/>
        <v>5.1320483946587621E-2</v>
      </c>
    </row>
    <row r="3131" spans="2:7" x14ac:dyDescent="0.25">
      <c r="B3131" s="98"/>
      <c r="F3131">
        <v>3127</v>
      </c>
      <c r="G3131" s="109">
        <f t="shared" ca="1" si="57"/>
        <v>7.8360022396950543E-2</v>
      </c>
    </row>
    <row r="3132" spans="2:7" x14ac:dyDescent="0.25">
      <c r="B3132" s="98"/>
      <c r="F3132">
        <v>3128</v>
      </c>
      <c r="G3132" s="109">
        <f t="shared" ca="1" si="57"/>
        <v>2.7372507510835836E-2</v>
      </c>
    </row>
    <row r="3133" spans="2:7" x14ac:dyDescent="0.25">
      <c r="B3133" s="98"/>
      <c r="F3133">
        <v>3129</v>
      </c>
      <c r="G3133" s="109">
        <f t="shared" ca="1" si="57"/>
        <v>3.1168445083747547E-2</v>
      </c>
    </row>
    <row r="3134" spans="2:7" x14ac:dyDescent="0.25">
      <c r="B3134" s="98"/>
      <c r="F3134">
        <v>3130</v>
      </c>
      <c r="G3134" s="109">
        <f t="shared" ca="1" si="57"/>
        <v>8.7181727927363395E-2</v>
      </c>
    </row>
    <row r="3135" spans="2:7" x14ac:dyDescent="0.25">
      <c r="B3135" s="98"/>
      <c r="F3135">
        <v>3131</v>
      </c>
      <c r="G3135" s="109">
        <f t="shared" ca="1" si="57"/>
        <v>0.15308735822009267</v>
      </c>
    </row>
    <row r="3136" spans="2:7" x14ac:dyDescent="0.25">
      <c r="B3136" s="98"/>
      <c r="F3136">
        <v>3132</v>
      </c>
      <c r="G3136" s="109">
        <f t="shared" ca="1" si="57"/>
        <v>0.11128074260905847</v>
      </c>
    </row>
    <row r="3137" spans="2:7" x14ac:dyDescent="0.25">
      <c r="B3137" s="98"/>
      <c r="F3137">
        <v>3133</v>
      </c>
      <c r="G3137" s="109">
        <f t="shared" ca="1" si="57"/>
        <v>9.5696215233088508E-2</v>
      </c>
    </row>
    <row r="3138" spans="2:7" x14ac:dyDescent="0.25">
      <c r="B3138" s="98"/>
      <c r="F3138">
        <v>3134</v>
      </c>
      <c r="G3138" s="109">
        <f t="shared" ca="1" si="57"/>
        <v>-5.3145838826250444E-2</v>
      </c>
    </row>
    <row r="3139" spans="2:7" x14ac:dyDescent="0.25">
      <c r="B3139" s="98"/>
      <c r="F3139">
        <v>3135</v>
      </c>
      <c r="G3139" s="109">
        <f t="shared" ca="1" si="57"/>
        <v>6.5896150067456777E-2</v>
      </c>
    </row>
    <row r="3140" spans="2:7" x14ac:dyDescent="0.25">
      <c r="B3140" s="98"/>
      <c r="F3140">
        <v>3136</v>
      </c>
      <c r="G3140" s="109">
        <f t="shared" ca="1" si="57"/>
        <v>1.1221924317276193E-2</v>
      </c>
    </row>
    <row r="3141" spans="2:7" x14ac:dyDescent="0.25">
      <c r="B3141" s="98"/>
      <c r="F3141">
        <v>3137</v>
      </c>
      <c r="G3141" s="109">
        <f t="shared" ca="1" si="57"/>
        <v>-5.2656233859557519E-2</v>
      </c>
    </row>
    <row r="3142" spans="2:7" x14ac:dyDescent="0.25">
      <c r="B3142" s="98"/>
      <c r="F3142">
        <v>3138</v>
      </c>
      <c r="G3142" s="109">
        <f t="shared" ref="G3142:G3205" ca="1" si="58">_xlfn.NORM.INV(RAND(),$M$5,$M$6)</f>
        <v>-4.1108252144948954E-2</v>
      </c>
    </row>
    <row r="3143" spans="2:7" x14ac:dyDescent="0.25">
      <c r="B3143" s="98"/>
      <c r="F3143">
        <v>3139</v>
      </c>
      <c r="G3143" s="109">
        <f t="shared" ca="1" si="58"/>
        <v>-8.2486779110828648E-2</v>
      </c>
    </row>
    <row r="3144" spans="2:7" x14ac:dyDescent="0.25">
      <c r="B3144" s="98"/>
      <c r="F3144">
        <v>3140</v>
      </c>
      <c r="G3144" s="109">
        <f t="shared" ca="1" si="58"/>
        <v>-0.1002599556829382</v>
      </c>
    </row>
    <row r="3145" spans="2:7" x14ac:dyDescent="0.25">
      <c r="B3145" s="98"/>
      <c r="F3145">
        <v>3141</v>
      </c>
      <c r="G3145" s="109">
        <f t="shared" ca="1" si="58"/>
        <v>0.15012916255253486</v>
      </c>
    </row>
    <row r="3146" spans="2:7" x14ac:dyDescent="0.25">
      <c r="B3146" s="98"/>
      <c r="F3146">
        <v>3142</v>
      </c>
      <c r="G3146" s="109">
        <f t="shared" ca="1" si="58"/>
        <v>5.4291823808328213E-2</v>
      </c>
    </row>
    <row r="3147" spans="2:7" x14ac:dyDescent="0.25">
      <c r="B3147" s="98"/>
      <c r="F3147">
        <v>3143</v>
      </c>
      <c r="G3147" s="109">
        <f t="shared" ca="1" si="58"/>
        <v>7.4591025682636675E-2</v>
      </c>
    </row>
    <row r="3148" spans="2:7" x14ac:dyDescent="0.25">
      <c r="B3148" s="98"/>
      <c r="F3148">
        <v>3144</v>
      </c>
      <c r="G3148" s="109">
        <f t="shared" ca="1" si="58"/>
        <v>8.93375284298598E-2</v>
      </c>
    </row>
    <row r="3149" spans="2:7" x14ac:dyDescent="0.25">
      <c r="B3149" s="98"/>
      <c r="F3149">
        <v>3145</v>
      </c>
      <c r="G3149" s="109">
        <f t="shared" ca="1" si="58"/>
        <v>0.24542457118291394</v>
      </c>
    </row>
    <row r="3150" spans="2:7" x14ac:dyDescent="0.25">
      <c r="B3150" s="98"/>
      <c r="F3150">
        <v>3146</v>
      </c>
      <c r="G3150" s="109">
        <f t="shared" ca="1" si="58"/>
        <v>-0.14533926059955105</v>
      </c>
    </row>
    <row r="3151" spans="2:7" x14ac:dyDescent="0.25">
      <c r="B3151" s="98"/>
      <c r="F3151">
        <v>3147</v>
      </c>
      <c r="G3151" s="109">
        <f t="shared" ca="1" si="58"/>
        <v>-5.7066518322749976E-2</v>
      </c>
    </row>
    <row r="3152" spans="2:7" x14ac:dyDescent="0.25">
      <c r="B3152" s="98"/>
      <c r="F3152">
        <v>3148</v>
      </c>
      <c r="G3152" s="109">
        <f t="shared" ca="1" si="58"/>
        <v>8.8993288891712138E-3</v>
      </c>
    </row>
    <row r="3153" spans="2:7" x14ac:dyDescent="0.25">
      <c r="B3153" s="98"/>
      <c r="F3153">
        <v>3149</v>
      </c>
      <c r="G3153" s="109">
        <f t="shared" ca="1" si="58"/>
        <v>1.2022918502015305E-2</v>
      </c>
    </row>
    <row r="3154" spans="2:7" x14ac:dyDescent="0.25">
      <c r="B3154" s="98"/>
      <c r="F3154">
        <v>3150</v>
      </c>
      <c r="G3154" s="109">
        <f t="shared" ca="1" si="58"/>
        <v>1.2525692374194347E-2</v>
      </c>
    </row>
    <row r="3155" spans="2:7" x14ac:dyDescent="0.25">
      <c r="B3155" s="98"/>
      <c r="F3155">
        <v>3151</v>
      </c>
      <c r="G3155" s="109">
        <f t="shared" ca="1" si="58"/>
        <v>-9.0647571489638104E-2</v>
      </c>
    </row>
    <row r="3156" spans="2:7" x14ac:dyDescent="0.25">
      <c r="B3156" s="98"/>
      <c r="F3156">
        <v>3152</v>
      </c>
      <c r="G3156" s="109">
        <f t="shared" ca="1" si="58"/>
        <v>0.25135765906550817</v>
      </c>
    </row>
    <row r="3157" spans="2:7" x14ac:dyDescent="0.25">
      <c r="B3157" s="98"/>
      <c r="F3157">
        <v>3153</v>
      </c>
      <c r="G3157" s="109">
        <f t="shared" ca="1" si="58"/>
        <v>6.793334680497333E-2</v>
      </c>
    </row>
    <row r="3158" spans="2:7" x14ac:dyDescent="0.25">
      <c r="B3158" s="98"/>
      <c r="F3158">
        <v>3154</v>
      </c>
      <c r="G3158" s="109">
        <f t="shared" ca="1" si="58"/>
        <v>-0.18676930606854142</v>
      </c>
    </row>
    <row r="3159" spans="2:7" x14ac:dyDescent="0.25">
      <c r="B3159" s="98"/>
      <c r="F3159">
        <v>3155</v>
      </c>
      <c r="G3159" s="109">
        <f t="shared" ca="1" si="58"/>
        <v>5.4855935129065683E-2</v>
      </c>
    </row>
    <row r="3160" spans="2:7" x14ac:dyDescent="0.25">
      <c r="B3160" s="98"/>
      <c r="F3160">
        <v>3156</v>
      </c>
      <c r="G3160" s="109">
        <f t="shared" ca="1" si="58"/>
        <v>4.5496027691360595E-2</v>
      </c>
    </row>
    <row r="3161" spans="2:7" x14ac:dyDescent="0.25">
      <c r="B3161" s="98"/>
      <c r="F3161">
        <v>3157</v>
      </c>
      <c r="G3161" s="109">
        <f t="shared" ca="1" si="58"/>
        <v>0.24813132490640177</v>
      </c>
    </row>
    <row r="3162" spans="2:7" x14ac:dyDescent="0.25">
      <c r="B3162" s="98"/>
      <c r="F3162">
        <v>3158</v>
      </c>
      <c r="G3162" s="109">
        <f t="shared" ca="1" si="58"/>
        <v>7.5542654112855531E-2</v>
      </c>
    </row>
    <row r="3163" spans="2:7" x14ac:dyDescent="0.25">
      <c r="B3163" s="98"/>
      <c r="F3163">
        <v>3159</v>
      </c>
      <c r="G3163" s="109">
        <f t="shared" ca="1" si="58"/>
        <v>-7.5365950526555398E-2</v>
      </c>
    </row>
    <row r="3164" spans="2:7" x14ac:dyDescent="0.25">
      <c r="B3164" s="98"/>
      <c r="F3164">
        <v>3160</v>
      </c>
      <c r="G3164" s="109">
        <f t="shared" ca="1" si="58"/>
        <v>-1.9752812997747504E-2</v>
      </c>
    </row>
    <row r="3165" spans="2:7" x14ac:dyDescent="0.25">
      <c r="B3165" s="98"/>
      <c r="F3165">
        <v>3161</v>
      </c>
      <c r="G3165" s="109">
        <f t="shared" ca="1" si="58"/>
        <v>-0.11067868262424178</v>
      </c>
    </row>
    <row r="3166" spans="2:7" x14ac:dyDescent="0.25">
      <c r="B3166" s="98"/>
      <c r="F3166">
        <v>3162</v>
      </c>
      <c r="G3166" s="109">
        <f t="shared" ca="1" si="58"/>
        <v>0.17503582405488988</v>
      </c>
    </row>
    <row r="3167" spans="2:7" x14ac:dyDescent="0.25">
      <c r="B3167" s="98"/>
      <c r="F3167">
        <v>3163</v>
      </c>
      <c r="G3167" s="109">
        <f t="shared" ca="1" si="58"/>
        <v>7.3514695549790718E-2</v>
      </c>
    </row>
    <row r="3168" spans="2:7" x14ac:dyDescent="0.25">
      <c r="B3168" s="98"/>
      <c r="F3168">
        <v>3164</v>
      </c>
      <c r="G3168" s="109">
        <f t="shared" ca="1" si="58"/>
        <v>-7.6529416590414373E-2</v>
      </c>
    </row>
    <row r="3169" spans="2:7" x14ac:dyDescent="0.25">
      <c r="B3169" s="98"/>
      <c r="F3169">
        <v>3165</v>
      </c>
      <c r="G3169" s="109">
        <f t="shared" ca="1" si="58"/>
        <v>3.2107584707562808E-2</v>
      </c>
    </row>
    <row r="3170" spans="2:7" x14ac:dyDescent="0.25">
      <c r="B3170" s="98"/>
      <c r="F3170">
        <v>3166</v>
      </c>
      <c r="G3170" s="109">
        <f t="shared" ca="1" si="58"/>
        <v>0.10446706730530841</v>
      </c>
    </row>
    <row r="3171" spans="2:7" x14ac:dyDescent="0.25">
      <c r="B3171" s="98"/>
      <c r="F3171">
        <v>3167</v>
      </c>
      <c r="G3171" s="109">
        <f t="shared" ca="1" si="58"/>
        <v>0.18479826087403095</v>
      </c>
    </row>
    <row r="3172" spans="2:7" x14ac:dyDescent="0.25">
      <c r="B3172" s="98"/>
      <c r="F3172">
        <v>3168</v>
      </c>
      <c r="G3172" s="109">
        <f t="shared" ca="1" si="58"/>
        <v>2.686144618333941E-2</v>
      </c>
    </row>
    <row r="3173" spans="2:7" x14ac:dyDescent="0.25">
      <c r="B3173" s="98"/>
      <c r="F3173">
        <v>3169</v>
      </c>
      <c r="G3173" s="109">
        <f t="shared" ca="1" si="58"/>
        <v>-5.1235794628438566E-2</v>
      </c>
    </row>
    <row r="3174" spans="2:7" x14ac:dyDescent="0.25">
      <c r="B3174" s="98"/>
      <c r="F3174">
        <v>3170</v>
      </c>
      <c r="G3174" s="109">
        <f t="shared" ca="1" si="58"/>
        <v>9.0678374587400412E-2</v>
      </c>
    </row>
    <row r="3175" spans="2:7" x14ac:dyDescent="0.25">
      <c r="B3175" s="98"/>
      <c r="F3175">
        <v>3171</v>
      </c>
      <c r="G3175" s="109">
        <f t="shared" ca="1" si="58"/>
        <v>1.3805764594993011E-2</v>
      </c>
    </row>
    <row r="3176" spans="2:7" x14ac:dyDescent="0.25">
      <c r="B3176" s="98"/>
      <c r="F3176">
        <v>3172</v>
      </c>
      <c r="G3176" s="109">
        <f t="shared" ca="1" si="58"/>
        <v>-5.2279775375000864E-2</v>
      </c>
    </row>
    <row r="3177" spans="2:7" x14ac:dyDescent="0.25">
      <c r="B3177" s="98"/>
      <c r="F3177">
        <v>3173</v>
      </c>
      <c r="G3177" s="109">
        <f t="shared" ca="1" si="58"/>
        <v>2.2213266475539166E-2</v>
      </c>
    </row>
    <row r="3178" spans="2:7" x14ac:dyDescent="0.25">
      <c r="B3178" s="98"/>
      <c r="F3178">
        <v>3174</v>
      </c>
      <c r="G3178" s="109">
        <f t="shared" ca="1" si="58"/>
        <v>8.2593055542087845E-2</v>
      </c>
    </row>
    <row r="3179" spans="2:7" x14ac:dyDescent="0.25">
      <c r="B3179" s="98"/>
      <c r="F3179">
        <v>3175</v>
      </c>
      <c r="G3179" s="109">
        <f t="shared" ca="1" si="58"/>
        <v>4.6541616876523216E-2</v>
      </c>
    </row>
    <row r="3180" spans="2:7" x14ac:dyDescent="0.25">
      <c r="B3180" s="98"/>
      <c r="F3180">
        <v>3176</v>
      </c>
      <c r="G3180" s="109">
        <f t="shared" ca="1" si="58"/>
        <v>0.15465700821137995</v>
      </c>
    </row>
    <row r="3181" spans="2:7" x14ac:dyDescent="0.25">
      <c r="B3181" s="98"/>
      <c r="F3181">
        <v>3177</v>
      </c>
      <c r="G3181" s="109">
        <f t="shared" ca="1" si="58"/>
        <v>0.21172518018671699</v>
      </c>
    </row>
    <row r="3182" spans="2:7" x14ac:dyDescent="0.25">
      <c r="B3182" s="98"/>
      <c r="F3182">
        <v>3178</v>
      </c>
      <c r="G3182" s="109">
        <f t="shared" ca="1" si="58"/>
        <v>3.5865325121016207E-2</v>
      </c>
    </row>
    <row r="3183" spans="2:7" x14ac:dyDescent="0.25">
      <c r="B3183" s="98"/>
      <c r="F3183">
        <v>3179</v>
      </c>
      <c r="G3183" s="109">
        <f t="shared" ca="1" si="58"/>
        <v>1.7877088219729054E-2</v>
      </c>
    </row>
    <row r="3184" spans="2:7" x14ac:dyDescent="0.25">
      <c r="B3184" s="98"/>
      <c r="F3184">
        <v>3180</v>
      </c>
      <c r="G3184" s="109">
        <f t="shared" ca="1" si="58"/>
        <v>3.8923722358286506E-2</v>
      </c>
    </row>
    <row r="3185" spans="2:7" x14ac:dyDescent="0.25">
      <c r="B3185" s="98"/>
      <c r="F3185">
        <v>3181</v>
      </c>
      <c r="G3185" s="109">
        <f t="shared" ca="1" si="58"/>
        <v>7.2724913570310426E-3</v>
      </c>
    </row>
    <row r="3186" spans="2:7" x14ac:dyDescent="0.25">
      <c r="B3186" s="98"/>
      <c r="F3186">
        <v>3182</v>
      </c>
      <c r="G3186" s="109">
        <f t="shared" ca="1" si="58"/>
        <v>5.0532345531745612E-2</v>
      </c>
    </row>
    <row r="3187" spans="2:7" x14ac:dyDescent="0.25">
      <c r="B3187" s="98"/>
      <c r="F3187">
        <v>3183</v>
      </c>
      <c r="G3187" s="109">
        <f t="shared" ca="1" si="58"/>
        <v>-7.4488506526031173E-4</v>
      </c>
    </row>
    <row r="3188" spans="2:7" x14ac:dyDescent="0.25">
      <c r="B3188" s="98"/>
      <c r="F3188">
        <v>3184</v>
      </c>
      <c r="G3188" s="109">
        <f t="shared" ca="1" si="58"/>
        <v>4.6386412243790767E-3</v>
      </c>
    </row>
    <row r="3189" spans="2:7" x14ac:dyDescent="0.25">
      <c r="B3189" s="98"/>
      <c r="F3189">
        <v>3185</v>
      </c>
      <c r="G3189" s="109">
        <f t="shared" ca="1" si="58"/>
        <v>-6.0481298348238496E-2</v>
      </c>
    </row>
    <row r="3190" spans="2:7" x14ac:dyDescent="0.25">
      <c r="B3190" s="98"/>
      <c r="F3190">
        <v>3186</v>
      </c>
      <c r="G3190" s="109">
        <f t="shared" ca="1" si="58"/>
        <v>2.5351769541563391E-2</v>
      </c>
    </row>
    <row r="3191" spans="2:7" x14ac:dyDescent="0.25">
      <c r="B3191" s="98"/>
      <c r="F3191">
        <v>3187</v>
      </c>
      <c r="G3191" s="109">
        <f t="shared" ca="1" si="58"/>
        <v>0.1900320193708146</v>
      </c>
    </row>
    <row r="3192" spans="2:7" x14ac:dyDescent="0.25">
      <c r="B3192" s="98"/>
      <c r="F3192">
        <v>3188</v>
      </c>
      <c r="G3192" s="109">
        <f t="shared" ca="1" si="58"/>
        <v>0.11420828475604614</v>
      </c>
    </row>
    <row r="3193" spans="2:7" x14ac:dyDescent="0.25">
      <c r="B3193" s="98"/>
      <c r="F3193">
        <v>3189</v>
      </c>
      <c r="G3193" s="109">
        <f t="shared" ca="1" si="58"/>
        <v>-0.14591902046689531</v>
      </c>
    </row>
    <row r="3194" spans="2:7" x14ac:dyDescent="0.25">
      <c r="B3194" s="98"/>
      <c r="F3194">
        <v>3190</v>
      </c>
      <c r="G3194" s="109">
        <f t="shared" ca="1" si="58"/>
        <v>-0.13928774947564138</v>
      </c>
    </row>
    <row r="3195" spans="2:7" x14ac:dyDescent="0.25">
      <c r="B3195" s="98"/>
      <c r="F3195">
        <v>3191</v>
      </c>
      <c r="G3195" s="109">
        <f t="shared" ca="1" si="58"/>
        <v>0.20389689331795491</v>
      </c>
    </row>
    <row r="3196" spans="2:7" x14ac:dyDescent="0.25">
      <c r="B3196" s="98"/>
      <c r="F3196">
        <v>3192</v>
      </c>
      <c r="G3196" s="109">
        <f t="shared" ca="1" si="58"/>
        <v>5.622601560127697E-2</v>
      </c>
    </row>
    <row r="3197" spans="2:7" x14ac:dyDescent="0.25">
      <c r="B3197" s="98"/>
      <c r="F3197">
        <v>3193</v>
      </c>
      <c r="G3197" s="109">
        <f t="shared" ca="1" si="58"/>
        <v>0.12186673669591594</v>
      </c>
    </row>
    <row r="3198" spans="2:7" x14ac:dyDescent="0.25">
      <c r="B3198" s="98"/>
      <c r="F3198">
        <v>3194</v>
      </c>
      <c r="G3198" s="109">
        <f t="shared" ca="1" si="58"/>
        <v>0.15899609867135051</v>
      </c>
    </row>
    <row r="3199" spans="2:7" x14ac:dyDescent="0.25">
      <c r="B3199" s="98"/>
      <c r="F3199">
        <v>3195</v>
      </c>
      <c r="G3199" s="109">
        <f t="shared" ca="1" si="58"/>
        <v>8.7283437677755649E-5</v>
      </c>
    </row>
    <row r="3200" spans="2:7" x14ac:dyDescent="0.25">
      <c r="B3200" s="98"/>
      <c r="F3200">
        <v>3196</v>
      </c>
      <c r="G3200" s="109">
        <f t="shared" ca="1" si="58"/>
        <v>-4.656305344992491E-2</v>
      </c>
    </row>
    <row r="3201" spans="2:7" x14ac:dyDescent="0.25">
      <c r="B3201" s="98"/>
      <c r="F3201">
        <v>3197</v>
      </c>
      <c r="G3201" s="109">
        <f t="shared" ca="1" si="58"/>
        <v>0.1189540605245584</v>
      </c>
    </row>
    <row r="3202" spans="2:7" x14ac:dyDescent="0.25">
      <c r="B3202" s="98"/>
      <c r="F3202">
        <v>3198</v>
      </c>
      <c r="G3202" s="109">
        <f t="shared" ca="1" si="58"/>
        <v>6.3544675473866677E-2</v>
      </c>
    </row>
    <row r="3203" spans="2:7" x14ac:dyDescent="0.25">
      <c r="B3203" s="98"/>
      <c r="F3203">
        <v>3199</v>
      </c>
      <c r="G3203" s="109">
        <f t="shared" ca="1" si="58"/>
        <v>1.166173653818519E-2</v>
      </c>
    </row>
    <row r="3204" spans="2:7" x14ac:dyDescent="0.25">
      <c r="B3204" s="98"/>
      <c r="F3204">
        <v>3200</v>
      </c>
      <c r="G3204" s="109">
        <f t="shared" ca="1" si="58"/>
        <v>0.17274777564885319</v>
      </c>
    </row>
    <row r="3205" spans="2:7" x14ac:dyDescent="0.25">
      <c r="B3205" s="98"/>
      <c r="F3205">
        <v>3201</v>
      </c>
      <c r="G3205" s="109">
        <f t="shared" ca="1" si="58"/>
        <v>-4.4875272029261878E-2</v>
      </c>
    </row>
    <row r="3206" spans="2:7" x14ac:dyDescent="0.25">
      <c r="B3206" s="98"/>
      <c r="F3206">
        <v>3202</v>
      </c>
      <c r="G3206" s="109">
        <f t="shared" ref="G3206:G3269" ca="1" si="59">_xlfn.NORM.INV(RAND(),$M$5,$M$6)</f>
        <v>0.15148549781533671</v>
      </c>
    </row>
    <row r="3207" spans="2:7" x14ac:dyDescent="0.25">
      <c r="B3207" s="98"/>
      <c r="F3207">
        <v>3203</v>
      </c>
      <c r="G3207" s="109">
        <f t="shared" ca="1" si="59"/>
        <v>-0.11637937265981387</v>
      </c>
    </row>
    <row r="3208" spans="2:7" x14ac:dyDescent="0.25">
      <c r="B3208" s="98"/>
      <c r="F3208">
        <v>3204</v>
      </c>
      <c r="G3208" s="109">
        <f t="shared" ca="1" si="59"/>
        <v>0.12358650421192902</v>
      </c>
    </row>
    <row r="3209" spans="2:7" x14ac:dyDescent="0.25">
      <c r="B3209" s="98"/>
      <c r="F3209">
        <v>3205</v>
      </c>
      <c r="G3209" s="109">
        <f t="shared" ca="1" si="59"/>
        <v>-3.5731962648105894E-2</v>
      </c>
    </row>
    <row r="3210" spans="2:7" x14ac:dyDescent="0.25">
      <c r="B3210" s="98"/>
      <c r="F3210">
        <v>3206</v>
      </c>
      <c r="G3210" s="109">
        <f t="shared" ca="1" si="59"/>
        <v>0.14795441182689201</v>
      </c>
    </row>
    <row r="3211" spans="2:7" x14ac:dyDescent="0.25">
      <c r="B3211" s="98"/>
      <c r="F3211">
        <v>3207</v>
      </c>
      <c r="G3211" s="109">
        <f t="shared" ca="1" si="59"/>
        <v>-0.12932194100588518</v>
      </c>
    </row>
    <row r="3212" spans="2:7" x14ac:dyDescent="0.25">
      <c r="B3212" s="98"/>
      <c r="F3212">
        <v>3208</v>
      </c>
      <c r="G3212" s="109">
        <f t="shared" ca="1" si="59"/>
        <v>4.0456895451052577E-2</v>
      </c>
    </row>
    <row r="3213" spans="2:7" x14ac:dyDescent="0.25">
      <c r="B3213" s="98"/>
      <c r="F3213">
        <v>3209</v>
      </c>
      <c r="G3213" s="109">
        <f t="shared" ca="1" si="59"/>
        <v>7.7206223217151315E-2</v>
      </c>
    </row>
    <row r="3214" spans="2:7" x14ac:dyDescent="0.25">
      <c r="B3214" s="98"/>
      <c r="F3214">
        <v>3210</v>
      </c>
      <c r="G3214" s="109">
        <f t="shared" ca="1" si="59"/>
        <v>-5.3470792337533837E-2</v>
      </c>
    </row>
    <row r="3215" spans="2:7" x14ac:dyDescent="0.25">
      <c r="B3215" s="98"/>
      <c r="F3215">
        <v>3211</v>
      </c>
      <c r="G3215" s="109">
        <f t="shared" ca="1" si="59"/>
        <v>0.19257393276686374</v>
      </c>
    </row>
    <row r="3216" spans="2:7" x14ac:dyDescent="0.25">
      <c r="B3216" s="98"/>
      <c r="F3216">
        <v>3212</v>
      </c>
      <c r="G3216" s="109">
        <f t="shared" ca="1" si="59"/>
        <v>4.7553267697042038E-2</v>
      </c>
    </row>
    <row r="3217" spans="2:7" x14ac:dyDescent="0.25">
      <c r="B3217" s="98"/>
      <c r="F3217">
        <v>3213</v>
      </c>
      <c r="G3217" s="109">
        <f t="shared" ca="1" si="59"/>
        <v>-8.0236449101047061E-2</v>
      </c>
    </row>
    <row r="3218" spans="2:7" x14ac:dyDescent="0.25">
      <c r="B3218" s="98"/>
      <c r="F3218">
        <v>3214</v>
      </c>
      <c r="G3218" s="109">
        <f t="shared" ca="1" si="59"/>
        <v>-2.6276904202777437E-2</v>
      </c>
    </row>
    <row r="3219" spans="2:7" x14ac:dyDescent="0.25">
      <c r="B3219" s="98"/>
      <c r="F3219">
        <v>3215</v>
      </c>
      <c r="G3219" s="109">
        <f t="shared" ca="1" si="59"/>
        <v>8.5788975305713375E-2</v>
      </c>
    </row>
    <row r="3220" spans="2:7" x14ac:dyDescent="0.25">
      <c r="B3220" s="98"/>
      <c r="F3220">
        <v>3216</v>
      </c>
      <c r="G3220" s="109">
        <f t="shared" ca="1" si="59"/>
        <v>2.9821073025141805E-2</v>
      </c>
    </row>
    <row r="3221" spans="2:7" x14ac:dyDescent="0.25">
      <c r="B3221" s="98"/>
      <c r="F3221">
        <v>3217</v>
      </c>
      <c r="G3221" s="109">
        <f t="shared" ca="1" si="59"/>
        <v>7.1906818001436779E-2</v>
      </c>
    </row>
    <row r="3222" spans="2:7" x14ac:dyDescent="0.25">
      <c r="B3222" s="98"/>
      <c r="F3222">
        <v>3218</v>
      </c>
      <c r="G3222" s="109">
        <f t="shared" ca="1" si="59"/>
        <v>6.6912029609151477E-2</v>
      </c>
    </row>
    <row r="3223" spans="2:7" x14ac:dyDescent="0.25">
      <c r="B3223" s="98"/>
      <c r="F3223">
        <v>3219</v>
      </c>
      <c r="G3223" s="109">
        <f t="shared" ca="1" si="59"/>
        <v>8.8761517962298447E-2</v>
      </c>
    </row>
    <row r="3224" spans="2:7" x14ac:dyDescent="0.25">
      <c r="B3224" s="98"/>
      <c r="F3224">
        <v>3220</v>
      </c>
      <c r="G3224" s="109">
        <f t="shared" ca="1" si="59"/>
        <v>3.9466278926498705E-2</v>
      </c>
    </row>
    <row r="3225" spans="2:7" x14ac:dyDescent="0.25">
      <c r="B3225" s="98"/>
      <c r="F3225">
        <v>3221</v>
      </c>
      <c r="G3225" s="109">
        <f t="shared" ca="1" si="59"/>
        <v>-5.0628051747897626E-2</v>
      </c>
    </row>
    <row r="3226" spans="2:7" x14ac:dyDescent="0.25">
      <c r="B3226" s="98"/>
      <c r="F3226">
        <v>3222</v>
      </c>
      <c r="G3226" s="109">
        <f t="shared" ca="1" si="59"/>
        <v>0.19768857183599758</v>
      </c>
    </row>
    <row r="3227" spans="2:7" x14ac:dyDescent="0.25">
      <c r="B3227" s="98"/>
      <c r="F3227">
        <v>3223</v>
      </c>
      <c r="G3227" s="109">
        <f t="shared" ca="1" si="59"/>
        <v>8.5874387370156846E-2</v>
      </c>
    </row>
    <row r="3228" spans="2:7" x14ac:dyDescent="0.25">
      <c r="B3228" s="98"/>
      <c r="F3228">
        <v>3224</v>
      </c>
      <c r="G3228" s="109">
        <f t="shared" ca="1" si="59"/>
        <v>8.102768985567553E-2</v>
      </c>
    </row>
    <row r="3229" spans="2:7" x14ac:dyDescent="0.25">
      <c r="B3229" s="98"/>
      <c r="F3229">
        <v>3225</v>
      </c>
      <c r="G3229" s="109">
        <f t="shared" ca="1" si="59"/>
        <v>5.4039716895458667E-2</v>
      </c>
    </row>
    <row r="3230" spans="2:7" x14ac:dyDescent="0.25">
      <c r="B3230" s="98"/>
      <c r="F3230">
        <v>3226</v>
      </c>
      <c r="G3230" s="109">
        <f t="shared" ca="1" si="59"/>
        <v>4.7493026393880811E-3</v>
      </c>
    </row>
    <row r="3231" spans="2:7" x14ac:dyDescent="0.25">
      <c r="B3231" s="98"/>
      <c r="F3231">
        <v>3227</v>
      </c>
      <c r="G3231" s="109">
        <f t="shared" ca="1" si="59"/>
        <v>-1.4391656119192499E-2</v>
      </c>
    </row>
    <row r="3232" spans="2:7" x14ac:dyDescent="0.25">
      <c r="B3232" s="98"/>
      <c r="F3232">
        <v>3228</v>
      </c>
      <c r="G3232" s="109">
        <f t="shared" ca="1" si="59"/>
        <v>2.2984976960248996E-2</v>
      </c>
    </row>
    <row r="3233" spans="2:7" x14ac:dyDescent="0.25">
      <c r="B3233" s="98"/>
      <c r="F3233">
        <v>3229</v>
      </c>
      <c r="G3233" s="109">
        <f t="shared" ca="1" si="59"/>
        <v>-0.16691607411014442</v>
      </c>
    </row>
    <row r="3234" spans="2:7" x14ac:dyDescent="0.25">
      <c r="B3234" s="98"/>
      <c r="F3234">
        <v>3230</v>
      </c>
      <c r="G3234" s="109">
        <f t="shared" ca="1" si="59"/>
        <v>0.13520742029887084</v>
      </c>
    </row>
    <row r="3235" spans="2:7" x14ac:dyDescent="0.25">
      <c r="B3235" s="98"/>
      <c r="F3235">
        <v>3231</v>
      </c>
      <c r="G3235" s="109">
        <f t="shared" ca="1" si="59"/>
        <v>4.9560822541681059E-2</v>
      </c>
    </row>
    <row r="3236" spans="2:7" x14ac:dyDescent="0.25">
      <c r="B3236" s="98"/>
      <c r="F3236">
        <v>3232</v>
      </c>
      <c r="G3236" s="109">
        <f t="shared" ca="1" si="59"/>
        <v>-1.780319330713484E-2</v>
      </c>
    </row>
    <row r="3237" spans="2:7" x14ac:dyDescent="0.25">
      <c r="B3237" s="98"/>
      <c r="F3237">
        <v>3233</v>
      </c>
      <c r="G3237" s="109">
        <f t="shared" ca="1" si="59"/>
        <v>5.4044834903166424E-2</v>
      </c>
    </row>
    <row r="3238" spans="2:7" x14ac:dyDescent="0.25">
      <c r="B3238" s="98"/>
      <c r="F3238">
        <v>3234</v>
      </c>
      <c r="G3238" s="109">
        <f t="shared" ca="1" si="59"/>
        <v>0.18235765324068454</v>
      </c>
    </row>
    <row r="3239" spans="2:7" x14ac:dyDescent="0.25">
      <c r="B3239" s="98"/>
      <c r="F3239">
        <v>3235</v>
      </c>
      <c r="G3239" s="109">
        <f t="shared" ca="1" si="59"/>
        <v>3.2878901980727154E-2</v>
      </c>
    </row>
    <row r="3240" spans="2:7" x14ac:dyDescent="0.25">
      <c r="B3240" s="98"/>
      <c r="F3240">
        <v>3236</v>
      </c>
      <c r="G3240" s="109">
        <f t="shared" ca="1" si="59"/>
        <v>0.12077305085955391</v>
      </c>
    </row>
    <row r="3241" spans="2:7" x14ac:dyDescent="0.25">
      <c r="B3241" s="98"/>
      <c r="F3241">
        <v>3237</v>
      </c>
      <c r="G3241" s="109">
        <f t="shared" ca="1" si="59"/>
        <v>0.10954676678763361</v>
      </c>
    </row>
    <row r="3242" spans="2:7" x14ac:dyDescent="0.25">
      <c r="B3242" s="98"/>
      <c r="F3242">
        <v>3238</v>
      </c>
      <c r="G3242" s="109">
        <f t="shared" ca="1" si="59"/>
        <v>-3.9554685972794587E-2</v>
      </c>
    </row>
    <row r="3243" spans="2:7" x14ac:dyDescent="0.25">
      <c r="B3243" s="98"/>
      <c r="F3243">
        <v>3239</v>
      </c>
      <c r="G3243" s="109">
        <f t="shared" ca="1" si="59"/>
        <v>1.59964712346417E-2</v>
      </c>
    </row>
    <row r="3244" spans="2:7" x14ac:dyDescent="0.25">
      <c r="B3244" s="98"/>
      <c r="F3244">
        <v>3240</v>
      </c>
      <c r="G3244" s="109">
        <f t="shared" ca="1" si="59"/>
        <v>0.17449580403465148</v>
      </c>
    </row>
    <row r="3245" spans="2:7" x14ac:dyDescent="0.25">
      <c r="B3245" s="98"/>
      <c r="F3245">
        <v>3241</v>
      </c>
      <c r="G3245" s="109">
        <f t="shared" ca="1" si="59"/>
        <v>0.19407387211549593</v>
      </c>
    </row>
    <row r="3246" spans="2:7" x14ac:dyDescent="0.25">
      <c r="B3246" s="98"/>
      <c r="F3246">
        <v>3242</v>
      </c>
      <c r="G3246" s="109">
        <f t="shared" ca="1" si="59"/>
        <v>-2.9278311333197651E-2</v>
      </c>
    </row>
    <row r="3247" spans="2:7" x14ac:dyDescent="0.25">
      <c r="B3247" s="98"/>
      <c r="F3247">
        <v>3243</v>
      </c>
      <c r="G3247" s="109">
        <f t="shared" ca="1" si="59"/>
        <v>9.5764742883089185E-2</v>
      </c>
    </row>
    <row r="3248" spans="2:7" x14ac:dyDescent="0.25">
      <c r="B3248" s="98"/>
      <c r="F3248">
        <v>3244</v>
      </c>
      <c r="G3248" s="109">
        <f t="shared" ca="1" si="59"/>
        <v>0.10681807153104297</v>
      </c>
    </row>
    <row r="3249" spans="2:7" x14ac:dyDescent="0.25">
      <c r="B3249" s="98"/>
      <c r="F3249">
        <v>3245</v>
      </c>
      <c r="G3249" s="109">
        <f t="shared" ca="1" si="59"/>
        <v>0.13424275622115467</v>
      </c>
    </row>
    <row r="3250" spans="2:7" x14ac:dyDescent="0.25">
      <c r="B3250" s="98"/>
      <c r="F3250">
        <v>3246</v>
      </c>
      <c r="G3250" s="109">
        <f t="shared" ca="1" si="59"/>
        <v>1.5652290401198705E-2</v>
      </c>
    </row>
    <row r="3251" spans="2:7" x14ac:dyDescent="0.25">
      <c r="B3251" s="98"/>
      <c r="F3251">
        <v>3247</v>
      </c>
      <c r="G3251" s="109">
        <f t="shared" ca="1" si="59"/>
        <v>0.10543231816128469</v>
      </c>
    </row>
    <row r="3252" spans="2:7" x14ac:dyDescent="0.25">
      <c r="B3252" s="98"/>
      <c r="F3252">
        <v>3248</v>
      </c>
      <c r="G3252" s="109">
        <f t="shared" ca="1" si="59"/>
        <v>6.5882407716127855E-2</v>
      </c>
    </row>
    <row r="3253" spans="2:7" x14ac:dyDescent="0.25">
      <c r="B3253" s="98"/>
      <c r="F3253">
        <v>3249</v>
      </c>
      <c r="G3253" s="109">
        <f t="shared" ca="1" si="59"/>
        <v>-0.20708548400032145</v>
      </c>
    </row>
    <row r="3254" spans="2:7" x14ac:dyDescent="0.25">
      <c r="B3254" s="98"/>
      <c r="F3254">
        <v>3250</v>
      </c>
      <c r="G3254" s="109">
        <f t="shared" ca="1" si="59"/>
        <v>2.3400369986637404E-2</v>
      </c>
    </row>
    <row r="3255" spans="2:7" x14ac:dyDescent="0.25">
      <c r="B3255" s="98"/>
      <c r="F3255">
        <v>3251</v>
      </c>
      <c r="G3255" s="109">
        <f t="shared" ca="1" si="59"/>
        <v>-3.1722906746966401E-2</v>
      </c>
    </row>
    <row r="3256" spans="2:7" x14ac:dyDescent="0.25">
      <c r="B3256" s="98"/>
      <c r="F3256">
        <v>3252</v>
      </c>
      <c r="G3256" s="109">
        <f t="shared" ca="1" si="59"/>
        <v>8.5216032734756392E-2</v>
      </c>
    </row>
    <row r="3257" spans="2:7" x14ac:dyDescent="0.25">
      <c r="B3257" s="98"/>
      <c r="F3257">
        <v>3253</v>
      </c>
      <c r="G3257" s="109">
        <f t="shared" ca="1" si="59"/>
        <v>4.0964506648468436E-2</v>
      </c>
    </row>
    <row r="3258" spans="2:7" x14ac:dyDescent="0.25">
      <c r="B3258" s="98"/>
      <c r="F3258">
        <v>3254</v>
      </c>
      <c r="G3258" s="109">
        <f t="shared" ca="1" si="59"/>
        <v>0.23701446340862226</v>
      </c>
    </row>
    <row r="3259" spans="2:7" x14ac:dyDescent="0.25">
      <c r="B3259" s="98"/>
      <c r="F3259">
        <v>3255</v>
      </c>
      <c r="G3259" s="109">
        <f t="shared" ca="1" si="59"/>
        <v>-1.8607777763832711E-2</v>
      </c>
    </row>
    <row r="3260" spans="2:7" x14ac:dyDescent="0.25">
      <c r="B3260" s="98"/>
      <c r="F3260">
        <v>3256</v>
      </c>
      <c r="G3260" s="109">
        <f t="shared" ca="1" si="59"/>
        <v>7.3030672567215821E-2</v>
      </c>
    </row>
    <row r="3261" spans="2:7" x14ac:dyDescent="0.25">
      <c r="B3261" s="98"/>
      <c r="F3261">
        <v>3257</v>
      </c>
      <c r="G3261" s="109">
        <f t="shared" ca="1" si="59"/>
        <v>0.21074082073409001</v>
      </c>
    </row>
    <row r="3262" spans="2:7" x14ac:dyDescent="0.25">
      <c r="B3262" s="98"/>
      <c r="F3262">
        <v>3258</v>
      </c>
      <c r="G3262" s="109">
        <f t="shared" ca="1" si="59"/>
        <v>2.7002707864010062E-2</v>
      </c>
    </row>
    <row r="3263" spans="2:7" x14ac:dyDescent="0.25">
      <c r="B3263" s="98"/>
      <c r="F3263">
        <v>3259</v>
      </c>
      <c r="G3263" s="109">
        <f t="shared" ca="1" si="59"/>
        <v>1.1395416943613804E-2</v>
      </c>
    </row>
    <row r="3264" spans="2:7" x14ac:dyDescent="0.25">
      <c r="B3264" s="98"/>
      <c r="F3264">
        <v>3260</v>
      </c>
      <c r="G3264" s="109">
        <f t="shared" ca="1" si="59"/>
        <v>0.11102060800558383</v>
      </c>
    </row>
    <row r="3265" spans="2:7" x14ac:dyDescent="0.25">
      <c r="B3265" s="98"/>
      <c r="F3265">
        <v>3261</v>
      </c>
      <c r="G3265" s="109">
        <f t="shared" ca="1" si="59"/>
        <v>0.13227521965599459</v>
      </c>
    </row>
    <row r="3266" spans="2:7" x14ac:dyDescent="0.25">
      <c r="B3266" s="98"/>
      <c r="F3266">
        <v>3262</v>
      </c>
      <c r="G3266" s="109">
        <f t="shared" ca="1" si="59"/>
        <v>-3.4477937298828129E-2</v>
      </c>
    </row>
    <row r="3267" spans="2:7" x14ac:dyDescent="0.25">
      <c r="B3267" s="98"/>
      <c r="F3267">
        <v>3263</v>
      </c>
      <c r="G3267" s="109">
        <f t="shared" ca="1" si="59"/>
        <v>0.20554660621253623</v>
      </c>
    </row>
    <row r="3268" spans="2:7" x14ac:dyDescent="0.25">
      <c r="B3268" s="98"/>
      <c r="F3268">
        <v>3264</v>
      </c>
      <c r="G3268" s="109">
        <f t="shared" ca="1" si="59"/>
        <v>0.32596458353689439</v>
      </c>
    </row>
    <row r="3269" spans="2:7" x14ac:dyDescent="0.25">
      <c r="B3269" s="98"/>
      <c r="F3269">
        <v>3265</v>
      </c>
      <c r="G3269" s="109">
        <f t="shared" ca="1" si="59"/>
        <v>-0.16440594879989118</v>
      </c>
    </row>
    <row r="3270" spans="2:7" x14ac:dyDescent="0.25">
      <c r="B3270" s="98"/>
      <c r="F3270">
        <v>3266</v>
      </c>
      <c r="G3270" s="109">
        <f t="shared" ref="G3270:G3333" ca="1" si="60">_xlfn.NORM.INV(RAND(),$M$5,$M$6)</f>
        <v>-3.6661273964225985E-2</v>
      </c>
    </row>
    <row r="3271" spans="2:7" x14ac:dyDescent="0.25">
      <c r="B3271" s="98"/>
      <c r="F3271">
        <v>3267</v>
      </c>
      <c r="G3271" s="109">
        <f t="shared" ca="1" si="60"/>
        <v>0.17252460309985979</v>
      </c>
    </row>
    <row r="3272" spans="2:7" x14ac:dyDescent="0.25">
      <c r="B3272" s="98"/>
      <c r="F3272">
        <v>3268</v>
      </c>
      <c r="G3272" s="109">
        <f t="shared" ca="1" si="60"/>
        <v>0.10949460726716786</v>
      </c>
    </row>
    <row r="3273" spans="2:7" x14ac:dyDescent="0.25">
      <c r="B3273" s="98"/>
      <c r="F3273">
        <v>3269</v>
      </c>
      <c r="G3273" s="109">
        <f t="shared" ca="1" si="60"/>
        <v>1.0139212327573852E-2</v>
      </c>
    </row>
    <row r="3274" spans="2:7" x14ac:dyDescent="0.25">
      <c r="B3274" s="98"/>
      <c r="F3274">
        <v>3270</v>
      </c>
      <c r="G3274" s="109">
        <f t="shared" ca="1" si="60"/>
        <v>6.5244813349088798E-2</v>
      </c>
    </row>
    <row r="3275" spans="2:7" x14ac:dyDescent="0.25">
      <c r="B3275" s="98"/>
      <c r="F3275">
        <v>3271</v>
      </c>
      <c r="G3275" s="109">
        <f t="shared" ca="1" si="60"/>
        <v>-0.11602523981867947</v>
      </c>
    </row>
    <row r="3276" spans="2:7" x14ac:dyDescent="0.25">
      <c r="B3276" s="98"/>
      <c r="F3276">
        <v>3272</v>
      </c>
      <c r="G3276" s="109">
        <f t="shared" ca="1" si="60"/>
        <v>5.3728544456441985E-2</v>
      </c>
    </row>
    <row r="3277" spans="2:7" x14ac:dyDescent="0.25">
      <c r="B3277" s="98"/>
      <c r="F3277">
        <v>3273</v>
      </c>
      <c r="G3277" s="109">
        <f t="shared" ca="1" si="60"/>
        <v>-0.14169914447395454</v>
      </c>
    </row>
    <row r="3278" spans="2:7" x14ac:dyDescent="0.25">
      <c r="B3278" s="98"/>
      <c r="F3278">
        <v>3274</v>
      </c>
      <c r="G3278" s="109">
        <f t="shared" ca="1" si="60"/>
        <v>0.16198199530898233</v>
      </c>
    </row>
    <row r="3279" spans="2:7" x14ac:dyDescent="0.25">
      <c r="B3279" s="98"/>
      <c r="F3279">
        <v>3275</v>
      </c>
      <c r="G3279" s="109">
        <f t="shared" ca="1" si="60"/>
        <v>0.20706901989673565</v>
      </c>
    </row>
    <row r="3280" spans="2:7" x14ac:dyDescent="0.25">
      <c r="B3280" s="98"/>
      <c r="F3280">
        <v>3276</v>
      </c>
      <c r="G3280" s="109">
        <f t="shared" ca="1" si="60"/>
        <v>2.8429898640063518E-2</v>
      </c>
    </row>
    <row r="3281" spans="2:7" x14ac:dyDescent="0.25">
      <c r="B3281" s="98"/>
      <c r="F3281">
        <v>3277</v>
      </c>
      <c r="G3281" s="109">
        <f t="shared" ca="1" si="60"/>
        <v>2.5667359916357563E-2</v>
      </c>
    </row>
    <row r="3282" spans="2:7" x14ac:dyDescent="0.25">
      <c r="B3282" s="98"/>
      <c r="F3282">
        <v>3278</v>
      </c>
      <c r="G3282" s="109">
        <f t="shared" ca="1" si="60"/>
        <v>5.3255550666789053E-2</v>
      </c>
    </row>
    <row r="3283" spans="2:7" x14ac:dyDescent="0.25">
      <c r="B3283" s="98"/>
      <c r="F3283">
        <v>3279</v>
      </c>
      <c r="G3283" s="109">
        <f t="shared" ca="1" si="60"/>
        <v>0.19790930450306504</v>
      </c>
    </row>
    <row r="3284" spans="2:7" x14ac:dyDescent="0.25">
      <c r="B3284" s="98"/>
      <c r="F3284">
        <v>3280</v>
      </c>
      <c r="G3284" s="109">
        <f t="shared" ca="1" si="60"/>
        <v>1.3057615469567574E-2</v>
      </c>
    </row>
    <row r="3285" spans="2:7" x14ac:dyDescent="0.25">
      <c r="B3285" s="98"/>
      <c r="F3285">
        <v>3281</v>
      </c>
      <c r="G3285" s="109">
        <f t="shared" ca="1" si="60"/>
        <v>1.9475427973930769E-2</v>
      </c>
    </row>
    <row r="3286" spans="2:7" x14ac:dyDescent="0.25">
      <c r="B3286" s="98"/>
      <c r="F3286">
        <v>3282</v>
      </c>
      <c r="G3286" s="109">
        <f t="shared" ca="1" si="60"/>
        <v>8.3372149053379252E-2</v>
      </c>
    </row>
    <row r="3287" spans="2:7" x14ac:dyDescent="0.25">
      <c r="B3287" s="98"/>
      <c r="F3287">
        <v>3283</v>
      </c>
      <c r="G3287" s="109">
        <f t="shared" ca="1" si="60"/>
        <v>3.8970388661302383E-2</v>
      </c>
    </row>
    <row r="3288" spans="2:7" x14ac:dyDescent="0.25">
      <c r="B3288" s="98"/>
      <c r="F3288">
        <v>3284</v>
      </c>
      <c r="G3288" s="109">
        <f t="shared" ca="1" si="60"/>
        <v>4.1991994174960773E-2</v>
      </c>
    </row>
    <row r="3289" spans="2:7" x14ac:dyDescent="0.25">
      <c r="B3289" s="98"/>
      <c r="F3289">
        <v>3285</v>
      </c>
      <c r="G3289" s="109">
        <f t="shared" ca="1" si="60"/>
        <v>-8.2019195115281565E-2</v>
      </c>
    </row>
    <row r="3290" spans="2:7" x14ac:dyDescent="0.25">
      <c r="B3290" s="98"/>
      <c r="F3290">
        <v>3286</v>
      </c>
      <c r="G3290" s="109">
        <f t="shared" ca="1" si="60"/>
        <v>-2.913274175386435E-2</v>
      </c>
    </row>
    <row r="3291" spans="2:7" x14ac:dyDescent="0.25">
      <c r="B3291" s="98"/>
      <c r="F3291">
        <v>3287</v>
      </c>
      <c r="G3291" s="109">
        <f t="shared" ca="1" si="60"/>
        <v>1.8317261209671011E-2</v>
      </c>
    </row>
    <row r="3292" spans="2:7" x14ac:dyDescent="0.25">
      <c r="B3292" s="98"/>
      <c r="F3292">
        <v>3288</v>
      </c>
      <c r="G3292" s="109">
        <f t="shared" ca="1" si="60"/>
        <v>-3.119509310293668E-2</v>
      </c>
    </row>
    <row r="3293" spans="2:7" x14ac:dyDescent="0.25">
      <c r="B3293" s="98"/>
      <c r="F3293">
        <v>3289</v>
      </c>
      <c r="G3293" s="109">
        <f t="shared" ca="1" si="60"/>
        <v>2.4936138425378406E-2</v>
      </c>
    </row>
    <row r="3294" spans="2:7" x14ac:dyDescent="0.25">
      <c r="B3294" s="98"/>
      <c r="F3294">
        <v>3290</v>
      </c>
      <c r="G3294" s="109">
        <f t="shared" ca="1" si="60"/>
        <v>3.6809139011330726E-2</v>
      </c>
    </row>
    <row r="3295" spans="2:7" x14ac:dyDescent="0.25">
      <c r="B3295" s="98"/>
      <c r="F3295">
        <v>3291</v>
      </c>
      <c r="G3295" s="109">
        <f t="shared" ca="1" si="60"/>
        <v>-6.3349082247043942E-2</v>
      </c>
    </row>
    <row r="3296" spans="2:7" x14ac:dyDescent="0.25">
      <c r="B3296" s="98"/>
      <c r="F3296">
        <v>3292</v>
      </c>
      <c r="G3296" s="109">
        <f t="shared" ca="1" si="60"/>
        <v>0.16433790405711857</v>
      </c>
    </row>
    <row r="3297" spans="2:7" x14ac:dyDescent="0.25">
      <c r="B3297" s="98"/>
      <c r="F3297">
        <v>3293</v>
      </c>
      <c r="G3297" s="109">
        <f t="shared" ca="1" si="60"/>
        <v>-0.10884260919753229</v>
      </c>
    </row>
    <row r="3298" spans="2:7" x14ac:dyDescent="0.25">
      <c r="B3298" s="98"/>
      <c r="F3298">
        <v>3294</v>
      </c>
      <c r="G3298" s="109">
        <f t="shared" ca="1" si="60"/>
        <v>1.5908407252615046E-2</v>
      </c>
    </row>
    <row r="3299" spans="2:7" x14ac:dyDescent="0.25">
      <c r="B3299" s="98"/>
      <c r="F3299">
        <v>3295</v>
      </c>
      <c r="G3299" s="109">
        <f t="shared" ca="1" si="60"/>
        <v>0.23860290177026117</v>
      </c>
    </row>
    <row r="3300" spans="2:7" x14ac:dyDescent="0.25">
      <c r="B3300" s="98"/>
      <c r="F3300">
        <v>3296</v>
      </c>
      <c r="G3300" s="109">
        <f t="shared" ca="1" si="60"/>
        <v>-1.2924701155118179E-2</v>
      </c>
    </row>
    <row r="3301" spans="2:7" x14ac:dyDescent="0.25">
      <c r="B3301" s="98"/>
      <c r="F3301">
        <v>3297</v>
      </c>
      <c r="G3301" s="109">
        <f t="shared" ca="1" si="60"/>
        <v>0.22753254352530378</v>
      </c>
    </row>
    <row r="3302" spans="2:7" x14ac:dyDescent="0.25">
      <c r="B3302" s="98"/>
      <c r="F3302">
        <v>3298</v>
      </c>
      <c r="G3302" s="109">
        <f t="shared" ca="1" si="60"/>
        <v>0.10307887990870719</v>
      </c>
    </row>
    <row r="3303" spans="2:7" x14ac:dyDescent="0.25">
      <c r="B3303" s="98"/>
      <c r="F3303">
        <v>3299</v>
      </c>
      <c r="G3303" s="109">
        <f t="shared" ca="1" si="60"/>
        <v>8.1043633652990416E-2</v>
      </c>
    </row>
    <row r="3304" spans="2:7" x14ac:dyDescent="0.25">
      <c r="B3304" s="98"/>
      <c r="F3304">
        <v>3300</v>
      </c>
      <c r="G3304" s="109">
        <f t="shared" ca="1" si="60"/>
        <v>-5.9383067971601741E-2</v>
      </c>
    </row>
    <row r="3305" spans="2:7" x14ac:dyDescent="0.25">
      <c r="B3305" s="98"/>
      <c r="F3305">
        <v>3301</v>
      </c>
      <c r="G3305" s="109">
        <f t="shared" ca="1" si="60"/>
        <v>1.0249215816433926E-2</v>
      </c>
    </row>
    <row r="3306" spans="2:7" x14ac:dyDescent="0.25">
      <c r="B3306" s="98"/>
      <c r="F3306">
        <v>3302</v>
      </c>
      <c r="G3306" s="109">
        <f t="shared" ca="1" si="60"/>
        <v>0.1605504848747385</v>
      </c>
    </row>
    <row r="3307" spans="2:7" x14ac:dyDescent="0.25">
      <c r="B3307" s="98"/>
      <c r="F3307">
        <v>3303</v>
      </c>
      <c r="G3307" s="109">
        <f t="shared" ca="1" si="60"/>
        <v>0.16745831059972749</v>
      </c>
    </row>
    <row r="3308" spans="2:7" x14ac:dyDescent="0.25">
      <c r="B3308" s="98"/>
      <c r="F3308">
        <v>3304</v>
      </c>
      <c r="G3308" s="109">
        <f t="shared" ca="1" si="60"/>
        <v>0.14219500833855581</v>
      </c>
    </row>
    <row r="3309" spans="2:7" x14ac:dyDescent="0.25">
      <c r="B3309" s="98"/>
      <c r="F3309">
        <v>3305</v>
      </c>
      <c r="G3309" s="109">
        <f t="shared" ca="1" si="60"/>
        <v>-9.3768214557566523E-2</v>
      </c>
    </row>
    <row r="3310" spans="2:7" x14ac:dyDescent="0.25">
      <c r="B3310" s="98"/>
      <c r="F3310">
        <v>3306</v>
      </c>
      <c r="G3310" s="109">
        <f t="shared" ca="1" si="60"/>
        <v>-0.11647030791858716</v>
      </c>
    </row>
    <row r="3311" spans="2:7" x14ac:dyDescent="0.25">
      <c r="B3311" s="98"/>
      <c r="F3311">
        <v>3307</v>
      </c>
      <c r="G3311" s="109">
        <f t="shared" ca="1" si="60"/>
        <v>0.18805346560079284</v>
      </c>
    </row>
    <row r="3312" spans="2:7" x14ac:dyDescent="0.25">
      <c r="B3312" s="98"/>
      <c r="F3312">
        <v>3308</v>
      </c>
      <c r="G3312" s="109">
        <f t="shared" ca="1" si="60"/>
        <v>5.8818749335358661E-2</v>
      </c>
    </row>
    <row r="3313" spans="2:7" x14ac:dyDescent="0.25">
      <c r="B3313" s="98"/>
      <c r="F3313">
        <v>3309</v>
      </c>
      <c r="G3313" s="109">
        <f t="shared" ca="1" si="60"/>
        <v>7.3454025350489088E-2</v>
      </c>
    </row>
    <row r="3314" spans="2:7" x14ac:dyDescent="0.25">
      <c r="B3314" s="98"/>
      <c r="F3314">
        <v>3310</v>
      </c>
      <c r="G3314" s="109">
        <f t="shared" ca="1" si="60"/>
        <v>-0.11489996478008914</v>
      </c>
    </row>
    <row r="3315" spans="2:7" x14ac:dyDescent="0.25">
      <c r="B3315" s="98"/>
      <c r="F3315">
        <v>3311</v>
      </c>
      <c r="G3315" s="109">
        <f t="shared" ca="1" si="60"/>
        <v>-6.177282932002108E-2</v>
      </c>
    </row>
    <row r="3316" spans="2:7" x14ac:dyDescent="0.25">
      <c r="B3316" s="98"/>
      <c r="F3316">
        <v>3312</v>
      </c>
      <c r="G3316" s="109">
        <f t="shared" ca="1" si="60"/>
        <v>0.1390615523118926</v>
      </c>
    </row>
    <row r="3317" spans="2:7" x14ac:dyDescent="0.25">
      <c r="B3317" s="98"/>
      <c r="F3317">
        <v>3313</v>
      </c>
      <c r="G3317" s="109">
        <f t="shared" ca="1" si="60"/>
        <v>-0.10220440143962985</v>
      </c>
    </row>
    <row r="3318" spans="2:7" x14ac:dyDescent="0.25">
      <c r="B3318" s="98"/>
      <c r="F3318">
        <v>3314</v>
      </c>
      <c r="G3318" s="109">
        <f t="shared" ca="1" si="60"/>
        <v>-1.7950803210659075E-2</v>
      </c>
    </row>
    <row r="3319" spans="2:7" x14ac:dyDescent="0.25">
      <c r="B3319" s="98"/>
      <c r="F3319">
        <v>3315</v>
      </c>
      <c r="G3319" s="109">
        <f t="shared" ca="1" si="60"/>
        <v>0.24317425043559165</v>
      </c>
    </row>
    <row r="3320" spans="2:7" x14ac:dyDescent="0.25">
      <c r="B3320" s="98"/>
      <c r="F3320">
        <v>3316</v>
      </c>
      <c r="G3320" s="109">
        <f t="shared" ca="1" si="60"/>
        <v>4.1525472070157131E-2</v>
      </c>
    </row>
    <row r="3321" spans="2:7" x14ac:dyDescent="0.25">
      <c r="B3321" s="98"/>
      <c r="F3321">
        <v>3317</v>
      </c>
      <c r="G3321" s="109">
        <f t="shared" ca="1" si="60"/>
        <v>4.2173662601297464E-2</v>
      </c>
    </row>
    <row r="3322" spans="2:7" x14ac:dyDescent="0.25">
      <c r="B3322" s="98"/>
      <c r="F3322">
        <v>3318</v>
      </c>
      <c r="G3322" s="109">
        <f t="shared" ca="1" si="60"/>
        <v>-5.0132048887339478E-2</v>
      </c>
    </row>
    <row r="3323" spans="2:7" x14ac:dyDescent="0.25">
      <c r="B3323" s="98"/>
      <c r="F3323">
        <v>3319</v>
      </c>
      <c r="G3323" s="109">
        <f t="shared" ca="1" si="60"/>
        <v>-4.1965107410147029E-2</v>
      </c>
    </row>
    <row r="3324" spans="2:7" x14ac:dyDescent="0.25">
      <c r="B3324" s="98"/>
      <c r="F3324">
        <v>3320</v>
      </c>
      <c r="G3324" s="109">
        <f t="shared" ca="1" si="60"/>
        <v>0.15015705398616383</v>
      </c>
    </row>
    <row r="3325" spans="2:7" x14ac:dyDescent="0.25">
      <c r="B3325" s="98"/>
      <c r="F3325">
        <v>3321</v>
      </c>
      <c r="G3325" s="109">
        <f t="shared" ca="1" si="60"/>
        <v>1.7878360442002333E-2</v>
      </c>
    </row>
    <row r="3326" spans="2:7" x14ac:dyDescent="0.25">
      <c r="B3326" s="98"/>
      <c r="F3326">
        <v>3322</v>
      </c>
      <c r="G3326" s="109">
        <f t="shared" ca="1" si="60"/>
        <v>0.18026986319957988</v>
      </c>
    </row>
    <row r="3327" spans="2:7" x14ac:dyDescent="0.25">
      <c r="B3327" s="98"/>
      <c r="F3327">
        <v>3323</v>
      </c>
      <c r="G3327" s="109">
        <f t="shared" ca="1" si="60"/>
        <v>0.11991394268398668</v>
      </c>
    </row>
    <row r="3328" spans="2:7" x14ac:dyDescent="0.25">
      <c r="B3328" s="98"/>
      <c r="F3328">
        <v>3324</v>
      </c>
      <c r="G3328" s="109">
        <f t="shared" ca="1" si="60"/>
        <v>9.110380339289019E-2</v>
      </c>
    </row>
    <row r="3329" spans="2:7" x14ac:dyDescent="0.25">
      <c r="B3329" s="98"/>
      <c r="F3329">
        <v>3325</v>
      </c>
      <c r="G3329" s="109">
        <f t="shared" ca="1" si="60"/>
        <v>0.26677041272796087</v>
      </c>
    </row>
    <row r="3330" spans="2:7" x14ac:dyDescent="0.25">
      <c r="B3330" s="98"/>
      <c r="F3330">
        <v>3326</v>
      </c>
      <c r="G3330" s="109">
        <f t="shared" ca="1" si="60"/>
        <v>0.18759164157686076</v>
      </c>
    </row>
    <row r="3331" spans="2:7" x14ac:dyDescent="0.25">
      <c r="B3331" s="98"/>
      <c r="F3331">
        <v>3327</v>
      </c>
      <c r="G3331" s="109">
        <f t="shared" ca="1" si="60"/>
        <v>0.27628665183497914</v>
      </c>
    </row>
    <row r="3332" spans="2:7" x14ac:dyDescent="0.25">
      <c r="B3332" s="98"/>
      <c r="F3332">
        <v>3328</v>
      </c>
      <c r="G3332" s="109">
        <f t="shared" ca="1" si="60"/>
        <v>-0.18233838465738739</v>
      </c>
    </row>
    <row r="3333" spans="2:7" x14ac:dyDescent="0.25">
      <c r="B3333" s="98"/>
      <c r="F3333">
        <v>3329</v>
      </c>
      <c r="G3333" s="109">
        <f t="shared" ca="1" si="60"/>
        <v>4.9184411345822923E-2</v>
      </c>
    </row>
    <row r="3334" spans="2:7" x14ac:dyDescent="0.25">
      <c r="B3334" s="98"/>
      <c r="F3334">
        <v>3330</v>
      </c>
      <c r="G3334" s="109">
        <f t="shared" ref="G3334:G3397" ca="1" si="61">_xlfn.NORM.INV(RAND(),$M$5,$M$6)</f>
        <v>4.4206239279335646E-2</v>
      </c>
    </row>
    <row r="3335" spans="2:7" x14ac:dyDescent="0.25">
      <c r="B3335" s="98"/>
      <c r="F3335">
        <v>3331</v>
      </c>
      <c r="G3335" s="109">
        <f t="shared" ca="1" si="61"/>
        <v>-0.1498706184591953</v>
      </c>
    </row>
    <row r="3336" spans="2:7" x14ac:dyDescent="0.25">
      <c r="B3336" s="98"/>
      <c r="F3336">
        <v>3332</v>
      </c>
      <c r="G3336" s="109">
        <f t="shared" ca="1" si="61"/>
        <v>-6.4877494088194057E-2</v>
      </c>
    </row>
    <row r="3337" spans="2:7" x14ac:dyDescent="0.25">
      <c r="B3337" s="98"/>
      <c r="F3337">
        <v>3333</v>
      </c>
      <c r="G3337" s="109">
        <f t="shared" ca="1" si="61"/>
        <v>9.75986346624092E-2</v>
      </c>
    </row>
    <row r="3338" spans="2:7" x14ac:dyDescent="0.25">
      <c r="B3338" s="98"/>
      <c r="F3338">
        <v>3334</v>
      </c>
      <c r="G3338" s="109">
        <f t="shared" ca="1" si="61"/>
        <v>6.5678293650387243E-2</v>
      </c>
    </row>
    <row r="3339" spans="2:7" x14ac:dyDescent="0.25">
      <c r="B3339" s="98"/>
      <c r="F3339">
        <v>3335</v>
      </c>
      <c r="G3339" s="109">
        <f t="shared" ca="1" si="61"/>
        <v>3.6743208784728559E-2</v>
      </c>
    </row>
    <row r="3340" spans="2:7" x14ac:dyDescent="0.25">
      <c r="B3340" s="98"/>
      <c r="F3340">
        <v>3336</v>
      </c>
      <c r="G3340" s="109">
        <f t="shared" ca="1" si="61"/>
        <v>0.1533672699816041</v>
      </c>
    </row>
    <row r="3341" spans="2:7" x14ac:dyDescent="0.25">
      <c r="B3341" s="98"/>
      <c r="F3341">
        <v>3337</v>
      </c>
      <c r="G3341" s="109">
        <f t="shared" ca="1" si="61"/>
        <v>0.26430463159571954</v>
      </c>
    </row>
    <row r="3342" spans="2:7" x14ac:dyDescent="0.25">
      <c r="B3342" s="98"/>
      <c r="F3342">
        <v>3338</v>
      </c>
      <c r="G3342" s="109">
        <f t="shared" ca="1" si="61"/>
        <v>0.18454423239198081</v>
      </c>
    </row>
    <row r="3343" spans="2:7" x14ac:dyDescent="0.25">
      <c r="B3343" s="98"/>
      <c r="F3343">
        <v>3339</v>
      </c>
      <c r="G3343" s="109">
        <f t="shared" ca="1" si="61"/>
        <v>6.1375736666274827E-3</v>
      </c>
    </row>
    <row r="3344" spans="2:7" x14ac:dyDescent="0.25">
      <c r="B3344" s="98"/>
      <c r="F3344">
        <v>3340</v>
      </c>
      <c r="G3344" s="109">
        <f t="shared" ca="1" si="61"/>
        <v>-0.14019474678669125</v>
      </c>
    </row>
    <row r="3345" spans="2:7" x14ac:dyDescent="0.25">
      <c r="B3345" s="98"/>
      <c r="F3345">
        <v>3341</v>
      </c>
      <c r="G3345" s="109">
        <f t="shared" ca="1" si="61"/>
        <v>0.225719665439504</v>
      </c>
    </row>
    <row r="3346" spans="2:7" x14ac:dyDescent="0.25">
      <c r="B3346" s="98"/>
      <c r="F3346">
        <v>3342</v>
      </c>
      <c r="G3346" s="109">
        <f t="shared" ca="1" si="61"/>
        <v>0.20631288757746336</v>
      </c>
    </row>
    <row r="3347" spans="2:7" x14ac:dyDescent="0.25">
      <c r="B3347" s="98"/>
      <c r="F3347">
        <v>3343</v>
      </c>
      <c r="G3347" s="109">
        <f t="shared" ca="1" si="61"/>
        <v>0.10569226972594499</v>
      </c>
    </row>
    <row r="3348" spans="2:7" x14ac:dyDescent="0.25">
      <c r="B3348" s="98"/>
      <c r="F3348">
        <v>3344</v>
      </c>
      <c r="G3348" s="109">
        <f t="shared" ca="1" si="61"/>
        <v>2.0312255458210839E-2</v>
      </c>
    </row>
    <row r="3349" spans="2:7" x14ac:dyDescent="0.25">
      <c r="B3349" s="98"/>
      <c r="F3349">
        <v>3345</v>
      </c>
      <c r="G3349" s="109">
        <f t="shared" ca="1" si="61"/>
        <v>-9.4418685534875257E-3</v>
      </c>
    </row>
    <row r="3350" spans="2:7" x14ac:dyDescent="0.25">
      <c r="B3350" s="98"/>
      <c r="F3350">
        <v>3346</v>
      </c>
      <c r="G3350" s="109">
        <f t="shared" ca="1" si="61"/>
        <v>0.11137449479976613</v>
      </c>
    </row>
    <row r="3351" spans="2:7" x14ac:dyDescent="0.25">
      <c r="B3351" s="98"/>
      <c r="F3351">
        <v>3347</v>
      </c>
      <c r="G3351" s="109">
        <f t="shared" ca="1" si="61"/>
        <v>7.795733667715285E-2</v>
      </c>
    </row>
    <row r="3352" spans="2:7" x14ac:dyDescent="0.25">
      <c r="B3352" s="98"/>
      <c r="F3352">
        <v>3348</v>
      </c>
      <c r="G3352" s="109">
        <f t="shared" ca="1" si="61"/>
        <v>-2.6921163888576335E-2</v>
      </c>
    </row>
    <row r="3353" spans="2:7" x14ac:dyDescent="0.25">
      <c r="B3353" s="98"/>
      <c r="F3353">
        <v>3349</v>
      </c>
      <c r="G3353" s="109">
        <f t="shared" ca="1" si="61"/>
        <v>9.792525328820928E-2</v>
      </c>
    </row>
    <row r="3354" spans="2:7" x14ac:dyDescent="0.25">
      <c r="B3354" s="98"/>
      <c r="F3354">
        <v>3350</v>
      </c>
      <c r="G3354" s="109">
        <f t="shared" ca="1" si="61"/>
        <v>-0.14481947519558835</v>
      </c>
    </row>
    <row r="3355" spans="2:7" x14ac:dyDescent="0.25">
      <c r="B3355" s="98"/>
      <c r="F3355">
        <v>3351</v>
      </c>
      <c r="G3355" s="109">
        <f t="shared" ca="1" si="61"/>
        <v>1.8091712753006094E-2</v>
      </c>
    </row>
    <row r="3356" spans="2:7" x14ac:dyDescent="0.25">
      <c r="B3356" s="98"/>
      <c r="F3356">
        <v>3352</v>
      </c>
      <c r="G3356" s="109">
        <f t="shared" ca="1" si="61"/>
        <v>9.039917889886788E-2</v>
      </c>
    </row>
    <row r="3357" spans="2:7" x14ac:dyDescent="0.25">
      <c r="B3357" s="98"/>
      <c r="F3357">
        <v>3353</v>
      </c>
      <c r="G3357" s="109">
        <f t="shared" ca="1" si="61"/>
        <v>8.8465284038292707E-2</v>
      </c>
    </row>
    <row r="3358" spans="2:7" x14ac:dyDescent="0.25">
      <c r="B3358" s="98"/>
      <c r="F3358">
        <v>3354</v>
      </c>
      <c r="G3358" s="109">
        <f t="shared" ca="1" si="61"/>
        <v>-0.12277262111254052</v>
      </c>
    </row>
    <row r="3359" spans="2:7" x14ac:dyDescent="0.25">
      <c r="B3359" s="98"/>
      <c r="F3359">
        <v>3355</v>
      </c>
      <c r="G3359" s="109">
        <f t="shared" ca="1" si="61"/>
        <v>-5.022444211660787E-3</v>
      </c>
    </row>
    <row r="3360" spans="2:7" x14ac:dyDescent="0.25">
      <c r="B3360" s="98"/>
      <c r="F3360">
        <v>3356</v>
      </c>
      <c r="G3360" s="109">
        <f t="shared" ca="1" si="61"/>
        <v>-8.5575008483117207E-2</v>
      </c>
    </row>
    <row r="3361" spans="2:7" x14ac:dyDescent="0.25">
      <c r="B3361" s="98"/>
      <c r="F3361">
        <v>3357</v>
      </c>
      <c r="G3361" s="109">
        <f t="shared" ca="1" si="61"/>
        <v>4.8513059267093067E-2</v>
      </c>
    </row>
    <row r="3362" spans="2:7" x14ac:dyDescent="0.25">
      <c r="B3362" s="98"/>
      <c r="F3362">
        <v>3358</v>
      </c>
      <c r="G3362" s="109">
        <f t="shared" ca="1" si="61"/>
        <v>4.2379668082177316E-2</v>
      </c>
    </row>
    <row r="3363" spans="2:7" x14ac:dyDescent="0.25">
      <c r="B3363" s="98"/>
      <c r="F3363">
        <v>3359</v>
      </c>
      <c r="G3363" s="109">
        <f t="shared" ca="1" si="61"/>
        <v>0.1921163865395204</v>
      </c>
    </row>
    <row r="3364" spans="2:7" x14ac:dyDescent="0.25">
      <c r="B3364" s="98"/>
      <c r="F3364">
        <v>3360</v>
      </c>
      <c r="G3364" s="109">
        <f t="shared" ca="1" si="61"/>
        <v>6.4445606258940857E-2</v>
      </c>
    </row>
    <row r="3365" spans="2:7" x14ac:dyDescent="0.25">
      <c r="B3365" s="98"/>
      <c r="F3365">
        <v>3361</v>
      </c>
      <c r="G3365" s="109">
        <f t="shared" ca="1" si="61"/>
        <v>0.17754293040147939</v>
      </c>
    </row>
    <row r="3366" spans="2:7" x14ac:dyDescent="0.25">
      <c r="B3366" s="98"/>
      <c r="F3366">
        <v>3362</v>
      </c>
      <c r="G3366" s="109">
        <f t="shared" ca="1" si="61"/>
        <v>0.22208110018745114</v>
      </c>
    </row>
    <row r="3367" spans="2:7" x14ac:dyDescent="0.25">
      <c r="B3367" s="98"/>
      <c r="F3367">
        <v>3363</v>
      </c>
      <c r="G3367" s="109">
        <f t="shared" ca="1" si="61"/>
        <v>-7.613680904038192E-2</v>
      </c>
    </row>
    <row r="3368" spans="2:7" x14ac:dyDescent="0.25">
      <c r="B3368" s="98"/>
      <c r="F3368">
        <v>3364</v>
      </c>
      <c r="G3368" s="109">
        <f t="shared" ca="1" si="61"/>
        <v>0.10679556664071124</v>
      </c>
    </row>
    <row r="3369" spans="2:7" x14ac:dyDescent="0.25">
      <c r="B3369" s="98"/>
      <c r="F3369">
        <v>3365</v>
      </c>
      <c r="G3369" s="109">
        <f t="shared" ca="1" si="61"/>
        <v>8.1774030585733404E-3</v>
      </c>
    </row>
    <row r="3370" spans="2:7" x14ac:dyDescent="0.25">
      <c r="B3370" s="98"/>
      <c r="F3370">
        <v>3366</v>
      </c>
      <c r="G3370" s="109">
        <f t="shared" ca="1" si="61"/>
        <v>-7.8030478889852928E-2</v>
      </c>
    </row>
    <row r="3371" spans="2:7" x14ac:dyDescent="0.25">
      <c r="B3371" s="98"/>
      <c r="F3371">
        <v>3367</v>
      </c>
      <c r="G3371" s="109">
        <f t="shared" ca="1" si="61"/>
        <v>0.21919563536088982</v>
      </c>
    </row>
    <row r="3372" spans="2:7" x14ac:dyDescent="0.25">
      <c r="B3372" s="98"/>
      <c r="F3372">
        <v>3368</v>
      </c>
      <c r="G3372" s="109">
        <f t="shared" ca="1" si="61"/>
        <v>0.19024419532684944</v>
      </c>
    </row>
    <row r="3373" spans="2:7" x14ac:dyDescent="0.25">
      <c r="B3373" s="98"/>
      <c r="F3373">
        <v>3369</v>
      </c>
      <c r="G3373" s="109">
        <f t="shared" ca="1" si="61"/>
        <v>0.15019040489072166</v>
      </c>
    </row>
    <row r="3374" spans="2:7" x14ac:dyDescent="0.25">
      <c r="B3374" s="98"/>
      <c r="F3374">
        <v>3370</v>
      </c>
      <c r="G3374" s="109">
        <f t="shared" ca="1" si="61"/>
        <v>-2.9125542753015793E-2</v>
      </c>
    </row>
    <row r="3375" spans="2:7" x14ac:dyDescent="0.25">
      <c r="B3375" s="98"/>
      <c r="F3375">
        <v>3371</v>
      </c>
      <c r="G3375" s="109">
        <f t="shared" ca="1" si="61"/>
        <v>0.14416098096007424</v>
      </c>
    </row>
    <row r="3376" spans="2:7" x14ac:dyDescent="0.25">
      <c r="B3376" s="98"/>
      <c r="F3376">
        <v>3372</v>
      </c>
      <c r="G3376" s="109">
        <f t="shared" ca="1" si="61"/>
        <v>0.33181390792266779</v>
      </c>
    </row>
    <row r="3377" spans="2:7" x14ac:dyDescent="0.25">
      <c r="B3377" s="98"/>
      <c r="F3377">
        <v>3373</v>
      </c>
      <c r="G3377" s="109">
        <f t="shared" ca="1" si="61"/>
        <v>-3.6233819303985199E-2</v>
      </c>
    </row>
    <row r="3378" spans="2:7" x14ac:dyDescent="0.25">
      <c r="B3378" s="98"/>
      <c r="F3378">
        <v>3374</v>
      </c>
      <c r="G3378" s="109">
        <f t="shared" ca="1" si="61"/>
        <v>-9.5666221496204934E-3</v>
      </c>
    </row>
    <row r="3379" spans="2:7" x14ac:dyDescent="0.25">
      <c r="B3379" s="98"/>
      <c r="F3379">
        <v>3375</v>
      </c>
      <c r="G3379" s="109">
        <f t="shared" ca="1" si="61"/>
        <v>-3.6284303533609188E-2</v>
      </c>
    </row>
    <row r="3380" spans="2:7" x14ac:dyDescent="0.25">
      <c r="B3380" s="98"/>
      <c r="F3380">
        <v>3376</v>
      </c>
      <c r="G3380" s="109">
        <f t="shared" ca="1" si="61"/>
        <v>3.7169167844455411E-2</v>
      </c>
    </row>
    <row r="3381" spans="2:7" x14ac:dyDescent="0.25">
      <c r="B3381" s="98"/>
      <c r="F3381">
        <v>3377</v>
      </c>
      <c r="G3381" s="109">
        <f t="shared" ca="1" si="61"/>
        <v>8.4758890406972084E-2</v>
      </c>
    </row>
    <row r="3382" spans="2:7" x14ac:dyDescent="0.25">
      <c r="B3382" s="98"/>
      <c r="F3382">
        <v>3378</v>
      </c>
      <c r="G3382" s="109">
        <f t="shared" ca="1" si="61"/>
        <v>3.2459381351497826E-2</v>
      </c>
    </row>
    <row r="3383" spans="2:7" x14ac:dyDescent="0.25">
      <c r="B3383" s="98"/>
      <c r="F3383">
        <v>3379</v>
      </c>
      <c r="G3383" s="109">
        <f t="shared" ca="1" si="61"/>
        <v>0.25696053669508545</v>
      </c>
    </row>
    <row r="3384" spans="2:7" x14ac:dyDescent="0.25">
      <c r="B3384" s="98"/>
      <c r="F3384">
        <v>3380</v>
      </c>
      <c r="G3384" s="109">
        <f t="shared" ca="1" si="61"/>
        <v>0.12842618114436608</v>
      </c>
    </row>
    <row r="3385" spans="2:7" x14ac:dyDescent="0.25">
      <c r="B3385" s="98"/>
      <c r="F3385">
        <v>3381</v>
      </c>
      <c r="G3385" s="109">
        <f t="shared" ca="1" si="61"/>
        <v>1.9947277418187852E-2</v>
      </c>
    </row>
    <row r="3386" spans="2:7" x14ac:dyDescent="0.25">
      <c r="B3386" s="98"/>
      <c r="F3386">
        <v>3382</v>
      </c>
      <c r="G3386" s="109">
        <f t="shared" ca="1" si="61"/>
        <v>0.13071217253687084</v>
      </c>
    </row>
    <row r="3387" spans="2:7" x14ac:dyDescent="0.25">
      <c r="B3387" s="98"/>
      <c r="F3387">
        <v>3383</v>
      </c>
      <c r="G3387" s="109">
        <f t="shared" ca="1" si="61"/>
        <v>-0.13492268376950939</v>
      </c>
    </row>
    <row r="3388" spans="2:7" x14ac:dyDescent="0.25">
      <c r="B3388" s="98"/>
      <c r="F3388">
        <v>3384</v>
      </c>
      <c r="G3388" s="109">
        <f t="shared" ca="1" si="61"/>
        <v>0.13991396377447607</v>
      </c>
    </row>
    <row r="3389" spans="2:7" x14ac:dyDescent="0.25">
      <c r="B3389" s="98"/>
      <c r="F3389">
        <v>3385</v>
      </c>
      <c r="G3389" s="109">
        <f t="shared" ca="1" si="61"/>
        <v>0.18167708843547437</v>
      </c>
    </row>
    <row r="3390" spans="2:7" x14ac:dyDescent="0.25">
      <c r="B3390" s="98"/>
      <c r="F3390">
        <v>3386</v>
      </c>
      <c r="G3390" s="109">
        <f t="shared" ca="1" si="61"/>
        <v>5.4436402765889305E-2</v>
      </c>
    </row>
    <row r="3391" spans="2:7" x14ac:dyDescent="0.25">
      <c r="B3391" s="98"/>
      <c r="F3391">
        <v>3387</v>
      </c>
      <c r="G3391" s="109">
        <f t="shared" ca="1" si="61"/>
        <v>6.8334887717864362E-2</v>
      </c>
    </row>
    <row r="3392" spans="2:7" x14ac:dyDescent="0.25">
      <c r="B3392" s="98"/>
      <c r="F3392">
        <v>3388</v>
      </c>
      <c r="G3392" s="109">
        <f t="shared" ca="1" si="61"/>
        <v>0.15054345599751043</v>
      </c>
    </row>
    <row r="3393" spans="2:7" x14ac:dyDescent="0.25">
      <c r="B3393" s="98"/>
      <c r="F3393">
        <v>3389</v>
      </c>
      <c r="G3393" s="109">
        <f t="shared" ca="1" si="61"/>
        <v>5.2895993042167619E-3</v>
      </c>
    </row>
    <row r="3394" spans="2:7" x14ac:dyDescent="0.25">
      <c r="B3394" s="98"/>
      <c r="F3394">
        <v>3390</v>
      </c>
      <c r="G3394" s="109">
        <f t="shared" ca="1" si="61"/>
        <v>3.6553537876271622E-2</v>
      </c>
    </row>
    <row r="3395" spans="2:7" x14ac:dyDescent="0.25">
      <c r="B3395" s="98"/>
      <c r="F3395">
        <v>3391</v>
      </c>
      <c r="G3395" s="109">
        <f t="shared" ca="1" si="61"/>
        <v>1.9903364648628855E-2</v>
      </c>
    </row>
    <row r="3396" spans="2:7" x14ac:dyDescent="0.25">
      <c r="B3396" s="98"/>
      <c r="F3396">
        <v>3392</v>
      </c>
      <c r="G3396" s="109">
        <f t="shared" ca="1" si="61"/>
        <v>-0.10980356225311456</v>
      </c>
    </row>
    <row r="3397" spans="2:7" x14ac:dyDescent="0.25">
      <c r="B3397" s="98"/>
      <c r="F3397">
        <v>3393</v>
      </c>
      <c r="G3397" s="109">
        <f t="shared" ca="1" si="61"/>
        <v>2.8983192236277305E-2</v>
      </c>
    </row>
    <row r="3398" spans="2:7" x14ac:dyDescent="0.25">
      <c r="B3398" s="98"/>
      <c r="F3398">
        <v>3394</v>
      </c>
      <c r="G3398" s="109">
        <f t="shared" ref="G3398:G3461" ca="1" si="62">_xlfn.NORM.INV(RAND(),$M$5,$M$6)</f>
        <v>-2.2139042680451526E-2</v>
      </c>
    </row>
    <row r="3399" spans="2:7" x14ac:dyDescent="0.25">
      <c r="B3399" s="98"/>
      <c r="F3399">
        <v>3395</v>
      </c>
      <c r="G3399" s="109">
        <f t="shared" ca="1" si="62"/>
        <v>3.7574995329631725E-2</v>
      </c>
    </row>
    <row r="3400" spans="2:7" x14ac:dyDescent="0.25">
      <c r="B3400" s="98"/>
      <c r="F3400">
        <v>3396</v>
      </c>
      <c r="G3400" s="109">
        <f t="shared" ca="1" si="62"/>
        <v>1.5536493360887103E-2</v>
      </c>
    </row>
    <row r="3401" spans="2:7" x14ac:dyDescent="0.25">
      <c r="B3401" s="98"/>
      <c r="F3401">
        <v>3397</v>
      </c>
      <c r="G3401" s="109">
        <f t="shared" ca="1" si="62"/>
        <v>-0.10302990249906065</v>
      </c>
    </row>
    <row r="3402" spans="2:7" x14ac:dyDescent="0.25">
      <c r="B3402" s="98"/>
      <c r="F3402">
        <v>3398</v>
      </c>
      <c r="G3402" s="109">
        <f t="shared" ca="1" si="62"/>
        <v>8.7196567479338655E-2</v>
      </c>
    </row>
    <row r="3403" spans="2:7" x14ac:dyDescent="0.25">
      <c r="B3403" s="98"/>
      <c r="F3403">
        <v>3399</v>
      </c>
      <c r="G3403" s="109">
        <f t="shared" ca="1" si="62"/>
        <v>0.12225904099120369</v>
      </c>
    </row>
    <row r="3404" spans="2:7" x14ac:dyDescent="0.25">
      <c r="B3404" s="98"/>
      <c r="F3404">
        <v>3400</v>
      </c>
      <c r="G3404" s="109">
        <f t="shared" ca="1" si="62"/>
        <v>0.19769132770109338</v>
      </c>
    </row>
    <row r="3405" spans="2:7" x14ac:dyDescent="0.25">
      <c r="B3405" s="98"/>
      <c r="F3405">
        <v>3401</v>
      </c>
      <c r="G3405" s="109">
        <f t="shared" ca="1" si="62"/>
        <v>8.8654203322646397E-2</v>
      </c>
    </row>
    <row r="3406" spans="2:7" x14ac:dyDescent="0.25">
      <c r="B3406" s="98"/>
      <c r="F3406">
        <v>3402</v>
      </c>
      <c r="G3406" s="109">
        <f t="shared" ca="1" si="62"/>
        <v>-2.642210726932491E-2</v>
      </c>
    </row>
    <row r="3407" spans="2:7" x14ac:dyDescent="0.25">
      <c r="B3407" s="98"/>
      <c r="F3407">
        <v>3403</v>
      </c>
      <c r="G3407" s="109">
        <f t="shared" ca="1" si="62"/>
        <v>0.11671799053521241</v>
      </c>
    </row>
    <row r="3408" spans="2:7" x14ac:dyDescent="0.25">
      <c r="B3408" s="98"/>
      <c r="F3408">
        <v>3404</v>
      </c>
      <c r="G3408" s="109">
        <f t="shared" ca="1" si="62"/>
        <v>0.21041393505446276</v>
      </c>
    </row>
    <row r="3409" spans="2:7" x14ac:dyDescent="0.25">
      <c r="B3409" s="98"/>
      <c r="F3409">
        <v>3405</v>
      </c>
      <c r="G3409" s="109">
        <f t="shared" ca="1" si="62"/>
        <v>-7.7548709796690624E-2</v>
      </c>
    </row>
    <row r="3410" spans="2:7" x14ac:dyDescent="0.25">
      <c r="B3410" s="98"/>
      <c r="F3410">
        <v>3406</v>
      </c>
      <c r="G3410" s="109">
        <f t="shared" ca="1" si="62"/>
        <v>5.4870927770780391E-2</v>
      </c>
    </row>
    <row r="3411" spans="2:7" x14ac:dyDescent="0.25">
      <c r="B3411" s="98"/>
      <c r="F3411">
        <v>3407</v>
      </c>
      <c r="G3411" s="109">
        <f t="shared" ca="1" si="62"/>
        <v>0.26489755637336099</v>
      </c>
    </row>
    <row r="3412" spans="2:7" x14ac:dyDescent="0.25">
      <c r="B3412" s="98"/>
      <c r="F3412">
        <v>3408</v>
      </c>
      <c r="G3412" s="109">
        <f t="shared" ca="1" si="62"/>
        <v>-1.5912402138231828E-2</v>
      </c>
    </row>
    <row r="3413" spans="2:7" x14ac:dyDescent="0.25">
      <c r="B3413" s="98"/>
      <c r="F3413">
        <v>3409</v>
      </c>
      <c r="G3413" s="109">
        <f t="shared" ca="1" si="62"/>
        <v>0.13672883946065167</v>
      </c>
    </row>
    <row r="3414" spans="2:7" x14ac:dyDescent="0.25">
      <c r="B3414" s="98"/>
      <c r="F3414">
        <v>3410</v>
      </c>
      <c r="G3414" s="109">
        <f t="shared" ca="1" si="62"/>
        <v>-6.4938607055796987E-2</v>
      </c>
    </row>
    <row r="3415" spans="2:7" x14ac:dyDescent="0.25">
      <c r="B3415" s="98"/>
      <c r="F3415">
        <v>3411</v>
      </c>
      <c r="G3415" s="109">
        <f t="shared" ca="1" si="62"/>
        <v>3.5423215451719531E-2</v>
      </c>
    </row>
    <row r="3416" spans="2:7" x14ac:dyDescent="0.25">
      <c r="B3416" s="98"/>
      <c r="F3416">
        <v>3412</v>
      </c>
      <c r="G3416" s="109">
        <f t="shared" ca="1" si="62"/>
        <v>0.14573183434744305</v>
      </c>
    </row>
    <row r="3417" spans="2:7" x14ac:dyDescent="0.25">
      <c r="B3417" s="98"/>
      <c r="F3417">
        <v>3413</v>
      </c>
      <c r="G3417" s="109">
        <f t="shared" ca="1" si="62"/>
        <v>-5.0793655671803412E-2</v>
      </c>
    </row>
    <row r="3418" spans="2:7" x14ac:dyDescent="0.25">
      <c r="B3418" s="98"/>
      <c r="F3418">
        <v>3414</v>
      </c>
      <c r="G3418" s="109">
        <f t="shared" ca="1" si="62"/>
        <v>-3.0647648540908345E-2</v>
      </c>
    </row>
    <row r="3419" spans="2:7" x14ac:dyDescent="0.25">
      <c r="B3419" s="98"/>
      <c r="F3419">
        <v>3415</v>
      </c>
      <c r="G3419" s="109">
        <f t="shared" ca="1" si="62"/>
        <v>3.3284312970850903E-2</v>
      </c>
    </row>
    <row r="3420" spans="2:7" x14ac:dyDescent="0.25">
      <c r="B3420" s="98"/>
      <c r="F3420">
        <v>3416</v>
      </c>
      <c r="G3420" s="109">
        <f t="shared" ca="1" si="62"/>
        <v>4.3258035969830556E-2</v>
      </c>
    </row>
    <row r="3421" spans="2:7" x14ac:dyDescent="0.25">
      <c r="B3421" s="98"/>
      <c r="F3421">
        <v>3417</v>
      </c>
      <c r="G3421" s="109">
        <f t="shared" ca="1" si="62"/>
        <v>0.24849844442465518</v>
      </c>
    </row>
    <row r="3422" spans="2:7" x14ac:dyDescent="0.25">
      <c r="B3422" s="98"/>
      <c r="F3422">
        <v>3418</v>
      </c>
      <c r="G3422" s="109">
        <f t="shared" ca="1" si="62"/>
        <v>-7.0415111683148443E-2</v>
      </c>
    </row>
    <row r="3423" spans="2:7" x14ac:dyDescent="0.25">
      <c r="B3423" s="98"/>
      <c r="F3423">
        <v>3419</v>
      </c>
      <c r="G3423" s="109">
        <f t="shared" ca="1" si="62"/>
        <v>-5.864529571304572E-2</v>
      </c>
    </row>
    <row r="3424" spans="2:7" x14ac:dyDescent="0.25">
      <c r="B3424" s="98"/>
      <c r="F3424">
        <v>3420</v>
      </c>
      <c r="G3424" s="109">
        <f t="shared" ca="1" si="62"/>
        <v>7.4332113018479959E-2</v>
      </c>
    </row>
    <row r="3425" spans="2:7" x14ac:dyDescent="0.25">
      <c r="B3425" s="98"/>
      <c r="F3425">
        <v>3421</v>
      </c>
      <c r="G3425" s="109">
        <f t="shared" ca="1" si="62"/>
        <v>5.0750109243320997E-2</v>
      </c>
    </row>
    <row r="3426" spans="2:7" x14ac:dyDescent="0.25">
      <c r="B3426" s="98"/>
      <c r="F3426">
        <v>3422</v>
      </c>
      <c r="G3426" s="109">
        <f t="shared" ca="1" si="62"/>
        <v>0.12373023734821147</v>
      </c>
    </row>
    <row r="3427" spans="2:7" x14ac:dyDescent="0.25">
      <c r="B3427" s="98"/>
      <c r="F3427">
        <v>3423</v>
      </c>
      <c r="G3427" s="109">
        <f t="shared" ca="1" si="62"/>
        <v>0.18114650860681014</v>
      </c>
    </row>
    <row r="3428" spans="2:7" x14ac:dyDescent="0.25">
      <c r="B3428" s="98"/>
      <c r="F3428">
        <v>3424</v>
      </c>
      <c r="G3428" s="109">
        <f t="shared" ca="1" si="62"/>
        <v>0.1627690156782588</v>
      </c>
    </row>
    <row r="3429" spans="2:7" x14ac:dyDescent="0.25">
      <c r="B3429" s="98"/>
      <c r="F3429">
        <v>3425</v>
      </c>
      <c r="G3429" s="109">
        <f t="shared" ca="1" si="62"/>
        <v>9.65306159168621E-2</v>
      </c>
    </row>
    <row r="3430" spans="2:7" x14ac:dyDescent="0.25">
      <c r="B3430" s="98"/>
      <c r="F3430">
        <v>3426</v>
      </c>
      <c r="G3430" s="109">
        <f t="shared" ca="1" si="62"/>
        <v>0.15326392482559964</v>
      </c>
    </row>
    <row r="3431" spans="2:7" x14ac:dyDescent="0.25">
      <c r="B3431" s="98"/>
      <c r="F3431">
        <v>3427</v>
      </c>
      <c r="G3431" s="109">
        <f t="shared" ca="1" si="62"/>
        <v>0.15244773590298633</v>
      </c>
    </row>
    <row r="3432" spans="2:7" x14ac:dyDescent="0.25">
      <c r="B3432" s="98"/>
      <c r="F3432">
        <v>3428</v>
      </c>
      <c r="G3432" s="109">
        <f t="shared" ca="1" si="62"/>
        <v>7.8776931607965561E-2</v>
      </c>
    </row>
    <row r="3433" spans="2:7" x14ac:dyDescent="0.25">
      <c r="B3433" s="98"/>
      <c r="F3433">
        <v>3429</v>
      </c>
      <c r="G3433" s="109">
        <f t="shared" ca="1" si="62"/>
        <v>3.1288703399911848E-2</v>
      </c>
    </row>
    <row r="3434" spans="2:7" x14ac:dyDescent="0.25">
      <c r="B3434" s="98"/>
      <c r="F3434">
        <v>3430</v>
      </c>
      <c r="G3434" s="109">
        <f t="shared" ca="1" si="62"/>
        <v>9.594307404256E-2</v>
      </c>
    </row>
    <row r="3435" spans="2:7" x14ac:dyDescent="0.25">
      <c r="B3435" s="98"/>
      <c r="F3435">
        <v>3431</v>
      </c>
      <c r="G3435" s="109">
        <f t="shared" ca="1" si="62"/>
        <v>3.5614976958612279E-2</v>
      </c>
    </row>
    <row r="3436" spans="2:7" x14ac:dyDescent="0.25">
      <c r="B3436" s="98"/>
      <c r="F3436">
        <v>3432</v>
      </c>
      <c r="G3436" s="109">
        <f t="shared" ca="1" si="62"/>
        <v>2.8981458044448533E-2</v>
      </c>
    </row>
    <row r="3437" spans="2:7" x14ac:dyDescent="0.25">
      <c r="B3437" s="98"/>
      <c r="F3437">
        <v>3433</v>
      </c>
      <c r="G3437" s="109">
        <f t="shared" ca="1" si="62"/>
        <v>-1.0425311953983309E-2</v>
      </c>
    </row>
    <row r="3438" spans="2:7" x14ac:dyDescent="0.25">
      <c r="B3438" s="98"/>
      <c r="F3438">
        <v>3434</v>
      </c>
      <c r="G3438" s="109">
        <f t="shared" ca="1" si="62"/>
        <v>0.13370325709941294</v>
      </c>
    </row>
    <row r="3439" spans="2:7" x14ac:dyDescent="0.25">
      <c r="B3439" s="98"/>
      <c r="F3439">
        <v>3435</v>
      </c>
      <c r="G3439" s="109">
        <f t="shared" ca="1" si="62"/>
        <v>5.0132627035690616E-3</v>
      </c>
    </row>
    <row r="3440" spans="2:7" x14ac:dyDescent="0.25">
      <c r="B3440" s="98"/>
      <c r="F3440">
        <v>3436</v>
      </c>
      <c r="G3440" s="109">
        <f t="shared" ca="1" si="62"/>
        <v>0.30605490675115571</v>
      </c>
    </row>
    <row r="3441" spans="2:7" x14ac:dyDescent="0.25">
      <c r="B3441" s="98"/>
      <c r="F3441">
        <v>3437</v>
      </c>
      <c r="G3441" s="109">
        <f t="shared" ca="1" si="62"/>
        <v>-3.3072257870060587E-2</v>
      </c>
    </row>
    <row r="3442" spans="2:7" x14ac:dyDescent="0.25">
      <c r="B3442" s="98"/>
      <c r="F3442">
        <v>3438</v>
      </c>
      <c r="G3442" s="109">
        <f t="shared" ca="1" si="62"/>
        <v>2.6348994697331814E-2</v>
      </c>
    </row>
    <row r="3443" spans="2:7" x14ac:dyDescent="0.25">
      <c r="B3443" s="98"/>
      <c r="F3443">
        <v>3439</v>
      </c>
      <c r="G3443" s="109">
        <f t="shared" ca="1" si="62"/>
        <v>2.8757539084230139E-2</v>
      </c>
    </row>
    <row r="3444" spans="2:7" x14ac:dyDescent="0.25">
      <c r="B3444" s="98"/>
      <c r="F3444">
        <v>3440</v>
      </c>
      <c r="G3444" s="109">
        <f t="shared" ca="1" si="62"/>
        <v>6.3209329870617503E-2</v>
      </c>
    </row>
    <row r="3445" spans="2:7" x14ac:dyDescent="0.25">
      <c r="B3445" s="98"/>
      <c r="F3445">
        <v>3441</v>
      </c>
      <c r="G3445" s="109">
        <f t="shared" ca="1" si="62"/>
        <v>0.1712859421331166</v>
      </c>
    </row>
    <row r="3446" spans="2:7" x14ac:dyDescent="0.25">
      <c r="B3446" s="98"/>
      <c r="F3446">
        <v>3442</v>
      </c>
      <c r="G3446" s="109">
        <f t="shared" ca="1" si="62"/>
        <v>-6.7044589197343005E-2</v>
      </c>
    </row>
    <row r="3447" spans="2:7" x14ac:dyDescent="0.25">
      <c r="B3447" s="98"/>
      <c r="F3447">
        <v>3443</v>
      </c>
      <c r="G3447" s="109">
        <f t="shared" ca="1" si="62"/>
        <v>0.16678905318507922</v>
      </c>
    </row>
    <row r="3448" spans="2:7" x14ac:dyDescent="0.25">
      <c r="B3448" s="98"/>
      <c r="F3448">
        <v>3444</v>
      </c>
      <c r="G3448" s="109">
        <f t="shared" ca="1" si="62"/>
        <v>0.13906752245408877</v>
      </c>
    </row>
    <row r="3449" spans="2:7" x14ac:dyDescent="0.25">
      <c r="B3449" s="98"/>
      <c r="F3449">
        <v>3445</v>
      </c>
      <c r="G3449" s="109">
        <f t="shared" ca="1" si="62"/>
        <v>5.4005262119754371E-2</v>
      </c>
    </row>
    <row r="3450" spans="2:7" x14ac:dyDescent="0.25">
      <c r="B3450" s="98"/>
      <c r="F3450">
        <v>3446</v>
      </c>
      <c r="G3450" s="109">
        <f t="shared" ca="1" si="62"/>
        <v>0.10503291796404533</v>
      </c>
    </row>
    <row r="3451" spans="2:7" x14ac:dyDescent="0.25">
      <c r="B3451" s="98"/>
      <c r="F3451">
        <v>3447</v>
      </c>
      <c r="G3451" s="109">
        <f t="shared" ca="1" si="62"/>
        <v>3.5811266680555773E-2</v>
      </c>
    </row>
    <row r="3452" spans="2:7" x14ac:dyDescent="0.25">
      <c r="B3452" s="98"/>
      <c r="F3452">
        <v>3448</v>
      </c>
      <c r="G3452" s="109">
        <f t="shared" ca="1" si="62"/>
        <v>0.13927805409600078</v>
      </c>
    </row>
    <row r="3453" spans="2:7" x14ac:dyDescent="0.25">
      <c r="B3453" s="98"/>
      <c r="F3453">
        <v>3449</v>
      </c>
      <c r="G3453" s="109">
        <f t="shared" ca="1" si="62"/>
        <v>-0.13038593217835892</v>
      </c>
    </row>
    <row r="3454" spans="2:7" x14ac:dyDescent="0.25">
      <c r="B3454" s="98"/>
      <c r="F3454">
        <v>3450</v>
      </c>
      <c r="G3454" s="109">
        <f t="shared" ca="1" si="62"/>
        <v>-0.11975560849291407</v>
      </c>
    </row>
    <row r="3455" spans="2:7" x14ac:dyDescent="0.25">
      <c r="B3455" s="98"/>
      <c r="F3455">
        <v>3451</v>
      </c>
      <c r="G3455" s="109">
        <f t="shared" ca="1" si="62"/>
        <v>9.2468488374795169E-2</v>
      </c>
    </row>
    <row r="3456" spans="2:7" x14ac:dyDescent="0.25">
      <c r="B3456" s="98"/>
      <c r="F3456">
        <v>3452</v>
      </c>
      <c r="G3456" s="109">
        <f t="shared" ca="1" si="62"/>
        <v>-8.80910149496444E-2</v>
      </c>
    </row>
    <row r="3457" spans="2:7" x14ac:dyDescent="0.25">
      <c r="B3457" s="98"/>
      <c r="F3457">
        <v>3453</v>
      </c>
      <c r="G3457" s="109">
        <f t="shared" ca="1" si="62"/>
        <v>0.25936288663418727</v>
      </c>
    </row>
    <row r="3458" spans="2:7" x14ac:dyDescent="0.25">
      <c r="B3458" s="98"/>
      <c r="F3458">
        <v>3454</v>
      </c>
      <c r="G3458" s="109">
        <f t="shared" ca="1" si="62"/>
        <v>-8.5980131953836622E-2</v>
      </c>
    </row>
    <row r="3459" spans="2:7" x14ac:dyDescent="0.25">
      <c r="B3459" s="98"/>
      <c r="F3459">
        <v>3455</v>
      </c>
      <c r="G3459" s="109">
        <f t="shared" ca="1" si="62"/>
        <v>9.8219700397635334E-2</v>
      </c>
    </row>
    <row r="3460" spans="2:7" x14ac:dyDescent="0.25">
      <c r="B3460" s="98"/>
      <c r="F3460">
        <v>3456</v>
      </c>
      <c r="G3460" s="109">
        <f t="shared" ca="1" si="62"/>
        <v>0.16813102779420475</v>
      </c>
    </row>
    <row r="3461" spans="2:7" x14ac:dyDescent="0.25">
      <c r="B3461" s="98"/>
      <c r="F3461">
        <v>3457</v>
      </c>
      <c r="G3461" s="109">
        <f t="shared" ca="1" si="62"/>
        <v>-4.6199796932278325E-2</v>
      </c>
    </row>
    <row r="3462" spans="2:7" x14ac:dyDescent="0.25">
      <c r="B3462" s="98"/>
      <c r="F3462">
        <v>3458</v>
      </c>
      <c r="G3462" s="109">
        <f t="shared" ref="G3462:G3525" ca="1" si="63">_xlfn.NORM.INV(RAND(),$M$5,$M$6)</f>
        <v>-4.0391902818039643E-2</v>
      </c>
    </row>
    <row r="3463" spans="2:7" x14ac:dyDescent="0.25">
      <c r="B3463" s="98"/>
      <c r="F3463">
        <v>3459</v>
      </c>
      <c r="G3463" s="109">
        <f t="shared" ca="1" si="63"/>
        <v>0.10110537177990317</v>
      </c>
    </row>
    <row r="3464" spans="2:7" x14ac:dyDescent="0.25">
      <c r="B3464" s="98"/>
      <c r="F3464">
        <v>3460</v>
      </c>
      <c r="G3464" s="109">
        <f t="shared" ca="1" si="63"/>
        <v>2.1593265989354099E-2</v>
      </c>
    </row>
    <row r="3465" spans="2:7" x14ac:dyDescent="0.25">
      <c r="B3465" s="98"/>
      <c r="F3465">
        <v>3461</v>
      </c>
      <c r="G3465" s="109">
        <f t="shared" ca="1" si="63"/>
        <v>0.10444606578590708</v>
      </c>
    </row>
    <row r="3466" spans="2:7" x14ac:dyDescent="0.25">
      <c r="B3466" s="98"/>
      <c r="F3466">
        <v>3462</v>
      </c>
      <c r="G3466" s="109">
        <f t="shared" ca="1" si="63"/>
        <v>0.10490652185795928</v>
      </c>
    </row>
    <row r="3467" spans="2:7" x14ac:dyDescent="0.25">
      <c r="B3467" s="98"/>
      <c r="F3467">
        <v>3463</v>
      </c>
      <c r="G3467" s="109">
        <f t="shared" ca="1" si="63"/>
        <v>0.37219715321396674</v>
      </c>
    </row>
    <row r="3468" spans="2:7" x14ac:dyDescent="0.25">
      <c r="B3468" s="98"/>
      <c r="F3468">
        <v>3464</v>
      </c>
      <c r="G3468" s="109">
        <f t="shared" ca="1" si="63"/>
        <v>3.3979124850230802E-3</v>
      </c>
    </row>
    <row r="3469" spans="2:7" x14ac:dyDescent="0.25">
      <c r="B3469" s="98"/>
      <c r="F3469">
        <v>3465</v>
      </c>
      <c r="G3469" s="109">
        <f t="shared" ca="1" si="63"/>
        <v>-0.14565997364711636</v>
      </c>
    </row>
    <row r="3470" spans="2:7" x14ac:dyDescent="0.25">
      <c r="B3470" s="98"/>
      <c r="F3470">
        <v>3466</v>
      </c>
      <c r="G3470" s="109">
        <f t="shared" ca="1" si="63"/>
        <v>0.13123864733682158</v>
      </c>
    </row>
    <row r="3471" spans="2:7" x14ac:dyDescent="0.25">
      <c r="B3471" s="98"/>
      <c r="F3471">
        <v>3467</v>
      </c>
      <c r="G3471" s="109">
        <f t="shared" ca="1" si="63"/>
        <v>-1.2186306870403306E-2</v>
      </c>
    </row>
    <row r="3472" spans="2:7" x14ac:dyDescent="0.25">
      <c r="B3472" s="98"/>
      <c r="F3472">
        <v>3468</v>
      </c>
      <c r="G3472" s="109">
        <f t="shared" ca="1" si="63"/>
        <v>0.15497521315513707</v>
      </c>
    </row>
    <row r="3473" spans="2:7" x14ac:dyDescent="0.25">
      <c r="B3473" s="98"/>
      <c r="F3473">
        <v>3469</v>
      </c>
      <c r="G3473" s="109">
        <f t="shared" ca="1" si="63"/>
        <v>7.1973621565575491E-2</v>
      </c>
    </row>
    <row r="3474" spans="2:7" x14ac:dyDescent="0.25">
      <c r="B3474" s="98"/>
      <c r="F3474">
        <v>3470</v>
      </c>
      <c r="G3474" s="109">
        <f t="shared" ca="1" si="63"/>
        <v>7.5727812185598278E-2</v>
      </c>
    </row>
    <row r="3475" spans="2:7" x14ac:dyDescent="0.25">
      <c r="B3475" s="98"/>
      <c r="F3475">
        <v>3471</v>
      </c>
      <c r="G3475" s="109">
        <f t="shared" ca="1" si="63"/>
        <v>1.7707900553300127E-4</v>
      </c>
    </row>
    <row r="3476" spans="2:7" x14ac:dyDescent="0.25">
      <c r="B3476" s="98"/>
      <c r="F3476">
        <v>3472</v>
      </c>
      <c r="G3476" s="109">
        <f t="shared" ca="1" si="63"/>
        <v>4.9108850500809965E-2</v>
      </c>
    </row>
    <row r="3477" spans="2:7" x14ac:dyDescent="0.25">
      <c r="B3477" s="98"/>
      <c r="F3477">
        <v>3473</v>
      </c>
      <c r="G3477" s="109">
        <f t="shared" ca="1" si="63"/>
        <v>0.11592620694046686</v>
      </c>
    </row>
    <row r="3478" spans="2:7" x14ac:dyDescent="0.25">
      <c r="B3478" s="98"/>
      <c r="F3478">
        <v>3474</v>
      </c>
      <c r="G3478" s="109">
        <f t="shared" ca="1" si="63"/>
        <v>0.12128603427171056</v>
      </c>
    </row>
    <row r="3479" spans="2:7" x14ac:dyDescent="0.25">
      <c r="B3479" s="98"/>
      <c r="F3479">
        <v>3475</v>
      </c>
      <c r="G3479" s="109">
        <f t="shared" ca="1" si="63"/>
        <v>0.14347478086797463</v>
      </c>
    </row>
    <row r="3480" spans="2:7" x14ac:dyDescent="0.25">
      <c r="B3480" s="98"/>
      <c r="F3480">
        <v>3476</v>
      </c>
      <c r="G3480" s="109">
        <f t="shared" ca="1" si="63"/>
        <v>7.3640523614944303E-2</v>
      </c>
    </row>
    <row r="3481" spans="2:7" x14ac:dyDescent="0.25">
      <c r="B3481" s="98"/>
      <c r="F3481">
        <v>3477</v>
      </c>
      <c r="G3481" s="109">
        <f t="shared" ca="1" si="63"/>
        <v>-4.7472190677265491E-2</v>
      </c>
    </row>
    <row r="3482" spans="2:7" x14ac:dyDescent="0.25">
      <c r="B3482" s="98"/>
      <c r="F3482">
        <v>3478</v>
      </c>
      <c r="G3482" s="109">
        <f t="shared" ca="1" si="63"/>
        <v>0.12996007577944277</v>
      </c>
    </row>
    <row r="3483" spans="2:7" x14ac:dyDescent="0.25">
      <c r="B3483" s="98"/>
      <c r="F3483">
        <v>3479</v>
      </c>
      <c r="G3483" s="109">
        <f t="shared" ca="1" si="63"/>
        <v>7.4598108444246081E-2</v>
      </c>
    </row>
    <row r="3484" spans="2:7" x14ac:dyDescent="0.25">
      <c r="B3484" s="98"/>
      <c r="F3484">
        <v>3480</v>
      </c>
      <c r="G3484" s="109">
        <f t="shared" ca="1" si="63"/>
        <v>9.4894177313054814E-2</v>
      </c>
    </row>
    <row r="3485" spans="2:7" x14ac:dyDescent="0.25">
      <c r="B3485" s="98"/>
      <c r="F3485">
        <v>3481</v>
      </c>
      <c r="G3485" s="109">
        <f t="shared" ca="1" si="63"/>
        <v>5.2896258901546978E-2</v>
      </c>
    </row>
    <row r="3486" spans="2:7" x14ac:dyDescent="0.25">
      <c r="B3486" s="98"/>
      <c r="F3486">
        <v>3482</v>
      </c>
      <c r="G3486" s="109">
        <f t="shared" ca="1" si="63"/>
        <v>0.20238406149759464</v>
      </c>
    </row>
    <row r="3487" spans="2:7" x14ac:dyDescent="0.25">
      <c r="B3487" s="98"/>
      <c r="F3487">
        <v>3483</v>
      </c>
      <c r="G3487" s="109">
        <f t="shared" ca="1" si="63"/>
        <v>-5.5249491353307936E-2</v>
      </c>
    </row>
    <row r="3488" spans="2:7" x14ac:dyDescent="0.25">
      <c r="B3488" s="98"/>
      <c r="F3488">
        <v>3484</v>
      </c>
      <c r="G3488" s="109">
        <f t="shared" ca="1" si="63"/>
        <v>0.11552716541996368</v>
      </c>
    </row>
    <row r="3489" spans="2:7" x14ac:dyDescent="0.25">
      <c r="B3489" s="98"/>
      <c r="F3489">
        <v>3485</v>
      </c>
      <c r="G3489" s="109">
        <f t="shared" ca="1" si="63"/>
        <v>-9.4700393640398103E-2</v>
      </c>
    </row>
    <row r="3490" spans="2:7" x14ac:dyDescent="0.25">
      <c r="B3490" s="98"/>
      <c r="F3490">
        <v>3486</v>
      </c>
      <c r="G3490" s="109">
        <f t="shared" ca="1" si="63"/>
        <v>7.7267707226203186E-2</v>
      </c>
    </row>
    <row r="3491" spans="2:7" x14ac:dyDescent="0.25">
      <c r="B3491" s="98"/>
      <c r="F3491">
        <v>3487</v>
      </c>
      <c r="G3491" s="109">
        <f t="shared" ca="1" si="63"/>
        <v>6.0784154445187685E-2</v>
      </c>
    </row>
    <row r="3492" spans="2:7" x14ac:dyDescent="0.25">
      <c r="B3492" s="98"/>
      <c r="F3492">
        <v>3488</v>
      </c>
      <c r="G3492" s="109">
        <f t="shared" ca="1" si="63"/>
        <v>-1.8454604487818785E-2</v>
      </c>
    </row>
    <row r="3493" spans="2:7" x14ac:dyDescent="0.25">
      <c r="B3493" s="98"/>
      <c r="F3493">
        <v>3489</v>
      </c>
      <c r="G3493" s="109">
        <f t="shared" ca="1" si="63"/>
        <v>5.2495609380020236E-3</v>
      </c>
    </row>
    <row r="3494" spans="2:7" x14ac:dyDescent="0.25">
      <c r="B3494" s="98"/>
      <c r="F3494">
        <v>3490</v>
      </c>
      <c r="G3494" s="109">
        <f t="shared" ca="1" si="63"/>
        <v>0.12457965388298957</v>
      </c>
    </row>
    <row r="3495" spans="2:7" x14ac:dyDescent="0.25">
      <c r="B3495" s="98"/>
      <c r="F3495">
        <v>3491</v>
      </c>
      <c r="G3495" s="109">
        <f t="shared" ca="1" si="63"/>
        <v>6.0833843816865255E-2</v>
      </c>
    </row>
    <row r="3496" spans="2:7" x14ac:dyDescent="0.25">
      <c r="B3496" s="98"/>
      <c r="F3496">
        <v>3492</v>
      </c>
      <c r="G3496" s="109">
        <f t="shared" ca="1" si="63"/>
        <v>-2.1834795745224678E-2</v>
      </c>
    </row>
    <row r="3497" spans="2:7" x14ac:dyDescent="0.25">
      <c r="B3497" s="98"/>
      <c r="F3497">
        <v>3493</v>
      </c>
      <c r="G3497" s="109">
        <f t="shared" ca="1" si="63"/>
        <v>9.8291118361093333E-2</v>
      </c>
    </row>
    <row r="3498" spans="2:7" x14ac:dyDescent="0.25">
      <c r="B3498" s="98"/>
      <c r="F3498">
        <v>3494</v>
      </c>
      <c r="G3498" s="109">
        <f t="shared" ca="1" si="63"/>
        <v>-2.4871081090307376E-3</v>
      </c>
    </row>
    <row r="3499" spans="2:7" x14ac:dyDescent="0.25">
      <c r="B3499" s="98"/>
      <c r="F3499">
        <v>3495</v>
      </c>
      <c r="G3499" s="109">
        <f t="shared" ca="1" si="63"/>
        <v>-8.8405955535167072E-2</v>
      </c>
    </row>
    <row r="3500" spans="2:7" x14ac:dyDescent="0.25">
      <c r="B3500" s="98"/>
      <c r="F3500">
        <v>3496</v>
      </c>
      <c r="G3500" s="109">
        <f t="shared" ca="1" si="63"/>
        <v>0.11991522798271874</v>
      </c>
    </row>
    <row r="3501" spans="2:7" x14ac:dyDescent="0.25">
      <c r="B3501" s="98"/>
      <c r="F3501">
        <v>3497</v>
      </c>
      <c r="G3501" s="109">
        <f t="shared" ca="1" si="63"/>
        <v>7.5936095954208097E-2</v>
      </c>
    </row>
    <row r="3502" spans="2:7" x14ac:dyDescent="0.25">
      <c r="B3502" s="98"/>
      <c r="F3502">
        <v>3498</v>
      </c>
      <c r="G3502" s="109">
        <f t="shared" ca="1" si="63"/>
        <v>0.18237041612202198</v>
      </c>
    </row>
    <row r="3503" spans="2:7" x14ac:dyDescent="0.25">
      <c r="B3503" s="98"/>
      <c r="F3503">
        <v>3499</v>
      </c>
      <c r="G3503" s="109">
        <f t="shared" ca="1" si="63"/>
        <v>0.18663046274892631</v>
      </c>
    </row>
    <row r="3504" spans="2:7" x14ac:dyDescent="0.25">
      <c r="B3504" s="98"/>
      <c r="F3504">
        <v>3500</v>
      </c>
      <c r="G3504" s="109">
        <f t="shared" ca="1" si="63"/>
        <v>0.15772659348318319</v>
      </c>
    </row>
    <row r="3505" spans="2:7" x14ac:dyDescent="0.25">
      <c r="B3505" s="98"/>
      <c r="F3505">
        <v>3501</v>
      </c>
      <c r="G3505" s="109">
        <f t="shared" ca="1" si="63"/>
        <v>-5.4081969289933182E-2</v>
      </c>
    </row>
    <row r="3506" spans="2:7" x14ac:dyDescent="0.25">
      <c r="B3506" s="98"/>
      <c r="F3506">
        <v>3502</v>
      </c>
      <c r="G3506" s="109">
        <f t="shared" ca="1" si="63"/>
        <v>0.11308396794607227</v>
      </c>
    </row>
    <row r="3507" spans="2:7" x14ac:dyDescent="0.25">
      <c r="B3507" s="98"/>
      <c r="F3507">
        <v>3503</v>
      </c>
      <c r="G3507" s="109">
        <f t="shared" ca="1" si="63"/>
        <v>-3.8219160945614797E-2</v>
      </c>
    </row>
    <row r="3508" spans="2:7" x14ac:dyDescent="0.25">
      <c r="B3508" s="98"/>
      <c r="F3508">
        <v>3504</v>
      </c>
      <c r="G3508" s="109">
        <f t="shared" ca="1" si="63"/>
        <v>-0.12339628428885123</v>
      </c>
    </row>
    <row r="3509" spans="2:7" x14ac:dyDescent="0.25">
      <c r="B3509" s="98"/>
      <c r="F3509">
        <v>3505</v>
      </c>
      <c r="G3509" s="109">
        <f t="shared" ca="1" si="63"/>
        <v>-3.2664653244338662E-2</v>
      </c>
    </row>
    <row r="3510" spans="2:7" x14ac:dyDescent="0.25">
      <c r="B3510" s="98"/>
      <c r="F3510">
        <v>3506</v>
      </c>
      <c r="G3510" s="109">
        <f t="shared" ca="1" si="63"/>
        <v>0.14625969640793068</v>
      </c>
    </row>
    <row r="3511" spans="2:7" x14ac:dyDescent="0.25">
      <c r="B3511" s="98"/>
      <c r="F3511">
        <v>3507</v>
      </c>
      <c r="G3511" s="109">
        <f t="shared" ca="1" si="63"/>
        <v>0.14420023761535183</v>
      </c>
    </row>
    <row r="3512" spans="2:7" x14ac:dyDescent="0.25">
      <c r="B3512" s="98"/>
      <c r="F3512">
        <v>3508</v>
      </c>
      <c r="G3512" s="109">
        <f t="shared" ca="1" si="63"/>
        <v>-4.209950540699009E-2</v>
      </c>
    </row>
    <row r="3513" spans="2:7" x14ac:dyDescent="0.25">
      <c r="B3513" s="98"/>
      <c r="F3513">
        <v>3509</v>
      </c>
      <c r="G3513" s="109">
        <f t="shared" ca="1" si="63"/>
        <v>-8.5493326668769978E-2</v>
      </c>
    </row>
    <row r="3514" spans="2:7" x14ac:dyDescent="0.25">
      <c r="B3514" s="98"/>
      <c r="F3514">
        <v>3510</v>
      </c>
      <c r="G3514" s="109">
        <f t="shared" ca="1" si="63"/>
        <v>6.7123266772893431E-2</v>
      </c>
    </row>
    <row r="3515" spans="2:7" x14ac:dyDescent="0.25">
      <c r="B3515" s="98"/>
      <c r="F3515">
        <v>3511</v>
      </c>
      <c r="G3515" s="109">
        <f t="shared" ca="1" si="63"/>
        <v>6.5544715671178505E-2</v>
      </c>
    </row>
    <row r="3516" spans="2:7" x14ac:dyDescent="0.25">
      <c r="B3516" s="98"/>
      <c r="F3516">
        <v>3512</v>
      </c>
      <c r="G3516" s="109">
        <f t="shared" ca="1" si="63"/>
        <v>-2.6252785628546771E-2</v>
      </c>
    </row>
    <row r="3517" spans="2:7" x14ac:dyDescent="0.25">
      <c r="B3517" s="98"/>
      <c r="F3517">
        <v>3513</v>
      </c>
      <c r="G3517" s="109">
        <f t="shared" ca="1" si="63"/>
        <v>-6.0065189064525126E-3</v>
      </c>
    </row>
    <row r="3518" spans="2:7" x14ac:dyDescent="0.25">
      <c r="B3518" s="98"/>
      <c r="F3518">
        <v>3514</v>
      </c>
      <c r="G3518" s="109">
        <f t="shared" ca="1" si="63"/>
        <v>4.537696672225449E-2</v>
      </c>
    </row>
    <row r="3519" spans="2:7" x14ac:dyDescent="0.25">
      <c r="B3519" s="98"/>
      <c r="F3519">
        <v>3515</v>
      </c>
      <c r="G3519" s="109">
        <f t="shared" ca="1" si="63"/>
        <v>-9.0567065637244024E-2</v>
      </c>
    </row>
    <row r="3520" spans="2:7" x14ac:dyDescent="0.25">
      <c r="B3520" s="98"/>
      <c r="F3520">
        <v>3516</v>
      </c>
      <c r="G3520" s="109">
        <f t="shared" ca="1" si="63"/>
        <v>0.14017605670490715</v>
      </c>
    </row>
    <row r="3521" spans="2:7" x14ac:dyDescent="0.25">
      <c r="B3521" s="98"/>
      <c r="F3521">
        <v>3517</v>
      </c>
      <c r="G3521" s="109">
        <f t="shared" ca="1" si="63"/>
        <v>2.1513152465450901E-2</v>
      </c>
    </row>
    <row r="3522" spans="2:7" x14ac:dyDescent="0.25">
      <c r="B3522" s="98"/>
      <c r="F3522">
        <v>3518</v>
      </c>
      <c r="G3522" s="109">
        <f t="shared" ca="1" si="63"/>
        <v>1.8153195238193379E-3</v>
      </c>
    </row>
    <row r="3523" spans="2:7" x14ac:dyDescent="0.25">
      <c r="B3523" s="98"/>
      <c r="F3523">
        <v>3519</v>
      </c>
      <c r="G3523" s="109">
        <f t="shared" ca="1" si="63"/>
        <v>3.2258256945428138E-2</v>
      </c>
    </row>
    <row r="3524" spans="2:7" x14ac:dyDescent="0.25">
      <c r="B3524" s="98"/>
      <c r="F3524">
        <v>3520</v>
      </c>
      <c r="G3524" s="109">
        <f t="shared" ca="1" si="63"/>
        <v>0.1518083950152106</v>
      </c>
    </row>
    <row r="3525" spans="2:7" x14ac:dyDescent="0.25">
      <c r="B3525" s="98"/>
      <c r="F3525">
        <v>3521</v>
      </c>
      <c r="G3525" s="109">
        <f t="shared" ca="1" si="63"/>
        <v>-0.14419491554017799</v>
      </c>
    </row>
    <row r="3526" spans="2:7" x14ac:dyDescent="0.25">
      <c r="B3526" s="98"/>
      <c r="F3526">
        <v>3522</v>
      </c>
      <c r="G3526" s="109">
        <f t="shared" ref="G3526:G3589" ca="1" si="64">_xlfn.NORM.INV(RAND(),$M$5,$M$6)</f>
        <v>-4.8136533750418209E-2</v>
      </c>
    </row>
    <row r="3527" spans="2:7" x14ac:dyDescent="0.25">
      <c r="B3527" s="98"/>
      <c r="F3527">
        <v>3523</v>
      </c>
      <c r="G3527" s="109">
        <f t="shared" ca="1" si="64"/>
        <v>-5.923009851760537E-3</v>
      </c>
    </row>
    <row r="3528" spans="2:7" x14ac:dyDescent="0.25">
      <c r="B3528" s="98"/>
      <c r="F3528">
        <v>3524</v>
      </c>
      <c r="G3528" s="109">
        <f t="shared" ca="1" si="64"/>
        <v>0.20638053927499495</v>
      </c>
    </row>
    <row r="3529" spans="2:7" x14ac:dyDescent="0.25">
      <c r="B3529" s="98"/>
      <c r="F3529">
        <v>3525</v>
      </c>
      <c r="G3529" s="109">
        <f t="shared" ca="1" si="64"/>
        <v>0.12188464420812603</v>
      </c>
    </row>
    <row r="3530" spans="2:7" x14ac:dyDescent="0.25">
      <c r="B3530" s="98"/>
      <c r="F3530">
        <v>3526</v>
      </c>
      <c r="G3530" s="109">
        <f t="shared" ca="1" si="64"/>
        <v>0.15128013274501956</v>
      </c>
    </row>
    <row r="3531" spans="2:7" x14ac:dyDescent="0.25">
      <c r="B3531" s="98"/>
      <c r="F3531">
        <v>3527</v>
      </c>
      <c r="G3531" s="109">
        <f t="shared" ca="1" si="64"/>
        <v>0.13986914971307579</v>
      </c>
    </row>
    <row r="3532" spans="2:7" x14ac:dyDescent="0.25">
      <c r="B3532" s="98"/>
      <c r="F3532">
        <v>3528</v>
      </c>
      <c r="G3532" s="109">
        <f t="shared" ca="1" si="64"/>
        <v>0.16284763778136666</v>
      </c>
    </row>
    <row r="3533" spans="2:7" x14ac:dyDescent="0.25">
      <c r="B3533" s="98"/>
      <c r="F3533">
        <v>3529</v>
      </c>
      <c r="G3533" s="109">
        <f t="shared" ca="1" si="64"/>
        <v>0.14728881471455024</v>
      </c>
    </row>
    <row r="3534" spans="2:7" x14ac:dyDescent="0.25">
      <c r="B3534" s="98"/>
      <c r="F3534">
        <v>3530</v>
      </c>
      <c r="G3534" s="109">
        <f t="shared" ca="1" si="64"/>
        <v>0.10841196625382438</v>
      </c>
    </row>
    <row r="3535" spans="2:7" x14ac:dyDescent="0.25">
      <c r="B3535" s="98"/>
      <c r="F3535">
        <v>3531</v>
      </c>
      <c r="G3535" s="109">
        <f t="shared" ca="1" si="64"/>
        <v>8.4397592618015257E-2</v>
      </c>
    </row>
    <row r="3536" spans="2:7" x14ac:dyDescent="0.25">
      <c r="B3536" s="98"/>
      <c r="F3536">
        <v>3532</v>
      </c>
      <c r="G3536" s="109">
        <f t="shared" ca="1" si="64"/>
        <v>0.27949039154765909</v>
      </c>
    </row>
    <row r="3537" spans="2:7" x14ac:dyDescent="0.25">
      <c r="B3537" s="98"/>
      <c r="F3537">
        <v>3533</v>
      </c>
      <c r="G3537" s="109">
        <f t="shared" ca="1" si="64"/>
        <v>3.5220525643047285E-2</v>
      </c>
    </row>
    <row r="3538" spans="2:7" x14ac:dyDescent="0.25">
      <c r="B3538" s="98"/>
      <c r="F3538">
        <v>3534</v>
      </c>
      <c r="G3538" s="109">
        <f t="shared" ca="1" si="64"/>
        <v>3.7833811383651973E-2</v>
      </c>
    </row>
    <row r="3539" spans="2:7" x14ac:dyDescent="0.25">
      <c r="B3539" s="98"/>
      <c r="F3539">
        <v>3535</v>
      </c>
      <c r="G3539" s="109">
        <f t="shared" ca="1" si="64"/>
        <v>0.11788576796185175</v>
      </c>
    </row>
    <row r="3540" spans="2:7" x14ac:dyDescent="0.25">
      <c r="B3540" s="98"/>
      <c r="F3540">
        <v>3536</v>
      </c>
      <c r="G3540" s="109">
        <f t="shared" ca="1" si="64"/>
        <v>-2.7819116700973506E-2</v>
      </c>
    </row>
    <row r="3541" spans="2:7" x14ac:dyDescent="0.25">
      <c r="B3541" s="98"/>
      <c r="F3541">
        <v>3537</v>
      </c>
      <c r="G3541" s="109">
        <f t="shared" ca="1" si="64"/>
        <v>-2.6830357224455662E-2</v>
      </c>
    </row>
    <row r="3542" spans="2:7" x14ac:dyDescent="0.25">
      <c r="B3542" s="98"/>
      <c r="F3542">
        <v>3538</v>
      </c>
      <c r="G3542" s="109">
        <f t="shared" ca="1" si="64"/>
        <v>-3.1694356658355405E-2</v>
      </c>
    </row>
    <row r="3543" spans="2:7" x14ac:dyDescent="0.25">
      <c r="B3543" s="98"/>
      <c r="F3543">
        <v>3539</v>
      </c>
      <c r="G3543" s="109">
        <f t="shared" ca="1" si="64"/>
        <v>7.4759282536415672E-2</v>
      </c>
    </row>
    <row r="3544" spans="2:7" x14ac:dyDescent="0.25">
      <c r="B3544" s="98"/>
      <c r="F3544">
        <v>3540</v>
      </c>
      <c r="G3544" s="109">
        <f t="shared" ca="1" si="64"/>
        <v>7.0323487438032906E-4</v>
      </c>
    </row>
    <row r="3545" spans="2:7" x14ac:dyDescent="0.25">
      <c r="B3545" s="98"/>
      <c r="F3545">
        <v>3541</v>
      </c>
      <c r="G3545" s="109">
        <f t="shared" ca="1" si="64"/>
        <v>-2.2103150391505635E-2</v>
      </c>
    </row>
    <row r="3546" spans="2:7" x14ac:dyDescent="0.25">
      <c r="B3546" s="98"/>
      <c r="F3546">
        <v>3542</v>
      </c>
      <c r="G3546" s="109">
        <f t="shared" ca="1" si="64"/>
        <v>-1.6901955483409531E-2</v>
      </c>
    </row>
    <row r="3547" spans="2:7" x14ac:dyDescent="0.25">
      <c r="B3547" s="98"/>
      <c r="F3547">
        <v>3543</v>
      </c>
      <c r="G3547" s="109">
        <f t="shared" ca="1" si="64"/>
        <v>-9.8954407757292043E-2</v>
      </c>
    </row>
    <row r="3548" spans="2:7" x14ac:dyDescent="0.25">
      <c r="B3548" s="98"/>
      <c r="F3548">
        <v>3544</v>
      </c>
      <c r="G3548" s="109">
        <f t="shared" ca="1" si="64"/>
        <v>3.1388055157077821E-2</v>
      </c>
    </row>
    <row r="3549" spans="2:7" x14ac:dyDescent="0.25">
      <c r="B3549" s="98"/>
      <c r="F3549">
        <v>3545</v>
      </c>
      <c r="G3549" s="109">
        <f t="shared" ca="1" si="64"/>
        <v>-3.2539107877683493E-2</v>
      </c>
    </row>
    <row r="3550" spans="2:7" x14ac:dyDescent="0.25">
      <c r="B3550" s="98"/>
      <c r="F3550">
        <v>3546</v>
      </c>
      <c r="G3550" s="109">
        <f t="shared" ca="1" si="64"/>
        <v>-4.6357452163486801E-2</v>
      </c>
    </row>
    <row r="3551" spans="2:7" x14ac:dyDescent="0.25">
      <c r="B3551" s="98"/>
      <c r="F3551">
        <v>3547</v>
      </c>
      <c r="G3551" s="109">
        <f t="shared" ca="1" si="64"/>
        <v>-0.12564398496292967</v>
      </c>
    </row>
    <row r="3552" spans="2:7" x14ac:dyDescent="0.25">
      <c r="B3552" s="98"/>
      <c r="F3552">
        <v>3548</v>
      </c>
      <c r="G3552" s="109">
        <f t="shared" ca="1" si="64"/>
        <v>-1.6567326926924114E-3</v>
      </c>
    </row>
    <row r="3553" spans="2:7" x14ac:dyDescent="0.25">
      <c r="B3553" s="98"/>
      <c r="F3553">
        <v>3549</v>
      </c>
      <c r="G3553" s="109">
        <f t="shared" ca="1" si="64"/>
        <v>0.21758745921006645</v>
      </c>
    </row>
    <row r="3554" spans="2:7" x14ac:dyDescent="0.25">
      <c r="B3554" s="98"/>
      <c r="F3554">
        <v>3550</v>
      </c>
      <c r="G3554" s="109">
        <f t="shared" ca="1" si="64"/>
        <v>8.3699346798925059E-2</v>
      </c>
    </row>
    <row r="3555" spans="2:7" x14ac:dyDescent="0.25">
      <c r="B3555" s="98"/>
      <c r="F3555">
        <v>3551</v>
      </c>
      <c r="G3555" s="109">
        <f t="shared" ca="1" si="64"/>
        <v>8.2111299578652125E-2</v>
      </c>
    </row>
    <row r="3556" spans="2:7" x14ac:dyDescent="0.25">
      <c r="B3556" s="98"/>
      <c r="F3556">
        <v>3552</v>
      </c>
      <c r="G3556" s="109">
        <f t="shared" ca="1" si="64"/>
        <v>5.619473075390688E-2</v>
      </c>
    </row>
    <row r="3557" spans="2:7" x14ac:dyDescent="0.25">
      <c r="B3557" s="98"/>
      <c r="F3557">
        <v>3553</v>
      </c>
      <c r="G3557" s="109">
        <f t="shared" ca="1" si="64"/>
        <v>3.4772436803298709E-2</v>
      </c>
    </row>
    <row r="3558" spans="2:7" x14ac:dyDescent="0.25">
      <c r="B3558" s="98"/>
      <c r="F3558">
        <v>3554</v>
      </c>
      <c r="G3558" s="109">
        <f t="shared" ca="1" si="64"/>
        <v>-9.609972423904739E-4</v>
      </c>
    </row>
    <row r="3559" spans="2:7" x14ac:dyDescent="0.25">
      <c r="B3559" s="98"/>
      <c r="F3559">
        <v>3555</v>
      </c>
      <c r="G3559" s="109">
        <f t="shared" ca="1" si="64"/>
        <v>0.14319634019801425</v>
      </c>
    </row>
    <row r="3560" spans="2:7" x14ac:dyDescent="0.25">
      <c r="B3560" s="98"/>
      <c r="F3560">
        <v>3556</v>
      </c>
      <c r="G3560" s="109">
        <f t="shared" ca="1" si="64"/>
        <v>-1.7658506829054468E-2</v>
      </c>
    </row>
    <row r="3561" spans="2:7" x14ac:dyDescent="0.25">
      <c r="B3561" s="98"/>
      <c r="F3561">
        <v>3557</v>
      </c>
      <c r="G3561" s="109">
        <f t="shared" ca="1" si="64"/>
        <v>0.15531652408381269</v>
      </c>
    </row>
    <row r="3562" spans="2:7" x14ac:dyDescent="0.25">
      <c r="B3562" s="98"/>
      <c r="F3562">
        <v>3558</v>
      </c>
      <c r="G3562" s="109">
        <f t="shared" ca="1" si="64"/>
        <v>9.1944757634754223E-2</v>
      </c>
    </row>
    <row r="3563" spans="2:7" x14ac:dyDescent="0.25">
      <c r="B3563" s="98"/>
      <c r="F3563">
        <v>3559</v>
      </c>
      <c r="G3563" s="109">
        <f t="shared" ca="1" si="64"/>
        <v>7.2843582217991573E-2</v>
      </c>
    </row>
    <row r="3564" spans="2:7" x14ac:dyDescent="0.25">
      <c r="B3564" s="98"/>
      <c r="F3564">
        <v>3560</v>
      </c>
      <c r="G3564" s="109">
        <f t="shared" ca="1" si="64"/>
        <v>2.0636481716297048E-2</v>
      </c>
    </row>
    <row r="3565" spans="2:7" x14ac:dyDescent="0.25">
      <c r="B3565" s="98"/>
      <c r="F3565">
        <v>3561</v>
      </c>
      <c r="G3565" s="109">
        <f t="shared" ca="1" si="64"/>
        <v>4.5550836949617979E-3</v>
      </c>
    </row>
    <row r="3566" spans="2:7" x14ac:dyDescent="0.25">
      <c r="B3566" s="98"/>
      <c r="F3566">
        <v>3562</v>
      </c>
      <c r="G3566" s="109">
        <f t="shared" ca="1" si="64"/>
        <v>-1.0060212687307134E-2</v>
      </c>
    </row>
    <row r="3567" spans="2:7" x14ac:dyDescent="0.25">
      <c r="B3567" s="98"/>
      <c r="F3567">
        <v>3563</v>
      </c>
      <c r="G3567" s="109">
        <f t="shared" ca="1" si="64"/>
        <v>-0.17140193047948776</v>
      </c>
    </row>
    <row r="3568" spans="2:7" x14ac:dyDescent="0.25">
      <c r="B3568" s="98"/>
      <c r="F3568">
        <v>3564</v>
      </c>
      <c r="G3568" s="109">
        <f t="shared" ca="1" si="64"/>
        <v>-2.3873406757336652E-2</v>
      </c>
    </row>
    <row r="3569" spans="2:7" x14ac:dyDescent="0.25">
      <c r="B3569" s="98"/>
      <c r="F3569">
        <v>3565</v>
      </c>
      <c r="G3569" s="109">
        <f t="shared" ca="1" si="64"/>
        <v>-1.1513090409714231E-2</v>
      </c>
    </row>
    <row r="3570" spans="2:7" x14ac:dyDescent="0.25">
      <c r="B3570" s="98"/>
      <c r="F3570">
        <v>3566</v>
      </c>
      <c r="G3570" s="109">
        <f t="shared" ca="1" si="64"/>
        <v>0.17456956924624034</v>
      </c>
    </row>
    <row r="3571" spans="2:7" x14ac:dyDescent="0.25">
      <c r="B3571" s="98"/>
      <c r="F3571">
        <v>3567</v>
      </c>
      <c r="G3571" s="109">
        <f t="shared" ca="1" si="64"/>
        <v>4.601673467803076E-2</v>
      </c>
    </row>
    <row r="3572" spans="2:7" x14ac:dyDescent="0.25">
      <c r="B3572" s="98"/>
      <c r="F3572">
        <v>3568</v>
      </c>
      <c r="G3572" s="109">
        <f t="shared" ca="1" si="64"/>
        <v>0.1473300127351585</v>
      </c>
    </row>
    <row r="3573" spans="2:7" x14ac:dyDescent="0.25">
      <c r="B3573" s="98"/>
      <c r="F3573">
        <v>3569</v>
      </c>
      <c r="G3573" s="109">
        <f t="shared" ca="1" si="64"/>
        <v>3.2679226683545885E-2</v>
      </c>
    </row>
    <row r="3574" spans="2:7" x14ac:dyDescent="0.25">
      <c r="B3574" s="98"/>
      <c r="F3574">
        <v>3570</v>
      </c>
      <c r="G3574" s="109">
        <f t="shared" ca="1" si="64"/>
        <v>0.15399993382044991</v>
      </c>
    </row>
    <row r="3575" spans="2:7" x14ac:dyDescent="0.25">
      <c r="B3575" s="98"/>
      <c r="F3575">
        <v>3571</v>
      </c>
      <c r="G3575" s="109">
        <f t="shared" ca="1" si="64"/>
        <v>1.6503741344791052E-2</v>
      </c>
    </row>
    <row r="3576" spans="2:7" x14ac:dyDescent="0.25">
      <c r="B3576" s="98"/>
      <c r="F3576">
        <v>3572</v>
      </c>
      <c r="G3576" s="109">
        <f t="shared" ca="1" si="64"/>
        <v>0.1845267807100916</v>
      </c>
    </row>
    <row r="3577" spans="2:7" x14ac:dyDescent="0.25">
      <c r="B3577" s="98"/>
      <c r="F3577">
        <v>3573</v>
      </c>
      <c r="G3577" s="109">
        <f t="shared" ca="1" si="64"/>
        <v>0.15750698438132654</v>
      </c>
    </row>
    <row r="3578" spans="2:7" x14ac:dyDescent="0.25">
      <c r="B3578" s="98"/>
      <c r="F3578">
        <v>3574</v>
      </c>
      <c r="G3578" s="109">
        <f t="shared" ca="1" si="64"/>
        <v>0.1994328949718559</v>
      </c>
    </row>
    <row r="3579" spans="2:7" x14ac:dyDescent="0.25">
      <c r="B3579" s="98"/>
      <c r="F3579">
        <v>3575</v>
      </c>
      <c r="G3579" s="109">
        <f t="shared" ca="1" si="64"/>
        <v>0.10417330134710001</v>
      </c>
    </row>
    <row r="3580" spans="2:7" x14ac:dyDescent="0.25">
      <c r="B3580" s="98"/>
      <c r="F3580">
        <v>3576</v>
      </c>
      <c r="G3580" s="109">
        <f t="shared" ca="1" si="64"/>
        <v>0.1196030437446905</v>
      </c>
    </row>
    <row r="3581" spans="2:7" x14ac:dyDescent="0.25">
      <c r="B3581" s="98"/>
      <c r="F3581">
        <v>3577</v>
      </c>
      <c r="G3581" s="109">
        <f t="shared" ca="1" si="64"/>
        <v>-1.8402275411653984E-2</v>
      </c>
    </row>
    <row r="3582" spans="2:7" x14ac:dyDescent="0.25">
      <c r="B3582" s="98"/>
      <c r="F3582">
        <v>3578</v>
      </c>
      <c r="G3582" s="109">
        <f t="shared" ca="1" si="64"/>
        <v>0.12322088883388617</v>
      </c>
    </row>
    <row r="3583" spans="2:7" x14ac:dyDescent="0.25">
      <c r="B3583" s="98"/>
      <c r="F3583">
        <v>3579</v>
      </c>
      <c r="G3583" s="109">
        <f t="shared" ca="1" si="64"/>
        <v>0.17617875823598411</v>
      </c>
    </row>
    <row r="3584" spans="2:7" x14ac:dyDescent="0.25">
      <c r="B3584" s="98"/>
      <c r="F3584">
        <v>3580</v>
      </c>
      <c r="G3584" s="109">
        <f t="shared" ca="1" si="64"/>
        <v>8.1715401188970166E-2</v>
      </c>
    </row>
    <row r="3585" spans="2:7" x14ac:dyDescent="0.25">
      <c r="B3585" s="98"/>
      <c r="F3585">
        <v>3581</v>
      </c>
      <c r="G3585" s="109">
        <f t="shared" ca="1" si="64"/>
        <v>-0.12507835194239225</v>
      </c>
    </row>
    <row r="3586" spans="2:7" x14ac:dyDescent="0.25">
      <c r="B3586" s="98"/>
      <c r="F3586">
        <v>3582</v>
      </c>
      <c r="G3586" s="109">
        <f t="shared" ca="1" si="64"/>
        <v>0.11093386844305556</v>
      </c>
    </row>
    <row r="3587" spans="2:7" x14ac:dyDescent="0.25">
      <c r="B3587" s="98"/>
      <c r="F3587">
        <v>3583</v>
      </c>
      <c r="G3587" s="109">
        <f t="shared" ca="1" si="64"/>
        <v>2.4733609655714469E-2</v>
      </c>
    </row>
    <row r="3588" spans="2:7" x14ac:dyDescent="0.25">
      <c r="B3588" s="98"/>
      <c r="F3588">
        <v>3584</v>
      </c>
      <c r="G3588" s="109">
        <f t="shared" ca="1" si="64"/>
        <v>5.9106452175495913E-2</v>
      </c>
    </row>
    <row r="3589" spans="2:7" x14ac:dyDescent="0.25">
      <c r="B3589" s="98"/>
      <c r="F3589">
        <v>3585</v>
      </c>
      <c r="G3589" s="109">
        <f t="shared" ca="1" si="64"/>
        <v>7.4382488431380692E-2</v>
      </c>
    </row>
    <row r="3590" spans="2:7" x14ac:dyDescent="0.25">
      <c r="B3590" s="98"/>
      <c r="F3590">
        <v>3586</v>
      </c>
      <c r="G3590" s="109">
        <f t="shared" ref="G3590:G3653" ca="1" si="65">_xlfn.NORM.INV(RAND(),$M$5,$M$6)</f>
        <v>0.26495516197619889</v>
      </c>
    </row>
    <row r="3591" spans="2:7" x14ac:dyDescent="0.25">
      <c r="B3591" s="98"/>
      <c r="F3591">
        <v>3587</v>
      </c>
      <c r="G3591" s="109">
        <f t="shared" ca="1" si="65"/>
        <v>-8.772662692170613E-3</v>
      </c>
    </row>
    <row r="3592" spans="2:7" x14ac:dyDescent="0.25">
      <c r="B3592" s="98"/>
      <c r="F3592">
        <v>3588</v>
      </c>
      <c r="G3592" s="109">
        <f t="shared" ca="1" si="65"/>
        <v>3.3349740905199314E-2</v>
      </c>
    </row>
    <row r="3593" spans="2:7" x14ac:dyDescent="0.25">
      <c r="B3593" s="98"/>
      <c r="F3593">
        <v>3589</v>
      </c>
      <c r="G3593" s="109">
        <f t="shared" ca="1" si="65"/>
        <v>-3.105240941443628E-2</v>
      </c>
    </row>
    <row r="3594" spans="2:7" x14ac:dyDescent="0.25">
      <c r="B3594" s="98"/>
      <c r="F3594">
        <v>3590</v>
      </c>
      <c r="G3594" s="109">
        <f t="shared" ca="1" si="65"/>
        <v>-6.0864522359043743E-2</v>
      </c>
    </row>
    <row r="3595" spans="2:7" x14ac:dyDescent="0.25">
      <c r="B3595" s="98"/>
      <c r="F3595">
        <v>3591</v>
      </c>
      <c r="G3595" s="109">
        <f t="shared" ca="1" si="65"/>
        <v>0.15339003183641342</v>
      </c>
    </row>
    <row r="3596" spans="2:7" x14ac:dyDescent="0.25">
      <c r="B3596" s="98"/>
      <c r="F3596">
        <v>3592</v>
      </c>
      <c r="G3596" s="109">
        <f t="shared" ca="1" si="65"/>
        <v>3.496822994711337E-2</v>
      </c>
    </row>
    <row r="3597" spans="2:7" x14ac:dyDescent="0.25">
      <c r="B3597" s="98"/>
      <c r="F3597">
        <v>3593</v>
      </c>
      <c r="G3597" s="109">
        <f t="shared" ca="1" si="65"/>
        <v>8.6520683914045479E-2</v>
      </c>
    </row>
    <row r="3598" spans="2:7" x14ac:dyDescent="0.25">
      <c r="B3598" s="98"/>
      <c r="F3598">
        <v>3594</v>
      </c>
      <c r="G3598" s="109">
        <f t="shared" ca="1" si="65"/>
        <v>8.5820053113977696E-2</v>
      </c>
    </row>
    <row r="3599" spans="2:7" x14ac:dyDescent="0.25">
      <c r="B3599" s="98"/>
      <c r="F3599">
        <v>3595</v>
      </c>
      <c r="G3599" s="109">
        <f t="shared" ca="1" si="65"/>
        <v>-6.7010458230989348E-2</v>
      </c>
    </row>
    <row r="3600" spans="2:7" x14ac:dyDescent="0.25">
      <c r="B3600" s="98"/>
      <c r="F3600">
        <v>3596</v>
      </c>
      <c r="G3600" s="109">
        <f t="shared" ca="1" si="65"/>
        <v>0.21188747999143642</v>
      </c>
    </row>
    <row r="3601" spans="2:7" x14ac:dyDescent="0.25">
      <c r="B3601" s="98"/>
      <c r="F3601">
        <v>3597</v>
      </c>
      <c r="G3601" s="109">
        <f t="shared" ca="1" si="65"/>
        <v>5.5787249446395841E-2</v>
      </c>
    </row>
    <row r="3602" spans="2:7" x14ac:dyDescent="0.25">
      <c r="B3602" s="98"/>
      <c r="F3602">
        <v>3598</v>
      </c>
      <c r="G3602" s="109">
        <f t="shared" ca="1" si="65"/>
        <v>-3.6626728958412666E-2</v>
      </c>
    </row>
    <row r="3603" spans="2:7" x14ac:dyDescent="0.25">
      <c r="B3603" s="98"/>
      <c r="F3603">
        <v>3599</v>
      </c>
      <c r="G3603" s="109">
        <f t="shared" ca="1" si="65"/>
        <v>-0.10699428620351174</v>
      </c>
    </row>
    <row r="3604" spans="2:7" x14ac:dyDescent="0.25">
      <c r="B3604" s="98"/>
      <c r="F3604">
        <v>3600</v>
      </c>
      <c r="G3604" s="109">
        <f t="shared" ca="1" si="65"/>
        <v>0.16289214188164236</v>
      </c>
    </row>
    <row r="3605" spans="2:7" x14ac:dyDescent="0.25">
      <c r="B3605" s="98"/>
      <c r="F3605">
        <v>3601</v>
      </c>
      <c r="G3605" s="109">
        <f t="shared" ca="1" si="65"/>
        <v>-9.1222868371419671E-3</v>
      </c>
    </row>
    <row r="3606" spans="2:7" x14ac:dyDescent="0.25">
      <c r="B3606" s="98"/>
      <c r="F3606">
        <v>3602</v>
      </c>
      <c r="G3606" s="109">
        <f t="shared" ca="1" si="65"/>
        <v>0.1434525007976851</v>
      </c>
    </row>
    <row r="3607" spans="2:7" x14ac:dyDescent="0.25">
      <c r="B3607" s="98"/>
      <c r="F3607">
        <v>3603</v>
      </c>
      <c r="G3607" s="109">
        <f t="shared" ca="1" si="65"/>
        <v>-0.10164525161103004</v>
      </c>
    </row>
    <row r="3608" spans="2:7" x14ac:dyDescent="0.25">
      <c r="B3608" s="98"/>
      <c r="F3608">
        <v>3604</v>
      </c>
      <c r="G3608" s="109">
        <f t="shared" ca="1" si="65"/>
        <v>2.7765574456289865E-2</v>
      </c>
    </row>
    <row r="3609" spans="2:7" x14ac:dyDescent="0.25">
      <c r="B3609" s="98"/>
      <c r="F3609">
        <v>3605</v>
      </c>
      <c r="G3609" s="109">
        <f t="shared" ca="1" si="65"/>
        <v>-7.4484296290626334E-2</v>
      </c>
    </row>
    <row r="3610" spans="2:7" x14ac:dyDescent="0.25">
      <c r="B3610" s="98"/>
      <c r="F3610">
        <v>3606</v>
      </c>
      <c r="G3610" s="109">
        <f t="shared" ca="1" si="65"/>
        <v>8.440140301201092E-2</v>
      </c>
    </row>
    <row r="3611" spans="2:7" x14ac:dyDescent="0.25">
      <c r="B3611" s="98"/>
      <c r="F3611">
        <v>3607</v>
      </c>
      <c r="G3611" s="109">
        <f t="shared" ca="1" si="65"/>
        <v>5.3437331478411496E-2</v>
      </c>
    </row>
    <row r="3612" spans="2:7" x14ac:dyDescent="0.25">
      <c r="B3612" s="98"/>
      <c r="F3612">
        <v>3608</v>
      </c>
      <c r="G3612" s="109">
        <f t="shared" ca="1" si="65"/>
        <v>-3.9029804600501372E-2</v>
      </c>
    </row>
    <row r="3613" spans="2:7" x14ac:dyDescent="0.25">
      <c r="B3613" s="98"/>
      <c r="F3613">
        <v>3609</v>
      </c>
      <c r="G3613" s="109">
        <f t="shared" ca="1" si="65"/>
        <v>-1.2491002701192057E-2</v>
      </c>
    </row>
    <row r="3614" spans="2:7" x14ac:dyDescent="0.25">
      <c r="B3614" s="98"/>
      <c r="F3614">
        <v>3610</v>
      </c>
      <c r="G3614" s="109">
        <f t="shared" ca="1" si="65"/>
        <v>8.9736412442706803E-2</v>
      </c>
    </row>
    <row r="3615" spans="2:7" x14ac:dyDescent="0.25">
      <c r="B3615" s="98"/>
      <c r="F3615">
        <v>3611</v>
      </c>
      <c r="G3615" s="109">
        <f t="shared" ca="1" si="65"/>
        <v>-0.1485975949815172</v>
      </c>
    </row>
    <row r="3616" spans="2:7" x14ac:dyDescent="0.25">
      <c r="B3616" s="98"/>
      <c r="F3616">
        <v>3612</v>
      </c>
      <c r="G3616" s="109">
        <f t="shared" ca="1" si="65"/>
        <v>4.0434173936781476E-2</v>
      </c>
    </row>
    <row r="3617" spans="2:7" x14ac:dyDescent="0.25">
      <c r="B3617" s="98"/>
      <c r="F3617">
        <v>3613</v>
      </c>
      <c r="G3617" s="109">
        <f t="shared" ca="1" si="65"/>
        <v>-6.6054690789673104E-2</v>
      </c>
    </row>
    <row r="3618" spans="2:7" x14ac:dyDescent="0.25">
      <c r="B3618" s="98"/>
      <c r="F3618">
        <v>3614</v>
      </c>
      <c r="G3618" s="109">
        <f t="shared" ca="1" si="65"/>
        <v>0.10277226649168589</v>
      </c>
    </row>
    <row r="3619" spans="2:7" x14ac:dyDescent="0.25">
      <c r="B3619" s="98"/>
      <c r="F3619">
        <v>3615</v>
      </c>
      <c r="G3619" s="109">
        <f t="shared" ca="1" si="65"/>
        <v>4.4855327630584238E-2</v>
      </c>
    </row>
    <row r="3620" spans="2:7" x14ac:dyDescent="0.25">
      <c r="B3620" s="98"/>
      <c r="F3620">
        <v>3616</v>
      </c>
      <c r="G3620" s="109">
        <f t="shared" ca="1" si="65"/>
        <v>0.15797362505459558</v>
      </c>
    </row>
    <row r="3621" spans="2:7" x14ac:dyDescent="0.25">
      <c r="B3621" s="98"/>
      <c r="F3621">
        <v>3617</v>
      </c>
      <c r="G3621" s="109">
        <f t="shared" ca="1" si="65"/>
        <v>-3.8943311541316694E-2</v>
      </c>
    </row>
    <row r="3622" spans="2:7" x14ac:dyDescent="0.25">
      <c r="B3622" s="98"/>
      <c r="F3622">
        <v>3618</v>
      </c>
      <c r="G3622" s="109">
        <f t="shared" ca="1" si="65"/>
        <v>6.8526890486479058E-2</v>
      </c>
    </row>
    <row r="3623" spans="2:7" x14ac:dyDescent="0.25">
      <c r="B3623" s="98"/>
      <c r="F3623">
        <v>3619</v>
      </c>
      <c r="G3623" s="109">
        <f t="shared" ca="1" si="65"/>
        <v>0.22613878673213189</v>
      </c>
    </row>
    <row r="3624" spans="2:7" x14ac:dyDescent="0.25">
      <c r="B3624" s="98"/>
      <c r="F3624">
        <v>3620</v>
      </c>
      <c r="G3624" s="109">
        <f t="shared" ca="1" si="65"/>
        <v>0.20745302877969907</v>
      </c>
    </row>
    <row r="3625" spans="2:7" x14ac:dyDescent="0.25">
      <c r="B3625" s="98"/>
      <c r="F3625">
        <v>3621</v>
      </c>
      <c r="G3625" s="109">
        <f t="shared" ca="1" si="65"/>
        <v>0.13527857908732499</v>
      </c>
    </row>
    <row r="3626" spans="2:7" x14ac:dyDescent="0.25">
      <c r="B3626" s="98"/>
      <c r="F3626">
        <v>3622</v>
      </c>
      <c r="G3626" s="109">
        <f t="shared" ca="1" si="65"/>
        <v>1.4645264762277177E-2</v>
      </c>
    </row>
    <row r="3627" spans="2:7" x14ac:dyDescent="0.25">
      <c r="B3627" s="98"/>
      <c r="F3627">
        <v>3623</v>
      </c>
      <c r="G3627" s="109">
        <f t="shared" ca="1" si="65"/>
        <v>5.4787115961877381E-2</v>
      </c>
    </row>
    <row r="3628" spans="2:7" x14ac:dyDescent="0.25">
      <c r="B3628" s="98"/>
      <c r="F3628">
        <v>3624</v>
      </c>
      <c r="G3628" s="109">
        <f t="shared" ca="1" si="65"/>
        <v>-4.4095711863931589E-2</v>
      </c>
    </row>
    <row r="3629" spans="2:7" x14ac:dyDescent="0.25">
      <c r="B3629" s="98"/>
      <c r="F3629">
        <v>3625</v>
      </c>
      <c r="G3629" s="109">
        <f t="shared" ca="1" si="65"/>
        <v>4.0762088189613244E-2</v>
      </c>
    </row>
    <row r="3630" spans="2:7" x14ac:dyDescent="0.25">
      <c r="B3630" s="98"/>
      <c r="F3630">
        <v>3626</v>
      </c>
      <c r="G3630" s="109">
        <f t="shared" ca="1" si="65"/>
        <v>0.17346989347438779</v>
      </c>
    </row>
    <row r="3631" spans="2:7" x14ac:dyDescent="0.25">
      <c r="B3631" s="98"/>
      <c r="F3631">
        <v>3627</v>
      </c>
      <c r="G3631" s="109">
        <f t="shared" ca="1" si="65"/>
        <v>0.15095074091549565</v>
      </c>
    </row>
    <row r="3632" spans="2:7" x14ac:dyDescent="0.25">
      <c r="B3632" s="98"/>
      <c r="F3632">
        <v>3628</v>
      </c>
      <c r="G3632" s="109">
        <f t="shared" ca="1" si="65"/>
        <v>0.16230537877250825</v>
      </c>
    </row>
    <row r="3633" spans="2:7" x14ac:dyDescent="0.25">
      <c r="B3633" s="98"/>
      <c r="F3633">
        <v>3629</v>
      </c>
      <c r="G3633" s="109">
        <f t="shared" ca="1" si="65"/>
        <v>-2.0646581562523622E-2</v>
      </c>
    </row>
    <row r="3634" spans="2:7" x14ac:dyDescent="0.25">
      <c r="B3634" s="98"/>
      <c r="F3634">
        <v>3630</v>
      </c>
      <c r="G3634" s="109">
        <f t="shared" ca="1" si="65"/>
        <v>0.15493663777134153</v>
      </c>
    </row>
    <row r="3635" spans="2:7" x14ac:dyDescent="0.25">
      <c r="B3635" s="98"/>
      <c r="F3635">
        <v>3631</v>
      </c>
      <c r="G3635" s="109">
        <f t="shared" ca="1" si="65"/>
        <v>-8.3661816156947691E-2</v>
      </c>
    </row>
    <row r="3636" spans="2:7" x14ac:dyDescent="0.25">
      <c r="B3636" s="98"/>
      <c r="F3636">
        <v>3632</v>
      </c>
      <c r="G3636" s="109">
        <f t="shared" ca="1" si="65"/>
        <v>6.2847594606538743E-2</v>
      </c>
    </row>
    <row r="3637" spans="2:7" x14ac:dyDescent="0.25">
      <c r="B3637" s="98"/>
      <c r="F3637">
        <v>3633</v>
      </c>
      <c r="G3637" s="109">
        <f t="shared" ca="1" si="65"/>
        <v>0.18784353006621474</v>
      </c>
    </row>
    <row r="3638" spans="2:7" x14ac:dyDescent="0.25">
      <c r="B3638" s="98"/>
      <c r="F3638">
        <v>3634</v>
      </c>
      <c r="G3638" s="109">
        <f t="shared" ca="1" si="65"/>
        <v>6.4996794311015266E-2</v>
      </c>
    </row>
    <row r="3639" spans="2:7" x14ac:dyDescent="0.25">
      <c r="B3639" s="98"/>
      <c r="F3639">
        <v>3635</v>
      </c>
      <c r="G3639" s="109">
        <f t="shared" ca="1" si="65"/>
        <v>-0.12000408772067374</v>
      </c>
    </row>
    <row r="3640" spans="2:7" x14ac:dyDescent="0.25">
      <c r="B3640" s="98"/>
      <c r="F3640">
        <v>3636</v>
      </c>
      <c r="G3640" s="109">
        <f t="shared" ca="1" si="65"/>
        <v>1.2982267415861531E-2</v>
      </c>
    </row>
    <row r="3641" spans="2:7" x14ac:dyDescent="0.25">
      <c r="B3641" s="98"/>
      <c r="F3641">
        <v>3637</v>
      </c>
      <c r="G3641" s="109">
        <f t="shared" ca="1" si="65"/>
        <v>3.3583467143263185E-4</v>
      </c>
    </row>
    <row r="3642" spans="2:7" x14ac:dyDescent="0.25">
      <c r="B3642" s="98"/>
      <c r="F3642">
        <v>3638</v>
      </c>
      <c r="G3642" s="109">
        <f t="shared" ca="1" si="65"/>
        <v>-3.0953719904277394E-4</v>
      </c>
    </row>
    <row r="3643" spans="2:7" x14ac:dyDescent="0.25">
      <c r="B3643" s="98"/>
      <c r="F3643">
        <v>3639</v>
      </c>
      <c r="G3643" s="109">
        <f t="shared" ca="1" si="65"/>
        <v>1.0166404307975448E-2</v>
      </c>
    </row>
    <row r="3644" spans="2:7" x14ac:dyDescent="0.25">
      <c r="B3644" s="98"/>
      <c r="F3644">
        <v>3640</v>
      </c>
      <c r="G3644" s="109">
        <f t="shared" ca="1" si="65"/>
        <v>0.13520724005123508</v>
      </c>
    </row>
    <row r="3645" spans="2:7" x14ac:dyDescent="0.25">
      <c r="B3645" s="98"/>
      <c r="F3645">
        <v>3641</v>
      </c>
      <c r="G3645" s="109">
        <f t="shared" ca="1" si="65"/>
        <v>1.4170455431606367E-2</v>
      </c>
    </row>
    <row r="3646" spans="2:7" x14ac:dyDescent="0.25">
      <c r="B3646" s="98"/>
      <c r="F3646">
        <v>3642</v>
      </c>
      <c r="G3646" s="109">
        <f t="shared" ca="1" si="65"/>
        <v>1.660062890872557E-2</v>
      </c>
    </row>
    <row r="3647" spans="2:7" x14ac:dyDescent="0.25">
      <c r="B3647" s="98"/>
      <c r="F3647">
        <v>3643</v>
      </c>
      <c r="G3647" s="109">
        <f t="shared" ca="1" si="65"/>
        <v>0.24068042734230877</v>
      </c>
    </row>
    <row r="3648" spans="2:7" x14ac:dyDescent="0.25">
      <c r="B3648" s="98"/>
      <c r="F3648">
        <v>3644</v>
      </c>
      <c r="G3648" s="109">
        <f t="shared" ca="1" si="65"/>
        <v>-0.1394034701596627</v>
      </c>
    </row>
    <row r="3649" spans="2:7" x14ac:dyDescent="0.25">
      <c r="B3649" s="98"/>
      <c r="F3649">
        <v>3645</v>
      </c>
      <c r="G3649" s="109">
        <f t="shared" ca="1" si="65"/>
        <v>5.6244736969563176E-2</v>
      </c>
    </row>
    <row r="3650" spans="2:7" x14ac:dyDescent="0.25">
      <c r="B3650" s="98"/>
      <c r="F3650">
        <v>3646</v>
      </c>
      <c r="G3650" s="109">
        <f t="shared" ca="1" si="65"/>
        <v>7.2036853679101523E-2</v>
      </c>
    </row>
    <row r="3651" spans="2:7" x14ac:dyDescent="0.25">
      <c r="B3651" s="98"/>
      <c r="F3651">
        <v>3647</v>
      </c>
      <c r="G3651" s="109">
        <f t="shared" ca="1" si="65"/>
        <v>-9.5134101186513484E-2</v>
      </c>
    </row>
    <row r="3652" spans="2:7" x14ac:dyDescent="0.25">
      <c r="B3652" s="98"/>
      <c r="F3652">
        <v>3648</v>
      </c>
      <c r="G3652" s="109">
        <f t="shared" ca="1" si="65"/>
        <v>6.5653812682106835E-2</v>
      </c>
    </row>
    <row r="3653" spans="2:7" x14ac:dyDescent="0.25">
      <c r="B3653" s="98"/>
      <c r="F3653">
        <v>3649</v>
      </c>
      <c r="G3653" s="109">
        <f t="shared" ca="1" si="65"/>
        <v>-2.9710896896681757E-2</v>
      </c>
    </row>
    <row r="3654" spans="2:7" x14ac:dyDescent="0.25">
      <c r="B3654" s="98"/>
      <c r="F3654">
        <v>3650</v>
      </c>
      <c r="G3654" s="109">
        <f t="shared" ref="G3654:G3717" ca="1" si="66">_xlfn.NORM.INV(RAND(),$M$5,$M$6)</f>
        <v>0.25134264582916854</v>
      </c>
    </row>
    <row r="3655" spans="2:7" x14ac:dyDescent="0.25">
      <c r="B3655" s="98"/>
      <c r="F3655">
        <v>3651</v>
      </c>
      <c r="G3655" s="109">
        <f t="shared" ca="1" si="66"/>
        <v>1.4654694204728085E-2</v>
      </c>
    </row>
    <row r="3656" spans="2:7" x14ac:dyDescent="0.25">
      <c r="B3656" s="98"/>
      <c r="F3656">
        <v>3652</v>
      </c>
      <c r="G3656" s="109">
        <f t="shared" ca="1" si="66"/>
        <v>0.21419973556154193</v>
      </c>
    </row>
    <row r="3657" spans="2:7" x14ac:dyDescent="0.25">
      <c r="B3657" s="98"/>
      <c r="F3657">
        <v>3653</v>
      </c>
      <c r="G3657" s="109">
        <f t="shared" ca="1" si="66"/>
        <v>-0.16103575010332644</v>
      </c>
    </row>
    <row r="3658" spans="2:7" x14ac:dyDescent="0.25">
      <c r="B3658" s="98"/>
      <c r="F3658">
        <v>3654</v>
      </c>
      <c r="G3658" s="109">
        <f t="shared" ca="1" si="66"/>
        <v>5.0402419680127354E-2</v>
      </c>
    </row>
    <row r="3659" spans="2:7" x14ac:dyDescent="0.25">
      <c r="B3659" s="98"/>
      <c r="F3659">
        <v>3655</v>
      </c>
      <c r="G3659" s="109">
        <f t="shared" ca="1" si="66"/>
        <v>0.15006035952105262</v>
      </c>
    </row>
    <row r="3660" spans="2:7" x14ac:dyDescent="0.25">
      <c r="B3660" s="98"/>
      <c r="F3660">
        <v>3656</v>
      </c>
      <c r="G3660" s="109">
        <f t="shared" ca="1" si="66"/>
        <v>0.13986443445204716</v>
      </c>
    </row>
    <row r="3661" spans="2:7" x14ac:dyDescent="0.25">
      <c r="B3661" s="98"/>
      <c r="F3661">
        <v>3657</v>
      </c>
      <c r="G3661" s="109">
        <f t="shared" ca="1" si="66"/>
        <v>7.2958150342570693E-2</v>
      </c>
    </row>
    <row r="3662" spans="2:7" x14ac:dyDescent="0.25">
      <c r="B3662" s="98"/>
      <c r="F3662">
        <v>3658</v>
      </c>
      <c r="G3662" s="109">
        <f t="shared" ca="1" si="66"/>
        <v>0.17005381709945433</v>
      </c>
    </row>
    <row r="3663" spans="2:7" x14ac:dyDescent="0.25">
      <c r="B3663" s="98"/>
      <c r="F3663">
        <v>3659</v>
      </c>
      <c r="G3663" s="109">
        <f t="shared" ca="1" si="66"/>
        <v>9.7933158187341468E-2</v>
      </c>
    </row>
    <row r="3664" spans="2:7" x14ac:dyDescent="0.25">
      <c r="B3664" s="98"/>
      <c r="F3664">
        <v>3660</v>
      </c>
      <c r="G3664" s="109">
        <f t="shared" ca="1" si="66"/>
        <v>7.4496334979406637E-2</v>
      </c>
    </row>
    <row r="3665" spans="2:7" x14ac:dyDescent="0.25">
      <c r="B3665" s="98"/>
      <c r="F3665">
        <v>3661</v>
      </c>
      <c r="G3665" s="109">
        <f t="shared" ca="1" si="66"/>
        <v>3.6965808818491888E-2</v>
      </c>
    </row>
    <row r="3666" spans="2:7" x14ac:dyDescent="0.25">
      <c r="B3666" s="98"/>
      <c r="F3666">
        <v>3662</v>
      </c>
      <c r="G3666" s="109">
        <f t="shared" ca="1" si="66"/>
        <v>5.8553509022508624E-2</v>
      </c>
    </row>
    <row r="3667" spans="2:7" x14ac:dyDescent="0.25">
      <c r="B3667" s="98"/>
      <c r="F3667">
        <v>3663</v>
      </c>
      <c r="G3667" s="109">
        <f t="shared" ca="1" si="66"/>
        <v>0.16743544966372942</v>
      </c>
    </row>
    <row r="3668" spans="2:7" x14ac:dyDescent="0.25">
      <c r="B3668" s="98"/>
      <c r="F3668">
        <v>3664</v>
      </c>
      <c r="G3668" s="109">
        <f t="shared" ca="1" si="66"/>
        <v>6.0407531081302354E-2</v>
      </c>
    </row>
    <row r="3669" spans="2:7" x14ac:dyDescent="0.25">
      <c r="B3669" s="98"/>
      <c r="F3669">
        <v>3665</v>
      </c>
      <c r="G3669" s="109">
        <f t="shared" ca="1" si="66"/>
        <v>2.0485374940570511E-2</v>
      </c>
    </row>
    <row r="3670" spans="2:7" x14ac:dyDescent="0.25">
      <c r="B3670" s="98"/>
      <c r="F3670">
        <v>3666</v>
      </c>
      <c r="G3670" s="109">
        <f t="shared" ca="1" si="66"/>
        <v>-0.21954087245018467</v>
      </c>
    </row>
    <row r="3671" spans="2:7" x14ac:dyDescent="0.25">
      <c r="B3671" s="98"/>
      <c r="F3671">
        <v>3667</v>
      </c>
      <c r="G3671" s="109">
        <f t="shared" ca="1" si="66"/>
        <v>5.2520007012581291E-2</v>
      </c>
    </row>
    <row r="3672" spans="2:7" x14ac:dyDescent="0.25">
      <c r="B3672" s="98"/>
      <c r="F3672">
        <v>3668</v>
      </c>
      <c r="G3672" s="109">
        <f t="shared" ca="1" si="66"/>
        <v>7.0742299644748541E-2</v>
      </c>
    </row>
    <row r="3673" spans="2:7" x14ac:dyDescent="0.25">
      <c r="B3673" s="98"/>
      <c r="F3673">
        <v>3669</v>
      </c>
      <c r="G3673" s="109">
        <f t="shared" ca="1" si="66"/>
        <v>-6.3361938339714569E-2</v>
      </c>
    </row>
    <row r="3674" spans="2:7" x14ac:dyDescent="0.25">
      <c r="B3674" s="98"/>
      <c r="F3674">
        <v>3670</v>
      </c>
      <c r="G3674" s="109">
        <f t="shared" ca="1" si="66"/>
        <v>-8.5205072984397348E-2</v>
      </c>
    </row>
    <row r="3675" spans="2:7" x14ac:dyDescent="0.25">
      <c r="B3675" s="98"/>
      <c r="F3675">
        <v>3671</v>
      </c>
      <c r="G3675" s="109">
        <f t="shared" ca="1" si="66"/>
        <v>4.7647581003095463E-3</v>
      </c>
    </row>
    <row r="3676" spans="2:7" x14ac:dyDescent="0.25">
      <c r="B3676" s="98"/>
      <c r="F3676">
        <v>3672</v>
      </c>
      <c r="G3676" s="109">
        <f t="shared" ca="1" si="66"/>
        <v>9.4061106674443562E-2</v>
      </c>
    </row>
    <row r="3677" spans="2:7" x14ac:dyDescent="0.25">
      <c r="B3677" s="98"/>
      <c r="F3677">
        <v>3673</v>
      </c>
      <c r="G3677" s="109">
        <f t="shared" ca="1" si="66"/>
        <v>-0.2222111579273941</v>
      </c>
    </row>
    <row r="3678" spans="2:7" x14ac:dyDescent="0.25">
      <c r="B3678" s="98"/>
      <c r="F3678">
        <v>3674</v>
      </c>
      <c r="G3678" s="109">
        <f t="shared" ca="1" si="66"/>
        <v>9.8089315160248131E-2</v>
      </c>
    </row>
    <row r="3679" spans="2:7" x14ac:dyDescent="0.25">
      <c r="B3679" s="98"/>
      <c r="F3679">
        <v>3675</v>
      </c>
      <c r="G3679" s="109">
        <f t="shared" ca="1" si="66"/>
        <v>-0.11658320005023191</v>
      </c>
    </row>
    <row r="3680" spans="2:7" x14ac:dyDescent="0.25">
      <c r="B3680" s="98"/>
      <c r="F3680">
        <v>3676</v>
      </c>
      <c r="G3680" s="109">
        <f t="shared" ca="1" si="66"/>
        <v>-6.7288873159058987E-2</v>
      </c>
    </row>
    <row r="3681" spans="2:7" x14ac:dyDescent="0.25">
      <c r="B3681" s="98"/>
      <c r="F3681">
        <v>3677</v>
      </c>
      <c r="G3681" s="109">
        <f t="shared" ca="1" si="66"/>
        <v>1.7168561169195566E-2</v>
      </c>
    </row>
    <row r="3682" spans="2:7" x14ac:dyDescent="0.25">
      <c r="B3682" s="98"/>
      <c r="F3682">
        <v>3678</v>
      </c>
      <c r="G3682" s="109">
        <f t="shared" ca="1" si="66"/>
        <v>7.4102193005436509E-2</v>
      </c>
    </row>
    <row r="3683" spans="2:7" x14ac:dyDescent="0.25">
      <c r="B3683" s="98"/>
      <c r="F3683">
        <v>3679</v>
      </c>
      <c r="G3683" s="109">
        <f t="shared" ca="1" si="66"/>
        <v>-0.10119796276289554</v>
      </c>
    </row>
    <row r="3684" spans="2:7" x14ac:dyDescent="0.25">
      <c r="B3684" s="98"/>
      <c r="F3684">
        <v>3680</v>
      </c>
      <c r="G3684" s="109">
        <f t="shared" ca="1" si="66"/>
        <v>5.5538313592111886E-2</v>
      </c>
    </row>
    <row r="3685" spans="2:7" x14ac:dyDescent="0.25">
      <c r="B3685" s="98"/>
      <c r="F3685">
        <v>3681</v>
      </c>
      <c r="G3685" s="109">
        <f t="shared" ca="1" si="66"/>
        <v>0.15643829409128701</v>
      </c>
    </row>
    <row r="3686" spans="2:7" x14ac:dyDescent="0.25">
      <c r="B3686" s="98"/>
      <c r="F3686">
        <v>3682</v>
      </c>
      <c r="G3686" s="109">
        <f t="shared" ca="1" si="66"/>
        <v>-0.1296742617132306</v>
      </c>
    </row>
    <row r="3687" spans="2:7" x14ac:dyDescent="0.25">
      <c r="B3687" s="98"/>
      <c r="F3687">
        <v>3683</v>
      </c>
      <c r="G3687" s="109">
        <f t="shared" ca="1" si="66"/>
        <v>0.22478030050873654</v>
      </c>
    </row>
    <row r="3688" spans="2:7" x14ac:dyDescent="0.25">
      <c r="B3688" s="98"/>
      <c r="F3688">
        <v>3684</v>
      </c>
      <c r="G3688" s="109">
        <f t="shared" ca="1" si="66"/>
        <v>-4.5133367957698595E-2</v>
      </c>
    </row>
    <row r="3689" spans="2:7" x14ac:dyDescent="0.25">
      <c r="B3689" s="98"/>
      <c r="F3689">
        <v>3685</v>
      </c>
      <c r="G3689" s="109">
        <f t="shared" ca="1" si="66"/>
        <v>0.14543193530797738</v>
      </c>
    </row>
    <row r="3690" spans="2:7" x14ac:dyDescent="0.25">
      <c r="B3690" s="98"/>
      <c r="F3690">
        <v>3686</v>
      </c>
      <c r="G3690" s="109">
        <f t="shared" ca="1" si="66"/>
        <v>3.4048804242936583E-2</v>
      </c>
    </row>
    <row r="3691" spans="2:7" x14ac:dyDescent="0.25">
      <c r="B3691" s="98"/>
      <c r="F3691">
        <v>3687</v>
      </c>
      <c r="G3691" s="109">
        <f t="shared" ca="1" si="66"/>
        <v>0.12117838175528257</v>
      </c>
    </row>
    <row r="3692" spans="2:7" x14ac:dyDescent="0.25">
      <c r="B3692" s="98"/>
      <c r="F3692">
        <v>3688</v>
      </c>
      <c r="G3692" s="109">
        <f t="shared" ca="1" si="66"/>
        <v>0.1088318125679044</v>
      </c>
    </row>
    <row r="3693" spans="2:7" x14ac:dyDescent="0.25">
      <c r="B3693" s="98"/>
      <c r="F3693">
        <v>3689</v>
      </c>
      <c r="G3693" s="109">
        <f t="shared" ca="1" si="66"/>
        <v>-8.4704312304351367E-3</v>
      </c>
    </row>
    <row r="3694" spans="2:7" x14ac:dyDescent="0.25">
      <c r="B3694" s="98"/>
      <c r="F3694">
        <v>3690</v>
      </c>
      <c r="G3694" s="109">
        <f t="shared" ca="1" si="66"/>
        <v>6.7399063008224708E-2</v>
      </c>
    </row>
    <row r="3695" spans="2:7" x14ac:dyDescent="0.25">
      <c r="B3695" s="98"/>
      <c r="F3695">
        <v>3691</v>
      </c>
      <c r="G3695" s="109">
        <f t="shared" ca="1" si="66"/>
        <v>-4.8348525082877084E-2</v>
      </c>
    </row>
    <row r="3696" spans="2:7" x14ac:dyDescent="0.25">
      <c r="B3696" s="98"/>
      <c r="F3696">
        <v>3692</v>
      </c>
      <c r="G3696" s="109">
        <f t="shared" ca="1" si="66"/>
        <v>8.2259414316295271E-2</v>
      </c>
    </row>
    <row r="3697" spans="2:7" x14ac:dyDescent="0.25">
      <c r="B3697" s="98"/>
      <c r="F3697">
        <v>3693</v>
      </c>
      <c r="G3697" s="109">
        <f t="shared" ca="1" si="66"/>
        <v>-3.2855154023754801E-2</v>
      </c>
    </row>
    <row r="3698" spans="2:7" x14ac:dyDescent="0.25">
      <c r="B3698" s="98"/>
      <c r="F3698">
        <v>3694</v>
      </c>
      <c r="G3698" s="109">
        <f t="shared" ca="1" si="66"/>
        <v>-0.1012792103240517</v>
      </c>
    </row>
    <row r="3699" spans="2:7" x14ac:dyDescent="0.25">
      <c r="B3699" s="98"/>
      <c r="F3699">
        <v>3695</v>
      </c>
      <c r="G3699" s="109">
        <f t="shared" ca="1" si="66"/>
        <v>0.11349393826687833</v>
      </c>
    </row>
    <row r="3700" spans="2:7" x14ac:dyDescent="0.25">
      <c r="B3700" s="98"/>
      <c r="F3700">
        <v>3696</v>
      </c>
      <c r="G3700" s="109">
        <f t="shared" ca="1" si="66"/>
        <v>-1.8278278449572596E-2</v>
      </c>
    </row>
    <row r="3701" spans="2:7" x14ac:dyDescent="0.25">
      <c r="B3701" s="98"/>
      <c r="F3701">
        <v>3697</v>
      </c>
      <c r="G3701" s="109">
        <f t="shared" ca="1" si="66"/>
        <v>9.7392457912137048E-2</v>
      </c>
    </row>
    <row r="3702" spans="2:7" x14ac:dyDescent="0.25">
      <c r="B3702" s="98"/>
      <c r="F3702">
        <v>3698</v>
      </c>
      <c r="G3702" s="109">
        <f t="shared" ca="1" si="66"/>
        <v>0.25539635138843564</v>
      </c>
    </row>
    <row r="3703" spans="2:7" x14ac:dyDescent="0.25">
      <c r="B3703" s="98"/>
      <c r="F3703">
        <v>3699</v>
      </c>
      <c r="G3703" s="109">
        <f t="shared" ca="1" si="66"/>
        <v>2.957953652671785E-2</v>
      </c>
    </row>
    <row r="3704" spans="2:7" x14ac:dyDescent="0.25">
      <c r="B3704" s="98"/>
      <c r="F3704">
        <v>3700</v>
      </c>
      <c r="G3704" s="109">
        <f t="shared" ca="1" si="66"/>
        <v>-4.2396121357479749E-2</v>
      </c>
    </row>
    <row r="3705" spans="2:7" x14ac:dyDescent="0.25">
      <c r="B3705" s="98"/>
      <c r="F3705">
        <v>3701</v>
      </c>
      <c r="G3705" s="109">
        <f t="shared" ca="1" si="66"/>
        <v>7.8693884214410995E-2</v>
      </c>
    </row>
    <row r="3706" spans="2:7" x14ac:dyDescent="0.25">
      <c r="B3706" s="98"/>
      <c r="F3706">
        <v>3702</v>
      </c>
      <c r="G3706" s="109">
        <f t="shared" ca="1" si="66"/>
        <v>0.10976362791796786</v>
      </c>
    </row>
    <row r="3707" spans="2:7" x14ac:dyDescent="0.25">
      <c r="B3707" s="98"/>
      <c r="F3707">
        <v>3703</v>
      </c>
      <c r="G3707" s="109">
        <f t="shared" ca="1" si="66"/>
        <v>8.4553387929985763E-4</v>
      </c>
    </row>
    <row r="3708" spans="2:7" x14ac:dyDescent="0.25">
      <c r="B3708" s="98"/>
      <c r="F3708">
        <v>3704</v>
      </c>
      <c r="G3708" s="109">
        <f t="shared" ca="1" si="66"/>
        <v>2.3772485778724282E-2</v>
      </c>
    </row>
    <row r="3709" spans="2:7" x14ac:dyDescent="0.25">
      <c r="B3709" s="98"/>
      <c r="F3709">
        <v>3705</v>
      </c>
      <c r="G3709" s="109">
        <f t="shared" ca="1" si="66"/>
        <v>7.344959954107233E-2</v>
      </c>
    </row>
    <row r="3710" spans="2:7" x14ac:dyDescent="0.25">
      <c r="B3710" s="98"/>
      <c r="F3710">
        <v>3706</v>
      </c>
      <c r="G3710" s="109">
        <f t="shared" ca="1" si="66"/>
        <v>1.640959765278099E-2</v>
      </c>
    </row>
    <row r="3711" spans="2:7" x14ac:dyDescent="0.25">
      <c r="B3711" s="98"/>
      <c r="F3711">
        <v>3707</v>
      </c>
      <c r="G3711" s="109">
        <f t="shared" ca="1" si="66"/>
        <v>-9.1776954667018254E-2</v>
      </c>
    </row>
    <row r="3712" spans="2:7" x14ac:dyDescent="0.25">
      <c r="B3712" s="98"/>
      <c r="F3712">
        <v>3708</v>
      </c>
      <c r="G3712" s="109">
        <f t="shared" ca="1" si="66"/>
        <v>-9.6615624976399347E-2</v>
      </c>
    </row>
    <row r="3713" spans="2:7" x14ac:dyDescent="0.25">
      <c r="B3713" s="98"/>
      <c r="F3713">
        <v>3709</v>
      </c>
      <c r="G3713" s="109">
        <f t="shared" ca="1" si="66"/>
        <v>5.3361381677707959E-2</v>
      </c>
    </row>
    <row r="3714" spans="2:7" x14ac:dyDescent="0.25">
      <c r="B3714" s="98"/>
      <c r="F3714">
        <v>3710</v>
      </c>
      <c r="G3714" s="109">
        <f t="shared" ca="1" si="66"/>
        <v>-1.8356321436491935E-3</v>
      </c>
    </row>
    <row r="3715" spans="2:7" x14ac:dyDescent="0.25">
      <c r="B3715" s="98"/>
      <c r="F3715">
        <v>3711</v>
      </c>
      <c r="G3715" s="109">
        <f t="shared" ca="1" si="66"/>
        <v>0.34430074509943648</v>
      </c>
    </row>
    <row r="3716" spans="2:7" x14ac:dyDescent="0.25">
      <c r="B3716" s="98"/>
      <c r="F3716">
        <v>3712</v>
      </c>
      <c r="G3716" s="109">
        <f t="shared" ca="1" si="66"/>
        <v>-3.289238384193871E-2</v>
      </c>
    </row>
    <row r="3717" spans="2:7" x14ac:dyDescent="0.25">
      <c r="B3717" s="98"/>
      <c r="F3717">
        <v>3713</v>
      </c>
      <c r="G3717" s="109">
        <f t="shared" ca="1" si="66"/>
        <v>0.21100498444583643</v>
      </c>
    </row>
    <row r="3718" spans="2:7" x14ac:dyDescent="0.25">
      <c r="B3718" s="98"/>
      <c r="F3718">
        <v>3714</v>
      </c>
      <c r="G3718" s="109">
        <f t="shared" ref="G3718:G3781" ca="1" si="67">_xlfn.NORM.INV(RAND(),$M$5,$M$6)</f>
        <v>2.382990179326443E-2</v>
      </c>
    </row>
    <row r="3719" spans="2:7" x14ac:dyDescent="0.25">
      <c r="B3719" s="98"/>
      <c r="F3719">
        <v>3715</v>
      </c>
      <c r="G3719" s="109">
        <f t="shared" ca="1" si="67"/>
        <v>3.0576514355253728E-2</v>
      </c>
    </row>
    <row r="3720" spans="2:7" x14ac:dyDescent="0.25">
      <c r="B3720" s="98"/>
      <c r="F3720">
        <v>3716</v>
      </c>
      <c r="G3720" s="109">
        <f t="shared" ca="1" si="67"/>
        <v>-0.17113371926461968</v>
      </c>
    </row>
    <row r="3721" spans="2:7" x14ac:dyDescent="0.25">
      <c r="B3721" s="98"/>
      <c r="F3721">
        <v>3717</v>
      </c>
      <c r="G3721" s="109">
        <f t="shared" ca="1" si="67"/>
        <v>0.20214417352507658</v>
      </c>
    </row>
    <row r="3722" spans="2:7" x14ac:dyDescent="0.25">
      <c r="B3722" s="98"/>
      <c r="F3722">
        <v>3718</v>
      </c>
      <c r="G3722" s="109">
        <f t="shared" ca="1" si="67"/>
        <v>-6.5400519669221294E-2</v>
      </c>
    </row>
    <row r="3723" spans="2:7" x14ac:dyDescent="0.25">
      <c r="B3723" s="98"/>
      <c r="F3723">
        <v>3719</v>
      </c>
      <c r="G3723" s="109">
        <f t="shared" ca="1" si="67"/>
        <v>-0.1086268266682331</v>
      </c>
    </row>
    <row r="3724" spans="2:7" x14ac:dyDescent="0.25">
      <c r="B3724" s="98"/>
      <c r="F3724">
        <v>3720</v>
      </c>
      <c r="G3724" s="109">
        <f t="shared" ca="1" si="67"/>
        <v>-6.6486853856093542E-2</v>
      </c>
    </row>
    <row r="3725" spans="2:7" x14ac:dyDescent="0.25">
      <c r="B3725" s="98"/>
      <c r="F3725">
        <v>3721</v>
      </c>
      <c r="G3725" s="109">
        <f t="shared" ca="1" si="67"/>
        <v>-9.1168779657913826E-2</v>
      </c>
    </row>
    <row r="3726" spans="2:7" x14ac:dyDescent="0.25">
      <c r="B3726" s="98"/>
      <c r="F3726">
        <v>3722</v>
      </c>
      <c r="G3726" s="109">
        <f t="shared" ca="1" si="67"/>
        <v>-0.1156440382346796</v>
      </c>
    </row>
    <row r="3727" spans="2:7" x14ac:dyDescent="0.25">
      <c r="B3727" s="98"/>
      <c r="F3727">
        <v>3723</v>
      </c>
      <c r="G3727" s="109">
        <f t="shared" ca="1" si="67"/>
        <v>4.9393149424791671E-2</v>
      </c>
    </row>
    <row r="3728" spans="2:7" x14ac:dyDescent="0.25">
      <c r="B3728" s="98"/>
      <c r="F3728">
        <v>3724</v>
      </c>
      <c r="G3728" s="109">
        <f t="shared" ca="1" si="67"/>
        <v>-6.1503879438559506E-2</v>
      </c>
    </row>
    <row r="3729" spans="2:7" x14ac:dyDescent="0.25">
      <c r="B3729" s="98"/>
      <c r="F3729">
        <v>3725</v>
      </c>
      <c r="G3729" s="109">
        <f t="shared" ca="1" si="67"/>
        <v>-0.14690877633479804</v>
      </c>
    </row>
    <row r="3730" spans="2:7" x14ac:dyDescent="0.25">
      <c r="B3730" s="98"/>
      <c r="F3730">
        <v>3726</v>
      </c>
      <c r="G3730" s="109">
        <f t="shared" ca="1" si="67"/>
        <v>0.11361532534339476</v>
      </c>
    </row>
    <row r="3731" spans="2:7" x14ac:dyDescent="0.25">
      <c r="B3731" s="98"/>
      <c r="F3731">
        <v>3727</v>
      </c>
      <c r="G3731" s="109">
        <f t="shared" ca="1" si="67"/>
        <v>1.9750683204868488E-3</v>
      </c>
    </row>
    <row r="3732" spans="2:7" x14ac:dyDescent="0.25">
      <c r="B3732" s="98"/>
      <c r="F3732">
        <v>3728</v>
      </c>
      <c r="G3732" s="109">
        <f t="shared" ca="1" si="67"/>
        <v>0.12708770132914621</v>
      </c>
    </row>
    <row r="3733" spans="2:7" x14ac:dyDescent="0.25">
      <c r="B3733" s="98"/>
      <c r="F3733">
        <v>3729</v>
      </c>
      <c r="G3733" s="109">
        <f t="shared" ca="1" si="67"/>
        <v>-3.9676017199690314E-2</v>
      </c>
    </row>
    <row r="3734" spans="2:7" x14ac:dyDescent="0.25">
      <c r="B3734" s="98"/>
      <c r="F3734">
        <v>3730</v>
      </c>
      <c r="G3734" s="109">
        <f t="shared" ca="1" si="67"/>
        <v>3.9573631026941017E-3</v>
      </c>
    </row>
    <row r="3735" spans="2:7" x14ac:dyDescent="0.25">
      <c r="B3735" s="98"/>
      <c r="F3735">
        <v>3731</v>
      </c>
      <c r="G3735" s="109">
        <f t="shared" ca="1" si="67"/>
        <v>6.4949625448850745E-2</v>
      </c>
    </row>
    <row r="3736" spans="2:7" x14ac:dyDescent="0.25">
      <c r="B3736" s="98"/>
      <c r="F3736">
        <v>3732</v>
      </c>
      <c r="G3736" s="109">
        <f t="shared" ca="1" si="67"/>
        <v>0.1649206910333984</v>
      </c>
    </row>
    <row r="3737" spans="2:7" x14ac:dyDescent="0.25">
      <c r="B3737" s="98"/>
      <c r="F3737">
        <v>3733</v>
      </c>
      <c r="G3737" s="109">
        <f t="shared" ca="1" si="67"/>
        <v>-2.1717576385713061E-2</v>
      </c>
    </row>
    <row r="3738" spans="2:7" x14ac:dyDescent="0.25">
      <c r="B3738" s="98"/>
      <c r="F3738">
        <v>3734</v>
      </c>
      <c r="G3738" s="109">
        <f t="shared" ca="1" si="67"/>
        <v>-9.4023660792488042E-2</v>
      </c>
    </row>
    <row r="3739" spans="2:7" x14ac:dyDescent="0.25">
      <c r="B3739" s="98"/>
      <c r="F3739">
        <v>3735</v>
      </c>
      <c r="G3739" s="109">
        <f t="shared" ca="1" si="67"/>
        <v>1.3295567037453104E-2</v>
      </c>
    </row>
    <row r="3740" spans="2:7" x14ac:dyDescent="0.25">
      <c r="B3740" s="98"/>
      <c r="F3740">
        <v>3736</v>
      </c>
      <c r="G3740" s="109">
        <f t="shared" ca="1" si="67"/>
        <v>0.17984803817864931</v>
      </c>
    </row>
    <row r="3741" spans="2:7" x14ac:dyDescent="0.25">
      <c r="B3741" s="98"/>
      <c r="F3741">
        <v>3737</v>
      </c>
      <c r="G3741" s="109">
        <f t="shared" ca="1" si="67"/>
        <v>-3.1969839381678994E-2</v>
      </c>
    </row>
    <row r="3742" spans="2:7" x14ac:dyDescent="0.25">
      <c r="B3742" s="98"/>
      <c r="F3742">
        <v>3738</v>
      </c>
      <c r="G3742" s="109">
        <f t="shared" ca="1" si="67"/>
        <v>-3.243853717993854E-2</v>
      </c>
    </row>
    <row r="3743" spans="2:7" x14ac:dyDescent="0.25">
      <c r="B3743" s="98"/>
      <c r="F3743">
        <v>3739</v>
      </c>
      <c r="G3743" s="109">
        <f t="shared" ca="1" si="67"/>
        <v>5.5513657513673112E-2</v>
      </c>
    </row>
    <row r="3744" spans="2:7" x14ac:dyDescent="0.25">
      <c r="B3744" s="98"/>
      <c r="F3744">
        <v>3740</v>
      </c>
      <c r="G3744" s="109">
        <f t="shared" ca="1" si="67"/>
        <v>0.10374341172825291</v>
      </c>
    </row>
    <row r="3745" spans="2:7" x14ac:dyDescent="0.25">
      <c r="B3745" s="98"/>
      <c r="F3745">
        <v>3741</v>
      </c>
      <c r="G3745" s="109">
        <f t="shared" ca="1" si="67"/>
        <v>1.9274587496685834E-2</v>
      </c>
    </row>
    <row r="3746" spans="2:7" x14ac:dyDescent="0.25">
      <c r="B3746" s="98"/>
      <c r="F3746">
        <v>3742</v>
      </c>
      <c r="G3746" s="109">
        <f t="shared" ca="1" si="67"/>
        <v>-4.4975019511199324E-2</v>
      </c>
    </row>
    <row r="3747" spans="2:7" x14ac:dyDescent="0.25">
      <c r="B3747" s="98"/>
      <c r="F3747">
        <v>3743</v>
      </c>
      <c r="G3747" s="109">
        <f t="shared" ca="1" si="67"/>
        <v>2.7738795025236487E-2</v>
      </c>
    </row>
    <row r="3748" spans="2:7" x14ac:dyDescent="0.25">
      <c r="B3748" s="98"/>
      <c r="F3748">
        <v>3744</v>
      </c>
      <c r="G3748" s="109">
        <f t="shared" ca="1" si="67"/>
        <v>9.3686823852308226E-2</v>
      </c>
    </row>
    <row r="3749" spans="2:7" x14ac:dyDescent="0.25">
      <c r="B3749" s="98"/>
      <c r="F3749">
        <v>3745</v>
      </c>
      <c r="G3749" s="109">
        <f t="shared" ca="1" si="67"/>
        <v>0.1059630449617593</v>
      </c>
    </row>
    <row r="3750" spans="2:7" x14ac:dyDescent="0.25">
      <c r="B3750" s="98"/>
      <c r="F3750">
        <v>3746</v>
      </c>
      <c r="G3750" s="109">
        <f t="shared" ca="1" si="67"/>
        <v>-2.107423370852235E-2</v>
      </c>
    </row>
    <row r="3751" spans="2:7" x14ac:dyDescent="0.25">
      <c r="B3751" s="98"/>
      <c r="F3751">
        <v>3747</v>
      </c>
      <c r="G3751" s="109">
        <f t="shared" ca="1" si="67"/>
        <v>4.6756590948513962E-3</v>
      </c>
    </row>
    <row r="3752" spans="2:7" x14ac:dyDescent="0.25">
      <c r="B3752" s="98"/>
      <c r="F3752">
        <v>3748</v>
      </c>
      <c r="G3752" s="109">
        <f t="shared" ca="1" si="67"/>
        <v>-1.8009035466625009E-2</v>
      </c>
    </row>
    <row r="3753" spans="2:7" x14ac:dyDescent="0.25">
      <c r="B3753" s="98"/>
      <c r="F3753">
        <v>3749</v>
      </c>
      <c r="G3753" s="109">
        <f t="shared" ca="1" si="67"/>
        <v>-7.6436776273568569E-2</v>
      </c>
    </row>
    <row r="3754" spans="2:7" x14ac:dyDescent="0.25">
      <c r="B3754" s="98"/>
      <c r="F3754">
        <v>3750</v>
      </c>
      <c r="G3754" s="109">
        <f t="shared" ca="1" si="67"/>
        <v>0.22391122546132108</v>
      </c>
    </row>
    <row r="3755" spans="2:7" x14ac:dyDescent="0.25">
      <c r="B3755" s="98"/>
      <c r="F3755">
        <v>3751</v>
      </c>
      <c r="G3755" s="109">
        <f t="shared" ca="1" si="67"/>
        <v>-3.1938393722459671E-2</v>
      </c>
    </row>
    <row r="3756" spans="2:7" x14ac:dyDescent="0.25">
      <c r="B3756" s="98"/>
      <c r="F3756">
        <v>3752</v>
      </c>
      <c r="G3756" s="109">
        <f t="shared" ca="1" si="67"/>
        <v>5.1857194009407859E-2</v>
      </c>
    </row>
    <row r="3757" spans="2:7" x14ac:dyDescent="0.25">
      <c r="B3757" s="98"/>
      <c r="F3757">
        <v>3753</v>
      </c>
      <c r="G3757" s="109">
        <f t="shared" ca="1" si="67"/>
        <v>7.4522407160692E-2</v>
      </c>
    </row>
    <row r="3758" spans="2:7" x14ac:dyDescent="0.25">
      <c r="B3758" s="98"/>
      <c r="F3758">
        <v>3754</v>
      </c>
      <c r="G3758" s="109">
        <f t="shared" ca="1" si="67"/>
        <v>-6.1573407552785744E-2</v>
      </c>
    </row>
    <row r="3759" spans="2:7" x14ac:dyDescent="0.25">
      <c r="B3759" s="98"/>
      <c r="F3759">
        <v>3755</v>
      </c>
      <c r="G3759" s="109">
        <f t="shared" ca="1" si="67"/>
        <v>9.428718100055089E-2</v>
      </c>
    </row>
    <row r="3760" spans="2:7" x14ac:dyDescent="0.25">
      <c r="B3760" s="98"/>
      <c r="F3760">
        <v>3756</v>
      </c>
      <c r="G3760" s="109">
        <f t="shared" ca="1" si="67"/>
        <v>7.5674250206042473E-2</v>
      </c>
    </row>
    <row r="3761" spans="2:7" x14ac:dyDescent="0.25">
      <c r="B3761" s="98"/>
      <c r="F3761">
        <v>3757</v>
      </c>
      <c r="G3761" s="109">
        <f t="shared" ca="1" si="67"/>
        <v>4.2225626015534132E-2</v>
      </c>
    </row>
    <row r="3762" spans="2:7" x14ac:dyDescent="0.25">
      <c r="B3762" s="98"/>
      <c r="F3762">
        <v>3758</v>
      </c>
      <c r="G3762" s="109">
        <f t="shared" ca="1" si="67"/>
        <v>0.14276504178858873</v>
      </c>
    </row>
    <row r="3763" spans="2:7" x14ac:dyDescent="0.25">
      <c r="B3763" s="98"/>
      <c r="F3763">
        <v>3759</v>
      </c>
      <c r="G3763" s="109">
        <f t="shared" ca="1" si="67"/>
        <v>0.20480233278342741</v>
      </c>
    </row>
    <row r="3764" spans="2:7" x14ac:dyDescent="0.25">
      <c r="B3764" s="98"/>
      <c r="F3764">
        <v>3760</v>
      </c>
      <c r="G3764" s="109">
        <f t="shared" ca="1" si="67"/>
        <v>-3.8447653123107772E-2</v>
      </c>
    </row>
    <row r="3765" spans="2:7" x14ac:dyDescent="0.25">
      <c r="B3765" s="98"/>
      <c r="F3765">
        <v>3761</v>
      </c>
      <c r="G3765" s="109">
        <f t="shared" ca="1" si="67"/>
        <v>-5.736284031543798E-2</v>
      </c>
    </row>
    <row r="3766" spans="2:7" x14ac:dyDescent="0.25">
      <c r="B3766" s="98"/>
      <c r="F3766">
        <v>3762</v>
      </c>
      <c r="G3766" s="109">
        <f t="shared" ca="1" si="67"/>
        <v>0.13277446339542895</v>
      </c>
    </row>
    <row r="3767" spans="2:7" x14ac:dyDescent="0.25">
      <c r="B3767" s="98"/>
      <c r="F3767">
        <v>3763</v>
      </c>
      <c r="G3767" s="109">
        <f t="shared" ca="1" si="67"/>
        <v>-2.962151283350814E-2</v>
      </c>
    </row>
    <row r="3768" spans="2:7" x14ac:dyDescent="0.25">
      <c r="B3768" s="98"/>
      <c r="F3768">
        <v>3764</v>
      </c>
      <c r="G3768" s="109">
        <f t="shared" ca="1" si="67"/>
        <v>8.3360833447039456E-2</v>
      </c>
    </row>
    <row r="3769" spans="2:7" x14ac:dyDescent="0.25">
      <c r="B3769" s="98"/>
      <c r="F3769">
        <v>3765</v>
      </c>
      <c r="G3769" s="109">
        <f t="shared" ca="1" si="67"/>
        <v>0.14369001035365497</v>
      </c>
    </row>
    <row r="3770" spans="2:7" x14ac:dyDescent="0.25">
      <c r="B3770" s="98"/>
      <c r="F3770">
        <v>3766</v>
      </c>
      <c r="G3770" s="109">
        <f t="shared" ca="1" si="67"/>
        <v>2.5935252482210139E-2</v>
      </c>
    </row>
    <row r="3771" spans="2:7" x14ac:dyDescent="0.25">
      <c r="B3771" s="98"/>
      <c r="F3771">
        <v>3767</v>
      </c>
      <c r="G3771" s="109">
        <f t="shared" ca="1" si="67"/>
        <v>9.9197432188178447E-2</v>
      </c>
    </row>
    <row r="3772" spans="2:7" x14ac:dyDescent="0.25">
      <c r="B3772" s="98"/>
      <c r="F3772">
        <v>3768</v>
      </c>
      <c r="G3772" s="109">
        <f t="shared" ca="1" si="67"/>
        <v>-3.5900561219044225E-2</v>
      </c>
    </row>
    <row r="3773" spans="2:7" x14ac:dyDescent="0.25">
      <c r="B3773" s="98"/>
      <c r="F3773">
        <v>3769</v>
      </c>
      <c r="G3773" s="109">
        <f t="shared" ca="1" si="67"/>
        <v>-0.17992412051527062</v>
      </c>
    </row>
    <row r="3774" spans="2:7" x14ac:dyDescent="0.25">
      <c r="B3774" s="98"/>
      <c r="F3774">
        <v>3770</v>
      </c>
      <c r="G3774" s="109">
        <f t="shared" ca="1" si="67"/>
        <v>-2.6236383275418995E-2</v>
      </c>
    </row>
    <row r="3775" spans="2:7" x14ac:dyDescent="0.25">
      <c r="B3775" s="98"/>
      <c r="F3775">
        <v>3771</v>
      </c>
      <c r="G3775" s="109">
        <f t="shared" ca="1" si="67"/>
        <v>7.5804061194218508E-2</v>
      </c>
    </row>
    <row r="3776" spans="2:7" x14ac:dyDescent="0.25">
      <c r="B3776" s="98"/>
      <c r="F3776">
        <v>3772</v>
      </c>
      <c r="G3776" s="109">
        <f t="shared" ca="1" si="67"/>
        <v>6.9180097942978136E-2</v>
      </c>
    </row>
    <row r="3777" spans="2:7" x14ac:dyDescent="0.25">
      <c r="B3777" s="98"/>
      <c r="F3777">
        <v>3773</v>
      </c>
      <c r="G3777" s="109">
        <f t="shared" ca="1" si="67"/>
        <v>-9.9365770105341797E-3</v>
      </c>
    </row>
    <row r="3778" spans="2:7" x14ac:dyDescent="0.25">
      <c r="B3778" s="98"/>
      <c r="F3778">
        <v>3774</v>
      </c>
      <c r="G3778" s="109">
        <f t="shared" ca="1" si="67"/>
        <v>0.18417894469620538</v>
      </c>
    </row>
    <row r="3779" spans="2:7" x14ac:dyDescent="0.25">
      <c r="B3779" s="98"/>
      <c r="F3779">
        <v>3775</v>
      </c>
      <c r="G3779" s="109">
        <f t="shared" ca="1" si="67"/>
        <v>-4.3425972459753923E-2</v>
      </c>
    </row>
    <row r="3780" spans="2:7" x14ac:dyDescent="0.25">
      <c r="B3780" s="98"/>
      <c r="F3780">
        <v>3776</v>
      </c>
      <c r="G3780" s="109">
        <f t="shared" ca="1" si="67"/>
        <v>-6.2917762744078551E-2</v>
      </c>
    </row>
    <row r="3781" spans="2:7" x14ac:dyDescent="0.25">
      <c r="B3781" s="98"/>
      <c r="F3781">
        <v>3777</v>
      </c>
      <c r="G3781" s="109">
        <f t="shared" ca="1" si="67"/>
        <v>-0.11324496865225316</v>
      </c>
    </row>
    <row r="3782" spans="2:7" x14ac:dyDescent="0.25">
      <c r="B3782" s="98"/>
      <c r="F3782">
        <v>3778</v>
      </c>
      <c r="G3782" s="109">
        <f t="shared" ref="G3782:G3845" ca="1" si="68">_xlfn.NORM.INV(RAND(),$M$5,$M$6)</f>
        <v>-6.5072846877445856E-3</v>
      </c>
    </row>
    <row r="3783" spans="2:7" x14ac:dyDescent="0.25">
      <c r="B3783" s="98"/>
      <c r="F3783">
        <v>3779</v>
      </c>
      <c r="G3783" s="109">
        <f t="shared" ca="1" si="68"/>
        <v>0.10429762273745605</v>
      </c>
    </row>
    <row r="3784" spans="2:7" x14ac:dyDescent="0.25">
      <c r="B3784" s="98"/>
      <c r="F3784">
        <v>3780</v>
      </c>
      <c r="G3784" s="109">
        <f t="shared" ca="1" si="68"/>
        <v>0.26500843560865006</v>
      </c>
    </row>
    <row r="3785" spans="2:7" x14ac:dyDescent="0.25">
      <c r="B3785" s="98"/>
      <c r="F3785">
        <v>3781</v>
      </c>
      <c r="G3785" s="109">
        <f t="shared" ca="1" si="68"/>
        <v>-6.2002200338932265E-2</v>
      </c>
    </row>
    <row r="3786" spans="2:7" x14ac:dyDescent="0.25">
      <c r="B3786" s="98"/>
      <c r="F3786">
        <v>3782</v>
      </c>
      <c r="G3786" s="109">
        <f t="shared" ca="1" si="68"/>
        <v>-3.7057617132954565E-2</v>
      </c>
    </row>
    <row r="3787" spans="2:7" x14ac:dyDescent="0.25">
      <c r="B3787" s="98"/>
      <c r="F3787">
        <v>3783</v>
      </c>
      <c r="G3787" s="109">
        <f t="shared" ca="1" si="68"/>
        <v>0.21690102526292565</v>
      </c>
    </row>
    <row r="3788" spans="2:7" x14ac:dyDescent="0.25">
      <c r="B3788" s="98"/>
      <c r="F3788">
        <v>3784</v>
      </c>
      <c r="G3788" s="109">
        <f t="shared" ca="1" si="68"/>
        <v>8.0210217560615166E-2</v>
      </c>
    </row>
    <row r="3789" spans="2:7" x14ac:dyDescent="0.25">
      <c r="B3789" s="98"/>
      <c r="F3789">
        <v>3785</v>
      </c>
      <c r="G3789" s="109">
        <f t="shared" ca="1" si="68"/>
        <v>0.13161790885001173</v>
      </c>
    </row>
    <row r="3790" spans="2:7" x14ac:dyDescent="0.25">
      <c r="B3790" s="98"/>
      <c r="F3790">
        <v>3786</v>
      </c>
      <c r="G3790" s="109">
        <f t="shared" ca="1" si="68"/>
        <v>0.14460299177681463</v>
      </c>
    </row>
    <row r="3791" spans="2:7" x14ac:dyDescent="0.25">
      <c r="B3791" s="98"/>
      <c r="F3791">
        <v>3787</v>
      </c>
      <c r="G3791" s="109">
        <f t="shared" ca="1" si="68"/>
        <v>0.22330275851740838</v>
      </c>
    </row>
    <row r="3792" spans="2:7" x14ac:dyDescent="0.25">
      <c r="B3792" s="98"/>
      <c r="F3792">
        <v>3788</v>
      </c>
      <c r="G3792" s="109">
        <f t="shared" ca="1" si="68"/>
        <v>0.11670213916149982</v>
      </c>
    </row>
    <row r="3793" spans="2:7" x14ac:dyDescent="0.25">
      <c r="B3793" s="98"/>
      <c r="F3793">
        <v>3789</v>
      </c>
      <c r="G3793" s="109">
        <f t="shared" ca="1" si="68"/>
        <v>7.2517036856021441E-2</v>
      </c>
    </row>
    <row r="3794" spans="2:7" x14ac:dyDescent="0.25">
      <c r="B3794" s="98"/>
      <c r="F3794">
        <v>3790</v>
      </c>
      <c r="G3794" s="109">
        <f t="shared" ca="1" si="68"/>
        <v>2.7489186999711035E-2</v>
      </c>
    </row>
    <row r="3795" spans="2:7" x14ac:dyDescent="0.25">
      <c r="B3795" s="98"/>
      <c r="F3795">
        <v>3791</v>
      </c>
      <c r="G3795" s="109">
        <f t="shared" ca="1" si="68"/>
        <v>0.1191679232989996</v>
      </c>
    </row>
    <row r="3796" spans="2:7" x14ac:dyDescent="0.25">
      <c r="B3796" s="98"/>
      <c r="F3796">
        <v>3792</v>
      </c>
      <c r="G3796" s="109">
        <f t="shared" ca="1" si="68"/>
        <v>-5.607141115956317E-2</v>
      </c>
    </row>
    <row r="3797" spans="2:7" x14ac:dyDescent="0.25">
      <c r="B3797" s="98"/>
      <c r="F3797">
        <v>3793</v>
      </c>
      <c r="G3797" s="109">
        <f t="shared" ca="1" si="68"/>
        <v>7.2146987125863232E-2</v>
      </c>
    </row>
    <row r="3798" spans="2:7" x14ac:dyDescent="0.25">
      <c r="B3798" s="98"/>
      <c r="F3798">
        <v>3794</v>
      </c>
      <c r="G3798" s="109">
        <f t="shared" ca="1" si="68"/>
        <v>0.16454525196586289</v>
      </c>
    </row>
    <row r="3799" spans="2:7" x14ac:dyDescent="0.25">
      <c r="B3799" s="98"/>
      <c r="F3799">
        <v>3795</v>
      </c>
      <c r="G3799" s="109">
        <f t="shared" ca="1" si="68"/>
        <v>8.9012432988020335E-2</v>
      </c>
    </row>
    <row r="3800" spans="2:7" x14ac:dyDescent="0.25">
      <c r="B3800" s="98"/>
      <c r="F3800">
        <v>3796</v>
      </c>
      <c r="G3800" s="109">
        <f t="shared" ca="1" si="68"/>
        <v>-0.12185035481102972</v>
      </c>
    </row>
    <row r="3801" spans="2:7" x14ac:dyDescent="0.25">
      <c r="B3801" s="98"/>
      <c r="F3801">
        <v>3797</v>
      </c>
      <c r="G3801" s="109">
        <f t="shared" ca="1" si="68"/>
        <v>-2.774961223697027E-2</v>
      </c>
    </row>
    <row r="3802" spans="2:7" x14ac:dyDescent="0.25">
      <c r="B3802" s="98"/>
      <c r="F3802">
        <v>3798</v>
      </c>
      <c r="G3802" s="109">
        <f t="shared" ca="1" si="68"/>
        <v>7.9965972004399422E-2</v>
      </c>
    </row>
    <row r="3803" spans="2:7" x14ac:dyDescent="0.25">
      <c r="B3803" s="98"/>
      <c r="F3803">
        <v>3799</v>
      </c>
      <c r="G3803" s="109">
        <f t="shared" ca="1" si="68"/>
        <v>5.4607874310869352E-2</v>
      </c>
    </row>
    <row r="3804" spans="2:7" x14ac:dyDescent="0.25">
      <c r="B3804" s="98"/>
      <c r="F3804">
        <v>3800</v>
      </c>
      <c r="G3804" s="109">
        <f t="shared" ca="1" si="68"/>
        <v>0.11431949237043196</v>
      </c>
    </row>
    <row r="3805" spans="2:7" x14ac:dyDescent="0.25">
      <c r="B3805" s="98"/>
      <c r="F3805">
        <v>3801</v>
      </c>
      <c r="G3805" s="109">
        <f t="shared" ca="1" si="68"/>
        <v>5.7119710540380272E-3</v>
      </c>
    </row>
    <row r="3806" spans="2:7" x14ac:dyDescent="0.25">
      <c r="B3806" s="98"/>
      <c r="F3806">
        <v>3802</v>
      </c>
      <c r="G3806" s="109">
        <f t="shared" ca="1" si="68"/>
        <v>0.15945657792421702</v>
      </c>
    </row>
    <row r="3807" spans="2:7" x14ac:dyDescent="0.25">
      <c r="B3807" s="98"/>
      <c r="F3807">
        <v>3803</v>
      </c>
      <c r="G3807" s="109">
        <f t="shared" ca="1" si="68"/>
        <v>8.7325643010408627E-2</v>
      </c>
    </row>
    <row r="3808" spans="2:7" x14ac:dyDescent="0.25">
      <c r="B3808" s="98"/>
      <c r="F3808">
        <v>3804</v>
      </c>
      <c r="G3808" s="109">
        <f t="shared" ca="1" si="68"/>
        <v>4.5811665216486788E-2</v>
      </c>
    </row>
    <row r="3809" spans="2:7" x14ac:dyDescent="0.25">
      <c r="B3809" s="98"/>
      <c r="F3809">
        <v>3805</v>
      </c>
      <c r="G3809" s="109">
        <f t="shared" ca="1" si="68"/>
        <v>-0.10728802432056493</v>
      </c>
    </row>
    <row r="3810" spans="2:7" x14ac:dyDescent="0.25">
      <c r="B3810" s="98"/>
      <c r="F3810">
        <v>3806</v>
      </c>
      <c r="G3810" s="109">
        <f t="shared" ca="1" si="68"/>
        <v>-2.759557573578808E-2</v>
      </c>
    </row>
    <row r="3811" spans="2:7" x14ac:dyDescent="0.25">
      <c r="B3811" s="98"/>
      <c r="F3811">
        <v>3807</v>
      </c>
      <c r="G3811" s="109">
        <f t="shared" ca="1" si="68"/>
        <v>7.0640411752904281E-2</v>
      </c>
    </row>
    <row r="3812" spans="2:7" x14ac:dyDescent="0.25">
      <c r="B3812" s="98"/>
      <c r="F3812">
        <v>3808</v>
      </c>
      <c r="G3812" s="109">
        <f t="shared" ca="1" si="68"/>
        <v>0.12633079705494249</v>
      </c>
    </row>
    <row r="3813" spans="2:7" x14ac:dyDescent="0.25">
      <c r="B3813" s="98"/>
      <c r="F3813">
        <v>3809</v>
      </c>
      <c r="G3813" s="109">
        <f t="shared" ca="1" si="68"/>
        <v>6.1442782057740133E-2</v>
      </c>
    </row>
    <row r="3814" spans="2:7" x14ac:dyDescent="0.25">
      <c r="B3814" s="98"/>
      <c r="F3814">
        <v>3810</v>
      </c>
      <c r="G3814" s="109">
        <f t="shared" ca="1" si="68"/>
        <v>-0.17652863285010723</v>
      </c>
    </row>
    <row r="3815" spans="2:7" x14ac:dyDescent="0.25">
      <c r="B3815" s="98"/>
      <c r="F3815">
        <v>3811</v>
      </c>
      <c r="G3815" s="109">
        <f t="shared" ca="1" si="68"/>
        <v>7.8268307148815525E-2</v>
      </c>
    </row>
    <row r="3816" spans="2:7" x14ac:dyDescent="0.25">
      <c r="B3816" s="98"/>
      <c r="F3816">
        <v>3812</v>
      </c>
      <c r="G3816" s="109">
        <f t="shared" ca="1" si="68"/>
        <v>1.0956753640041852E-2</v>
      </c>
    </row>
    <row r="3817" spans="2:7" x14ac:dyDescent="0.25">
      <c r="B3817" s="98"/>
      <c r="F3817">
        <v>3813</v>
      </c>
      <c r="G3817" s="109">
        <f t="shared" ca="1" si="68"/>
        <v>0.15040286095501323</v>
      </c>
    </row>
    <row r="3818" spans="2:7" x14ac:dyDescent="0.25">
      <c r="B3818" s="98"/>
      <c r="F3818">
        <v>3814</v>
      </c>
      <c r="G3818" s="109">
        <f t="shared" ca="1" si="68"/>
        <v>2.3693394864764898E-2</v>
      </c>
    </row>
    <row r="3819" spans="2:7" x14ac:dyDescent="0.25">
      <c r="B3819" s="98"/>
      <c r="F3819">
        <v>3815</v>
      </c>
      <c r="G3819" s="109">
        <f t="shared" ca="1" si="68"/>
        <v>-0.19521630328433592</v>
      </c>
    </row>
    <row r="3820" spans="2:7" x14ac:dyDescent="0.25">
      <c r="B3820" s="98"/>
      <c r="F3820">
        <v>3816</v>
      </c>
      <c r="G3820" s="109">
        <f t="shared" ca="1" si="68"/>
        <v>0.21154327859100958</v>
      </c>
    </row>
    <row r="3821" spans="2:7" x14ac:dyDescent="0.25">
      <c r="B3821" s="98"/>
      <c r="F3821">
        <v>3817</v>
      </c>
      <c r="G3821" s="109">
        <f t="shared" ca="1" si="68"/>
        <v>0.13199781634482888</v>
      </c>
    </row>
    <row r="3822" spans="2:7" x14ac:dyDescent="0.25">
      <c r="B3822" s="98"/>
      <c r="F3822">
        <v>3818</v>
      </c>
      <c r="G3822" s="109">
        <f t="shared" ca="1" si="68"/>
        <v>3.7668055528445404E-2</v>
      </c>
    </row>
    <row r="3823" spans="2:7" x14ac:dyDescent="0.25">
      <c r="B3823" s="98"/>
      <c r="F3823">
        <v>3819</v>
      </c>
      <c r="G3823" s="109">
        <f t="shared" ca="1" si="68"/>
        <v>0.11787358476202459</v>
      </c>
    </row>
    <row r="3824" spans="2:7" x14ac:dyDescent="0.25">
      <c r="B3824" s="98"/>
      <c r="F3824">
        <v>3820</v>
      </c>
      <c r="G3824" s="109">
        <f t="shared" ca="1" si="68"/>
        <v>3.777669304530188E-2</v>
      </c>
    </row>
    <row r="3825" spans="2:7" x14ac:dyDescent="0.25">
      <c r="B3825" s="98"/>
      <c r="F3825">
        <v>3821</v>
      </c>
      <c r="G3825" s="109">
        <f t="shared" ca="1" si="68"/>
        <v>0.15920409941071215</v>
      </c>
    </row>
    <row r="3826" spans="2:7" x14ac:dyDescent="0.25">
      <c r="B3826" s="98"/>
      <c r="F3826">
        <v>3822</v>
      </c>
      <c r="G3826" s="109">
        <f t="shared" ca="1" si="68"/>
        <v>-4.8318030965844028E-2</v>
      </c>
    </row>
    <row r="3827" spans="2:7" x14ac:dyDescent="0.25">
      <c r="B3827" s="98"/>
      <c r="F3827">
        <v>3823</v>
      </c>
      <c r="G3827" s="109">
        <f t="shared" ca="1" si="68"/>
        <v>0.19614578232163499</v>
      </c>
    </row>
    <row r="3828" spans="2:7" x14ac:dyDescent="0.25">
      <c r="B3828" s="98"/>
      <c r="F3828">
        <v>3824</v>
      </c>
      <c r="G3828" s="109">
        <f t="shared" ca="1" si="68"/>
        <v>-8.3511819646951049E-2</v>
      </c>
    </row>
    <row r="3829" spans="2:7" x14ac:dyDescent="0.25">
      <c r="B3829" s="98"/>
      <c r="F3829">
        <v>3825</v>
      </c>
      <c r="G3829" s="109">
        <f t="shared" ca="1" si="68"/>
        <v>3.1012064462979411E-2</v>
      </c>
    </row>
    <row r="3830" spans="2:7" x14ac:dyDescent="0.25">
      <c r="B3830" s="98"/>
      <c r="F3830">
        <v>3826</v>
      </c>
      <c r="G3830" s="109">
        <f t="shared" ca="1" si="68"/>
        <v>0.28138151295609914</v>
      </c>
    </row>
    <row r="3831" spans="2:7" x14ac:dyDescent="0.25">
      <c r="B3831" s="98"/>
      <c r="F3831">
        <v>3827</v>
      </c>
      <c r="G3831" s="109">
        <f t="shared" ca="1" si="68"/>
        <v>3.6242968841296928E-2</v>
      </c>
    </row>
    <row r="3832" spans="2:7" x14ac:dyDescent="0.25">
      <c r="B3832" s="98"/>
      <c r="F3832">
        <v>3828</v>
      </c>
      <c r="G3832" s="109">
        <f t="shared" ca="1" si="68"/>
        <v>0.24285339305287185</v>
      </c>
    </row>
    <row r="3833" spans="2:7" x14ac:dyDescent="0.25">
      <c r="B3833" s="98"/>
      <c r="F3833">
        <v>3829</v>
      </c>
      <c r="G3833" s="109">
        <f t="shared" ca="1" si="68"/>
        <v>-1.5131381882674773E-2</v>
      </c>
    </row>
    <row r="3834" spans="2:7" x14ac:dyDescent="0.25">
      <c r="B3834" s="98"/>
      <c r="F3834">
        <v>3830</v>
      </c>
      <c r="G3834" s="109">
        <f t="shared" ca="1" si="68"/>
        <v>2.7578839087534088E-2</v>
      </c>
    </row>
    <row r="3835" spans="2:7" x14ac:dyDescent="0.25">
      <c r="B3835" s="98"/>
      <c r="F3835">
        <v>3831</v>
      </c>
      <c r="G3835" s="109">
        <f t="shared" ca="1" si="68"/>
        <v>-6.0136026464570141E-2</v>
      </c>
    </row>
    <row r="3836" spans="2:7" x14ac:dyDescent="0.25">
      <c r="B3836" s="98"/>
      <c r="F3836">
        <v>3832</v>
      </c>
      <c r="G3836" s="109">
        <f t="shared" ca="1" si="68"/>
        <v>6.6559128453924699E-2</v>
      </c>
    </row>
    <row r="3837" spans="2:7" x14ac:dyDescent="0.25">
      <c r="B3837" s="98"/>
      <c r="F3837">
        <v>3833</v>
      </c>
      <c r="G3837" s="109">
        <f t="shared" ca="1" si="68"/>
        <v>-9.8626732790184732E-2</v>
      </c>
    </row>
    <row r="3838" spans="2:7" x14ac:dyDescent="0.25">
      <c r="B3838" s="98"/>
      <c r="F3838">
        <v>3834</v>
      </c>
      <c r="G3838" s="109">
        <f t="shared" ca="1" si="68"/>
        <v>9.8923435618402999E-2</v>
      </c>
    </row>
    <row r="3839" spans="2:7" x14ac:dyDescent="0.25">
      <c r="B3839" s="98"/>
      <c r="F3839">
        <v>3835</v>
      </c>
      <c r="G3839" s="109">
        <f t="shared" ca="1" si="68"/>
        <v>0.16653152612403144</v>
      </c>
    </row>
    <row r="3840" spans="2:7" x14ac:dyDescent="0.25">
      <c r="B3840" s="98"/>
      <c r="F3840">
        <v>3836</v>
      </c>
      <c r="G3840" s="109">
        <f t="shared" ca="1" si="68"/>
        <v>-1.3080972895224745E-2</v>
      </c>
    </row>
    <row r="3841" spans="2:7" x14ac:dyDescent="0.25">
      <c r="B3841" s="98"/>
      <c r="F3841">
        <v>3837</v>
      </c>
      <c r="G3841" s="109">
        <f t="shared" ca="1" si="68"/>
        <v>5.700907954601709E-2</v>
      </c>
    </row>
    <row r="3842" spans="2:7" x14ac:dyDescent="0.25">
      <c r="B3842" s="98"/>
      <c r="F3842">
        <v>3838</v>
      </c>
      <c r="G3842" s="109">
        <f t="shared" ca="1" si="68"/>
        <v>-2.040702662967496E-2</v>
      </c>
    </row>
    <row r="3843" spans="2:7" x14ac:dyDescent="0.25">
      <c r="B3843" s="98"/>
      <c r="F3843">
        <v>3839</v>
      </c>
      <c r="G3843" s="109">
        <f t="shared" ca="1" si="68"/>
        <v>5.570301780182766E-2</v>
      </c>
    </row>
    <row r="3844" spans="2:7" x14ac:dyDescent="0.25">
      <c r="B3844" s="98"/>
      <c r="F3844">
        <v>3840</v>
      </c>
      <c r="G3844" s="109">
        <f t="shared" ca="1" si="68"/>
        <v>-3.3175710150237167E-3</v>
      </c>
    </row>
    <row r="3845" spans="2:7" x14ac:dyDescent="0.25">
      <c r="B3845" s="98"/>
      <c r="F3845">
        <v>3841</v>
      </c>
      <c r="G3845" s="109">
        <f t="shared" ca="1" si="68"/>
        <v>0.15497618694030879</v>
      </c>
    </row>
    <row r="3846" spans="2:7" x14ac:dyDescent="0.25">
      <c r="B3846" s="98"/>
      <c r="F3846">
        <v>3842</v>
      </c>
      <c r="G3846" s="109">
        <f t="shared" ref="G3846:G3909" ca="1" si="69">_xlfn.NORM.INV(RAND(),$M$5,$M$6)</f>
        <v>7.5885150428228798E-2</v>
      </c>
    </row>
    <row r="3847" spans="2:7" x14ac:dyDescent="0.25">
      <c r="B3847" s="98"/>
      <c r="F3847">
        <v>3843</v>
      </c>
      <c r="G3847" s="109">
        <f t="shared" ca="1" si="69"/>
        <v>3.7034377235929283E-2</v>
      </c>
    </row>
    <row r="3848" spans="2:7" x14ac:dyDescent="0.25">
      <c r="B3848" s="98"/>
      <c r="F3848">
        <v>3844</v>
      </c>
      <c r="G3848" s="109">
        <f t="shared" ca="1" si="69"/>
        <v>0.35876485394745472</v>
      </c>
    </row>
    <row r="3849" spans="2:7" x14ac:dyDescent="0.25">
      <c r="B3849" s="98"/>
      <c r="F3849">
        <v>3845</v>
      </c>
      <c r="G3849" s="109">
        <f t="shared" ca="1" si="69"/>
        <v>8.2516869907134499E-2</v>
      </c>
    </row>
    <row r="3850" spans="2:7" x14ac:dyDescent="0.25">
      <c r="B3850" s="98"/>
      <c r="F3850">
        <v>3846</v>
      </c>
      <c r="G3850" s="109">
        <f t="shared" ca="1" si="69"/>
        <v>-2.8085310893958063E-2</v>
      </c>
    </row>
    <row r="3851" spans="2:7" x14ac:dyDescent="0.25">
      <c r="B3851" s="98"/>
      <c r="F3851">
        <v>3847</v>
      </c>
      <c r="G3851" s="109">
        <f t="shared" ca="1" si="69"/>
        <v>0.22365224136024853</v>
      </c>
    </row>
    <row r="3852" spans="2:7" x14ac:dyDescent="0.25">
      <c r="B3852" s="98"/>
      <c r="F3852">
        <v>3848</v>
      </c>
      <c r="G3852" s="109">
        <f t="shared" ca="1" si="69"/>
        <v>6.1399376343781148E-2</v>
      </c>
    </row>
    <row r="3853" spans="2:7" x14ac:dyDescent="0.25">
      <c r="B3853" s="98"/>
      <c r="F3853">
        <v>3849</v>
      </c>
      <c r="G3853" s="109">
        <f t="shared" ca="1" si="69"/>
        <v>0.15603743531999145</v>
      </c>
    </row>
    <row r="3854" spans="2:7" x14ac:dyDescent="0.25">
      <c r="B3854" s="98"/>
      <c r="F3854">
        <v>3850</v>
      </c>
      <c r="G3854" s="109">
        <f t="shared" ca="1" si="69"/>
        <v>-0.15581578274381458</v>
      </c>
    </row>
    <row r="3855" spans="2:7" x14ac:dyDescent="0.25">
      <c r="B3855" s="98"/>
      <c r="F3855">
        <v>3851</v>
      </c>
      <c r="G3855" s="109">
        <f t="shared" ca="1" si="69"/>
        <v>4.2837309439774943E-2</v>
      </c>
    </row>
    <row r="3856" spans="2:7" x14ac:dyDescent="0.25">
      <c r="B3856" s="98"/>
      <c r="F3856">
        <v>3852</v>
      </c>
      <c r="G3856" s="109">
        <f t="shared" ca="1" si="69"/>
        <v>-8.5411945510843981E-2</v>
      </c>
    </row>
    <row r="3857" spans="2:7" x14ac:dyDescent="0.25">
      <c r="B3857" s="98"/>
      <c r="F3857">
        <v>3853</v>
      </c>
      <c r="G3857" s="109">
        <f t="shared" ca="1" si="69"/>
        <v>-6.7733232514760724E-2</v>
      </c>
    </row>
    <row r="3858" spans="2:7" x14ac:dyDescent="0.25">
      <c r="B3858" s="98"/>
      <c r="F3858">
        <v>3854</v>
      </c>
      <c r="G3858" s="109">
        <f t="shared" ca="1" si="69"/>
        <v>0.17724836489042556</v>
      </c>
    </row>
    <row r="3859" spans="2:7" x14ac:dyDescent="0.25">
      <c r="B3859" s="98"/>
      <c r="F3859">
        <v>3855</v>
      </c>
      <c r="G3859" s="109">
        <f t="shared" ca="1" si="69"/>
        <v>-0.20783144200589027</v>
      </c>
    </row>
    <row r="3860" spans="2:7" x14ac:dyDescent="0.25">
      <c r="B3860" s="98"/>
      <c r="F3860">
        <v>3856</v>
      </c>
      <c r="G3860" s="109">
        <f t="shared" ca="1" si="69"/>
        <v>0.14970608543887332</v>
      </c>
    </row>
    <row r="3861" spans="2:7" x14ac:dyDescent="0.25">
      <c r="B3861" s="98"/>
      <c r="F3861">
        <v>3857</v>
      </c>
      <c r="G3861" s="109">
        <f t="shared" ca="1" si="69"/>
        <v>-0.10973748540310933</v>
      </c>
    </row>
    <row r="3862" spans="2:7" x14ac:dyDescent="0.25">
      <c r="B3862" s="98"/>
      <c r="F3862">
        <v>3858</v>
      </c>
      <c r="G3862" s="109">
        <f t="shared" ca="1" si="69"/>
        <v>4.6866964713099882E-3</v>
      </c>
    </row>
    <row r="3863" spans="2:7" x14ac:dyDescent="0.25">
      <c r="B3863" s="98"/>
      <c r="F3863">
        <v>3859</v>
      </c>
      <c r="G3863" s="109">
        <f t="shared" ca="1" si="69"/>
        <v>8.4082034959931745E-2</v>
      </c>
    </row>
    <row r="3864" spans="2:7" x14ac:dyDescent="0.25">
      <c r="B3864" s="98"/>
      <c r="F3864">
        <v>3860</v>
      </c>
      <c r="G3864" s="109">
        <f t="shared" ca="1" si="69"/>
        <v>-7.3612961829630494E-2</v>
      </c>
    </row>
    <row r="3865" spans="2:7" x14ac:dyDescent="0.25">
      <c r="B3865" s="98"/>
      <c r="F3865">
        <v>3861</v>
      </c>
      <c r="G3865" s="109">
        <f t="shared" ca="1" si="69"/>
        <v>-8.0627688102015663E-2</v>
      </c>
    </row>
    <row r="3866" spans="2:7" x14ac:dyDescent="0.25">
      <c r="B3866" s="98"/>
      <c r="F3866">
        <v>3862</v>
      </c>
      <c r="G3866" s="109">
        <f t="shared" ca="1" si="69"/>
        <v>0.18310830542886314</v>
      </c>
    </row>
    <row r="3867" spans="2:7" x14ac:dyDescent="0.25">
      <c r="B3867" s="98"/>
      <c r="F3867">
        <v>3863</v>
      </c>
      <c r="G3867" s="109">
        <f t="shared" ca="1" si="69"/>
        <v>-6.0146885434037858E-2</v>
      </c>
    </row>
    <row r="3868" spans="2:7" x14ac:dyDescent="0.25">
      <c r="B3868" s="98"/>
      <c r="F3868">
        <v>3864</v>
      </c>
      <c r="G3868" s="109">
        <f t="shared" ca="1" si="69"/>
        <v>-1.4929380153335385E-2</v>
      </c>
    </row>
    <row r="3869" spans="2:7" x14ac:dyDescent="0.25">
      <c r="B3869" s="98"/>
      <c r="F3869">
        <v>3865</v>
      </c>
      <c r="G3869" s="109">
        <f t="shared" ca="1" si="69"/>
        <v>9.979859003793648E-2</v>
      </c>
    </row>
    <row r="3870" spans="2:7" x14ac:dyDescent="0.25">
      <c r="B3870" s="98"/>
      <c r="F3870">
        <v>3866</v>
      </c>
      <c r="G3870" s="109">
        <f t="shared" ca="1" si="69"/>
        <v>-0.10696743711882735</v>
      </c>
    </row>
    <row r="3871" spans="2:7" x14ac:dyDescent="0.25">
      <c r="B3871" s="98"/>
      <c r="F3871">
        <v>3867</v>
      </c>
      <c r="G3871" s="109">
        <f t="shared" ca="1" si="69"/>
        <v>-2.9365602415800635E-2</v>
      </c>
    </row>
    <row r="3872" spans="2:7" x14ac:dyDescent="0.25">
      <c r="B3872" s="98"/>
      <c r="F3872">
        <v>3868</v>
      </c>
      <c r="G3872" s="109">
        <f t="shared" ca="1" si="69"/>
        <v>0.13311273827883147</v>
      </c>
    </row>
    <row r="3873" spans="2:7" x14ac:dyDescent="0.25">
      <c r="B3873" s="98"/>
      <c r="F3873">
        <v>3869</v>
      </c>
      <c r="G3873" s="109">
        <f t="shared" ca="1" si="69"/>
        <v>-7.5205291820825582E-2</v>
      </c>
    </row>
    <row r="3874" spans="2:7" x14ac:dyDescent="0.25">
      <c r="B3874" s="98"/>
      <c r="F3874">
        <v>3870</v>
      </c>
      <c r="G3874" s="109">
        <f t="shared" ca="1" si="69"/>
        <v>0.10862248492526978</v>
      </c>
    </row>
    <row r="3875" spans="2:7" x14ac:dyDescent="0.25">
      <c r="B3875" s="98"/>
      <c r="F3875">
        <v>3871</v>
      </c>
      <c r="G3875" s="109">
        <f t="shared" ca="1" si="69"/>
        <v>9.7610260083686923E-2</v>
      </c>
    </row>
    <row r="3876" spans="2:7" x14ac:dyDescent="0.25">
      <c r="B3876" s="98"/>
      <c r="F3876">
        <v>3872</v>
      </c>
      <c r="G3876" s="109">
        <f t="shared" ca="1" si="69"/>
        <v>0.2538778608721069</v>
      </c>
    </row>
    <row r="3877" spans="2:7" x14ac:dyDescent="0.25">
      <c r="B3877" s="98"/>
      <c r="F3877">
        <v>3873</v>
      </c>
      <c r="G3877" s="109">
        <f t="shared" ca="1" si="69"/>
        <v>3.4104366499613306E-3</v>
      </c>
    </row>
    <row r="3878" spans="2:7" x14ac:dyDescent="0.25">
      <c r="B3878" s="98"/>
      <c r="F3878">
        <v>3874</v>
      </c>
      <c r="G3878" s="109">
        <f t="shared" ca="1" si="69"/>
        <v>0.22700133191133326</v>
      </c>
    </row>
    <row r="3879" spans="2:7" x14ac:dyDescent="0.25">
      <c r="B3879" s="98"/>
      <c r="F3879">
        <v>3875</v>
      </c>
      <c r="G3879" s="109">
        <f t="shared" ca="1" si="69"/>
        <v>0.162632783596733</v>
      </c>
    </row>
    <row r="3880" spans="2:7" x14ac:dyDescent="0.25">
      <c r="B3880" s="98"/>
      <c r="F3880">
        <v>3876</v>
      </c>
      <c r="G3880" s="109">
        <f t="shared" ca="1" si="69"/>
        <v>0.12386898154790349</v>
      </c>
    </row>
    <row r="3881" spans="2:7" x14ac:dyDescent="0.25">
      <c r="B3881" s="98"/>
      <c r="F3881">
        <v>3877</v>
      </c>
      <c r="G3881" s="109">
        <f t="shared" ca="1" si="69"/>
        <v>0.24458830907537749</v>
      </c>
    </row>
    <row r="3882" spans="2:7" x14ac:dyDescent="0.25">
      <c r="B3882" s="98"/>
      <c r="F3882">
        <v>3878</v>
      </c>
      <c r="G3882" s="109">
        <f t="shared" ca="1" si="69"/>
        <v>-4.9968010951952704E-3</v>
      </c>
    </row>
    <row r="3883" spans="2:7" x14ac:dyDescent="0.25">
      <c r="B3883" s="98"/>
      <c r="F3883">
        <v>3879</v>
      </c>
      <c r="G3883" s="109">
        <f t="shared" ca="1" si="69"/>
        <v>0.30673823417457424</v>
      </c>
    </row>
    <row r="3884" spans="2:7" x14ac:dyDescent="0.25">
      <c r="B3884" s="98"/>
      <c r="F3884">
        <v>3880</v>
      </c>
      <c r="G3884" s="109">
        <f t="shared" ca="1" si="69"/>
        <v>0.20731278543757664</v>
      </c>
    </row>
    <row r="3885" spans="2:7" x14ac:dyDescent="0.25">
      <c r="B3885" s="98"/>
      <c r="F3885">
        <v>3881</v>
      </c>
      <c r="G3885" s="109">
        <f t="shared" ca="1" si="69"/>
        <v>0.12732863525619173</v>
      </c>
    </row>
    <row r="3886" spans="2:7" x14ac:dyDescent="0.25">
      <c r="B3886" s="98"/>
      <c r="F3886">
        <v>3882</v>
      </c>
      <c r="G3886" s="109">
        <f t="shared" ca="1" si="69"/>
        <v>-3.3239751871102646E-3</v>
      </c>
    </row>
    <row r="3887" spans="2:7" x14ac:dyDescent="0.25">
      <c r="B3887" s="98"/>
      <c r="F3887">
        <v>3883</v>
      </c>
      <c r="G3887" s="109">
        <f t="shared" ca="1" si="69"/>
        <v>-7.3186675647646818E-2</v>
      </c>
    </row>
    <row r="3888" spans="2:7" x14ac:dyDescent="0.25">
      <c r="B3888" s="98"/>
      <c r="F3888">
        <v>3884</v>
      </c>
      <c r="G3888" s="109">
        <f t="shared" ca="1" si="69"/>
        <v>-2.3104521457507687E-2</v>
      </c>
    </row>
    <row r="3889" spans="2:7" x14ac:dyDescent="0.25">
      <c r="B3889" s="98"/>
      <c r="F3889">
        <v>3885</v>
      </c>
      <c r="G3889" s="109">
        <f t="shared" ca="1" si="69"/>
        <v>-0.122952845188825</v>
      </c>
    </row>
    <row r="3890" spans="2:7" x14ac:dyDescent="0.25">
      <c r="B3890" s="98"/>
      <c r="F3890">
        <v>3886</v>
      </c>
      <c r="G3890" s="109">
        <f t="shared" ca="1" si="69"/>
        <v>0.14810219242061762</v>
      </c>
    </row>
    <row r="3891" spans="2:7" x14ac:dyDescent="0.25">
      <c r="B3891" s="98"/>
      <c r="F3891">
        <v>3887</v>
      </c>
      <c r="G3891" s="109">
        <f t="shared" ca="1" si="69"/>
        <v>-5.7316267233484416E-2</v>
      </c>
    </row>
    <row r="3892" spans="2:7" x14ac:dyDescent="0.25">
      <c r="B3892" s="98"/>
      <c r="F3892">
        <v>3888</v>
      </c>
      <c r="G3892" s="109">
        <f t="shared" ca="1" si="69"/>
        <v>0.12570582494981969</v>
      </c>
    </row>
    <row r="3893" spans="2:7" x14ac:dyDescent="0.25">
      <c r="B3893" s="98"/>
      <c r="F3893">
        <v>3889</v>
      </c>
      <c r="G3893" s="109">
        <f t="shared" ca="1" si="69"/>
        <v>7.5718263990239065E-2</v>
      </c>
    </row>
    <row r="3894" spans="2:7" x14ac:dyDescent="0.25">
      <c r="B3894" s="98"/>
      <c r="F3894">
        <v>3890</v>
      </c>
      <c r="G3894" s="109">
        <f t="shared" ca="1" si="69"/>
        <v>6.2400892891679813E-2</v>
      </c>
    </row>
    <row r="3895" spans="2:7" x14ac:dyDescent="0.25">
      <c r="B3895" s="98"/>
      <c r="F3895">
        <v>3891</v>
      </c>
      <c r="G3895" s="109">
        <f t="shared" ca="1" si="69"/>
        <v>0.13653070441353643</v>
      </c>
    </row>
    <row r="3896" spans="2:7" x14ac:dyDescent="0.25">
      <c r="B3896" s="98"/>
      <c r="F3896">
        <v>3892</v>
      </c>
      <c r="G3896" s="109">
        <f t="shared" ca="1" si="69"/>
        <v>0.13136715143066519</v>
      </c>
    </row>
    <row r="3897" spans="2:7" x14ac:dyDescent="0.25">
      <c r="B3897" s="98"/>
      <c r="F3897">
        <v>3893</v>
      </c>
      <c r="G3897" s="109">
        <f t="shared" ca="1" si="69"/>
        <v>7.1914839972919628E-2</v>
      </c>
    </row>
    <row r="3898" spans="2:7" x14ac:dyDescent="0.25">
      <c r="B3898" s="98"/>
      <c r="F3898">
        <v>3894</v>
      </c>
      <c r="G3898" s="109">
        <f t="shared" ca="1" si="69"/>
        <v>2.7266021383986854E-2</v>
      </c>
    </row>
    <row r="3899" spans="2:7" x14ac:dyDescent="0.25">
      <c r="B3899" s="98"/>
      <c r="F3899">
        <v>3895</v>
      </c>
      <c r="G3899" s="109">
        <f t="shared" ca="1" si="69"/>
        <v>0.13952301178071197</v>
      </c>
    </row>
    <row r="3900" spans="2:7" x14ac:dyDescent="0.25">
      <c r="B3900" s="98"/>
      <c r="F3900">
        <v>3896</v>
      </c>
      <c r="G3900" s="109">
        <f t="shared" ca="1" si="69"/>
        <v>0.12213476245716103</v>
      </c>
    </row>
    <row r="3901" spans="2:7" x14ac:dyDescent="0.25">
      <c r="B3901" s="98"/>
      <c r="F3901">
        <v>3897</v>
      </c>
      <c r="G3901" s="109">
        <f t="shared" ca="1" si="69"/>
        <v>0.10412516010282413</v>
      </c>
    </row>
    <row r="3902" spans="2:7" x14ac:dyDescent="0.25">
      <c r="B3902" s="98"/>
      <c r="F3902">
        <v>3898</v>
      </c>
      <c r="G3902" s="109">
        <f t="shared" ca="1" si="69"/>
        <v>1.2831045318706276E-2</v>
      </c>
    </row>
    <row r="3903" spans="2:7" x14ac:dyDescent="0.25">
      <c r="B3903" s="98"/>
      <c r="F3903">
        <v>3899</v>
      </c>
      <c r="G3903" s="109">
        <f t="shared" ca="1" si="69"/>
        <v>6.1245804483574015E-2</v>
      </c>
    </row>
    <row r="3904" spans="2:7" x14ac:dyDescent="0.25">
      <c r="B3904" s="98"/>
      <c r="F3904">
        <v>3900</v>
      </c>
      <c r="G3904" s="109">
        <f t="shared" ca="1" si="69"/>
        <v>-0.10803293680508232</v>
      </c>
    </row>
    <row r="3905" spans="2:7" x14ac:dyDescent="0.25">
      <c r="B3905" s="98"/>
      <c r="F3905">
        <v>3901</v>
      </c>
      <c r="G3905" s="109">
        <f t="shared" ca="1" si="69"/>
        <v>6.8820983577751599E-2</v>
      </c>
    </row>
    <row r="3906" spans="2:7" x14ac:dyDescent="0.25">
      <c r="B3906" s="98"/>
      <c r="F3906">
        <v>3902</v>
      </c>
      <c r="G3906" s="109">
        <f t="shared" ca="1" si="69"/>
        <v>-2.5146561686417296E-2</v>
      </c>
    </row>
    <row r="3907" spans="2:7" x14ac:dyDescent="0.25">
      <c r="B3907" s="98"/>
      <c r="F3907">
        <v>3903</v>
      </c>
      <c r="G3907" s="109">
        <f t="shared" ca="1" si="69"/>
        <v>0.13267190505061099</v>
      </c>
    </row>
    <row r="3908" spans="2:7" x14ac:dyDescent="0.25">
      <c r="B3908" s="98"/>
      <c r="F3908">
        <v>3904</v>
      </c>
      <c r="G3908" s="109">
        <f t="shared" ca="1" si="69"/>
        <v>-5.6492207529180993E-3</v>
      </c>
    </row>
    <row r="3909" spans="2:7" x14ac:dyDescent="0.25">
      <c r="B3909" s="98"/>
      <c r="F3909">
        <v>3905</v>
      </c>
      <c r="G3909" s="109">
        <f t="shared" ca="1" si="69"/>
        <v>-6.0939719585730676E-2</v>
      </c>
    </row>
    <row r="3910" spans="2:7" x14ac:dyDescent="0.25">
      <c r="B3910" s="98"/>
      <c r="F3910">
        <v>3906</v>
      </c>
      <c r="G3910" s="109">
        <f t="shared" ref="G3910:G3973" ca="1" si="70">_xlfn.NORM.INV(RAND(),$M$5,$M$6)</f>
        <v>-2.6157830452495007E-2</v>
      </c>
    </row>
    <row r="3911" spans="2:7" x14ac:dyDescent="0.25">
      <c r="B3911" s="98"/>
      <c r="F3911">
        <v>3907</v>
      </c>
      <c r="G3911" s="109">
        <f t="shared" ca="1" si="70"/>
        <v>0.34972214684952313</v>
      </c>
    </row>
    <row r="3912" spans="2:7" x14ac:dyDescent="0.25">
      <c r="B3912" s="98"/>
      <c r="F3912">
        <v>3908</v>
      </c>
      <c r="G3912" s="109">
        <f t="shared" ca="1" si="70"/>
        <v>0.11793222623961584</v>
      </c>
    </row>
    <row r="3913" spans="2:7" x14ac:dyDescent="0.25">
      <c r="B3913" s="98"/>
      <c r="F3913">
        <v>3909</v>
      </c>
      <c r="G3913" s="109">
        <f t="shared" ca="1" si="70"/>
        <v>6.1940992936739651E-2</v>
      </c>
    </row>
    <row r="3914" spans="2:7" x14ac:dyDescent="0.25">
      <c r="B3914" s="98"/>
      <c r="F3914">
        <v>3910</v>
      </c>
      <c r="G3914" s="109">
        <f t="shared" ca="1" si="70"/>
        <v>-6.4456848474113676E-2</v>
      </c>
    </row>
    <row r="3915" spans="2:7" x14ac:dyDescent="0.25">
      <c r="B3915" s="98"/>
      <c r="F3915">
        <v>3911</v>
      </c>
      <c r="G3915" s="109">
        <f t="shared" ca="1" si="70"/>
        <v>-3.387246088509524E-2</v>
      </c>
    </row>
    <row r="3916" spans="2:7" x14ac:dyDescent="0.25">
      <c r="B3916" s="98"/>
      <c r="F3916">
        <v>3912</v>
      </c>
      <c r="G3916" s="109">
        <f t="shared" ca="1" si="70"/>
        <v>0.10464081267955411</v>
      </c>
    </row>
    <row r="3917" spans="2:7" x14ac:dyDescent="0.25">
      <c r="B3917" s="98"/>
      <c r="F3917">
        <v>3913</v>
      </c>
      <c r="G3917" s="109">
        <f t="shared" ca="1" si="70"/>
        <v>0.16983781227988948</v>
      </c>
    </row>
    <row r="3918" spans="2:7" x14ac:dyDescent="0.25">
      <c r="B3918" s="98"/>
      <c r="F3918">
        <v>3914</v>
      </c>
      <c r="G3918" s="109">
        <f t="shared" ca="1" si="70"/>
        <v>0.11337359816619171</v>
      </c>
    </row>
    <row r="3919" spans="2:7" x14ac:dyDescent="0.25">
      <c r="B3919" s="98"/>
      <c r="F3919">
        <v>3915</v>
      </c>
      <c r="G3919" s="109">
        <f t="shared" ca="1" si="70"/>
        <v>6.8550621044511678E-2</v>
      </c>
    </row>
    <row r="3920" spans="2:7" x14ac:dyDescent="0.25">
      <c r="B3920" s="98"/>
      <c r="F3920">
        <v>3916</v>
      </c>
      <c r="G3920" s="109">
        <f t="shared" ca="1" si="70"/>
        <v>0.3295550896872162</v>
      </c>
    </row>
    <row r="3921" spans="2:7" x14ac:dyDescent="0.25">
      <c r="B3921" s="98"/>
      <c r="F3921">
        <v>3917</v>
      </c>
      <c r="G3921" s="109">
        <f t="shared" ca="1" si="70"/>
        <v>6.2335116830359194E-2</v>
      </c>
    </row>
    <row r="3922" spans="2:7" x14ac:dyDescent="0.25">
      <c r="B3922" s="98"/>
      <c r="F3922">
        <v>3918</v>
      </c>
      <c r="G3922" s="109">
        <f t="shared" ca="1" si="70"/>
        <v>7.0473404168147125E-2</v>
      </c>
    </row>
    <row r="3923" spans="2:7" x14ac:dyDescent="0.25">
      <c r="B3923" s="98"/>
      <c r="F3923">
        <v>3919</v>
      </c>
      <c r="G3923" s="109">
        <f t="shared" ca="1" si="70"/>
        <v>-3.5216590372430356E-2</v>
      </c>
    </row>
    <row r="3924" spans="2:7" x14ac:dyDescent="0.25">
      <c r="B3924" s="98"/>
      <c r="F3924">
        <v>3920</v>
      </c>
      <c r="G3924" s="109">
        <f t="shared" ca="1" si="70"/>
        <v>6.9451343330944132E-2</v>
      </c>
    </row>
    <row r="3925" spans="2:7" x14ac:dyDescent="0.25">
      <c r="B3925" s="98"/>
      <c r="F3925">
        <v>3921</v>
      </c>
      <c r="G3925" s="109">
        <f t="shared" ca="1" si="70"/>
        <v>0.14756899045021993</v>
      </c>
    </row>
    <row r="3926" spans="2:7" x14ac:dyDescent="0.25">
      <c r="B3926" s="98"/>
      <c r="F3926">
        <v>3922</v>
      </c>
      <c r="G3926" s="109">
        <f t="shared" ca="1" si="70"/>
        <v>9.7292118369186109E-2</v>
      </c>
    </row>
    <row r="3927" spans="2:7" x14ac:dyDescent="0.25">
      <c r="B3927" s="98"/>
      <c r="F3927">
        <v>3923</v>
      </c>
      <c r="G3927" s="109">
        <f t="shared" ca="1" si="70"/>
        <v>9.9576719189719221E-2</v>
      </c>
    </row>
    <row r="3928" spans="2:7" x14ac:dyDescent="0.25">
      <c r="B3928" s="98"/>
      <c r="F3928">
        <v>3924</v>
      </c>
      <c r="G3928" s="109">
        <f t="shared" ca="1" si="70"/>
        <v>-4.7030907658379195E-2</v>
      </c>
    </row>
    <row r="3929" spans="2:7" x14ac:dyDescent="0.25">
      <c r="B3929" s="98"/>
      <c r="F3929">
        <v>3925</v>
      </c>
      <c r="G3929" s="109">
        <f t="shared" ca="1" si="70"/>
        <v>0.13479842332224382</v>
      </c>
    </row>
    <row r="3930" spans="2:7" x14ac:dyDescent="0.25">
      <c r="B3930" s="98"/>
      <c r="F3930">
        <v>3926</v>
      </c>
      <c r="G3930" s="109">
        <f t="shared" ca="1" si="70"/>
        <v>0.12303068542935572</v>
      </c>
    </row>
    <row r="3931" spans="2:7" x14ac:dyDescent="0.25">
      <c r="B3931" s="98"/>
      <c r="F3931">
        <v>3927</v>
      </c>
      <c r="G3931" s="109">
        <f t="shared" ca="1" si="70"/>
        <v>9.8679699685930475E-2</v>
      </c>
    </row>
    <row r="3932" spans="2:7" x14ac:dyDescent="0.25">
      <c r="B3932" s="98"/>
      <c r="F3932">
        <v>3928</v>
      </c>
      <c r="G3932" s="109">
        <f t="shared" ca="1" si="70"/>
        <v>-0.10505833488692413</v>
      </c>
    </row>
    <row r="3933" spans="2:7" x14ac:dyDescent="0.25">
      <c r="B3933" s="98"/>
      <c r="F3933">
        <v>3929</v>
      </c>
      <c r="G3933" s="109">
        <f t="shared" ca="1" si="70"/>
        <v>0.16761127103115425</v>
      </c>
    </row>
    <row r="3934" spans="2:7" x14ac:dyDescent="0.25">
      <c r="B3934" s="98"/>
      <c r="F3934">
        <v>3930</v>
      </c>
      <c r="G3934" s="109">
        <f t="shared" ca="1" si="70"/>
        <v>-6.0183765991672536E-2</v>
      </c>
    </row>
    <row r="3935" spans="2:7" x14ac:dyDescent="0.25">
      <c r="B3935" s="98"/>
      <c r="F3935">
        <v>3931</v>
      </c>
      <c r="G3935" s="109">
        <f t="shared" ca="1" si="70"/>
        <v>0.2148766605906452</v>
      </c>
    </row>
    <row r="3936" spans="2:7" x14ac:dyDescent="0.25">
      <c r="B3936" s="98"/>
      <c r="F3936">
        <v>3932</v>
      </c>
      <c r="G3936" s="109">
        <f t="shared" ca="1" si="70"/>
        <v>3.049285208780492E-2</v>
      </c>
    </row>
    <row r="3937" spans="2:7" x14ac:dyDescent="0.25">
      <c r="B3937" s="98"/>
      <c r="F3937">
        <v>3933</v>
      </c>
      <c r="G3937" s="109">
        <f t="shared" ca="1" si="70"/>
        <v>4.7501222457027717E-2</v>
      </c>
    </row>
    <row r="3938" spans="2:7" x14ac:dyDescent="0.25">
      <c r="B3938" s="98"/>
      <c r="F3938">
        <v>3934</v>
      </c>
      <c r="G3938" s="109">
        <f t="shared" ca="1" si="70"/>
        <v>-5.2623574214075861E-2</v>
      </c>
    </row>
    <row r="3939" spans="2:7" x14ac:dyDescent="0.25">
      <c r="B3939" s="98"/>
      <c r="F3939">
        <v>3935</v>
      </c>
      <c r="G3939" s="109">
        <f t="shared" ca="1" si="70"/>
        <v>8.7296825133319295E-2</v>
      </c>
    </row>
    <row r="3940" spans="2:7" x14ac:dyDescent="0.25">
      <c r="B3940" s="98"/>
      <c r="F3940">
        <v>3936</v>
      </c>
      <c r="G3940" s="109">
        <f t="shared" ca="1" si="70"/>
        <v>6.3935891434130906E-2</v>
      </c>
    </row>
    <row r="3941" spans="2:7" x14ac:dyDescent="0.25">
      <c r="B3941" s="98"/>
      <c r="F3941">
        <v>3937</v>
      </c>
      <c r="G3941" s="109">
        <f t="shared" ca="1" si="70"/>
        <v>7.2158832899854114E-2</v>
      </c>
    </row>
    <row r="3942" spans="2:7" x14ac:dyDescent="0.25">
      <c r="B3942" s="98"/>
      <c r="F3942">
        <v>3938</v>
      </c>
      <c r="G3942" s="109">
        <f t="shared" ca="1" si="70"/>
        <v>-4.2827107281068297E-2</v>
      </c>
    </row>
    <row r="3943" spans="2:7" x14ac:dyDescent="0.25">
      <c r="B3943" s="98"/>
      <c r="F3943">
        <v>3939</v>
      </c>
      <c r="G3943" s="109">
        <f t="shared" ca="1" si="70"/>
        <v>7.1701039624786397E-2</v>
      </c>
    </row>
    <row r="3944" spans="2:7" x14ac:dyDescent="0.25">
      <c r="B3944" s="98"/>
      <c r="F3944">
        <v>3940</v>
      </c>
      <c r="G3944" s="109">
        <f t="shared" ca="1" si="70"/>
        <v>1.7226909171946501E-2</v>
      </c>
    </row>
    <row r="3945" spans="2:7" x14ac:dyDescent="0.25">
      <c r="B3945" s="98"/>
      <c r="F3945">
        <v>3941</v>
      </c>
      <c r="G3945" s="109">
        <f t="shared" ca="1" si="70"/>
        <v>-9.2608485488193074E-2</v>
      </c>
    </row>
    <row r="3946" spans="2:7" x14ac:dyDescent="0.25">
      <c r="B3946" s="98"/>
      <c r="F3946">
        <v>3942</v>
      </c>
      <c r="G3946" s="109">
        <f t="shared" ca="1" si="70"/>
        <v>-8.1261758409458415E-2</v>
      </c>
    </row>
    <row r="3947" spans="2:7" x14ac:dyDescent="0.25">
      <c r="B3947" s="98"/>
      <c r="F3947">
        <v>3943</v>
      </c>
      <c r="G3947" s="109">
        <f t="shared" ca="1" si="70"/>
        <v>6.3106265138644452E-2</v>
      </c>
    </row>
    <row r="3948" spans="2:7" x14ac:dyDescent="0.25">
      <c r="B3948" s="98"/>
      <c r="F3948">
        <v>3944</v>
      </c>
      <c r="G3948" s="109">
        <f t="shared" ca="1" si="70"/>
        <v>9.3136896619332443E-2</v>
      </c>
    </row>
    <row r="3949" spans="2:7" x14ac:dyDescent="0.25">
      <c r="B3949" s="98"/>
      <c r="F3949">
        <v>3945</v>
      </c>
      <c r="G3949" s="109">
        <f t="shared" ca="1" si="70"/>
        <v>-0.11802295592987962</v>
      </c>
    </row>
    <row r="3950" spans="2:7" x14ac:dyDescent="0.25">
      <c r="B3950" s="98"/>
      <c r="F3950">
        <v>3946</v>
      </c>
      <c r="G3950" s="109">
        <f t="shared" ca="1" si="70"/>
        <v>5.6718547405895242E-2</v>
      </c>
    </row>
    <row r="3951" spans="2:7" x14ac:dyDescent="0.25">
      <c r="B3951" s="98"/>
      <c r="F3951">
        <v>3947</v>
      </c>
      <c r="G3951" s="109">
        <f t="shared" ca="1" si="70"/>
        <v>8.0775261724452985E-2</v>
      </c>
    </row>
    <row r="3952" spans="2:7" x14ac:dyDescent="0.25">
      <c r="B3952" s="98"/>
      <c r="F3952">
        <v>3948</v>
      </c>
      <c r="G3952" s="109">
        <f t="shared" ca="1" si="70"/>
        <v>2.8985980852827723E-2</v>
      </c>
    </row>
    <row r="3953" spans="2:7" x14ac:dyDescent="0.25">
      <c r="B3953" s="98"/>
      <c r="F3953">
        <v>3949</v>
      </c>
      <c r="G3953" s="109">
        <f t="shared" ca="1" si="70"/>
        <v>2.7022146143654852E-2</v>
      </c>
    </row>
    <row r="3954" spans="2:7" x14ac:dyDescent="0.25">
      <c r="B3954" s="98"/>
      <c r="F3954">
        <v>3950</v>
      </c>
      <c r="G3954" s="109">
        <f t="shared" ca="1" si="70"/>
        <v>0.17328816644121986</v>
      </c>
    </row>
    <row r="3955" spans="2:7" x14ac:dyDescent="0.25">
      <c r="B3955" s="98"/>
      <c r="F3955">
        <v>3951</v>
      </c>
      <c r="G3955" s="109">
        <f t="shared" ca="1" si="70"/>
        <v>0.24270968727354181</v>
      </c>
    </row>
    <row r="3956" spans="2:7" x14ac:dyDescent="0.25">
      <c r="B3956" s="98"/>
      <c r="F3956">
        <v>3952</v>
      </c>
      <c r="G3956" s="109">
        <f t="shared" ca="1" si="70"/>
        <v>7.5367784725884901E-2</v>
      </c>
    </row>
    <row r="3957" spans="2:7" x14ac:dyDescent="0.25">
      <c r="B3957" s="98"/>
      <c r="F3957">
        <v>3953</v>
      </c>
      <c r="G3957" s="109">
        <f t="shared" ca="1" si="70"/>
        <v>0.28752097792347209</v>
      </c>
    </row>
    <row r="3958" spans="2:7" x14ac:dyDescent="0.25">
      <c r="B3958" s="98"/>
      <c r="F3958">
        <v>3954</v>
      </c>
      <c r="G3958" s="109">
        <f t="shared" ca="1" si="70"/>
        <v>1.871419499087813E-2</v>
      </c>
    </row>
    <row r="3959" spans="2:7" x14ac:dyDescent="0.25">
      <c r="B3959" s="98"/>
      <c r="F3959">
        <v>3955</v>
      </c>
      <c r="G3959" s="109">
        <f t="shared" ca="1" si="70"/>
        <v>8.6108832628126325E-2</v>
      </c>
    </row>
    <row r="3960" spans="2:7" x14ac:dyDescent="0.25">
      <c r="B3960" s="98"/>
      <c r="F3960">
        <v>3956</v>
      </c>
      <c r="G3960" s="109">
        <f t="shared" ca="1" si="70"/>
        <v>-1.2353973579293041E-2</v>
      </c>
    </row>
    <row r="3961" spans="2:7" x14ac:dyDescent="0.25">
      <c r="B3961" s="98"/>
      <c r="F3961">
        <v>3957</v>
      </c>
      <c r="G3961" s="109">
        <f t="shared" ca="1" si="70"/>
        <v>-3.6243161866201842E-2</v>
      </c>
    </row>
    <row r="3962" spans="2:7" x14ac:dyDescent="0.25">
      <c r="B3962" s="98"/>
      <c r="F3962">
        <v>3958</v>
      </c>
      <c r="G3962" s="109">
        <f t="shared" ca="1" si="70"/>
        <v>4.4718130978279869E-3</v>
      </c>
    </row>
    <row r="3963" spans="2:7" x14ac:dyDescent="0.25">
      <c r="B3963" s="98"/>
      <c r="F3963">
        <v>3959</v>
      </c>
      <c r="G3963" s="109">
        <f t="shared" ca="1" si="70"/>
        <v>5.5707056368489841E-2</v>
      </c>
    </row>
    <row r="3964" spans="2:7" x14ac:dyDescent="0.25">
      <c r="B3964" s="98"/>
      <c r="F3964">
        <v>3960</v>
      </c>
      <c r="G3964" s="109">
        <f t="shared" ca="1" si="70"/>
        <v>-7.4187123980505282E-2</v>
      </c>
    </row>
    <row r="3965" spans="2:7" x14ac:dyDescent="0.25">
      <c r="B3965" s="98"/>
      <c r="F3965">
        <v>3961</v>
      </c>
      <c r="G3965" s="109">
        <f t="shared" ca="1" si="70"/>
        <v>4.6570729914800421E-2</v>
      </c>
    </row>
    <row r="3966" spans="2:7" x14ac:dyDescent="0.25">
      <c r="B3966" s="98"/>
      <c r="F3966">
        <v>3962</v>
      </c>
      <c r="G3966" s="109">
        <f t="shared" ca="1" si="70"/>
        <v>7.5350251095144094E-2</v>
      </c>
    </row>
    <row r="3967" spans="2:7" x14ac:dyDescent="0.25">
      <c r="B3967" s="98"/>
      <c r="F3967">
        <v>3963</v>
      </c>
      <c r="G3967" s="109">
        <f t="shared" ca="1" si="70"/>
        <v>8.6050791474080082E-2</v>
      </c>
    </row>
    <row r="3968" spans="2:7" x14ac:dyDescent="0.25">
      <c r="B3968" s="98"/>
      <c r="F3968">
        <v>3964</v>
      </c>
      <c r="G3968" s="109">
        <f t="shared" ca="1" si="70"/>
        <v>0.11150412204058606</v>
      </c>
    </row>
    <row r="3969" spans="2:7" x14ac:dyDescent="0.25">
      <c r="B3969" s="98"/>
      <c r="F3969">
        <v>3965</v>
      </c>
      <c r="G3969" s="109">
        <f t="shared" ca="1" si="70"/>
        <v>6.128215545025277E-2</v>
      </c>
    </row>
    <row r="3970" spans="2:7" x14ac:dyDescent="0.25">
      <c r="B3970" s="98"/>
      <c r="F3970">
        <v>3966</v>
      </c>
      <c r="G3970" s="109">
        <f t="shared" ca="1" si="70"/>
        <v>0.12054244701578117</v>
      </c>
    </row>
    <row r="3971" spans="2:7" x14ac:dyDescent="0.25">
      <c r="B3971" s="98"/>
      <c r="F3971">
        <v>3967</v>
      </c>
      <c r="G3971" s="109">
        <f t="shared" ca="1" si="70"/>
        <v>4.8519764872968045E-2</v>
      </c>
    </row>
    <row r="3972" spans="2:7" x14ac:dyDescent="0.25">
      <c r="B3972" s="98"/>
      <c r="F3972">
        <v>3968</v>
      </c>
      <c r="G3972" s="109">
        <f t="shared" ca="1" si="70"/>
        <v>5.1870146180744217E-3</v>
      </c>
    </row>
    <row r="3973" spans="2:7" x14ac:dyDescent="0.25">
      <c r="B3973" s="98"/>
      <c r="F3973">
        <v>3969</v>
      </c>
      <c r="G3973" s="109">
        <f t="shared" ca="1" si="70"/>
        <v>4.7921284478695737E-2</v>
      </c>
    </row>
    <row r="3974" spans="2:7" x14ac:dyDescent="0.25">
      <c r="B3974" s="98"/>
      <c r="F3974">
        <v>3970</v>
      </c>
      <c r="G3974" s="109">
        <f t="shared" ref="G3974:G4037" ca="1" si="71">_xlfn.NORM.INV(RAND(),$M$5,$M$6)</f>
        <v>0.13474977754148959</v>
      </c>
    </row>
    <row r="3975" spans="2:7" x14ac:dyDescent="0.25">
      <c r="B3975" s="98"/>
      <c r="F3975">
        <v>3971</v>
      </c>
      <c r="G3975" s="109">
        <f t="shared" ca="1" si="71"/>
        <v>0.15246264211949406</v>
      </c>
    </row>
    <row r="3976" spans="2:7" x14ac:dyDescent="0.25">
      <c r="B3976" s="98"/>
      <c r="F3976">
        <v>3972</v>
      </c>
      <c r="G3976" s="109">
        <f t="shared" ca="1" si="71"/>
        <v>1.1751695589518295E-2</v>
      </c>
    </row>
    <row r="3977" spans="2:7" x14ac:dyDescent="0.25">
      <c r="B3977" s="98"/>
      <c r="F3977">
        <v>3973</v>
      </c>
      <c r="G3977" s="109">
        <f t="shared" ca="1" si="71"/>
        <v>6.7915319800488955E-2</v>
      </c>
    </row>
    <row r="3978" spans="2:7" x14ac:dyDescent="0.25">
      <c r="B3978" s="98"/>
      <c r="F3978">
        <v>3974</v>
      </c>
      <c r="G3978" s="109">
        <f t="shared" ca="1" si="71"/>
        <v>6.4198789882455642E-2</v>
      </c>
    </row>
    <row r="3979" spans="2:7" x14ac:dyDescent="0.25">
      <c r="B3979" s="98"/>
      <c r="F3979">
        <v>3975</v>
      </c>
      <c r="G3979" s="109">
        <f t="shared" ca="1" si="71"/>
        <v>2.1448250435169767E-2</v>
      </c>
    </row>
    <row r="3980" spans="2:7" x14ac:dyDescent="0.25">
      <c r="B3980" s="98"/>
      <c r="F3980">
        <v>3976</v>
      </c>
      <c r="G3980" s="109">
        <f t="shared" ca="1" si="71"/>
        <v>0.19952564092803188</v>
      </c>
    </row>
    <row r="3981" spans="2:7" x14ac:dyDescent="0.25">
      <c r="B3981" s="98"/>
      <c r="F3981">
        <v>3977</v>
      </c>
      <c r="G3981" s="109">
        <f t="shared" ca="1" si="71"/>
        <v>-5.1018029730740974E-2</v>
      </c>
    </row>
    <row r="3982" spans="2:7" x14ac:dyDescent="0.25">
      <c r="B3982" s="98"/>
      <c r="F3982">
        <v>3978</v>
      </c>
      <c r="G3982" s="109">
        <f t="shared" ca="1" si="71"/>
        <v>0.12472676987172854</v>
      </c>
    </row>
    <row r="3983" spans="2:7" x14ac:dyDescent="0.25">
      <c r="B3983" s="98"/>
      <c r="F3983">
        <v>3979</v>
      </c>
      <c r="G3983" s="109">
        <f t="shared" ca="1" si="71"/>
        <v>-0.19147957830457973</v>
      </c>
    </row>
    <row r="3984" spans="2:7" x14ac:dyDescent="0.25">
      <c r="B3984" s="98"/>
      <c r="F3984">
        <v>3980</v>
      </c>
      <c r="G3984" s="109">
        <f t="shared" ca="1" si="71"/>
        <v>0.16048886886265046</v>
      </c>
    </row>
    <row r="3985" spans="2:7" x14ac:dyDescent="0.25">
      <c r="B3985" s="98"/>
      <c r="F3985">
        <v>3981</v>
      </c>
      <c r="G3985" s="109">
        <f t="shared" ca="1" si="71"/>
        <v>-3.2200559794778871E-4</v>
      </c>
    </row>
    <row r="3986" spans="2:7" x14ac:dyDescent="0.25">
      <c r="B3986" s="98"/>
      <c r="F3986">
        <v>3982</v>
      </c>
      <c r="G3986" s="109">
        <f t="shared" ca="1" si="71"/>
        <v>0.1107789463382466</v>
      </c>
    </row>
    <row r="3987" spans="2:7" x14ac:dyDescent="0.25">
      <c r="B3987" s="98"/>
      <c r="F3987">
        <v>3983</v>
      </c>
      <c r="G3987" s="109">
        <f t="shared" ca="1" si="71"/>
        <v>1.516033958157861E-2</v>
      </c>
    </row>
    <row r="3988" spans="2:7" x14ac:dyDescent="0.25">
      <c r="B3988" s="98"/>
      <c r="F3988">
        <v>3984</v>
      </c>
      <c r="G3988" s="109">
        <f t="shared" ca="1" si="71"/>
        <v>3.8480385635122849E-2</v>
      </c>
    </row>
    <row r="3989" spans="2:7" x14ac:dyDescent="0.25">
      <c r="B3989" s="98"/>
      <c r="F3989">
        <v>3985</v>
      </c>
      <c r="G3989" s="109">
        <f t="shared" ca="1" si="71"/>
        <v>4.1764154013028063E-3</v>
      </c>
    </row>
    <row r="3990" spans="2:7" x14ac:dyDescent="0.25">
      <c r="B3990" s="98"/>
      <c r="F3990">
        <v>3986</v>
      </c>
      <c r="G3990" s="109">
        <f t="shared" ca="1" si="71"/>
        <v>0.13783666354526725</v>
      </c>
    </row>
    <row r="3991" spans="2:7" x14ac:dyDescent="0.25">
      <c r="B3991" s="98"/>
      <c r="F3991">
        <v>3987</v>
      </c>
      <c r="G3991" s="109">
        <f t="shared" ca="1" si="71"/>
        <v>-3.0413796583780059E-2</v>
      </c>
    </row>
    <row r="3992" spans="2:7" x14ac:dyDescent="0.25">
      <c r="B3992" s="98"/>
      <c r="F3992">
        <v>3988</v>
      </c>
      <c r="G3992" s="109">
        <f t="shared" ca="1" si="71"/>
        <v>0.22372807714003928</v>
      </c>
    </row>
    <row r="3993" spans="2:7" x14ac:dyDescent="0.25">
      <c r="B3993" s="98"/>
      <c r="F3993">
        <v>3989</v>
      </c>
      <c r="G3993" s="109">
        <f t="shared" ca="1" si="71"/>
        <v>-6.9771297395949144E-2</v>
      </c>
    </row>
    <row r="3994" spans="2:7" x14ac:dyDescent="0.25">
      <c r="B3994" s="98"/>
      <c r="F3994">
        <v>3990</v>
      </c>
      <c r="G3994" s="109">
        <f t="shared" ca="1" si="71"/>
        <v>-0.21816517022950349</v>
      </c>
    </row>
    <row r="3995" spans="2:7" x14ac:dyDescent="0.25">
      <c r="B3995" s="98"/>
      <c r="F3995">
        <v>3991</v>
      </c>
      <c r="G3995" s="109">
        <f t="shared" ca="1" si="71"/>
        <v>0.17045442129339439</v>
      </c>
    </row>
    <row r="3996" spans="2:7" x14ac:dyDescent="0.25">
      <c r="B3996" s="98"/>
      <c r="F3996">
        <v>3992</v>
      </c>
      <c r="G3996" s="109">
        <f t="shared" ca="1" si="71"/>
        <v>5.5191779470759317E-2</v>
      </c>
    </row>
    <row r="3997" spans="2:7" x14ac:dyDescent="0.25">
      <c r="B3997" s="98"/>
      <c r="F3997">
        <v>3993</v>
      </c>
      <c r="G3997" s="109">
        <f t="shared" ca="1" si="71"/>
        <v>-9.2693913264313213E-3</v>
      </c>
    </row>
    <row r="3998" spans="2:7" x14ac:dyDescent="0.25">
      <c r="B3998" s="98"/>
      <c r="F3998">
        <v>3994</v>
      </c>
      <c r="G3998" s="109">
        <f t="shared" ca="1" si="71"/>
        <v>0.11430065814529243</v>
      </c>
    </row>
    <row r="3999" spans="2:7" x14ac:dyDescent="0.25">
      <c r="B3999" s="98"/>
      <c r="F3999">
        <v>3995</v>
      </c>
      <c r="G3999" s="109">
        <f t="shared" ca="1" si="71"/>
        <v>-3.383524009823495E-3</v>
      </c>
    </row>
    <row r="4000" spans="2:7" x14ac:dyDescent="0.25">
      <c r="B4000" s="98"/>
      <c r="F4000">
        <v>3996</v>
      </c>
      <c r="G4000" s="109">
        <f t="shared" ca="1" si="71"/>
        <v>-8.9251143957738491E-2</v>
      </c>
    </row>
    <row r="4001" spans="2:7" x14ac:dyDescent="0.25">
      <c r="B4001" s="98"/>
      <c r="F4001">
        <v>3997</v>
      </c>
      <c r="G4001" s="109">
        <f t="shared" ca="1" si="71"/>
        <v>0.1481312558383947</v>
      </c>
    </row>
    <row r="4002" spans="2:7" x14ac:dyDescent="0.25">
      <c r="B4002" s="98"/>
      <c r="F4002">
        <v>3998</v>
      </c>
      <c r="G4002" s="109">
        <f t="shared" ca="1" si="71"/>
        <v>2.8686309650981279E-2</v>
      </c>
    </row>
    <row r="4003" spans="2:7" x14ac:dyDescent="0.25">
      <c r="B4003" s="98"/>
      <c r="F4003">
        <v>3999</v>
      </c>
      <c r="G4003" s="109">
        <f t="shared" ca="1" si="71"/>
        <v>-1.0778320315355409E-2</v>
      </c>
    </row>
    <row r="4004" spans="2:7" x14ac:dyDescent="0.25">
      <c r="B4004" s="98"/>
      <c r="F4004">
        <v>4000</v>
      </c>
      <c r="G4004" s="109">
        <f t="shared" ca="1" si="71"/>
        <v>-5.0039522646380605E-3</v>
      </c>
    </row>
    <row r="4005" spans="2:7" x14ac:dyDescent="0.25">
      <c r="B4005" s="98"/>
      <c r="F4005">
        <v>4001</v>
      </c>
      <c r="G4005" s="109">
        <f t="shared" ca="1" si="71"/>
        <v>8.8781589933506072E-2</v>
      </c>
    </row>
    <row r="4006" spans="2:7" x14ac:dyDescent="0.25">
      <c r="B4006" s="98"/>
      <c r="F4006">
        <v>4002</v>
      </c>
      <c r="G4006" s="109">
        <f t="shared" ca="1" si="71"/>
        <v>8.3505676847381999E-3</v>
      </c>
    </row>
    <row r="4007" spans="2:7" x14ac:dyDescent="0.25">
      <c r="B4007" s="98"/>
      <c r="F4007">
        <v>4003</v>
      </c>
      <c r="G4007" s="109">
        <f t="shared" ca="1" si="71"/>
        <v>0.10641411879049878</v>
      </c>
    </row>
    <row r="4008" spans="2:7" x14ac:dyDescent="0.25">
      <c r="B4008" s="98"/>
      <c r="F4008">
        <v>4004</v>
      </c>
      <c r="G4008" s="109">
        <f t="shared" ca="1" si="71"/>
        <v>3.4819539014416825E-2</v>
      </c>
    </row>
    <row r="4009" spans="2:7" x14ac:dyDescent="0.25">
      <c r="B4009" s="98"/>
      <c r="F4009">
        <v>4005</v>
      </c>
      <c r="G4009" s="109">
        <f t="shared" ca="1" si="71"/>
        <v>3.8825695125737469E-2</v>
      </c>
    </row>
    <row r="4010" spans="2:7" x14ac:dyDescent="0.25">
      <c r="B4010" s="98"/>
      <c r="F4010">
        <v>4006</v>
      </c>
      <c r="G4010" s="109">
        <f t="shared" ca="1" si="71"/>
        <v>3.9215867449381867E-2</v>
      </c>
    </row>
    <row r="4011" spans="2:7" x14ac:dyDescent="0.25">
      <c r="B4011" s="98"/>
      <c r="F4011">
        <v>4007</v>
      </c>
      <c r="G4011" s="109">
        <f t="shared" ca="1" si="71"/>
        <v>0.10178548778815807</v>
      </c>
    </row>
    <row r="4012" spans="2:7" x14ac:dyDescent="0.25">
      <c r="B4012" s="98"/>
      <c r="F4012">
        <v>4008</v>
      </c>
      <c r="G4012" s="109">
        <f t="shared" ca="1" si="71"/>
        <v>-7.9237691951468542E-2</v>
      </c>
    </row>
    <row r="4013" spans="2:7" x14ac:dyDescent="0.25">
      <c r="B4013" s="98"/>
      <c r="F4013">
        <v>4009</v>
      </c>
      <c r="G4013" s="109">
        <f t="shared" ca="1" si="71"/>
        <v>0.16357181942493335</v>
      </c>
    </row>
    <row r="4014" spans="2:7" x14ac:dyDescent="0.25">
      <c r="B4014" s="98"/>
      <c r="F4014">
        <v>4010</v>
      </c>
      <c r="G4014" s="109">
        <f t="shared" ca="1" si="71"/>
        <v>5.2157450827449547E-2</v>
      </c>
    </row>
    <row r="4015" spans="2:7" x14ac:dyDescent="0.25">
      <c r="B4015" s="98"/>
      <c r="F4015">
        <v>4011</v>
      </c>
      <c r="G4015" s="109">
        <f t="shared" ca="1" si="71"/>
        <v>-1.0262079215764476E-2</v>
      </c>
    </row>
    <row r="4016" spans="2:7" x14ac:dyDescent="0.25">
      <c r="B4016" s="98"/>
      <c r="F4016">
        <v>4012</v>
      </c>
      <c r="G4016" s="109">
        <f t="shared" ca="1" si="71"/>
        <v>4.3104059247188554E-2</v>
      </c>
    </row>
    <row r="4017" spans="2:7" x14ac:dyDescent="0.25">
      <c r="B4017" s="98"/>
      <c r="F4017">
        <v>4013</v>
      </c>
      <c r="G4017" s="109">
        <f t="shared" ca="1" si="71"/>
        <v>-8.6013713247720988E-2</v>
      </c>
    </row>
    <row r="4018" spans="2:7" x14ac:dyDescent="0.25">
      <c r="B4018" s="98"/>
      <c r="F4018">
        <v>4014</v>
      </c>
      <c r="G4018" s="109">
        <f t="shared" ca="1" si="71"/>
        <v>-0.10215918149444674</v>
      </c>
    </row>
    <row r="4019" spans="2:7" x14ac:dyDescent="0.25">
      <c r="B4019" s="98"/>
      <c r="F4019">
        <v>4015</v>
      </c>
      <c r="G4019" s="109">
        <f t="shared" ca="1" si="71"/>
        <v>7.546494687523056E-2</v>
      </c>
    </row>
    <row r="4020" spans="2:7" x14ac:dyDescent="0.25">
      <c r="B4020" s="98"/>
      <c r="F4020">
        <v>4016</v>
      </c>
      <c r="G4020" s="109">
        <f t="shared" ca="1" si="71"/>
        <v>6.9008541986160382E-2</v>
      </c>
    </row>
    <row r="4021" spans="2:7" x14ac:dyDescent="0.25">
      <c r="B4021" s="98"/>
      <c r="F4021">
        <v>4017</v>
      </c>
      <c r="G4021" s="109">
        <f t="shared" ca="1" si="71"/>
        <v>-9.42827936449364E-2</v>
      </c>
    </row>
    <row r="4022" spans="2:7" x14ac:dyDescent="0.25">
      <c r="B4022" s="98"/>
      <c r="F4022">
        <v>4018</v>
      </c>
      <c r="G4022" s="109">
        <f t="shared" ca="1" si="71"/>
        <v>0.12221407321332015</v>
      </c>
    </row>
    <row r="4023" spans="2:7" x14ac:dyDescent="0.25">
      <c r="B4023" s="98"/>
      <c r="F4023">
        <v>4019</v>
      </c>
      <c r="G4023" s="109">
        <f t="shared" ca="1" si="71"/>
        <v>-4.604229934508712E-2</v>
      </c>
    </row>
    <row r="4024" spans="2:7" x14ac:dyDescent="0.25">
      <c r="B4024" s="98"/>
      <c r="F4024">
        <v>4020</v>
      </c>
      <c r="G4024" s="109">
        <f t="shared" ca="1" si="71"/>
        <v>0.14728477648950172</v>
      </c>
    </row>
    <row r="4025" spans="2:7" x14ac:dyDescent="0.25">
      <c r="B4025" s="98"/>
      <c r="F4025">
        <v>4021</v>
      </c>
      <c r="G4025" s="109">
        <f t="shared" ca="1" si="71"/>
        <v>-1.1007795947249072E-2</v>
      </c>
    </row>
    <row r="4026" spans="2:7" x14ac:dyDescent="0.25">
      <c r="B4026" s="98"/>
      <c r="F4026">
        <v>4022</v>
      </c>
      <c r="G4026" s="109">
        <f t="shared" ca="1" si="71"/>
        <v>8.8710204174451524E-2</v>
      </c>
    </row>
    <row r="4027" spans="2:7" x14ac:dyDescent="0.25">
      <c r="B4027" s="98"/>
      <c r="F4027">
        <v>4023</v>
      </c>
      <c r="G4027" s="109">
        <f t="shared" ca="1" si="71"/>
        <v>8.7323099582271052E-2</v>
      </c>
    </row>
    <row r="4028" spans="2:7" x14ac:dyDescent="0.25">
      <c r="B4028" s="98"/>
      <c r="F4028">
        <v>4024</v>
      </c>
      <c r="G4028" s="109">
        <f t="shared" ca="1" si="71"/>
        <v>-1.4964640953888803E-2</v>
      </c>
    </row>
    <row r="4029" spans="2:7" x14ac:dyDescent="0.25">
      <c r="B4029" s="98"/>
      <c r="F4029">
        <v>4025</v>
      </c>
      <c r="G4029" s="109">
        <f t="shared" ca="1" si="71"/>
        <v>-6.9687644413852265E-2</v>
      </c>
    </row>
    <row r="4030" spans="2:7" x14ac:dyDescent="0.25">
      <c r="B4030" s="98"/>
      <c r="F4030">
        <v>4026</v>
      </c>
      <c r="G4030" s="109">
        <f t="shared" ca="1" si="71"/>
        <v>2.280787624726997E-2</v>
      </c>
    </row>
    <row r="4031" spans="2:7" x14ac:dyDescent="0.25">
      <c r="B4031" s="98"/>
      <c r="F4031">
        <v>4027</v>
      </c>
      <c r="G4031" s="109">
        <f t="shared" ca="1" si="71"/>
        <v>-2.6162104998438893E-2</v>
      </c>
    </row>
    <row r="4032" spans="2:7" x14ac:dyDescent="0.25">
      <c r="B4032" s="98"/>
      <c r="F4032">
        <v>4028</v>
      </c>
      <c r="G4032" s="109">
        <f t="shared" ca="1" si="71"/>
        <v>-7.6310921739130108E-2</v>
      </c>
    </row>
    <row r="4033" spans="2:7" x14ac:dyDescent="0.25">
      <c r="B4033" s="98"/>
      <c r="F4033">
        <v>4029</v>
      </c>
      <c r="G4033" s="109">
        <f t="shared" ca="1" si="71"/>
        <v>0.10383983588357076</v>
      </c>
    </row>
    <row r="4034" spans="2:7" x14ac:dyDescent="0.25">
      <c r="B4034" s="98"/>
      <c r="F4034">
        <v>4030</v>
      </c>
      <c r="G4034" s="109">
        <f t="shared" ca="1" si="71"/>
        <v>-1.6241728863594936E-2</v>
      </c>
    </row>
    <row r="4035" spans="2:7" x14ac:dyDescent="0.25">
      <c r="B4035" s="98"/>
      <c r="F4035">
        <v>4031</v>
      </c>
      <c r="G4035" s="109">
        <f t="shared" ca="1" si="71"/>
        <v>8.9729761832507859E-2</v>
      </c>
    </row>
    <row r="4036" spans="2:7" x14ac:dyDescent="0.25">
      <c r="B4036" s="98"/>
      <c r="F4036">
        <v>4032</v>
      </c>
      <c r="G4036" s="109">
        <f t="shared" ca="1" si="71"/>
        <v>-0.13254751442008927</v>
      </c>
    </row>
    <row r="4037" spans="2:7" x14ac:dyDescent="0.25">
      <c r="B4037" s="98"/>
      <c r="F4037">
        <v>4033</v>
      </c>
      <c r="G4037" s="109">
        <f t="shared" ca="1" si="71"/>
        <v>3.0254693377610789E-3</v>
      </c>
    </row>
    <row r="4038" spans="2:7" x14ac:dyDescent="0.25">
      <c r="B4038" s="98"/>
      <c r="F4038">
        <v>4034</v>
      </c>
      <c r="G4038" s="109">
        <f t="shared" ref="G4038:G4101" ca="1" si="72">_xlfn.NORM.INV(RAND(),$M$5,$M$6)</f>
        <v>0.11363456015692952</v>
      </c>
    </row>
    <row r="4039" spans="2:7" x14ac:dyDescent="0.25">
      <c r="B4039" s="98"/>
      <c r="F4039">
        <v>4035</v>
      </c>
      <c r="G4039" s="109">
        <f t="shared" ca="1" si="72"/>
        <v>-1.2529769049010944E-2</v>
      </c>
    </row>
    <row r="4040" spans="2:7" x14ac:dyDescent="0.25">
      <c r="B4040" s="98"/>
      <c r="F4040">
        <v>4036</v>
      </c>
      <c r="G4040" s="109">
        <f t="shared" ca="1" si="72"/>
        <v>3.4092703523952508E-2</v>
      </c>
    </row>
    <row r="4041" spans="2:7" x14ac:dyDescent="0.25">
      <c r="B4041" s="98"/>
      <c r="F4041">
        <v>4037</v>
      </c>
      <c r="G4041" s="109">
        <f t="shared" ca="1" si="72"/>
        <v>5.6630516899211121E-2</v>
      </c>
    </row>
    <row r="4042" spans="2:7" x14ac:dyDescent="0.25">
      <c r="B4042" s="98"/>
      <c r="F4042">
        <v>4038</v>
      </c>
      <c r="G4042" s="109">
        <f t="shared" ca="1" si="72"/>
        <v>0.14098959717112469</v>
      </c>
    </row>
    <row r="4043" spans="2:7" x14ac:dyDescent="0.25">
      <c r="B4043" s="98"/>
      <c r="F4043">
        <v>4039</v>
      </c>
      <c r="G4043" s="109">
        <f t="shared" ca="1" si="72"/>
        <v>-9.9845446873482999E-2</v>
      </c>
    </row>
    <row r="4044" spans="2:7" x14ac:dyDescent="0.25">
      <c r="B4044" s="98"/>
      <c r="F4044">
        <v>4040</v>
      </c>
      <c r="G4044" s="109">
        <f t="shared" ca="1" si="72"/>
        <v>0.2232893684271125</v>
      </c>
    </row>
    <row r="4045" spans="2:7" x14ac:dyDescent="0.25">
      <c r="B4045" s="98"/>
      <c r="F4045">
        <v>4041</v>
      </c>
      <c r="G4045" s="109">
        <f t="shared" ca="1" si="72"/>
        <v>5.1449327363977719E-2</v>
      </c>
    </row>
    <row r="4046" spans="2:7" x14ac:dyDescent="0.25">
      <c r="B4046" s="98"/>
      <c r="F4046">
        <v>4042</v>
      </c>
      <c r="G4046" s="109">
        <f t="shared" ca="1" si="72"/>
        <v>-1.6432778934946581E-2</v>
      </c>
    </row>
    <row r="4047" spans="2:7" x14ac:dyDescent="0.25">
      <c r="B4047" s="98"/>
      <c r="F4047">
        <v>4043</v>
      </c>
      <c r="G4047" s="109">
        <f t="shared" ca="1" si="72"/>
        <v>0.14061960781048344</v>
      </c>
    </row>
    <row r="4048" spans="2:7" x14ac:dyDescent="0.25">
      <c r="B4048" s="98"/>
      <c r="F4048">
        <v>4044</v>
      </c>
      <c r="G4048" s="109">
        <f t="shared" ca="1" si="72"/>
        <v>0.13552792641855699</v>
      </c>
    </row>
    <row r="4049" spans="2:7" x14ac:dyDescent="0.25">
      <c r="B4049" s="98"/>
      <c r="F4049">
        <v>4045</v>
      </c>
      <c r="G4049" s="109">
        <f t="shared" ca="1" si="72"/>
        <v>1.6558784812606954E-2</v>
      </c>
    </row>
    <row r="4050" spans="2:7" x14ac:dyDescent="0.25">
      <c r="B4050" s="98"/>
      <c r="F4050">
        <v>4046</v>
      </c>
      <c r="G4050" s="109">
        <f t="shared" ca="1" si="72"/>
        <v>-6.7781833678250858E-2</v>
      </c>
    </row>
    <row r="4051" spans="2:7" x14ac:dyDescent="0.25">
      <c r="B4051" s="98"/>
      <c r="F4051">
        <v>4047</v>
      </c>
      <c r="G4051" s="109">
        <f t="shared" ca="1" si="72"/>
        <v>0.10747182412487441</v>
      </c>
    </row>
    <row r="4052" spans="2:7" x14ac:dyDescent="0.25">
      <c r="B4052" s="98"/>
      <c r="F4052">
        <v>4048</v>
      </c>
      <c r="G4052" s="109">
        <f t="shared" ca="1" si="72"/>
        <v>-1.96695854470684E-2</v>
      </c>
    </row>
    <row r="4053" spans="2:7" x14ac:dyDescent="0.25">
      <c r="B4053" s="98"/>
      <c r="F4053">
        <v>4049</v>
      </c>
      <c r="G4053" s="109">
        <f t="shared" ca="1" si="72"/>
        <v>7.4069712888927483E-3</v>
      </c>
    </row>
    <row r="4054" spans="2:7" x14ac:dyDescent="0.25">
      <c r="B4054" s="98"/>
      <c r="F4054">
        <v>4050</v>
      </c>
      <c r="G4054" s="109">
        <f t="shared" ca="1" si="72"/>
        <v>0.20521753101432266</v>
      </c>
    </row>
    <row r="4055" spans="2:7" x14ac:dyDescent="0.25">
      <c r="B4055" s="98"/>
      <c r="F4055">
        <v>4051</v>
      </c>
      <c r="G4055" s="109">
        <f t="shared" ca="1" si="72"/>
        <v>0.15779347803674554</v>
      </c>
    </row>
    <row r="4056" spans="2:7" x14ac:dyDescent="0.25">
      <c r="B4056" s="98"/>
      <c r="F4056">
        <v>4052</v>
      </c>
      <c r="G4056" s="109">
        <f t="shared" ca="1" si="72"/>
        <v>-2.9671218549027711E-2</v>
      </c>
    </row>
    <row r="4057" spans="2:7" x14ac:dyDescent="0.25">
      <c r="B4057" s="98"/>
      <c r="F4057">
        <v>4053</v>
      </c>
      <c r="G4057" s="109">
        <f t="shared" ca="1" si="72"/>
        <v>-0.12907389545979397</v>
      </c>
    </row>
    <row r="4058" spans="2:7" x14ac:dyDescent="0.25">
      <c r="B4058" s="98"/>
      <c r="F4058">
        <v>4054</v>
      </c>
      <c r="G4058" s="109">
        <f t="shared" ca="1" si="72"/>
        <v>6.7104306759520671E-2</v>
      </c>
    </row>
    <row r="4059" spans="2:7" x14ac:dyDescent="0.25">
      <c r="B4059" s="98"/>
      <c r="F4059">
        <v>4055</v>
      </c>
      <c r="G4059" s="109">
        <f t="shared" ca="1" si="72"/>
        <v>-4.7932987730078688E-2</v>
      </c>
    </row>
    <row r="4060" spans="2:7" x14ac:dyDescent="0.25">
      <c r="B4060" s="98"/>
      <c r="F4060">
        <v>4056</v>
      </c>
      <c r="G4060" s="109">
        <f t="shared" ca="1" si="72"/>
        <v>0.21348533607744236</v>
      </c>
    </row>
    <row r="4061" spans="2:7" x14ac:dyDescent="0.25">
      <c r="B4061" s="98"/>
      <c r="F4061">
        <v>4057</v>
      </c>
      <c r="G4061" s="109">
        <f t="shared" ca="1" si="72"/>
        <v>8.9789383908691456E-2</v>
      </c>
    </row>
    <row r="4062" spans="2:7" x14ac:dyDescent="0.25">
      <c r="B4062" s="98"/>
      <c r="F4062">
        <v>4058</v>
      </c>
      <c r="G4062" s="109">
        <f t="shared" ca="1" si="72"/>
        <v>-8.5471332741332964E-2</v>
      </c>
    </row>
    <row r="4063" spans="2:7" x14ac:dyDescent="0.25">
      <c r="B4063" s="98"/>
      <c r="F4063">
        <v>4059</v>
      </c>
      <c r="G4063" s="109">
        <f t="shared" ca="1" si="72"/>
        <v>4.8091260428907136E-2</v>
      </c>
    </row>
    <row r="4064" spans="2:7" x14ac:dyDescent="0.25">
      <c r="B4064" s="98"/>
      <c r="F4064">
        <v>4060</v>
      </c>
      <c r="G4064" s="109">
        <f t="shared" ca="1" si="72"/>
        <v>-8.0267493552655014E-2</v>
      </c>
    </row>
    <row r="4065" spans="2:7" x14ac:dyDescent="0.25">
      <c r="B4065" s="98"/>
      <c r="F4065">
        <v>4061</v>
      </c>
      <c r="G4065" s="109">
        <f t="shared" ca="1" si="72"/>
        <v>0.1225798517509302</v>
      </c>
    </row>
    <row r="4066" spans="2:7" x14ac:dyDescent="0.25">
      <c r="B4066" s="98"/>
      <c r="F4066">
        <v>4062</v>
      </c>
      <c r="G4066" s="109">
        <f t="shared" ca="1" si="72"/>
        <v>-0.20991995323537954</v>
      </c>
    </row>
    <row r="4067" spans="2:7" x14ac:dyDescent="0.25">
      <c r="B4067" s="98"/>
      <c r="F4067">
        <v>4063</v>
      </c>
      <c r="G4067" s="109">
        <f t="shared" ca="1" si="72"/>
        <v>-7.247310662497157E-2</v>
      </c>
    </row>
    <row r="4068" spans="2:7" x14ac:dyDescent="0.25">
      <c r="B4068" s="98"/>
      <c r="F4068">
        <v>4064</v>
      </c>
      <c r="G4068" s="109">
        <f t="shared" ca="1" si="72"/>
        <v>-5.3531243301255305E-2</v>
      </c>
    </row>
    <row r="4069" spans="2:7" x14ac:dyDescent="0.25">
      <c r="B4069" s="98"/>
      <c r="F4069">
        <v>4065</v>
      </c>
      <c r="G4069" s="109">
        <f t="shared" ca="1" si="72"/>
        <v>-2.5252563445856441E-2</v>
      </c>
    </row>
    <row r="4070" spans="2:7" x14ac:dyDescent="0.25">
      <c r="B4070" s="98"/>
      <c r="F4070">
        <v>4066</v>
      </c>
      <c r="G4070" s="109">
        <f t="shared" ca="1" si="72"/>
        <v>5.1366553825972279E-2</v>
      </c>
    </row>
    <row r="4071" spans="2:7" x14ac:dyDescent="0.25">
      <c r="B4071" s="98"/>
      <c r="F4071">
        <v>4067</v>
      </c>
      <c r="G4071" s="109">
        <f t="shared" ca="1" si="72"/>
        <v>-2.2294825151537356E-2</v>
      </c>
    </row>
    <row r="4072" spans="2:7" x14ac:dyDescent="0.25">
      <c r="B4072" s="98"/>
      <c r="F4072">
        <v>4068</v>
      </c>
      <c r="G4072" s="109">
        <f t="shared" ca="1" si="72"/>
        <v>0.18833138360147827</v>
      </c>
    </row>
    <row r="4073" spans="2:7" x14ac:dyDescent="0.25">
      <c r="B4073" s="98"/>
      <c r="F4073">
        <v>4069</v>
      </c>
      <c r="G4073" s="109">
        <f t="shared" ca="1" si="72"/>
        <v>-6.4976573035111646E-4</v>
      </c>
    </row>
    <row r="4074" spans="2:7" x14ac:dyDescent="0.25">
      <c r="B4074" s="98"/>
      <c r="F4074">
        <v>4070</v>
      </c>
      <c r="G4074" s="109">
        <f t="shared" ca="1" si="72"/>
        <v>-4.3250978432653325E-3</v>
      </c>
    </row>
    <row r="4075" spans="2:7" x14ac:dyDescent="0.25">
      <c r="B4075" s="98"/>
      <c r="F4075">
        <v>4071</v>
      </c>
      <c r="G4075" s="109">
        <f t="shared" ca="1" si="72"/>
        <v>-1.1081501123843374E-2</v>
      </c>
    </row>
    <row r="4076" spans="2:7" x14ac:dyDescent="0.25">
      <c r="B4076" s="98"/>
      <c r="F4076">
        <v>4072</v>
      </c>
      <c r="G4076" s="109">
        <f t="shared" ca="1" si="72"/>
        <v>0.1926030062306624</v>
      </c>
    </row>
    <row r="4077" spans="2:7" x14ac:dyDescent="0.25">
      <c r="B4077" s="98"/>
      <c r="F4077">
        <v>4073</v>
      </c>
      <c r="G4077" s="109">
        <f t="shared" ca="1" si="72"/>
        <v>-4.6364161671567497E-2</v>
      </c>
    </row>
    <row r="4078" spans="2:7" x14ac:dyDescent="0.25">
      <c r="B4078" s="98"/>
      <c r="F4078">
        <v>4074</v>
      </c>
      <c r="G4078" s="109">
        <f t="shared" ca="1" si="72"/>
        <v>7.7473699251005418E-2</v>
      </c>
    </row>
    <row r="4079" spans="2:7" x14ac:dyDescent="0.25">
      <c r="B4079" s="98"/>
      <c r="F4079">
        <v>4075</v>
      </c>
      <c r="G4079" s="109">
        <f t="shared" ca="1" si="72"/>
        <v>5.400026376127931E-2</v>
      </c>
    </row>
    <row r="4080" spans="2:7" x14ac:dyDescent="0.25">
      <c r="B4080" s="98"/>
      <c r="F4080">
        <v>4076</v>
      </c>
      <c r="G4080" s="109">
        <f t="shared" ca="1" si="72"/>
        <v>-2.7320761923465775E-2</v>
      </c>
    </row>
    <row r="4081" spans="2:7" x14ac:dyDescent="0.25">
      <c r="B4081" s="98"/>
      <c r="F4081">
        <v>4077</v>
      </c>
      <c r="G4081" s="109">
        <f t="shared" ca="1" si="72"/>
        <v>1.0367296378309063E-3</v>
      </c>
    </row>
    <row r="4082" spans="2:7" x14ac:dyDescent="0.25">
      <c r="B4082" s="98"/>
      <c r="F4082">
        <v>4078</v>
      </c>
      <c r="G4082" s="109">
        <f t="shared" ca="1" si="72"/>
        <v>0.22046918159634782</v>
      </c>
    </row>
    <row r="4083" spans="2:7" x14ac:dyDescent="0.25">
      <c r="B4083" s="98"/>
      <c r="F4083">
        <v>4079</v>
      </c>
      <c r="G4083" s="109">
        <f t="shared" ca="1" si="72"/>
        <v>0.21182448494580819</v>
      </c>
    </row>
    <row r="4084" spans="2:7" x14ac:dyDescent="0.25">
      <c r="B4084" s="98"/>
      <c r="F4084">
        <v>4080</v>
      </c>
      <c r="G4084" s="109">
        <f t="shared" ca="1" si="72"/>
        <v>-5.9816545609114147E-2</v>
      </c>
    </row>
    <row r="4085" spans="2:7" x14ac:dyDescent="0.25">
      <c r="B4085" s="98"/>
      <c r="F4085">
        <v>4081</v>
      </c>
      <c r="G4085" s="109">
        <f t="shared" ca="1" si="72"/>
        <v>8.0546344835065745E-2</v>
      </c>
    </row>
    <row r="4086" spans="2:7" x14ac:dyDescent="0.25">
      <c r="B4086" s="98"/>
      <c r="F4086">
        <v>4082</v>
      </c>
      <c r="G4086" s="109">
        <f t="shared" ca="1" si="72"/>
        <v>0.18446892052203206</v>
      </c>
    </row>
    <row r="4087" spans="2:7" x14ac:dyDescent="0.25">
      <c r="B4087" s="98"/>
      <c r="F4087">
        <v>4083</v>
      </c>
      <c r="G4087" s="109">
        <f t="shared" ca="1" si="72"/>
        <v>-3.1443412605689849E-3</v>
      </c>
    </row>
    <row r="4088" spans="2:7" x14ac:dyDescent="0.25">
      <c r="B4088" s="98"/>
      <c r="F4088">
        <v>4084</v>
      </c>
      <c r="G4088" s="109">
        <f t="shared" ca="1" si="72"/>
        <v>9.4717155029194228E-2</v>
      </c>
    </row>
    <row r="4089" spans="2:7" x14ac:dyDescent="0.25">
      <c r="B4089" s="98"/>
      <c r="F4089">
        <v>4085</v>
      </c>
      <c r="G4089" s="109">
        <f t="shared" ca="1" si="72"/>
        <v>9.4708080503959138E-2</v>
      </c>
    </row>
    <row r="4090" spans="2:7" x14ac:dyDescent="0.25">
      <c r="B4090" s="98"/>
      <c r="F4090">
        <v>4086</v>
      </c>
      <c r="G4090" s="109">
        <f t="shared" ca="1" si="72"/>
        <v>2.0680694422567814E-2</v>
      </c>
    </row>
    <row r="4091" spans="2:7" x14ac:dyDescent="0.25">
      <c r="B4091" s="98"/>
      <c r="F4091">
        <v>4087</v>
      </c>
      <c r="G4091" s="109">
        <f t="shared" ca="1" si="72"/>
        <v>0.13238825788003999</v>
      </c>
    </row>
    <row r="4092" spans="2:7" x14ac:dyDescent="0.25">
      <c r="B4092" s="98"/>
      <c r="F4092">
        <v>4088</v>
      </c>
      <c r="G4092" s="109">
        <f t="shared" ca="1" si="72"/>
        <v>0.20152541008528985</v>
      </c>
    </row>
    <row r="4093" spans="2:7" x14ac:dyDescent="0.25">
      <c r="B4093" s="98"/>
      <c r="F4093">
        <v>4089</v>
      </c>
      <c r="G4093" s="109">
        <f t="shared" ca="1" si="72"/>
        <v>-0.10156528391435581</v>
      </c>
    </row>
    <row r="4094" spans="2:7" x14ac:dyDescent="0.25">
      <c r="B4094" s="98"/>
      <c r="F4094">
        <v>4090</v>
      </c>
      <c r="G4094" s="109">
        <f t="shared" ca="1" si="72"/>
        <v>0.11467291164343818</v>
      </c>
    </row>
    <row r="4095" spans="2:7" x14ac:dyDescent="0.25">
      <c r="B4095" s="98"/>
      <c r="F4095">
        <v>4091</v>
      </c>
      <c r="G4095" s="109">
        <f t="shared" ca="1" si="72"/>
        <v>3.8247913066585953E-2</v>
      </c>
    </row>
    <row r="4096" spans="2:7" x14ac:dyDescent="0.25">
      <c r="B4096" s="98"/>
      <c r="F4096">
        <v>4092</v>
      </c>
      <c r="G4096" s="109">
        <f t="shared" ca="1" si="72"/>
        <v>0.12491169590060759</v>
      </c>
    </row>
    <row r="4097" spans="2:7" x14ac:dyDescent="0.25">
      <c r="B4097" s="98"/>
      <c r="F4097">
        <v>4093</v>
      </c>
      <c r="G4097" s="109">
        <f t="shared" ca="1" si="72"/>
        <v>-3.6720197689217651E-2</v>
      </c>
    </row>
    <row r="4098" spans="2:7" x14ac:dyDescent="0.25">
      <c r="B4098" s="98"/>
      <c r="F4098">
        <v>4094</v>
      </c>
      <c r="G4098" s="109">
        <f t="shared" ca="1" si="72"/>
        <v>7.1253589926014688E-2</v>
      </c>
    </row>
    <row r="4099" spans="2:7" x14ac:dyDescent="0.25">
      <c r="B4099" s="98"/>
      <c r="F4099">
        <v>4095</v>
      </c>
      <c r="G4099" s="109">
        <f t="shared" ca="1" si="72"/>
        <v>-6.5604487711427156E-4</v>
      </c>
    </row>
    <row r="4100" spans="2:7" x14ac:dyDescent="0.25">
      <c r="B4100" s="98"/>
      <c r="F4100">
        <v>4096</v>
      </c>
      <c r="G4100" s="109">
        <f t="shared" ca="1" si="72"/>
        <v>4.1477930497914491E-2</v>
      </c>
    </row>
    <row r="4101" spans="2:7" x14ac:dyDescent="0.25">
      <c r="B4101" s="98"/>
      <c r="F4101">
        <v>4097</v>
      </c>
      <c r="G4101" s="109">
        <f t="shared" ca="1" si="72"/>
        <v>7.8383853466339887E-3</v>
      </c>
    </row>
    <row r="4102" spans="2:7" x14ac:dyDescent="0.25">
      <c r="B4102" s="98"/>
      <c r="F4102">
        <v>4098</v>
      </c>
      <c r="G4102" s="109">
        <f t="shared" ref="G4102:G4165" ca="1" si="73">_xlfn.NORM.INV(RAND(),$M$5,$M$6)</f>
        <v>9.2642725659115951E-2</v>
      </c>
    </row>
    <row r="4103" spans="2:7" x14ac:dyDescent="0.25">
      <c r="B4103" s="98"/>
      <c r="F4103">
        <v>4099</v>
      </c>
      <c r="G4103" s="109">
        <f t="shared" ca="1" si="73"/>
        <v>0.1957047788785794</v>
      </c>
    </row>
    <row r="4104" spans="2:7" x14ac:dyDescent="0.25">
      <c r="B4104" s="98"/>
      <c r="F4104">
        <v>4100</v>
      </c>
      <c r="G4104" s="109">
        <f t="shared" ca="1" si="73"/>
        <v>0.22485576690211279</v>
      </c>
    </row>
    <row r="4105" spans="2:7" x14ac:dyDescent="0.25">
      <c r="B4105" s="98"/>
      <c r="F4105">
        <v>4101</v>
      </c>
      <c r="G4105" s="109">
        <f t="shared" ca="1" si="73"/>
        <v>2.7250950237602444E-2</v>
      </c>
    </row>
    <row r="4106" spans="2:7" x14ac:dyDescent="0.25">
      <c r="B4106" s="98"/>
      <c r="F4106">
        <v>4102</v>
      </c>
      <c r="G4106" s="109">
        <f t="shared" ca="1" si="73"/>
        <v>0.14174998200476088</v>
      </c>
    </row>
    <row r="4107" spans="2:7" x14ac:dyDescent="0.25">
      <c r="B4107" s="98"/>
      <c r="F4107">
        <v>4103</v>
      </c>
      <c r="G4107" s="109">
        <f t="shared" ca="1" si="73"/>
        <v>1.4025934882825573E-2</v>
      </c>
    </row>
    <row r="4108" spans="2:7" x14ac:dyDescent="0.25">
      <c r="B4108" s="98"/>
      <c r="F4108">
        <v>4104</v>
      </c>
      <c r="G4108" s="109">
        <f t="shared" ca="1" si="73"/>
        <v>5.2152695640290257E-2</v>
      </c>
    </row>
    <row r="4109" spans="2:7" x14ac:dyDescent="0.25">
      <c r="B4109" s="98"/>
      <c r="F4109">
        <v>4105</v>
      </c>
      <c r="G4109" s="109">
        <f t="shared" ca="1" si="73"/>
        <v>1.3098761642565737E-2</v>
      </c>
    </row>
    <row r="4110" spans="2:7" x14ac:dyDescent="0.25">
      <c r="B4110" s="98"/>
      <c r="F4110">
        <v>4106</v>
      </c>
      <c r="G4110" s="109">
        <f t="shared" ca="1" si="73"/>
        <v>5.4222867959891528E-2</v>
      </c>
    </row>
    <row r="4111" spans="2:7" x14ac:dyDescent="0.25">
      <c r="B4111" s="98"/>
      <c r="F4111">
        <v>4107</v>
      </c>
      <c r="G4111" s="109">
        <f t="shared" ca="1" si="73"/>
        <v>0.31879053530563711</v>
      </c>
    </row>
    <row r="4112" spans="2:7" x14ac:dyDescent="0.25">
      <c r="B4112" s="98"/>
      <c r="F4112">
        <v>4108</v>
      </c>
      <c r="G4112" s="109">
        <f t="shared" ca="1" si="73"/>
        <v>-8.3853927894653249E-2</v>
      </c>
    </row>
    <row r="4113" spans="2:7" x14ac:dyDescent="0.25">
      <c r="B4113" s="98"/>
      <c r="F4113">
        <v>4109</v>
      </c>
      <c r="G4113" s="109">
        <f t="shared" ca="1" si="73"/>
        <v>-0.16441744795397656</v>
      </c>
    </row>
    <row r="4114" spans="2:7" x14ac:dyDescent="0.25">
      <c r="B4114" s="98"/>
      <c r="F4114">
        <v>4110</v>
      </c>
      <c r="G4114" s="109">
        <f t="shared" ca="1" si="73"/>
        <v>0.14656316558104515</v>
      </c>
    </row>
    <row r="4115" spans="2:7" x14ac:dyDescent="0.25">
      <c r="B4115" s="98"/>
      <c r="F4115">
        <v>4111</v>
      </c>
      <c r="G4115" s="109">
        <f t="shared" ca="1" si="73"/>
        <v>-7.7680679901713581E-3</v>
      </c>
    </row>
    <row r="4116" spans="2:7" x14ac:dyDescent="0.25">
      <c r="B4116" s="98"/>
      <c r="F4116">
        <v>4112</v>
      </c>
      <c r="G4116" s="109">
        <f t="shared" ca="1" si="73"/>
        <v>3.1795123103909494E-2</v>
      </c>
    </row>
    <row r="4117" spans="2:7" x14ac:dyDescent="0.25">
      <c r="B4117" s="98"/>
      <c r="F4117">
        <v>4113</v>
      </c>
      <c r="G4117" s="109">
        <f t="shared" ca="1" si="73"/>
        <v>-3.5632563673598489E-2</v>
      </c>
    </row>
    <row r="4118" spans="2:7" x14ac:dyDescent="0.25">
      <c r="B4118" s="98"/>
      <c r="F4118">
        <v>4114</v>
      </c>
      <c r="G4118" s="109">
        <f t="shared" ca="1" si="73"/>
        <v>0.15428171762253329</v>
      </c>
    </row>
    <row r="4119" spans="2:7" x14ac:dyDescent="0.25">
      <c r="B4119" s="98"/>
      <c r="F4119">
        <v>4115</v>
      </c>
      <c r="G4119" s="109">
        <f t="shared" ca="1" si="73"/>
        <v>-0.12035245259024456</v>
      </c>
    </row>
    <row r="4120" spans="2:7" x14ac:dyDescent="0.25">
      <c r="B4120" s="98"/>
      <c r="F4120">
        <v>4116</v>
      </c>
      <c r="G4120" s="109">
        <f t="shared" ca="1" si="73"/>
        <v>0.15225727324613225</v>
      </c>
    </row>
    <row r="4121" spans="2:7" x14ac:dyDescent="0.25">
      <c r="B4121" s="98"/>
      <c r="F4121">
        <v>4117</v>
      </c>
      <c r="G4121" s="109">
        <f t="shared" ca="1" si="73"/>
        <v>-5.3589812874615783E-2</v>
      </c>
    </row>
    <row r="4122" spans="2:7" x14ac:dyDescent="0.25">
      <c r="B4122" s="98"/>
      <c r="F4122">
        <v>4118</v>
      </c>
      <c r="G4122" s="109">
        <f t="shared" ca="1" si="73"/>
        <v>-5.2090574751215937E-2</v>
      </c>
    </row>
    <row r="4123" spans="2:7" x14ac:dyDescent="0.25">
      <c r="B4123" s="98"/>
      <c r="F4123">
        <v>4119</v>
      </c>
      <c r="G4123" s="109">
        <f t="shared" ca="1" si="73"/>
        <v>-2.6227305148325122E-2</v>
      </c>
    </row>
    <row r="4124" spans="2:7" x14ac:dyDescent="0.25">
      <c r="B4124" s="98"/>
      <c r="F4124">
        <v>4120</v>
      </c>
      <c r="G4124" s="109">
        <f t="shared" ca="1" si="73"/>
        <v>-3.6223870052817381E-2</v>
      </c>
    </row>
    <row r="4125" spans="2:7" x14ac:dyDescent="0.25">
      <c r="B4125" s="98"/>
      <c r="F4125">
        <v>4121</v>
      </c>
      <c r="G4125" s="109">
        <f t="shared" ca="1" si="73"/>
        <v>0.20047504867544275</v>
      </c>
    </row>
    <row r="4126" spans="2:7" x14ac:dyDescent="0.25">
      <c r="B4126" s="98"/>
      <c r="F4126">
        <v>4122</v>
      </c>
      <c r="G4126" s="109">
        <f t="shared" ca="1" si="73"/>
        <v>-7.737265735915394E-2</v>
      </c>
    </row>
    <row r="4127" spans="2:7" x14ac:dyDescent="0.25">
      <c r="B4127" s="98"/>
      <c r="F4127">
        <v>4123</v>
      </c>
      <c r="G4127" s="109">
        <f t="shared" ca="1" si="73"/>
        <v>6.8021885500094054E-2</v>
      </c>
    </row>
    <row r="4128" spans="2:7" x14ac:dyDescent="0.25">
      <c r="B4128" s="98"/>
      <c r="F4128">
        <v>4124</v>
      </c>
      <c r="G4128" s="109">
        <f t="shared" ca="1" si="73"/>
        <v>8.2849001386803373E-2</v>
      </c>
    </row>
    <row r="4129" spans="2:7" x14ac:dyDescent="0.25">
      <c r="B4129" s="98"/>
      <c r="F4129">
        <v>4125</v>
      </c>
      <c r="G4129" s="109">
        <f t="shared" ca="1" si="73"/>
        <v>-6.4101275035789981E-2</v>
      </c>
    </row>
    <row r="4130" spans="2:7" x14ac:dyDescent="0.25">
      <c r="B4130" s="98"/>
      <c r="F4130">
        <v>4126</v>
      </c>
      <c r="G4130" s="109">
        <f t="shared" ca="1" si="73"/>
        <v>1.802407107863652E-2</v>
      </c>
    </row>
    <row r="4131" spans="2:7" x14ac:dyDescent="0.25">
      <c r="B4131" s="98"/>
      <c r="F4131">
        <v>4127</v>
      </c>
      <c r="G4131" s="109">
        <f t="shared" ca="1" si="73"/>
        <v>-1.6992277901304129E-2</v>
      </c>
    </row>
    <row r="4132" spans="2:7" x14ac:dyDescent="0.25">
      <c r="B4132" s="98"/>
      <c r="F4132">
        <v>4128</v>
      </c>
      <c r="G4132" s="109">
        <f t="shared" ca="1" si="73"/>
        <v>-5.3596840279493976E-2</v>
      </c>
    </row>
    <row r="4133" spans="2:7" x14ac:dyDescent="0.25">
      <c r="B4133" s="98"/>
      <c r="F4133">
        <v>4129</v>
      </c>
      <c r="G4133" s="109">
        <f t="shared" ca="1" si="73"/>
        <v>1.281253794626748E-2</v>
      </c>
    </row>
    <row r="4134" spans="2:7" x14ac:dyDescent="0.25">
      <c r="B4134" s="98"/>
      <c r="F4134">
        <v>4130</v>
      </c>
      <c r="G4134" s="109">
        <f t="shared" ca="1" si="73"/>
        <v>-0.11607130642566811</v>
      </c>
    </row>
    <row r="4135" spans="2:7" x14ac:dyDescent="0.25">
      <c r="B4135" s="98"/>
      <c r="F4135">
        <v>4131</v>
      </c>
      <c r="G4135" s="109">
        <f t="shared" ca="1" si="73"/>
        <v>0.44732544664817442</v>
      </c>
    </row>
    <row r="4136" spans="2:7" x14ac:dyDescent="0.25">
      <c r="B4136" s="98"/>
      <c r="F4136">
        <v>4132</v>
      </c>
      <c r="G4136" s="109">
        <f t="shared" ca="1" si="73"/>
        <v>0.15822391362481536</v>
      </c>
    </row>
    <row r="4137" spans="2:7" x14ac:dyDescent="0.25">
      <c r="B4137" s="98"/>
      <c r="F4137">
        <v>4133</v>
      </c>
      <c r="G4137" s="109">
        <f t="shared" ca="1" si="73"/>
        <v>6.830008664508766E-2</v>
      </c>
    </row>
    <row r="4138" spans="2:7" x14ac:dyDescent="0.25">
      <c r="B4138" s="98"/>
      <c r="F4138">
        <v>4134</v>
      </c>
      <c r="G4138" s="109">
        <f t="shared" ca="1" si="73"/>
        <v>-4.8778181911132007E-3</v>
      </c>
    </row>
    <row r="4139" spans="2:7" x14ac:dyDescent="0.25">
      <c r="B4139" s="98"/>
      <c r="F4139">
        <v>4135</v>
      </c>
      <c r="G4139" s="109">
        <f t="shared" ca="1" si="73"/>
        <v>0.10591405805732684</v>
      </c>
    </row>
    <row r="4140" spans="2:7" x14ac:dyDescent="0.25">
      <c r="B4140" s="98"/>
      <c r="F4140">
        <v>4136</v>
      </c>
      <c r="G4140" s="109">
        <f t="shared" ca="1" si="73"/>
        <v>-6.9989478166916141E-2</v>
      </c>
    </row>
    <row r="4141" spans="2:7" x14ac:dyDescent="0.25">
      <c r="B4141" s="98"/>
      <c r="F4141">
        <v>4137</v>
      </c>
      <c r="G4141" s="109">
        <f t="shared" ca="1" si="73"/>
        <v>0.15033758980625739</v>
      </c>
    </row>
    <row r="4142" spans="2:7" x14ac:dyDescent="0.25">
      <c r="B4142" s="98"/>
      <c r="F4142">
        <v>4138</v>
      </c>
      <c r="G4142" s="109">
        <f t="shared" ca="1" si="73"/>
        <v>2.2504798133437563E-2</v>
      </c>
    </row>
    <row r="4143" spans="2:7" x14ac:dyDescent="0.25">
      <c r="B4143" s="98"/>
      <c r="F4143">
        <v>4139</v>
      </c>
      <c r="G4143" s="109">
        <f t="shared" ca="1" si="73"/>
        <v>-6.6158883262310952E-2</v>
      </c>
    </row>
    <row r="4144" spans="2:7" x14ac:dyDescent="0.25">
      <c r="B4144" s="98"/>
      <c r="F4144">
        <v>4140</v>
      </c>
      <c r="G4144" s="109">
        <f t="shared" ca="1" si="73"/>
        <v>-0.12125481573647963</v>
      </c>
    </row>
    <row r="4145" spans="2:7" x14ac:dyDescent="0.25">
      <c r="B4145" s="98"/>
      <c r="F4145">
        <v>4141</v>
      </c>
      <c r="G4145" s="109">
        <f t="shared" ca="1" si="73"/>
        <v>-0.16010230153926802</v>
      </c>
    </row>
    <row r="4146" spans="2:7" x14ac:dyDescent="0.25">
      <c r="B4146" s="98"/>
      <c r="F4146">
        <v>4142</v>
      </c>
      <c r="G4146" s="109">
        <f t="shared" ca="1" si="73"/>
        <v>4.4092542911252586E-2</v>
      </c>
    </row>
    <row r="4147" spans="2:7" x14ac:dyDescent="0.25">
      <c r="B4147" s="98"/>
      <c r="F4147">
        <v>4143</v>
      </c>
      <c r="G4147" s="109">
        <f t="shared" ca="1" si="73"/>
        <v>-1.1522953990348701E-2</v>
      </c>
    </row>
    <row r="4148" spans="2:7" x14ac:dyDescent="0.25">
      <c r="B4148" s="98"/>
      <c r="F4148">
        <v>4144</v>
      </c>
      <c r="G4148" s="109">
        <f t="shared" ca="1" si="73"/>
        <v>1.2740450691013164E-2</v>
      </c>
    </row>
    <row r="4149" spans="2:7" x14ac:dyDescent="0.25">
      <c r="B4149" s="98"/>
      <c r="F4149">
        <v>4145</v>
      </c>
      <c r="G4149" s="109">
        <f t="shared" ca="1" si="73"/>
        <v>-6.1055209497564378E-2</v>
      </c>
    </row>
    <row r="4150" spans="2:7" x14ac:dyDescent="0.25">
      <c r="B4150" s="98"/>
      <c r="F4150">
        <v>4146</v>
      </c>
      <c r="G4150" s="109">
        <f t="shared" ca="1" si="73"/>
        <v>0.11266888467838125</v>
      </c>
    </row>
    <row r="4151" spans="2:7" x14ac:dyDescent="0.25">
      <c r="B4151" s="98"/>
      <c r="F4151">
        <v>4147</v>
      </c>
      <c r="G4151" s="109">
        <f t="shared" ca="1" si="73"/>
        <v>0.18591291688385631</v>
      </c>
    </row>
    <row r="4152" spans="2:7" x14ac:dyDescent="0.25">
      <c r="B4152" s="98"/>
      <c r="F4152">
        <v>4148</v>
      </c>
      <c r="G4152" s="109">
        <f t="shared" ca="1" si="73"/>
        <v>6.3064304760527337E-3</v>
      </c>
    </row>
    <row r="4153" spans="2:7" x14ac:dyDescent="0.25">
      <c r="B4153" s="98"/>
      <c r="F4153">
        <v>4149</v>
      </c>
      <c r="G4153" s="109">
        <f t="shared" ca="1" si="73"/>
        <v>8.261855698426708E-2</v>
      </c>
    </row>
    <row r="4154" spans="2:7" x14ac:dyDescent="0.25">
      <c r="B4154" s="98"/>
      <c r="F4154">
        <v>4150</v>
      </c>
      <c r="G4154" s="109">
        <f t="shared" ca="1" si="73"/>
        <v>7.958260763829092E-2</v>
      </c>
    </row>
    <row r="4155" spans="2:7" x14ac:dyDescent="0.25">
      <c r="B4155" s="98"/>
      <c r="F4155">
        <v>4151</v>
      </c>
      <c r="G4155" s="109">
        <f t="shared" ca="1" si="73"/>
        <v>8.6632494527693907E-2</v>
      </c>
    </row>
    <row r="4156" spans="2:7" x14ac:dyDescent="0.25">
      <c r="B4156" s="98"/>
      <c r="F4156">
        <v>4152</v>
      </c>
      <c r="G4156" s="109">
        <f t="shared" ca="1" si="73"/>
        <v>-6.1461764310452596E-2</v>
      </c>
    </row>
    <row r="4157" spans="2:7" x14ac:dyDescent="0.25">
      <c r="B4157" s="98"/>
      <c r="F4157">
        <v>4153</v>
      </c>
      <c r="G4157" s="109">
        <f t="shared" ca="1" si="73"/>
        <v>7.2083297777195882E-2</v>
      </c>
    </row>
    <row r="4158" spans="2:7" x14ac:dyDescent="0.25">
      <c r="B4158" s="98"/>
      <c r="F4158">
        <v>4154</v>
      </c>
      <c r="G4158" s="109">
        <f t="shared" ca="1" si="73"/>
        <v>0.25353576588605697</v>
      </c>
    </row>
    <row r="4159" spans="2:7" x14ac:dyDescent="0.25">
      <c r="B4159" s="98"/>
      <c r="F4159">
        <v>4155</v>
      </c>
      <c r="G4159" s="109">
        <f t="shared" ca="1" si="73"/>
        <v>-0.18383448420308662</v>
      </c>
    </row>
    <row r="4160" spans="2:7" x14ac:dyDescent="0.25">
      <c r="B4160" s="98"/>
      <c r="F4160">
        <v>4156</v>
      </c>
      <c r="G4160" s="109">
        <f t="shared" ca="1" si="73"/>
        <v>-5.8787964641670437E-4</v>
      </c>
    </row>
    <row r="4161" spans="2:7" x14ac:dyDescent="0.25">
      <c r="B4161" s="98"/>
      <c r="F4161">
        <v>4157</v>
      </c>
      <c r="G4161" s="109">
        <f t="shared" ca="1" si="73"/>
        <v>6.1867915352541714E-3</v>
      </c>
    </row>
    <row r="4162" spans="2:7" x14ac:dyDescent="0.25">
      <c r="B4162" s="98"/>
      <c r="F4162">
        <v>4158</v>
      </c>
      <c r="G4162" s="109">
        <f t="shared" ca="1" si="73"/>
        <v>0.11811804810468969</v>
      </c>
    </row>
    <row r="4163" spans="2:7" x14ac:dyDescent="0.25">
      <c r="B4163" s="98"/>
      <c r="F4163">
        <v>4159</v>
      </c>
      <c r="G4163" s="109">
        <f t="shared" ca="1" si="73"/>
        <v>8.0940593501719046E-2</v>
      </c>
    </row>
    <row r="4164" spans="2:7" x14ac:dyDescent="0.25">
      <c r="B4164" s="98"/>
      <c r="F4164">
        <v>4160</v>
      </c>
      <c r="G4164" s="109">
        <f t="shared" ca="1" si="73"/>
        <v>2.1270733418965182E-3</v>
      </c>
    </row>
    <row r="4165" spans="2:7" x14ac:dyDescent="0.25">
      <c r="B4165" s="98"/>
      <c r="F4165">
        <v>4161</v>
      </c>
      <c r="G4165" s="109">
        <f t="shared" ca="1" si="73"/>
        <v>-6.9038917531908661E-3</v>
      </c>
    </row>
    <row r="4166" spans="2:7" x14ac:dyDescent="0.25">
      <c r="B4166" s="98"/>
      <c r="F4166">
        <v>4162</v>
      </c>
      <c r="G4166" s="109">
        <f t="shared" ref="G4166:G4229" ca="1" si="74">_xlfn.NORM.INV(RAND(),$M$5,$M$6)</f>
        <v>2.9980992418554082E-2</v>
      </c>
    </row>
    <row r="4167" spans="2:7" x14ac:dyDescent="0.25">
      <c r="B4167" s="98"/>
      <c r="F4167">
        <v>4163</v>
      </c>
      <c r="G4167" s="109">
        <f t="shared" ca="1" si="74"/>
        <v>0.11848174430419264</v>
      </c>
    </row>
    <row r="4168" spans="2:7" x14ac:dyDescent="0.25">
      <c r="B4168" s="98"/>
      <c r="F4168">
        <v>4164</v>
      </c>
      <c r="G4168" s="109">
        <f t="shared" ca="1" si="74"/>
        <v>-7.5451596432027729E-2</v>
      </c>
    </row>
    <row r="4169" spans="2:7" x14ac:dyDescent="0.25">
      <c r="B4169" s="98"/>
      <c r="F4169">
        <v>4165</v>
      </c>
      <c r="G4169" s="109">
        <f t="shared" ca="1" si="74"/>
        <v>0.17297802644559263</v>
      </c>
    </row>
    <row r="4170" spans="2:7" x14ac:dyDescent="0.25">
      <c r="B4170" s="98"/>
      <c r="F4170">
        <v>4166</v>
      </c>
      <c r="G4170" s="109">
        <f t="shared" ca="1" si="74"/>
        <v>8.4007197541223405E-2</v>
      </c>
    </row>
    <row r="4171" spans="2:7" x14ac:dyDescent="0.25">
      <c r="B4171" s="98"/>
      <c r="F4171">
        <v>4167</v>
      </c>
      <c r="G4171" s="109">
        <f t="shared" ca="1" si="74"/>
        <v>-1.9679118470292356E-2</v>
      </c>
    </row>
    <row r="4172" spans="2:7" x14ac:dyDescent="0.25">
      <c r="B4172" s="98"/>
      <c r="F4172">
        <v>4168</v>
      </c>
      <c r="G4172" s="109">
        <f t="shared" ca="1" si="74"/>
        <v>1.0520721530828996E-2</v>
      </c>
    </row>
    <row r="4173" spans="2:7" x14ac:dyDescent="0.25">
      <c r="B4173" s="98"/>
      <c r="F4173">
        <v>4169</v>
      </c>
      <c r="G4173" s="109">
        <f t="shared" ca="1" si="74"/>
        <v>0.17905017472579371</v>
      </c>
    </row>
    <row r="4174" spans="2:7" x14ac:dyDescent="0.25">
      <c r="B4174" s="98"/>
      <c r="F4174">
        <v>4170</v>
      </c>
      <c r="G4174" s="109">
        <f t="shared" ca="1" si="74"/>
        <v>0.19453434128601071</v>
      </c>
    </row>
    <row r="4175" spans="2:7" x14ac:dyDescent="0.25">
      <c r="B4175" s="98"/>
      <c r="F4175">
        <v>4171</v>
      </c>
      <c r="G4175" s="109">
        <f t="shared" ca="1" si="74"/>
        <v>-5.9803625717709932E-2</v>
      </c>
    </row>
    <row r="4176" spans="2:7" x14ac:dyDescent="0.25">
      <c r="B4176" s="98"/>
      <c r="F4176">
        <v>4172</v>
      </c>
      <c r="G4176" s="109">
        <f t="shared" ca="1" si="74"/>
        <v>0.13541783865937318</v>
      </c>
    </row>
    <row r="4177" spans="2:7" x14ac:dyDescent="0.25">
      <c r="B4177" s="98"/>
      <c r="F4177">
        <v>4173</v>
      </c>
      <c r="G4177" s="109">
        <f t="shared" ca="1" si="74"/>
        <v>0.16711528952575588</v>
      </c>
    </row>
    <row r="4178" spans="2:7" x14ac:dyDescent="0.25">
      <c r="B4178" s="98"/>
      <c r="F4178">
        <v>4174</v>
      </c>
      <c r="G4178" s="109">
        <f t="shared" ca="1" si="74"/>
        <v>4.4922415484232855E-2</v>
      </c>
    </row>
    <row r="4179" spans="2:7" x14ac:dyDescent="0.25">
      <c r="B4179" s="98"/>
      <c r="F4179">
        <v>4175</v>
      </c>
      <c r="G4179" s="109">
        <f t="shared" ca="1" si="74"/>
        <v>9.5997102918493615E-4</v>
      </c>
    </row>
    <row r="4180" spans="2:7" x14ac:dyDescent="0.25">
      <c r="B4180" s="98"/>
      <c r="F4180">
        <v>4176</v>
      </c>
      <c r="G4180" s="109">
        <f t="shared" ca="1" si="74"/>
        <v>-2.9651467138849322E-3</v>
      </c>
    </row>
    <row r="4181" spans="2:7" x14ac:dyDescent="0.25">
      <c r="B4181" s="98"/>
      <c r="F4181">
        <v>4177</v>
      </c>
      <c r="G4181" s="109">
        <f t="shared" ca="1" si="74"/>
        <v>0.14395798425695192</v>
      </c>
    </row>
    <row r="4182" spans="2:7" x14ac:dyDescent="0.25">
      <c r="B4182" s="98"/>
      <c r="F4182">
        <v>4178</v>
      </c>
      <c r="G4182" s="109">
        <f t="shared" ca="1" si="74"/>
        <v>-7.2642134380529105E-2</v>
      </c>
    </row>
    <row r="4183" spans="2:7" x14ac:dyDescent="0.25">
      <c r="B4183" s="98"/>
      <c r="F4183">
        <v>4179</v>
      </c>
      <c r="G4183" s="109">
        <f t="shared" ca="1" si="74"/>
        <v>0.23075771827942582</v>
      </c>
    </row>
    <row r="4184" spans="2:7" x14ac:dyDescent="0.25">
      <c r="B4184" s="98"/>
      <c r="F4184">
        <v>4180</v>
      </c>
      <c r="G4184" s="109">
        <f t="shared" ca="1" si="74"/>
        <v>-4.2037265492543441E-2</v>
      </c>
    </row>
    <row r="4185" spans="2:7" x14ac:dyDescent="0.25">
      <c r="B4185" s="98"/>
      <c r="F4185">
        <v>4181</v>
      </c>
      <c r="G4185" s="109">
        <f t="shared" ca="1" si="74"/>
        <v>0.14848218534501645</v>
      </c>
    </row>
    <row r="4186" spans="2:7" x14ac:dyDescent="0.25">
      <c r="B4186" s="98"/>
      <c r="F4186">
        <v>4182</v>
      </c>
      <c r="G4186" s="109">
        <f t="shared" ca="1" si="74"/>
        <v>4.0737396857260431E-2</v>
      </c>
    </row>
    <row r="4187" spans="2:7" x14ac:dyDescent="0.25">
      <c r="B4187" s="98"/>
      <c r="F4187">
        <v>4183</v>
      </c>
      <c r="G4187" s="109">
        <f t="shared" ca="1" si="74"/>
        <v>0.16571801691347077</v>
      </c>
    </row>
    <row r="4188" spans="2:7" x14ac:dyDescent="0.25">
      <c r="B4188" s="98"/>
      <c r="F4188">
        <v>4184</v>
      </c>
      <c r="G4188" s="109">
        <f t="shared" ca="1" si="74"/>
        <v>1.1090966064478888E-2</v>
      </c>
    </row>
    <row r="4189" spans="2:7" x14ac:dyDescent="0.25">
      <c r="B4189" s="98"/>
      <c r="F4189">
        <v>4185</v>
      </c>
      <c r="G4189" s="109">
        <f t="shared" ca="1" si="74"/>
        <v>9.3784225512272945E-2</v>
      </c>
    </row>
    <row r="4190" spans="2:7" x14ac:dyDescent="0.25">
      <c r="B4190" s="98"/>
      <c r="F4190">
        <v>4186</v>
      </c>
      <c r="G4190" s="109">
        <f t="shared" ca="1" si="74"/>
        <v>4.2826755040666228E-2</v>
      </c>
    </row>
    <row r="4191" spans="2:7" x14ac:dyDescent="0.25">
      <c r="B4191" s="98"/>
      <c r="F4191">
        <v>4187</v>
      </c>
      <c r="G4191" s="109">
        <f t="shared" ca="1" si="74"/>
        <v>0.1542559430628965</v>
      </c>
    </row>
    <row r="4192" spans="2:7" x14ac:dyDescent="0.25">
      <c r="B4192" s="98"/>
      <c r="F4192">
        <v>4188</v>
      </c>
      <c r="G4192" s="109">
        <f t="shared" ca="1" si="74"/>
        <v>0.20717283858332164</v>
      </c>
    </row>
    <row r="4193" spans="2:7" x14ac:dyDescent="0.25">
      <c r="B4193" s="98"/>
      <c r="F4193">
        <v>4189</v>
      </c>
      <c r="G4193" s="109">
        <f t="shared" ca="1" si="74"/>
        <v>0.11088024454758767</v>
      </c>
    </row>
    <row r="4194" spans="2:7" x14ac:dyDescent="0.25">
      <c r="B4194" s="98"/>
      <c r="F4194">
        <v>4190</v>
      </c>
      <c r="G4194" s="109">
        <f t="shared" ca="1" si="74"/>
        <v>-2.6387123065979526E-2</v>
      </c>
    </row>
    <row r="4195" spans="2:7" x14ac:dyDescent="0.25">
      <c r="B4195" s="98"/>
      <c r="F4195">
        <v>4191</v>
      </c>
      <c r="G4195" s="109">
        <f t="shared" ca="1" si="74"/>
        <v>0.28149612596594126</v>
      </c>
    </row>
    <row r="4196" spans="2:7" x14ac:dyDescent="0.25">
      <c r="B4196" s="98"/>
      <c r="F4196">
        <v>4192</v>
      </c>
      <c r="G4196" s="109">
        <f t="shared" ca="1" si="74"/>
        <v>2.3403489305342546E-2</v>
      </c>
    </row>
    <row r="4197" spans="2:7" x14ac:dyDescent="0.25">
      <c r="B4197" s="98"/>
      <c r="F4197">
        <v>4193</v>
      </c>
      <c r="G4197" s="109">
        <f t="shared" ca="1" si="74"/>
        <v>-7.0581818542554395E-2</v>
      </c>
    </row>
    <row r="4198" spans="2:7" x14ac:dyDescent="0.25">
      <c r="B4198" s="98"/>
      <c r="F4198">
        <v>4194</v>
      </c>
      <c r="G4198" s="109">
        <f t="shared" ca="1" si="74"/>
        <v>0.15235081233253073</v>
      </c>
    </row>
    <row r="4199" spans="2:7" x14ac:dyDescent="0.25">
      <c r="B4199" s="98"/>
      <c r="F4199">
        <v>4195</v>
      </c>
      <c r="G4199" s="109">
        <f t="shared" ca="1" si="74"/>
        <v>0.12606063970594394</v>
      </c>
    </row>
    <row r="4200" spans="2:7" x14ac:dyDescent="0.25">
      <c r="B4200" s="98"/>
      <c r="F4200">
        <v>4196</v>
      </c>
      <c r="G4200" s="109">
        <f t="shared" ca="1" si="74"/>
        <v>0.11730247541131025</v>
      </c>
    </row>
    <row r="4201" spans="2:7" x14ac:dyDescent="0.25">
      <c r="B4201" s="98"/>
      <c r="F4201">
        <v>4197</v>
      </c>
      <c r="G4201" s="109">
        <f t="shared" ca="1" si="74"/>
        <v>4.4938732593165637E-2</v>
      </c>
    </row>
    <row r="4202" spans="2:7" x14ac:dyDescent="0.25">
      <c r="B4202" s="98"/>
      <c r="F4202">
        <v>4198</v>
      </c>
      <c r="G4202" s="109">
        <f t="shared" ca="1" si="74"/>
        <v>1.5802503319996771E-2</v>
      </c>
    </row>
    <row r="4203" spans="2:7" x14ac:dyDescent="0.25">
      <c r="B4203" s="98"/>
      <c r="F4203">
        <v>4199</v>
      </c>
      <c r="G4203" s="109">
        <f t="shared" ca="1" si="74"/>
        <v>0.24334977694655768</v>
      </c>
    </row>
    <row r="4204" spans="2:7" x14ac:dyDescent="0.25">
      <c r="B4204" s="98"/>
      <c r="F4204">
        <v>4200</v>
      </c>
      <c r="G4204" s="109">
        <f t="shared" ca="1" si="74"/>
        <v>-7.9885868364147669E-2</v>
      </c>
    </row>
    <row r="4205" spans="2:7" x14ac:dyDescent="0.25">
      <c r="B4205" s="98"/>
      <c r="F4205">
        <v>4201</v>
      </c>
      <c r="G4205" s="109">
        <f t="shared" ca="1" si="74"/>
        <v>6.6326205380276226E-2</v>
      </c>
    </row>
    <row r="4206" spans="2:7" x14ac:dyDescent="0.25">
      <c r="B4206" s="98"/>
      <c r="F4206">
        <v>4202</v>
      </c>
      <c r="G4206" s="109">
        <f t="shared" ca="1" si="74"/>
        <v>-6.1507286406439363E-2</v>
      </c>
    </row>
    <row r="4207" spans="2:7" x14ac:dyDescent="0.25">
      <c r="B4207" s="98"/>
      <c r="F4207">
        <v>4203</v>
      </c>
      <c r="G4207" s="109">
        <f t="shared" ca="1" si="74"/>
        <v>1.203290379067648E-3</v>
      </c>
    </row>
    <row r="4208" spans="2:7" x14ac:dyDescent="0.25">
      <c r="B4208" s="98"/>
      <c r="F4208">
        <v>4204</v>
      </c>
      <c r="G4208" s="109">
        <f t="shared" ca="1" si="74"/>
        <v>-4.0022234689899808E-2</v>
      </c>
    </row>
    <row r="4209" spans="2:7" x14ac:dyDescent="0.25">
      <c r="B4209" s="98"/>
      <c r="F4209">
        <v>4205</v>
      </c>
      <c r="G4209" s="109">
        <f t="shared" ca="1" si="74"/>
        <v>0.10879990689683745</v>
      </c>
    </row>
    <row r="4210" spans="2:7" x14ac:dyDescent="0.25">
      <c r="B4210" s="98"/>
      <c r="F4210">
        <v>4206</v>
      </c>
      <c r="G4210" s="109">
        <f t="shared" ca="1" si="74"/>
        <v>-7.1033205016035716E-2</v>
      </c>
    </row>
    <row r="4211" spans="2:7" x14ac:dyDescent="0.25">
      <c r="B4211" s="98"/>
      <c r="F4211">
        <v>4207</v>
      </c>
      <c r="G4211" s="109">
        <f t="shared" ca="1" si="74"/>
        <v>0.14569192718522309</v>
      </c>
    </row>
    <row r="4212" spans="2:7" x14ac:dyDescent="0.25">
      <c r="B4212" s="98"/>
      <c r="F4212">
        <v>4208</v>
      </c>
      <c r="G4212" s="109">
        <f t="shared" ca="1" si="74"/>
        <v>0.12978403376588679</v>
      </c>
    </row>
    <row r="4213" spans="2:7" x14ac:dyDescent="0.25">
      <c r="B4213" s="98"/>
      <c r="F4213">
        <v>4209</v>
      </c>
      <c r="G4213" s="109">
        <f t="shared" ca="1" si="74"/>
        <v>2.6437333117465735E-2</v>
      </c>
    </row>
    <row r="4214" spans="2:7" x14ac:dyDescent="0.25">
      <c r="B4214" s="98"/>
      <c r="F4214">
        <v>4210</v>
      </c>
      <c r="G4214" s="109">
        <f t="shared" ca="1" si="74"/>
        <v>1.7891903575251861E-4</v>
      </c>
    </row>
    <row r="4215" spans="2:7" x14ac:dyDescent="0.25">
      <c r="B4215" s="98"/>
      <c r="F4215">
        <v>4211</v>
      </c>
      <c r="G4215" s="109">
        <f t="shared" ca="1" si="74"/>
        <v>9.0812696122875236E-2</v>
      </c>
    </row>
    <row r="4216" spans="2:7" x14ac:dyDescent="0.25">
      <c r="B4216" s="98"/>
      <c r="F4216">
        <v>4212</v>
      </c>
      <c r="G4216" s="109">
        <f t="shared" ca="1" si="74"/>
        <v>-0.17196278538348653</v>
      </c>
    </row>
    <row r="4217" spans="2:7" x14ac:dyDescent="0.25">
      <c r="B4217" s="98"/>
      <c r="F4217">
        <v>4213</v>
      </c>
      <c r="G4217" s="109">
        <f t="shared" ca="1" si="74"/>
        <v>-2.8050490082174445E-4</v>
      </c>
    </row>
    <row r="4218" spans="2:7" x14ac:dyDescent="0.25">
      <c r="B4218" s="98"/>
      <c r="F4218">
        <v>4214</v>
      </c>
      <c r="G4218" s="109">
        <f t="shared" ca="1" si="74"/>
        <v>-2.1300515173054813E-2</v>
      </c>
    </row>
    <row r="4219" spans="2:7" x14ac:dyDescent="0.25">
      <c r="B4219" s="98"/>
      <c r="F4219">
        <v>4215</v>
      </c>
      <c r="G4219" s="109">
        <f t="shared" ca="1" si="74"/>
        <v>0.13856460059517983</v>
      </c>
    </row>
    <row r="4220" spans="2:7" x14ac:dyDescent="0.25">
      <c r="B4220" s="98"/>
      <c r="F4220">
        <v>4216</v>
      </c>
      <c r="G4220" s="109">
        <f t="shared" ca="1" si="74"/>
        <v>1.7732133184977256E-2</v>
      </c>
    </row>
    <row r="4221" spans="2:7" x14ac:dyDescent="0.25">
      <c r="B4221" s="98"/>
      <c r="F4221">
        <v>4217</v>
      </c>
      <c r="G4221" s="109">
        <f t="shared" ca="1" si="74"/>
        <v>9.8153966843621293E-2</v>
      </c>
    </row>
    <row r="4222" spans="2:7" x14ac:dyDescent="0.25">
      <c r="B4222" s="98"/>
      <c r="F4222">
        <v>4218</v>
      </c>
      <c r="G4222" s="109">
        <f t="shared" ca="1" si="74"/>
        <v>6.0623355003012643E-2</v>
      </c>
    </row>
    <row r="4223" spans="2:7" x14ac:dyDescent="0.25">
      <c r="B4223" s="98"/>
      <c r="F4223">
        <v>4219</v>
      </c>
      <c r="G4223" s="109">
        <f t="shared" ca="1" si="74"/>
        <v>0.12782720728368174</v>
      </c>
    </row>
    <row r="4224" spans="2:7" x14ac:dyDescent="0.25">
      <c r="B4224" s="98"/>
      <c r="F4224">
        <v>4220</v>
      </c>
      <c r="G4224" s="109">
        <f t="shared" ca="1" si="74"/>
        <v>4.481701569997118E-2</v>
      </c>
    </row>
    <row r="4225" spans="2:7" x14ac:dyDescent="0.25">
      <c r="B4225" s="98"/>
      <c r="F4225">
        <v>4221</v>
      </c>
      <c r="G4225" s="109">
        <f t="shared" ca="1" si="74"/>
        <v>0.16928889237209938</v>
      </c>
    </row>
    <row r="4226" spans="2:7" x14ac:dyDescent="0.25">
      <c r="B4226" s="98"/>
      <c r="F4226">
        <v>4222</v>
      </c>
      <c r="G4226" s="109">
        <f t="shared" ca="1" si="74"/>
        <v>5.4199441487095386E-2</v>
      </c>
    </row>
    <row r="4227" spans="2:7" x14ac:dyDescent="0.25">
      <c r="B4227" s="98"/>
      <c r="F4227">
        <v>4223</v>
      </c>
      <c r="G4227" s="109">
        <f t="shared" ca="1" si="74"/>
        <v>0.2044324753646336</v>
      </c>
    </row>
    <row r="4228" spans="2:7" x14ac:dyDescent="0.25">
      <c r="B4228" s="98"/>
      <c r="F4228">
        <v>4224</v>
      </c>
      <c r="G4228" s="109">
        <f t="shared" ca="1" si="74"/>
        <v>0.22689766411754614</v>
      </c>
    </row>
    <row r="4229" spans="2:7" x14ac:dyDescent="0.25">
      <c r="B4229" s="98"/>
      <c r="F4229">
        <v>4225</v>
      </c>
      <c r="G4229" s="109">
        <f t="shared" ca="1" si="74"/>
        <v>5.1600816458314332E-2</v>
      </c>
    </row>
    <row r="4230" spans="2:7" x14ac:dyDescent="0.25">
      <c r="B4230" s="98"/>
      <c r="F4230">
        <v>4226</v>
      </c>
      <c r="G4230" s="109">
        <f t="shared" ref="G4230:G4293" ca="1" si="75">_xlfn.NORM.INV(RAND(),$M$5,$M$6)</f>
        <v>0.15416241430351546</v>
      </c>
    </row>
    <row r="4231" spans="2:7" x14ac:dyDescent="0.25">
      <c r="B4231" s="98"/>
      <c r="F4231">
        <v>4227</v>
      </c>
      <c r="G4231" s="109">
        <f t="shared" ca="1" si="75"/>
        <v>-1.5768474556118725E-2</v>
      </c>
    </row>
    <row r="4232" spans="2:7" x14ac:dyDescent="0.25">
      <c r="B4232" s="98"/>
      <c r="F4232">
        <v>4228</v>
      </c>
      <c r="G4232" s="109">
        <f t="shared" ca="1" si="75"/>
        <v>3.3241616026049622E-2</v>
      </c>
    </row>
    <row r="4233" spans="2:7" x14ac:dyDescent="0.25">
      <c r="B4233" s="98"/>
      <c r="F4233">
        <v>4229</v>
      </c>
      <c r="G4233" s="109">
        <f t="shared" ca="1" si="75"/>
        <v>2.5344678380176792E-2</v>
      </c>
    </row>
    <row r="4234" spans="2:7" x14ac:dyDescent="0.25">
      <c r="B4234" s="98"/>
      <c r="F4234">
        <v>4230</v>
      </c>
      <c r="G4234" s="109">
        <f t="shared" ca="1" si="75"/>
        <v>-6.6667451192375229E-2</v>
      </c>
    </row>
    <row r="4235" spans="2:7" x14ac:dyDescent="0.25">
      <c r="B4235" s="98"/>
      <c r="F4235">
        <v>4231</v>
      </c>
      <c r="G4235" s="109">
        <f t="shared" ca="1" si="75"/>
        <v>-5.0867813585842941E-2</v>
      </c>
    </row>
    <row r="4236" spans="2:7" x14ac:dyDescent="0.25">
      <c r="B4236" s="98"/>
      <c r="F4236">
        <v>4232</v>
      </c>
      <c r="G4236" s="109">
        <f t="shared" ca="1" si="75"/>
        <v>-6.8092891651095791E-2</v>
      </c>
    </row>
    <row r="4237" spans="2:7" x14ac:dyDescent="0.25">
      <c r="B4237" s="98"/>
      <c r="F4237">
        <v>4233</v>
      </c>
      <c r="G4237" s="109">
        <f t="shared" ca="1" si="75"/>
        <v>9.7959575815237385E-2</v>
      </c>
    </row>
    <row r="4238" spans="2:7" x14ac:dyDescent="0.25">
      <c r="B4238" s="98"/>
      <c r="F4238">
        <v>4234</v>
      </c>
      <c r="G4238" s="109">
        <f t="shared" ca="1" si="75"/>
        <v>9.699456511397378E-2</v>
      </c>
    </row>
    <row r="4239" spans="2:7" x14ac:dyDescent="0.25">
      <c r="B4239" s="98"/>
      <c r="F4239">
        <v>4235</v>
      </c>
      <c r="G4239" s="109">
        <f t="shared" ca="1" si="75"/>
        <v>0.17201110860533181</v>
      </c>
    </row>
    <row r="4240" spans="2:7" x14ac:dyDescent="0.25">
      <c r="B4240" s="98"/>
      <c r="F4240">
        <v>4236</v>
      </c>
      <c r="G4240" s="109">
        <f t="shared" ca="1" si="75"/>
        <v>2.23148944469506E-2</v>
      </c>
    </row>
    <row r="4241" spans="2:7" x14ac:dyDescent="0.25">
      <c r="B4241" s="98"/>
      <c r="F4241">
        <v>4237</v>
      </c>
      <c r="G4241" s="109">
        <f t="shared" ca="1" si="75"/>
        <v>6.5104486228091646E-2</v>
      </c>
    </row>
    <row r="4242" spans="2:7" x14ac:dyDescent="0.25">
      <c r="B4242" s="98"/>
      <c r="F4242">
        <v>4238</v>
      </c>
      <c r="G4242" s="109">
        <f t="shared" ca="1" si="75"/>
        <v>0.25390780009223496</v>
      </c>
    </row>
    <row r="4243" spans="2:7" x14ac:dyDescent="0.25">
      <c r="B4243" s="98"/>
      <c r="F4243">
        <v>4239</v>
      </c>
      <c r="G4243" s="109">
        <f t="shared" ca="1" si="75"/>
        <v>4.6514539227819347E-2</v>
      </c>
    </row>
    <row r="4244" spans="2:7" x14ac:dyDescent="0.25">
      <c r="B4244" s="98"/>
      <c r="F4244">
        <v>4240</v>
      </c>
      <c r="G4244" s="109">
        <f t="shared" ca="1" si="75"/>
        <v>4.0809671037300002E-2</v>
      </c>
    </row>
    <row r="4245" spans="2:7" x14ac:dyDescent="0.25">
      <c r="B4245" s="98"/>
      <c r="F4245">
        <v>4241</v>
      </c>
      <c r="G4245" s="109">
        <f t="shared" ca="1" si="75"/>
        <v>-1.4376996720965887E-2</v>
      </c>
    </row>
    <row r="4246" spans="2:7" x14ac:dyDescent="0.25">
      <c r="B4246" s="98"/>
      <c r="F4246">
        <v>4242</v>
      </c>
      <c r="G4246" s="109">
        <f t="shared" ca="1" si="75"/>
        <v>0.14154876700148328</v>
      </c>
    </row>
    <row r="4247" spans="2:7" x14ac:dyDescent="0.25">
      <c r="B4247" s="98"/>
      <c r="F4247">
        <v>4243</v>
      </c>
      <c r="G4247" s="109">
        <f t="shared" ca="1" si="75"/>
        <v>2.2438840811069491E-2</v>
      </c>
    </row>
    <row r="4248" spans="2:7" x14ac:dyDescent="0.25">
      <c r="B4248" s="98"/>
      <c r="F4248">
        <v>4244</v>
      </c>
      <c r="G4248" s="109">
        <f t="shared" ca="1" si="75"/>
        <v>0.14607457139498631</v>
      </c>
    </row>
    <row r="4249" spans="2:7" x14ac:dyDescent="0.25">
      <c r="B4249" s="98"/>
      <c r="F4249">
        <v>4245</v>
      </c>
      <c r="G4249" s="109">
        <f t="shared" ca="1" si="75"/>
        <v>-0.11531948772841287</v>
      </c>
    </row>
    <row r="4250" spans="2:7" x14ac:dyDescent="0.25">
      <c r="B4250" s="98"/>
      <c r="F4250">
        <v>4246</v>
      </c>
      <c r="G4250" s="109">
        <f t="shared" ca="1" si="75"/>
        <v>2.5078437909311115E-2</v>
      </c>
    </row>
    <row r="4251" spans="2:7" x14ac:dyDescent="0.25">
      <c r="B4251" s="98"/>
      <c r="F4251">
        <v>4247</v>
      </c>
      <c r="G4251" s="109">
        <f t="shared" ca="1" si="75"/>
        <v>4.9373478994697184E-2</v>
      </c>
    </row>
    <row r="4252" spans="2:7" x14ac:dyDescent="0.25">
      <c r="B4252" s="98"/>
      <c r="F4252">
        <v>4248</v>
      </c>
      <c r="G4252" s="109">
        <f t="shared" ca="1" si="75"/>
        <v>-1.0307804852538911E-2</v>
      </c>
    </row>
    <row r="4253" spans="2:7" x14ac:dyDescent="0.25">
      <c r="B4253" s="98"/>
      <c r="F4253">
        <v>4249</v>
      </c>
      <c r="G4253" s="109">
        <f t="shared" ca="1" si="75"/>
        <v>0.15522392565506307</v>
      </c>
    </row>
    <row r="4254" spans="2:7" x14ac:dyDescent="0.25">
      <c r="B4254" s="98"/>
      <c r="F4254">
        <v>4250</v>
      </c>
      <c r="G4254" s="109">
        <f t="shared" ca="1" si="75"/>
        <v>0.10432008760712495</v>
      </c>
    </row>
    <row r="4255" spans="2:7" x14ac:dyDescent="0.25">
      <c r="B4255" s="98"/>
      <c r="F4255">
        <v>4251</v>
      </c>
      <c r="G4255" s="109">
        <f t="shared" ca="1" si="75"/>
        <v>7.5339289414977931E-2</v>
      </c>
    </row>
    <row r="4256" spans="2:7" x14ac:dyDescent="0.25">
      <c r="B4256" s="98"/>
      <c r="F4256">
        <v>4252</v>
      </c>
      <c r="G4256" s="109">
        <f t="shared" ca="1" si="75"/>
        <v>0.23001112171973881</v>
      </c>
    </row>
    <row r="4257" spans="2:7" x14ac:dyDescent="0.25">
      <c r="B4257" s="98"/>
      <c r="F4257">
        <v>4253</v>
      </c>
      <c r="G4257" s="109">
        <f t="shared" ca="1" si="75"/>
        <v>9.6813557608947498E-2</v>
      </c>
    </row>
    <row r="4258" spans="2:7" x14ac:dyDescent="0.25">
      <c r="B4258" s="98"/>
      <c r="F4258">
        <v>4254</v>
      </c>
      <c r="G4258" s="109">
        <f t="shared" ca="1" si="75"/>
        <v>0.25522559509903353</v>
      </c>
    </row>
    <row r="4259" spans="2:7" x14ac:dyDescent="0.25">
      <c r="B4259" s="98"/>
      <c r="F4259">
        <v>4255</v>
      </c>
      <c r="G4259" s="109">
        <f t="shared" ca="1" si="75"/>
        <v>0.25628217757384858</v>
      </c>
    </row>
    <row r="4260" spans="2:7" x14ac:dyDescent="0.25">
      <c r="B4260" s="98"/>
      <c r="F4260">
        <v>4256</v>
      </c>
      <c r="G4260" s="109">
        <f t="shared" ca="1" si="75"/>
        <v>-8.9699606582853322E-2</v>
      </c>
    </row>
    <row r="4261" spans="2:7" x14ac:dyDescent="0.25">
      <c r="B4261" s="98"/>
      <c r="F4261">
        <v>4257</v>
      </c>
      <c r="G4261" s="109">
        <f t="shared" ca="1" si="75"/>
        <v>1.1059759285602787E-2</v>
      </c>
    </row>
    <row r="4262" spans="2:7" x14ac:dyDescent="0.25">
      <c r="B4262" s="98"/>
      <c r="F4262">
        <v>4258</v>
      </c>
      <c r="G4262" s="109">
        <f t="shared" ca="1" si="75"/>
        <v>2.3395510164077413E-2</v>
      </c>
    </row>
    <row r="4263" spans="2:7" x14ac:dyDescent="0.25">
      <c r="B4263" s="98"/>
      <c r="F4263">
        <v>4259</v>
      </c>
      <c r="G4263" s="109">
        <f t="shared" ca="1" si="75"/>
        <v>2.9261316386167576E-2</v>
      </c>
    </row>
    <row r="4264" spans="2:7" x14ac:dyDescent="0.25">
      <c r="B4264" s="98"/>
      <c r="F4264">
        <v>4260</v>
      </c>
      <c r="G4264" s="109">
        <f t="shared" ca="1" si="75"/>
        <v>7.4076928809877762E-2</v>
      </c>
    </row>
    <row r="4265" spans="2:7" x14ac:dyDescent="0.25">
      <c r="B4265" s="98"/>
      <c r="F4265">
        <v>4261</v>
      </c>
      <c r="G4265" s="109">
        <f t="shared" ca="1" si="75"/>
        <v>-0.19451530388141314</v>
      </c>
    </row>
    <row r="4266" spans="2:7" x14ac:dyDescent="0.25">
      <c r="B4266" s="98"/>
      <c r="F4266">
        <v>4262</v>
      </c>
      <c r="G4266" s="109">
        <f t="shared" ca="1" si="75"/>
        <v>1.8487997040222671E-2</v>
      </c>
    </row>
    <row r="4267" spans="2:7" x14ac:dyDescent="0.25">
      <c r="B4267" s="98"/>
      <c r="F4267">
        <v>4263</v>
      </c>
      <c r="G4267" s="109">
        <f t="shared" ca="1" si="75"/>
        <v>-5.3344389425803662E-2</v>
      </c>
    </row>
    <row r="4268" spans="2:7" x14ac:dyDescent="0.25">
      <c r="B4268" s="98"/>
      <c r="F4268">
        <v>4264</v>
      </c>
      <c r="G4268" s="109">
        <f t="shared" ca="1" si="75"/>
        <v>-0.11882351722760372</v>
      </c>
    </row>
    <row r="4269" spans="2:7" x14ac:dyDescent="0.25">
      <c r="B4269" s="98"/>
      <c r="F4269">
        <v>4265</v>
      </c>
      <c r="G4269" s="109">
        <f t="shared" ca="1" si="75"/>
        <v>1.4014653421415821E-2</v>
      </c>
    </row>
    <row r="4270" spans="2:7" x14ac:dyDescent="0.25">
      <c r="B4270" s="98"/>
      <c r="F4270">
        <v>4266</v>
      </c>
      <c r="G4270" s="109">
        <f t="shared" ca="1" si="75"/>
        <v>4.6562162604556541E-2</v>
      </c>
    </row>
    <row r="4271" spans="2:7" x14ac:dyDescent="0.25">
      <c r="B4271" s="98"/>
      <c r="F4271">
        <v>4267</v>
      </c>
      <c r="G4271" s="109">
        <f t="shared" ca="1" si="75"/>
        <v>3.4657083879130725E-2</v>
      </c>
    </row>
    <row r="4272" spans="2:7" x14ac:dyDescent="0.25">
      <c r="B4272" s="98"/>
      <c r="F4272">
        <v>4268</v>
      </c>
      <c r="G4272" s="109">
        <f t="shared" ca="1" si="75"/>
        <v>4.9662464974577825E-2</v>
      </c>
    </row>
    <row r="4273" spans="2:7" x14ac:dyDescent="0.25">
      <c r="B4273" s="98"/>
      <c r="F4273">
        <v>4269</v>
      </c>
      <c r="G4273" s="109">
        <f t="shared" ca="1" si="75"/>
        <v>4.6445281115801436E-2</v>
      </c>
    </row>
    <row r="4274" spans="2:7" x14ac:dyDescent="0.25">
      <c r="B4274" s="98"/>
      <c r="F4274">
        <v>4270</v>
      </c>
      <c r="G4274" s="109">
        <f t="shared" ca="1" si="75"/>
        <v>2.935586200246541E-2</v>
      </c>
    </row>
    <row r="4275" spans="2:7" x14ac:dyDescent="0.25">
      <c r="B4275" s="98"/>
      <c r="F4275">
        <v>4271</v>
      </c>
      <c r="G4275" s="109">
        <f t="shared" ca="1" si="75"/>
        <v>-4.7129708016648134E-2</v>
      </c>
    </row>
    <row r="4276" spans="2:7" x14ac:dyDescent="0.25">
      <c r="B4276" s="98"/>
      <c r="F4276">
        <v>4272</v>
      </c>
      <c r="G4276" s="109">
        <f t="shared" ca="1" si="75"/>
        <v>-5.9350071349712666E-2</v>
      </c>
    </row>
    <row r="4277" spans="2:7" x14ac:dyDescent="0.25">
      <c r="B4277" s="98"/>
      <c r="F4277">
        <v>4273</v>
      </c>
      <c r="G4277" s="109">
        <f t="shared" ca="1" si="75"/>
        <v>-5.4695689689195623E-2</v>
      </c>
    </row>
    <row r="4278" spans="2:7" x14ac:dyDescent="0.25">
      <c r="B4278" s="98"/>
      <c r="F4278">
        <v>4274</v>
      </c>
      <c r="G4278" s="109">
        <f t="shared" ca="1" si="75"/>
        <v>-6.4489312764017176E-2</v>
      </c>
    </row>
    <row r="4279" spans="2:7" x14ac:dyDescent="0.25">
      <c r="B4279" s="98"/>
      <c r="F4279">
        <v>4275</v>
      </c>
      <c r="G4279" s="109">
        <f t="shared" ca="1" si="75"/>
        <v>-3.9806475382663145E-2</v>
      </c>
    </row>
    <row r="4280" spans="2:7" x14ac:dyDescent="0.25">
      <c r="B4280" s="98"/>
      <c r="F4280">
        <v>4276</v>
      </c>
      <c r="G4280" s="109">
        <f t="shared" ca="1" si="75"/>
        <v>-3.4850988613087816E-2</v>
      </c>
    </row>
    <row r="4281" spans="2:7" x14ac:dyDescent="0.25">
      <c r="B4281" s="98"/>
      <c r="F4281">
        <v>4277</v>
      </c>
      <c r="G4281" s="109">
        <f t="shared" ca="1" si="75"/>
        <v>-4.1500991075163765E-2</v>
      </c>
    </row>
    <row r="4282" spans="2:7" x14ac:dyDescent="0.25">
      <c r="B4282" s="98"/>
      <c r="F4282">
        <v>4278</v>
      </c>
      <c r="G4282" s="109">
        <f t="shared" ca="1" si="75"/>
        <v>-6.987942517476281E-3</v>
      </c>
    </row>
    <row r="4283" spans="2:7" x14ac:dyDescent="0.25">
      <c r="B4283" s="98"/>
      <c r="F4283">
        <v>4279</v>
      </c>
      <c r="G4283" s="109">
        <f t="shared" ca="1" si="75"/>
        <v>4.9778975753332191E-2</v>
      </c>
    </row>
    <row r="4284" spans="2:7" x14ac:dyDescent="0.25">
      <c r="B4284" s="98"/>
      <c r="F4284">
        <v>4280</v>
      </c>
      <c r="G4284" s="109">
        <f t="shared" ca="1" si="75"/>
        <v>7.1564539218722648E-2</v>
      </c>
    </row>
    <row r="4285" spans="2:7" x14ac:dyDescent="0.25">
      <c r="B4285" s="98"/>
      <c r="F4285">
        <v>4281</v>
      </c>
      <c r="G4285" s="109">
        <f t="shared" ca="1" si="75"/>
        <v>7.9138400558210864E-2</v>
      </c>
    </row>
    <row r="4286" spans="2:7" x14ac:dyDescent="0.25">
      <c r="B4286" s="98"/>
      <c r="F4286">
        <v>4282</v>
      </c>
      <c r="G4286" s="109">
        <f t="shared" ca="1" si="75"/>
        <v>3.3995208176416207E-2</v>
      </c>
    </row>
    <row r="4287" spans="2:7" x14ac:dyDescent="0.25">
      <c r="B4287" s="98"/>
      <c r="F4287">
        <v>4283</v>
      </c>
      <c r="G4287" s="109">
        <f t="shared" ca="1" si="75"/>
        <v>6.26451910588222E-2</v>
      </c>
    </row>
    <row r="4288" spans="2:7" x14ac:dyDescent="0.25">
      <c r="B4288" s="98"/>
      <c r="F4288">
        <v>4284</v>
      </c>
      <c r="G4288" s="109">
        <f t="shared" ca="1" si="75"/>
        <v>1.0763900395304796E-3</v>
      </c>
    </row>
    <row r="4289" spans="2:7" x14ac:dyDescent="0.25">
      <c r="B4289" s="98"/>
      <c r="F4289">
        <v>4285</v>
      </c>
      <c r="G4289" s="109">
        <f t="shared" ca="1" si="75"/>
        <v>0.15227183652855639</v>
      </c>
    </row>
    <row r="4290" spans="2:7" x14ac:dyDescent="0.25">
      <c r="B4290" s="98"/>
      <c r="F4290">
        <v>4286</v>
      </c>
      <c r="G4290" s="109">
        <f t="shared" ca="1" si="75"/>
        <v>-4.7089190425175162E-3</v>
      </c>
    </row>
    <row r="4291" spans="2:7" x14ac:dyDescent="0.25">
      <c r="B4291" s="98"/>
      <c r="F4291">
        <v>4287</v>
      </c>
      <c r="G4291" s="109">
        <f t="shared" ca="1" si="75"/>
        <v>9.0984166556845353E-2</v>
      </c>
    </row>
    <row r="4292" spans="2:7" x14ac:dyDescent="0.25">
      <c r="B4292" s="98"/>
      <c r="F4292">
        <v>4288</v>
      </c>
      <c r="G4292" s="109">
        <f t="shared" ca="1" si="75"/>
        <v>7.1336839981936934E-2</v>
      </c>
    </row>
    <row r="4293" spans="2:7" x14ac:dyDescent="0.25">
      <c r="B4293" s="98"/>
      <c r="F4293">
        <v>4289</v>
      </c>
      <c r="G4293" s="109">
        <f t="shared" ca="1" si="75"/>
        <v>8.6902414223455723E-2</v>
      </c>
    </row>
    <row r="4294" spans="2:7" x14ac:dyDescent="0.25">
      <c r="B4294" s="98"/>
      <c r="F4294">
        <v>4290</v>
      </c>
      <c r="G4294" s="109">
        <f t="shared" ref="G4294:G4357" ca="1" si="76">_xlfn.NORM.INV(RAND(),$M$5,$M$6)</f>
        <v>0.14418612093644534</v>
      </c>
    </row>
    <row r="4295" spans="2:7" x14ac:dyDescent="0.25">
      <c r="B4295" s="98"/>
      <c r="F4295">
        <v>4291</v>
      </c>
      <c r="G4295" s="109">
        <f t="shared" ca="1" si="76"/>
        <v>6.7784221824250535E-2</v>
      </c>
    </row>
    <row r="4296" spans="2:7" x14ac:dyDescent="0.25">
      <c r="B4296" s="98"/>
      <c r="F4296">
        <v>4292</v>
      </c>
      <c r="G4296" s="109">
        <f t="shared" ca="1" si="76"/>
        <v>7.5798793798043107E-3</v>
      </c>
    </row>
    <row r="4297" spans="2:7" x14ac:dyDescent="0.25">
      <c r="B4297" s="98"/>
      <c r="F4297">
        <v>4293</v>
      </c>
      <c r="G4297" s="109">
        <f t="shared" ca="1" si="76"/>
        <v>8.0499875437518131E-2</v>
      </c>
    </row>
    <row r="4298" spans="2:7" x14ac:dyDescent="0.25">
      <c r="B4298" s="98"/>
      <c r="F4298">
        <v>4294</v>
      </c>
      <c r="G4298" s="109">
        <f t="shared" ca="1" si="76"/>
        <v>0.15328767037879476</v>
      </c>
    </row>
    <row r="4299" spans="2:7" x14ac:dyDescent="0.25">
      <c r="B4299" s="98"/>
      <c r="F4299">
        <v>4295</v>
      </c>
      <c r="G4299" s="109">
        <f t="shared" ca="1" si="76"/>
        <v>-1.5336107196583293E-2</v>
      </c>
    </row>
    <row r="4300" spans="2:7" x14ac:dyDescent="0.25">
      <c r="B4300" s="98"/>
      <c r="F4300">
        <v>4296</v>
      </c>
      <c r="G4300" s="109">
        <f t="shared" ca="1" si="76"/>
        <v>-5.9458479909444056E-2</v>
      </c>
    </row>
    <row r="4301" spans="2:7" x14ac:dyDescent="0.25">
      <c r="B4301" s="98"/>
      <c r="F4301">
        <v>4297</v>
      </c>
      <c r="G4301" s="109">
        <f t="shared" ca="1" si="76"/>
        <v>0.1803441681324795</v>
      </c>
    </row>
    <row r="4302" spans="2:7" x14ac:dyDescent="0.25">
      <c r="B4302" s="98"/>
      <c r="F4302">
        <v>4298</v>
      </c>
      <c r="G4302" s="109">
        <f t="shared" ca="1" si="76"/>
        <v>-7.2814084665234868E-2</v>
      </c>
    </row>
    <row r="4303" spans="2:7" x14ac:dyDescent="0.25">
      <c r="B4303" s="98"/>
      <c r="F4303">
        <v>4299</v>
      </c>
      <c r="G4303" s="109">
        <f t="shared" ca="1" si="76"/>
        <v>4.8549113432554546E-2</v>
      </c>
    </row>
    <row r="4304" spans="2:7" x14ac:dyDescent="0.25">
      <c r="B4304" s="98"/>
      <c r="F4304">
        <v>4300</v>
      </c>
      <c r="G4304" s="109">
        <f t="shared" ca="1" si="76"/>
        <v>0.18671876585098635</v>
      </c>
    </row>
    <row r="4305" spans="2:7" x14ac:dyDescent="0.25">
      <c r="B4305" s="98"/>
      <c r="F4305">
        <v>4301</v>
      </c>
      <c r="G4305" s="109">
        <f t="shared" ca="1" si="76"/>
        <v>-0.11214342338741563</v>
      </c>
    </row>
    <row r="4306" spans="2:7" x14ac:dyDescent="0.25">
      <c r="B4306" s="98"/>
      <c r="F4306">
        <v>4302</v>
      </c>
      <c r="G4306" s="109">
        <f t="shared" ca="1" si="76"/>
        <v>-2.1171845236309134E-2</v>
      </c>
    </row>
    <row r="4307" spans="2:7" x14ac:dyDescent="0.25">
      <c r="B4307" s="98"/>
      <c r="F4307">
        <v>4303</v>
      </c>
      <c r="G4307" s="109">
        <f t="shared" ca="1" si="76"/>
        <v>-0.30439960359394719</v>
      </c>
    </row>
    <row r="4308" spans="2:7" x14ac:dyDescent="0.25">
      <c r="B4308" s="98"/>
      <c r="F4308">
        <v>4304</v>
      </c>
      <c r="G4308" s="109">
        <f t="shared" ca="1" si="76"/>
        <v>-8.4378891954932686E-2</v>
      </c>
    </row>
    <row r="4309" spans="2:7" x14ac:dyDescent="0.25">
      <c r="B4309" s="98"/>
      <c r="F4309">
        <v>4305</v>
      </c>
      <c r="G4309" s="109">
        <f t="shared" ca="1" si="76"/>
        <v>0.10861726390144363</v>
      </c>
    </row>
    <row r="4310" spans="2:7" x14ac:dyDescent="0.25">
      <c r="B4310" s="98"/>
      <c r="F4310">
        <v>4306</v>
      </c>
      <c r="G4310" s="109">
        <f t="shared" ca="1" si="76"/>
        <v>-8.3194543080427966E-2</v>
      </c>
    </row>
    <row r="4311" spans="2:7" x14ac:dyDescent="0.25">
      <c r="B4311" s="98"/>
      <c r="F4311">
        <v>4307</v>
      </c>
      <c r="G4311" s="109">
        <f t="shared" ca="1" si="76"/>
        <v>-5.5759991008801996E-2</v>
      </c>
    </row>
    <row r="4312" spans="2:7" x14ac:dyDescent="0.25">
      <c r="B4312" s="98"/>
      <c r="F4312">
        <v>4308</v>
      </c>
      <c r="G4312" s="109">
        <f t="shared" ca="1" si="76"/>
        <v>3.0842561075508423E-2</v>
      </c>
    </row>
    <row r="4313" spans="2:7" x14ac:dyDescent="0.25">
      <c r="B4313" s="98"/>
      <c r="F4313">
        <v>4309</v>
      </c>
      <c r="G4313" s="109">
        <f t="shared" ca="1" si="76"/>
        <v>2.2387549186537559E-2</v>
      </c>
    </row>
    <row r="4314" spans="2:7" x14ac:dyDescent="0.25">
      <c r="B4314" s="98"/>
      <c r="F4314">
        <v>4310</v>
      </c>
      <c r="G4314" s="109">
        <f t="shared" ca="1" si="76"/>
        <v>-8.2293750409652186E-2</v>
      </c>
    </row>
    <row r="4315" spans="2:7" x14ac:dyDescent="0.25">
      <c r="B4315" s="98"/>
      <c r="F4315">
        <v>4311</v>
      </c>
      <c r="G4315" s="109">
        <f t="shared" ca="1" si="76"/>
        <v>-0.13898750688730283</v>
      </c>
    </row>
    <row r="4316" spans="2:7" x14ac:dyDescent="0.25">
      <c r="B4316" s="98"/>
      <c r="F4316">
        <v>4312</v>
      </c>
      <c r="G4316" s="109">
        <f t="shared" ca="1" si="76"/>
        <v>-0.10630128823758316</v>
      </c>
    </row>
    <row r="4317" spans="2:7" x14ac:dyDescent="0.25">
      <c r="B4317" s="98"/>
      <c r="F4317">
        <v>4313</v>
      </c>
      <c r="G4317" s="109">
        <f t="shared" ca="1" si="76"/>
        <v>0.21794297007580016</v>
      </c>
    </row>
    <row r="4318" spans="2:7" x14ac:dyDescent="0.25">
      <c r="B4318" s="98"/>
      <c r="F4318">
        <v>4314</v>
      </c>
      <c r="G4318" s="109">
        <f t="shared" ca="1" si="76"/>
        <v>2.1428603720275531E-2</v>
      </c>
    </row>
    <row r="4319" spans="2:7" x14ac:dyDescent="0.25">
      <c r="B4319" s="98"/>
      <c r="F4319">
        <v>4315</v>
      </c>
      <c r="G4319" s="109">
        <f t="shared" ca="1" si="76"/>
        <v>0.24541777525078029</v>
      </c>
    </row>
    <row r="4320" spans="2:7" x14ac:dyDescent="0.25">
      <c r="B4320" s="98"/>
      <c r="F4320">
        <v>4316</v>
      </c>
      <c r="G4320" s="109">
        <f t="shared" ca="1" si="76"/>
        <v>-2.2941976227848077E-2</v>
      </c>
    </row>
    <row r="4321" spans="2:7" x14ac:dyDescent="0.25">
      <c r="B4321" s="98"/>
      <c r="F4321">
        <v>4317</v>
      </c>
      <c r="G4321" s="109">
        <f t="shared" ca="1" si="76"/>
        <v>-4.2434833297973221E-2</v>
      </c>
    </row>
    <row r="4322" spans="2:7" x14ac:dyDescent="0.25">
      <c r="B4322" s="98"/>
      <c r="F4322">
        <v>4318</v>
      </c>
      <c r="G4322" s="109">
        <f t="shared" ca="1" si="76"/>
        <v>4.5903987952560503E-2</v>
      </c>
    </row>
    <row r="4323" spans="2:7" x14ac:dyDescent="0.25">
      <c r="B4323" s="98"/>
      <c r="F4323">
        <v>4319</v>
      </c>
      <c r="G4323" s="109">
        <f t="shared" ca="1" si="76"/>
        <v>-9.2707488757373044E-2</v>
      </c>
    </row>
    <row r="4324" spans="2:7" x14ac:dyDescent="0.25">
      <c r="B4324" s="98"/>
      <c r="F4324">
        <v>4320</v>
      </c>
      <c r="G4324" s="109">
        <f t="shared" ca="1" si="76"/>
        <v>-0.17135404596740333</v>
      </c>
    </row>
    <row r="4325" spans="2:7" x14ac:dyDescent="0.25">
      <c r="B4325" s="98"/>
      <c r="F4325">
        <v>4321</v>
      </c>
      <c r="G4325" s="109">
        <f t="shared" ca="1" si="76"/>
        <v>-9.7977549604155736E-2</v>
      </c>
    </row>
    <row r="4326" spans="2:7" x14ac:dyDescent="0.25">
      <c r="B4326" s="98"/>
      <c r="F4326">
        <v>4322</v>
      </c>
      <c r="G4326" s="109">
        <f t="shared" ca="1" si="76"/>
        <v>0.15194159745152525</v>
      </c>
    </row>
    <row r="4327" spans="2:7" x14ac:dyDescent="0.25">
      <c r="B4327" s="98"/>
      <c r="F4327">
        <v>4323</v>
      </c>
      <c r="G4327" s="109">
        <f t="shared" ca="1" si="76"/>
        <v>-4.8521815711505045E-2</v>
      </c>
    </row>
    <row r="4328" spans="2:7" x14ac:dyDescent="0.25">
      <c r="B4328" s="98"/>
      <c r="F4328">
        <v>4324</v>
      </c>
      <c r="G4328" s="109">
        <f t="shared" ca="1" si="76"/>
        <v>-0.11456611252362804</v>
      </c>
    </row>
    <row r="4329" spans="2:7" x14ac:dyDescent="0.25">
      <c r="B4329" s="98"/>
      <c r="F4329">
        <v>4325</v>
      </c>
      <c r="G4329" s="109">
        <f t="shared" ca="1" si="76"/>
        <v>0.18530295841956523</v>
      </c>
    </row>
    <row r="4330" spans="2:7" x14ac:dyDescent="0.25">
      <c r="B4330" s="98"/>
      <c r="F4330">
        <v>4326</v>
      </c>
      <c r="G4330" s="109">
        <f t="shared" ca="1" si="76"/>
        <v>-4.3357098048940543E-2</v>
      </c>
    </row>
    <row r="4331" spans="2:7" x14ac:dyDescent="0.25">
      <c r="B4331" s="98"/>
      <c r="F4331">
        <v>4327</v>
      </c>
      <c r="G4331" s="109">
        <f t="shared" ca="1" si="76"/>
        <v>2.642726315739178E-2</v>
      </c>
    </row>
    <row r="4332" spans="2:7" x14ac:dyDescent="0.25">
      <c r="B4332" s="98"/>
      <c r="F4332">
        <v>4328</v>
      </c>
      <c r="G4332" s="109">
        <f t="shared" ca="1" si="76"/>
        <v>0.23685156993868123</v>
      </c>
    </row>
    <row r="4333" spans="2:7" x14ac:dyDescent="0.25">
      <c r="B4333" s="98"/>
      <c r="F4333">
        <v>4329</v>
      </c>
      <c r="G4333" s="109">
        <f t="shared" ca="1" si="76"/>
        <v>-0.11332386179522973</v>
      </c>
    </row>
    <row r="4334" spans="2:7" x14ac:dyDescent="0.25">
      <c r="B4334" s="98"/>
      <c r="F4334">
        <v>4330</v>
      </c>
      <c r="G4334" s="109">
        <f t="shared" ca="1" si="76"/>
        <v>-0.14358104020414914</v>
      </c>
    </row>
    <row r="4335" spans="2:7" x14ac:dyDescent="0.25">
      <c r="B4335" s="98"/>
      <c r="F4335">
        <v>4331</v>
      </c>
      <c r="G4335" s="109">
        <f t="shared" ca="1" si="76"/>
        <v>0.27984733687502239</v>
      </c>
    </row>
    <row r="4336" spans="2:7" x14ac:dyDescent="0.25">
      <c r="B4336" s="98"/>
      <c r="F4336">
        <v>4332</v>
      </c>
      <c r="G4336" s="109">
        <f t="shared" ca="1" si="76"/>
        <v>0.13736922590932654</v>
      </c>
    </row>
    <row r="4337" spans="2:7" x14ac:dyDescent="0.25">
      <c r="B4337" s="98"/>
      <c r="F4337">
        <v>4333</v>
      </c>
      <c r="G4337" s="109">
        <f t="shared" ca="1" si="76"/>
        <v>-5.1248443486885273E-2</v>
      </c>
    </row>
    <row r="4338" spans="2:7" x14ac:dyDescent="0.25">
      <c r="B4338" s="98"/>
      <c r="F4338">
        <v>4334</v>
      </c>
      <c r="G4338" s="109">
        <f t="shared" ca="1" si="76"/>
        <v>-9.0032994200854685E-2</v>
      </c>
    </row>
    <row r="4339" spans="2:7" x14ac:dyDescent="0.25">
      <c r="B4339" s="98"/>
      <c r="F4339">
        <v>4335</v>
      </c>
      <c r="G4339" s="109">
        <f t="shared" ca="1" si="76"/>
        <v>2.4182279986325751E-2</v>
      </c>
    </row>
    <row r="4340" spans="2:7" x14ac:dyDescent="0.25">
      <c r="B4340" s="98"/>
      <c r="F4340">
        <v>4336</v>
      </c>
      <c r="G4340" s="109">
        <f t="shared" ca="1" si="76"/>
        <v>-1.7528002312819355E-2</v>
      </c>
    </row>
    <row r="4341" spans="2:7" x14ac:dyDescent="0.25">
      <c r="B4341" s="98"/>
      <c r="F4341">
        <v>4337</v>
      </c>
      <c r="G4341" s="109">
        <f t="shared" ca="1" si="76"/>
        <v>-3.1665535186355259E-2</v>
      </c>
    </row>
    <row r="4342" spans="2:7" x14ac:dyDescent="0.25">
      <c r="B4342" s="98"/>
      <c r="F4342">
        <v>4338</v>
      </c>
      <c r="G4342" s="109">
        <f t="shared" ca="1" si="76"/>
        <v>0.15597684400552686</v>
      </c>
    </row>
    <row r="4343" spans="2:7" x14ac:dyDescent="0.25">
      <c r="B4343" s="98"/>
      <c r="F4343">
        <v>4339</v>
      </c>
      <c r="G4343" s="109">
        <f t="shared" ca="1" si="76"/>
        <v>-1.2885773693311911E-2</v>
      </c>
    </row>
    <row r="4344" spans="2:7" x14ac:dyDescent="0.25">
      <c r="B4344" s="98"/>
      <c r="F4344">
        <v>4340</v>
      </c>
      <c r="G4344" s="109">
        <f t="shared" ca="1" si="76"/>
        <v>0.14000776259974557</v>
      </c>
    </row>
    <row r="4345" spans="2:7" x14ac:dyDescent="0.25">
      <c r="B4345" s="98"/>
      <c r="F4345">
        <v>4341</v>
      </c>
      <c r="G4345" s="109">
        <f t="shared" ca="1" si="76"/>
        <v>8.6696374805785265E-2</v>
      </c>
    </row>
    <row r="4346" spans="2:7" x14ac:dyDescent="0.25">
      <c r="B4346" s="98"/>
      <c r="F4346">
        <v>4342</v>
      </c>
      <c r="G4346" s="109">
        <f t="shared" ca="1" si="76"/>
        <v>-0.11162628677985197</v>
      </c>
    </row>
    <row r="4347" spans="2:7" x14ac:dyDescent="0.25">
      <c r="B4347" s="98"/>
      <c r="F4347">
        <v>4343</v>
      </c>
      <c r="G4347" s="109">
        <f t="shared" ca="1" si="76"/>
        <v>0.19805692483770654</v>
      </c>
    </row>
    <row r="4348" spans="2:7" x14ac:dyDescent="0.25">
      <c r="B4348" s="98"/>
      <c r="F4348">
        <v>4344</v>
      </c>
      <c r="G4348" s="109">
        <f t="shared" ca="1" si="76"/>
        <v>0.12975847851564939</v>
      </c>
    </row>
    <row r="4349" spans="2:7" x14ac:dyDescent="0.25">
      <c r="B4349" s="98"/>
      <c r="F4349">
        <v>4345</v>
      </c>
      <c r="G4349" s="109">
        <f t="shared" ca="1" si="76"/>
        <v>-4.0195173604358508E-2</v>
      </c>
    </row>
    <row r="4350" spans="2:7" x14ac:dyDescent="0.25">
      <c r="B4350" s="98"/>
      <c r="F4350">
        <v>4346</v>
      </c>
      <c r="G4350" s="109">
        <f t="shared" ca="1" si="76"/>
        <v>-0.10629013816307352</v>
      </c>
    </row>
    <row r="4351" spans="2:7" x14ac:dyDescent="0.25">
      <c r="B4351" s="98"/>
      <c r="F4351">
        <v>4347</v>
      </c>
      <c r="G4351" s="109">
        <f t="shared" ca="1" si="76"/>
        <v>0.12029718303977917</v>
      </c>
    </row>
    <row r="4352" spans="2:7" x14ac:dyDescent="0.25">
      <c r="B4352" s="98"/>
      <c r="F4352">
        <v>4348</v>
      </c>
      <c r="G4352" s="109">
        <f t="shared" ca="1" si="76"/>
        <v>1.761898907966776E-3</v>
      </c>
    </row>
    <row r="4353" spans="2:7" x14ac:dyDescent="0.25">
      <c r="B4353" s="98"/>
      <c r="F4353">
        <v>4349</v>
      </c>
      <c r="G4353" s="109">
        <f t="shared" ca="1" si="76"/>
        <v>-0.11804428750331629</v>
      </c>
    </row>
    <row r="4354" spans="2:7" x14ac:dyDescent="0.25">
      <c r="B4354" s="98"/>
      <c r="F4354">
        <v>4350</v>
      </c>
      <c r="G4354" s="109">
        <f t="shared" ca="1" si="76"/>
        <v>0.16101503477737461</v>
      </c>
    </row>
    <row r="4355" spans="2:7" x14ac:dyDescent="0.25">
      <c r="B4355" s="98"/>
      <c r="F4355">
        <v>4351</v>
      </c>
      <c r="G4355" s="109">
        <f t="shared" ca="1" si="76"/>
        <v>2.9750300981521573E-2</v>
      </c>
    </row>
    <row r="4356" spans="2:7" x14ac:dyDescent="0.25">
      <c r="B4356" s="98"/>
      <c r="F4356">
        <v>4352</v>
      </c>
      <c r="G4356" s="109">
        <f t="shared" ca="1" si="76"/>
        <v>-6.228309985910753E-2</v>
      </c>
    </row>
    <row r="4357" spans="2:7" x14ac:dyDescent="0.25">
      <c r="B4357" s="98"/>
      <c r="F4357">
        <v>4353</v>
      </c>
      <c r="G4357" s="109">
        <f t="shared" ca="1" si="76"/>
        <v>6.6511394705742133E-2</v>
      </c>
    </row>
    <row r="4358" spans="2:7" x14ac:dyDescent="0.25">
      <c r="B4358" s="98"/>
      <c r="F4358">
        <v>4354</v>
      </c>
      <c r="G4358" s="109">
        <f t="shared" ref="G4358:G4421" ca="1" si="77">_xlfn.NORM.INV(RAND(),$M$5,$M$6)</f>
        <v>4.5560521152675046E-2</v>
      </c>
    </row>
    <row r="4359" spans="2:7" x14ac:dyDescent="0.25">
      <c r="B4359" s="98"/>
      <c r="F4359">
        <v>4355</v>
      </c>
      <c r="G4359" s="109">
        <f t="shared" ca="1" si="77"/>
        <v>1.5915463103823701E-2</v>
      </c>
    </row>
    <row r="4360" spans="2:7" x14ac:dyDescent="0.25">
      <c r="B4360" s="98"/>
      <c r="F4360">
        <v>4356</v>
      </c>
      <c r="G4360" s="109">
        <f t="shared" ca="1" si="77"/>
        <v>0.11664191026568467</v>
      </c>
    </row>
    <row r="4361" spans="2:7" x14ac:dyDescent="0.25">
      <c r="B4361" s="98"/>
      <c r="F4361">
        <v>4357</v>
      </c>
      <c r="G4361" s="109">
        <f t="shared" ca="1" si="77"/>
        <v>8.5255653249516367E-2</v>
      </c>
    </row>
    <row r="4362" spans="2:7" x14ac:dyDescent="0.25">
      <c r="B4362" s="98"/>
      <c r="F4362">
        <v>4358</v>
      </c>
      <c r="G4362" s="109">
        <f t="shared" ca="1" si="77"/>
        <v>-0.10640422821977534</v>
      </c>
    </row>
    <row r="4363" spans="2:7" x14ac:dyDescent="0.25">
      <c r="B4363" s="98"/>
      <c r="F4363">
        <v>4359</v>
      </c>
      <c r="G4363" s="109">
        <f t="shared" ca="1" si="77"/>
        <v>-3.9036324685238627E-3</v>
      </c>
    </row>
    <row r="4364" spans="2:7" x14ac:dyDescent="0.25">
      <c r="B4364" s="98"/>
      <c r="F4364">
        <v>4360</v>
      </c>
      <c r="G4364" s="109">
        <f t="shared" ca="1" si="77"/>
        <v>-9.4048558461511542E-2</v>
      </c>
    </row>
    <row r="4365" spans="2:7" x14ac:dyDescent="0.25">
      <c r="B4365" s="98"/>
      <c r="F4365">
        <v>4361</v>
      </c>
      <c r="G4365" s="109">
        <f t="shared" ca="1" si="77"/>
        <v>-0.17487822064387609</v>
      </c>
    </row>
    <row r="4366" spans="2:7" x14ac:dyDescent="0.25">
      <c r="B4366" s="98"/>
      <c r="F4366">
        <v>4362</v>
      </c>
      <c r="G4366" s="109">
        <f t="shared" ca="1" si="77"/>
        <v>0.10555585426793955</v>
      </c>
    </row>
    <row r="4367" spans="2:7" x14ac:dyDescent="0.25">
      <c r="B4367" s="98"/>
      <c r="F4367">
        <v>4363</v>
      </c>
      <c r="G4367" s="109">
        <f t="shared" ca="1" si="77"/>
        <v>5.7064334111866927E-2</v>
      </c>
    </row>
    <row r="4368" spans="2:7" x14ac:dyDescent="0.25">
      <c r="B4368" s="98"/>
      <c r="F4368">
        <v>4364</v>
      </c>
      <c r="G4368" s="109">
        <f t="shared" ca="1" si="77"/>
        <v>-8.8760315324642083E-2</v>
      </c>
    </row>
    <row r="4369" spans="2:7" x14ac:dyDescent="0.25">
      <c r="B4369" s="98"/>
      <c r="F4369">
        <v>4365</v>
      </c>
      <c r="G4369" s="109">
        <f t="shared" ca="1" si="77"/>
        <v>3.1461700430250858E-2</v>
      </c>
    </row>
    <row r="4370" spans="2:7" x14ac:dyDescent="0.25">
      <c r="B4370" s="98"/>
      <c r="F4370">
        <v>4366</v>
      </c>
      <c r="G4370" s="109">
        <f t="shared" ca="1" si="77"/>
        <v>-9.7826179060617122E-2</v>
      </c>
    </row>
    <row r="4371" spans="2:7" x14ac:dyDescent="0.25">
      <c r="B4371" s="98"/>
      <c r="F4371">
        <v>4367</v>
      </c>
      <c r="G4371" s="109">
        <f t="shared" ca="1" si="77"/>
        <v>0.18719841626859685</v>
      </c>
    </row>
    <row r="4372" spans="2:7" x14ac:dyDescent="0.25">
      <c r="B4372" s="98"/>
      <c r="F4372">
        <v>4368</v>
      </c>
      <c r="G4372" s="109">
        <f t="shared" ca="1" si="77"/>
        <v>-0.13204121862137652</v>
      </c>
    </row>
    <row r="4373" spans="2:7" x14ac:dyDescent="0.25">
      <c r="B4373" s="98"/>
      <c r="F4373">
        <v>4369</v>
      </c>
      <c r="G4373" s="109">
        <f t="shared" ca="1" si="77"/>
        <v>-0.10749514891260649</v>
      </c>
    </row>
    <row r="4374" spans="2:7" x14ac:dyDescent="0.25">
      <c r="B4374" s="98"/>
      <c r="F4374">
        <v>4370</v>
      </c>
      <c r="G4374" s="109">
        <f t="shared" ca="1" si="77"/>
        <v>0.14994510064766675</v>
      </c>
    </row>
    <row r="4375" spans="2:7" x14ac:dyDescent="0.25">
      <c r="B4375" s="98"/>
      <c r="F4375">
        <v>4371</v>
      </c>
      <c r="G4375" s="109">
        <f t="shared" ca="1" si="77"/>
        <v>0.33190683285673889</v>
      </c>
    </row>
    <row r="4376" spans="2:7" x14ac:dyDescent="0.25">
      <c r="B4376" s="98"/>
      <c r="F4376">
        <v>4372</v>
      </c>
      <c r="G4376" s="109">
        <f t="shared" ca="1" si="77"/>
        <v>3.3026041992425217E-2</v>
      </c>
    </row>
    <row r="4377" spans="2:7" x14ac:dyDescent="0.25">
      <c r="B4377" s="98"/>
      <c r="F4377">
        <v>4373</v>
      </c>
      <c r="G4377" s="109">
        <f t="shared" ca="1" si="77"/>
        <v>-1.3525885043875835E-2</v>
      </c>
    </row>
    <row r="4378" spans="2:7" x14ac:dyDescent="0.25">
      <c r="B4378" s="98"/>
      <c r="F4378">
        <v>4374</v>
      </c>
      <c r="G4378" s="109">
        <f t="shared" ca="1" si="77"/>
        <v>7.7947537650663423E-2</v>
      </c>
    </row>
    <row r="4379" spans="2:7" x14ac:dyDescent="0.25">
      <c r="B4379" s="98"/>
      <c r="F4379">
        <v>4375</v>
      </c>
      <c r="G4379" s="109">
        <f t="shared" ca="1" si="77"/>
        <v>0.18610965257259099</v>
      </c>
    </row>
    <row r="4380" spans="2:7" x14ac:dyDescent="0.25">
      <c r="B4380" s="98"/>
      <c r="F4380">
        <v>4376</v>
      </c>
      <c r="G4380" s="109">
        <f t="shared" ca="1" si="77"/>
        <v>1.0749291057020605E-3</v>
      </c>
    </row>
    <row r="4381" spans="2:7" x14ac:dyDescent="0.25">
      <c r="B4381" s="98"/>
      <c r="F4381">
        <v>4377</v>
      </c>
      <c r="G4381" s="109">
        <f t="shared" ca="1" si="77"/>
        <v>0.12668619726985861</v>
      </c>
    </row>
    <row r="4382" spans="2:7" x14ac:dyDescent="0.25">
      <c r="B4382" s="98"/>
      <c r="F4382">
        <v>4378</v>
      </c>
      <c r="G4382" s="109">
        <f t="shared" ca="1" si="77"/>
        <v>-5.3932141085697521E-2</v>
      </c>
    </row>
    <row r="4383" spans="2:7" x14ac:dyDescent="0.25">
      <c r="B4383" s="98"/>
      <c r="F4383">
        <v>4379</v>
      </c>
      <c r="G4383" s="109">
        <f t="shared" ca="1" si="77"/>
        <v>-0.14443815484168693</v>
      </c>
    </row>
    <row r="4384" spans="2:7" x14ac:dyDescent="0.25">
      <c r="B4384" s="98"/>
      <c r="F4384">
        <v>4380</v>
      </c>
      <c r="G4384" s="109">
        <f t="shared" ca="1" si="77"/>
        <v>9.451582280875287E-2</v>
      </c>
    </row>
    <row r="4385" spans="2:7" x14ac:dyDescent="0.25">
      <c r="B4385" s="98"/>
      <c r="F4385">
        <v>4381</v>
      </c>
      <c r="G4385" s="109">
        <f t="shared" ca="1" si="77"/>
        <v>-3.4664063665281131E-2</v>
      </c>
    </row>
    <row r="4386" spans="2:7" x14ac:dyDescent="0.25">
      <c r="B4386" s="98"/>
      <c r="F4386">
        <v>4382</v>
      </c>
      <c r="G4386" s="109">
        <f t="shared" ca="1" si="77"/>
        <v>8.2275655821353294E-2</v>
      </c>
    </row>
    <row r="4387" spans="2:7" x14ac:dyDescent="0.25">
      <c r="B4387" s="98"/>
      <c r="F4387">
        <v>4383</v>
      </c>
      <c r="G4387" s="109">
        <f t="shared" ca="1" si="77"/>
        <v>0.10956388997272866</v>
      </c>
    </row>
    <row r="4388" spans="2:7" x14ac:dyDescent="0.25">
      <c r="B4388" s="98"/>
      <c r="F4388">
        <v>4384</v>
      </c>
      <c r="G4388" s="109">
        <f t="shared" ca="1" si="77"/>
        <v>3.213188398040126E-2</v>
      </c>
    </row>
    <row r="4389" spans="2:7" x14ac:dyDescent="0.25">
      <c r="B4389" s="98"/>
      <c r="F4389">
        <v>4385</v>
      </c>
      <c r="G4389" s="109">
        <f t="shared" ca="1" si="77"/>
        <v>-6.6824693010462552E-2</v>
      </c>
    </row>
    <row r="4390" spans="2:7" x14ac:dyDescent="0.25">
      <c r="B4390" s="98"/>
      <c r="F4390">
        <v>4386</v>
      </c>
      <c r="G4390" s="109">
        <f t="shared" ca="1" si="77"/>
        <v>-8.6550324475766563E-2</v>
      </c>
    </row>
    <row r="4391" spans="2:7" x14ac:dyDescent="0.25">
      <c r="B4391" s="98"/>
      <c r="F4391">
        <v>4387</v>
      </c>
      <c r="G4391" s="109">
        <f t="shared" ca="1" si="77"/>
        <v>3.1250901712680246E-5</v>
      </c>
    </row>
    <row r="4392" spans="2:7" x14ac:dyDescent="0.25">
      <c r="B4392" s="98"/>
      <c r="F4392">
        <v>4388</v>
      </c>
      <c r="G4392" s="109">
        <f t="shared" ca="1" si="77"/>
        <v>-0.12943594828513838</v>
      </c>
    </row>
    <row r="4393" spans="2:7" x14ac:dyDescent="0.25">
      <c r="B4393" s="98"/>
      <c r="F4393">
        <v>4389</v>
      </c>
      <c r="G4393" s="109">
        <f t="shared" ca="1" si="77"/>
        <v>0.10170637198519977</v>
      </c>
    </row>
    <row r="4394" spans="2:7" x14ac:dyDescent="0.25">
      <c r="B4394" s="98"/>
      <c r="F4394">
        <v>4390</v>
      </c>
      <c r="G4394" s="109">
        <f t="shared" ca="1" si="77"/>
        <v>0.24613107900370151</v>
      </c>
    </row>
    <row r="4395" spans="2:7" x14ac:dyDescent="0.25">
      <c r="B4395" s="98"/>
      <c r="F4395">
        <v>4391</v>
      </c>
      <c r="G4395" s="109">
        <f t="shared" ca="1" si="77"/>
        <v>-3.3408732604013669E-2</v>
      </c>
    </row>
    <row r="4396" spans="2:7" x14ac:dyDescent="0.25">
      <c r="B4396" s="98"/>
      <c r="F4396">
        <v>4392</v>
      </c>
      <c r="G4396" s="109">
        <f t="shared" ca="1" si="77"/>
        <v>6.6146627845019151E-2</v>
      </c>
    </row>
    <row r="4397" spans="2:7" x14ac:dyDescent="0.25">
      <c r="B4397" s="98"/>
      <c r="F4397">
        <v>4393</v>
      </c>
      <c r="G4397" s="109">
        <f t="shared" ca="1" si="77"/>
        <v>8.5991007002322456E-2</v>
      </c>
    </row>
    <row r="4398" spans="2:7" x14ac:dyDescent="0.25">
      <c r="B4398" s="98"/>
      <c r="F4398">
        <v>4394</v>
      </c>
      <c r="G4398" s="109">
        <f t="shared" ca="1" si="77"/>
        <v>0.19354761558847411</v>
      </c>
    </row>
    <row r="4399" spans="2:7" x14ac:dyDescent="0.25">
      <c r="B4399" s="98"/>
      <c r="F4399">
        <v>4395</v>
      </c>
      <c r="G4399" s="109">
        <f t="shared" ca="1" si="77"/>
        <v>0.10547336261242508</v>
      </c>
    </row>
    <row r="4400" spans="2:7" x14ac:dyDescent="0.25">
      <c r="B4400" s="98"/>
      <c r="F4400">
        <v>4396</v>
      </c>
      <c r="G4400" s="109">
        <f t="shared" ca="1" si="77"/>
        <v>-4.085956402839222E-2</v>
      </c>
    </row>
    <row r="4401" spans="2:7" x14ac:dyDescent="0.25">
      <c r="B4401" s="98"/>
      <c r="F4401">
        <v>4397</v>
      </c>
      <c r="G4401" s="109">
        <f t="shared" ca="1" si="77"/>
        <v>0.11305179225658453</v>
      </c>
    </row>
    <row r="4402" spans="2:7" x14ac:dyDescent="0.25">
      <c r="B4402" s="98"/>
      <c r="F4402">
        <v>4398</v>
      </c>
      <c r="G4402" s="109">
        <f t="shared" ca="1" si="77"/>
        <v>-0.1254986246295372</v>
      </c>
    </row>
    <row r="4403" spans="2:7" x14ac:dyDescent="0.25">
      <c r="B4403" s="98"/>
      <c r="F4403">
        <v>4399</v>
      </c>
      <c r="G4403" s="109">
        <f t="shared" ca="1" si="77"/>
        <v>-2.0849132814999005E-2</v>
      </c>
    </row>
    <row r="4404" spans="2:7" x14ac:dyDescent="0.25">
      <c r="B4404" s="98"/>
      <c r="F4404">
        <v>4400</v>
      </c>
      <c r="G4404" s="109">
        <f t="shared" ca="1" si="77"/>
        <v>-4.1753151765489854E-2</v>
      </c>
    </row>
    <row r="4405" spans="2:7" x14ac:dyDescent="0.25">
      <c r="B4405" s="98"/>
      <c r="F4405">
        <v>4401</v>
      </c>
      <c r="G4405" s="109">
        <f t="shared" ca="1" si="77"/>
        <v>-9.4418321245591033E-3</v>
      </c>
    </row>
    <row r="4406" spans="2:7" x14ac:dyDescent="0.25">
      <c r="B4406" s="98"/>
      <c r="F4406">
        <v>4402</v>
      </c>
      <c r="G4406" s="109">
        <f t="shared" ca="1" si="77"/>
        <v>4.0998772299993276E-2</v>
      </c>
    </row>
    <row r="4407" spans="2:7" x14ac:dyDescent="0.25">
      <c r="B4407" s="98"/>
      <c r="F4407">
        <v>4403</v>
      </c>
      <c r="G4407" s="109">
        <f t="shared" ca="1" si="77"/>
        <v>-9.1494524689185827E-2</v>
      </c>
    </row>
    <row r="4408" spans="2:7" x14ac:dyDescent="0.25">
      <c r="B4408" s="98"/>
      <c r="F4408">
        <v>4404</v>
      </c>
      <c r="G4408" s="109">
        <f t="shared" ca="1" si="77"/>
        <v>-2.4579178566080939E-4</v>
      </c>
    </row>
    <row r="4409" spans="2:7" x14ac:dyDescent="0.25">
      <c r="B4409" s="98"/>
      <c r="F4409">
        <v>4405</v>
      </c>
      <c r="G4409" s="109">
        <f t="shared" ca="1" si="77"/>
        <v>0.22311240069112709</v>
      </c>
    </row>
    <row r="4410" spans="2:7" x14ac:dyDescent="0.25">
      <c r="B4410" s="98"/>
      <c r="F4410">
        <v>4406</v>
      </c>
      <c r="G4410" s="109">
        <f t="shared" ca="1" si="77"/>
        <v>7.6332716135282169E-2</v>
      </c>
    </row>
    <row r="4411" spans="2:7" x14ac:dyDescent="0.25">
      <c r="B4411" s="98"/>
      <c r="F4411">
        <v>4407</v>
      </c>
      <c r="G4411" s="109">
        <f t="shared" ca="1" si="77"/>
        <v>8.3279751353565898E-2</v>
      </c>
    </row>
    <row r="4412" spans="2:7" x14ac:dyDescent="0.25">
      <c r="B4412" s="98"/>
      <c r="F4412">
        <v>4408</v>
      </c>
      <c r="G4412" s="109">
        <f t="shared" ca="1" si="77"/>
        <v>-1.3433925576637723E-2</v>
      </c>
    </row>
    <row r="4413" spans="2:7" x14ac:dyDescent="0.25">
      <c r="B4413" s="98"/>
      <c r="F4413">
        <v>4409</v>
      </c>
      <c r="G4413" s="109">
        <f t="shared" ca="1" si="77"/>
        <v>0.11845560951440355</v>
      </c>
    </row>
    <row r="4414" spans="2:7" x14ac:dyDescent="0.25">
      <c r="B4414" s="98"/>
      <c r="F4414">
        <v>4410</v>
      </c>
      <c r="G4414" s="109">
        <f t="shared" ca="1" si="77"/>
        <v>0.19533785511975382</v>
      </c>
    </row>
    <row r="4415" spans="2:7" x14ac:dyDescent="0.25">
      <c r="B4415" s="98"/>
      <c r="F4415">
        <v>4411</v>
      </c>
      <c r="G4415" s="109">
        <f t="shared" ca="1" si="77"/>
        <v>-8.5757691307769182E-2</v>
      </c>
    </row>
    <row r="4416" spans="2:7" x14ac:dyDescent="0.25">
      <c r="B4416" s="98"/>
      <c r="F4416">
        <v>4412</v>
      </c>
      <c r="G4416" s="109">
        <f t="shared" ca="1" si="77"/>
        <v>0.11300711702099092</v>
      </c>
    </row>
    <row r="4417" spans="2:7" x14ac:dyDescent="0.25">
      <c r="B4417" s="98"/>
      <c r="F4417">
        <v>4413</v>
      </c>
      <c r="G4417" s="109">
        <f t="shared" ca="1" si="77"/>
        <v>0.13054211108263841</v>
      </c>
    </row>
    <row r="4418" spans="2:7" x14ac:dyDescent="0.25">
      <c r="B4418" s="98"/>
      <c r="F4418">
        <v>4414</v>
      </c>
      <c r="G4418" s="109">
        <f t="shared" ca="1" si="77"/>
        <v>-1.5947436879267071E-2</v>
      </c>
    </row>
    <row r="4419" spans="2:7" x14ac:dyDescent="0.25">
      <c r="B4419" s="98"/>
      <c r="F4419">
        <v>4415</v>
      </c>
      <c r="G4419" s="109">
        <f t="shared" ca="1" si="77"/>
        <v>0.14252342821131997</v>
      </c>
    </row>
    <row r="4420" spans="2:7" x14ac:dyDescent="0.25">
      <c r="B4420" s="98"/>
      <c r="F4420">
        <v>4416</v>
      </c>
      <c r="G4420" s="109">
        <f t="shared" ca="1" si="77"/>
        <v>-4.2947151418138374E-2</v>
      </c>
    </row>
    <row r="4421" spans="2:7" x14ac:dyDescent="0.25">
      <c r="B4421" s="98"/>
      <c r="F4421">
        <v>4417</v>
      </c>
      <c r="G4421" s="109">
        <f t="shared" ca="1" si="77"/>
        <v>6.0179652204040097E-2</v>
      </c>
    </row>
    <row r="4422" spans="2:7" x14ac:dyDescent="0.25">
      <c r="B4422" s="98"/>
      <c r="F4422">
        <v>4418</v>
      </c>
      <c r="G4422" s="109">
        <f t="shared" ref="G4422:G4485" ca="1" si="78">_xlfn.NORM.INV(RAND(),$M$5,$M$6)</f>
        <v>2.3022289066770996E-2</v>
      </c>
    </row>
    <row r="4423" spans="2:7" x14ac:dyDescent="0.25">
      <c r="B4423" s="98"/>
      <c r="F4423">
        <v>4419</v>
      </c>
      <c r="G4423" s="109">
        <f t="shared" ca="1" si="78"/>
        <v>4.8100568503022488E-2</v>
      </c>
    </row>
    <row r="4424" spans="2:7" x14ac:dyDescent="0.25">
      <c r="B4424" s="98"/>
      <c r="F4424">
        <v>4420</v>
      </c>
      <c r="G4424" s="109">
        <f t="shared" ca="1" si="78"/>
        <v>9.8407565783108386E-2</v>
      </c>
    </row>
    <row r="4425" spans="2:7" x14ac:dyDescent="0.25">
      <c r="B4425" s="98"/>
      <c r="F4425">
        <v>4421</v>
      </c>
      <c r="G4425" s="109">
        <f t="shared" ca="1" si="78"/>
        <v>7.6069508015289097E-2</v>
      </c>
    </row>
    <row r="4426" spans="2:7" x14ac:dyDescent="0.25">
      <c r="B4426" s="98"/>
      <c r="F4426">
        <v>4422</v>
      </c>
      <c r="G4426" s="109">
        <f t="shared" ca="1" si="78"/>
        <v>3.056955166423346E-2</v>
      </c>
    </row>
    <row r="4427" spans="2:7" x14ac:dyDescent="0.25">
      <c r="B4427" s="98"/>
      <c r="F4427">
        <v>4423</v>
      </c>
      <c r="G4427" s="109">
        <f t="shared" ca="1" si="78"/>
        <v>0.11654855669996325</v>
      </c>
    </row>
    <row r="4428" spans="2:7" x14ac:dyDescent="0.25">
      <c r="B4428" s="98"/>
      <c r="F4428">
        <v>4424</v>
      </c>
      <c r="G4428" s="109">
        <f t="shared" ca="1" si="78"/>
        <v>-5.3414678068268481E-2</v>
      </c>
    </row>
    <row r="4429" spans="2:7" x14ac:dyDescent="0.25">
      <c r="B4429" s="98"/>
      <c r="F4429">
        <v>4425</v>
      </c>
      <c r="G4429" s="109">
        <f t="shared" ca="1" si="78"/>
        <v>-4.5401869299047409E-2</v>
      </c>
    </row>
    <row r="4430" spans="2:7" x14ac:dyDescent="0.25">
      <c r="B4430" s="98"/>
      <c r="F4430">
        <v>4426</v>
      </c>
      <c r="G4430" s="109">
        <f t="shared" ca="1" si="78"/>
        <v>0.11008581949748793</v>
      </c>
    </row>
    <row r="4431" spans="2:7" x14ac:dyDescent="0.25">
      <c r="B4431" s="98"/>
      <c r="F4431">
        <v>4427</v>
      </c>
      <c r="G4431" s="109">
        <f t="shared" ca="1" si="78"/>
        <v>0.10180239166254834</v>
      </c>
    </row>
    <row r="4432" spans="2:7" x14ac:dyDescent="0.25">
      <c r="B4432" s="98"/>
      <c r="F4432">
        <v>4428</v>
      </c>
      <c r="G4432" s="109">
        <f t="shared" ca="1" si="78"/>
        <v>-6.262932905666603E-2</v>
      </c>
    </row>
    <row r="4433" spans="2:7" x14ac:dyDescent="0.25">
      <c r="B4433" s="98"/>
      <c r="F4433">
        <v>4429</v>
      </c>
      <c r="G4433" s="109">
        <f t="shared" ca="1" si="78"/>
        <v>4.8908252931368502E-2</v>
      </c>
    </row>
    <row r="4434" spans="2:7" x14ac:dyDescent="0.25">
      <c r="B4434" s="98"/>
      <c r="F4434">
        <v>4430</v>
      </c>
      <c r="G4434" s="109">
        <f t="shared" ca="1" si="78"/>
        <v>-1.9967865174337782E-2</v>
      </c>
    </row>
    <row r="4435" spans="2:7" x14ac:dyDescent="0.25">
      <c r="B4435" s="98"/>
      <c r="F4435">
        <v>4431</v>
      </c>
      <c r="G4435" s="109">
        <f t="shared" ca="1" si="78"/>
        <v>1.9643395978297881E-3</v>
      </c>
    </row>
    <row r="4436" spans="2:7" x14ac:dyDescent="0.25">
      <c r="B4436" s="98"/>
      <c r="F4436">
        <v>4432</v>
      </c>
      <c r="G4436" s="109">
        <f t="shared" ca="1" si="78"/>
        <v>-2.2142748931880687E-2</v>
      </c>
    </row>
    <row r="4437" spans="2:7" x14ac:dyDescent="0.25">
      <c r="B4437" s="98"/>
      <c r="F4437">
        <v>4433</v>
      </c>
      <c r="G4437" s="109">
        <f t="shared" ca="1" si="78"/>
        <v>-4.8345026901340141E-2</v>
      </c>
    </row>
    <row r="4438" spans="2:7" x14ac:dyDescent="0.25">
      <c r="B4438" s="98"/>
      <c r="F4438">
        <v>4434</v>
      </c>
      <c r="G4438" s="109">
        <f t="shared" ca="1" si="78"/>
        <v>-0.11359040874463354</v>
      </c>
    </row>
    <row r="4439" spans="2:7" x14ac:dyDescent="0.25">
      <c r="B4439" s="98"/>
      <c r="F4439">
        <v>4435</v>
      </c>
      <c r="G4439" s="109">
        <f t="shared" ca="1" si="78"/>
        <v>5.8532649622155847E-2</v>
      </c>
    </row>
    <row r="4440" spans="2:7" x14ac:dyDescent="0.25">
      <c r="B4440" s="98"/>
      <c r="F4440">
        <v>4436</v>
      </c>
      <c r="G4440" s="109">
        <f t="shared" ca="1" si="78"/>
        <v>-5.400491791223426E-2</v>
      </c>
    </row>
    <row r="4441" spans="2:7" x14ac:dyDescent="0.25">
      <c r="B4441" s="98"/>
      <c r="F4441">
        <v>4437</v>
      </c>
      <c r="G4441" s="109">
        <f t="shared" ca="1" si="78"/>
        <v>3.4684785890040856E-2</v>
      </c>
    </row>
    <row r="4442" spans="2:7" x14ac:dyDescent="0.25">
      <c r="B4442" s="98"/>
      <c r="F4442">
        <v>4438</v>
      </c>
      <c r="G4442" s="109">
        <f t="shared" ca="1" si="78"/>
        <v>0.23881356769314926</v>
      </c>
    </row>
    <row r="4443" spans="2:7" x14ac:dyDescent="0.25">
      <c r="B4443" s="98"/>
      <c r="F4443">
        <v>4439</v>
      </c>
      <c r="G4443" s="109">
        <f t="shared" ca="1" si="78"/>
        <v>-0.12182698331984636</v>
      </c>
    </row>
    <row r="4444" spans="2:7" x14ac:dyDescent="0.25">
      <c r="B4444" s="98"/>
      <c r="F4444">
        <v>4440</v>
      </c>
      <c r="G4444" s="109">
        <f t="shared" ca="1" si="78"/>
        <v>-6.2040524858030993E-2</v>
      </c>
    </row>
    <row r="4445" spans="2:7" x14ac:dyDescent="0.25">
      <c r="B4445" s="98"/>
      <c r="F4445">
        <v>4441</v>
      </c>
      <c r="G4445" s="109">
        <f t="shared" ca="1" si="78"/>
        <v>6.5608602769990851E-2</v>
      </c>
    </row>
    <row r="4446" spans="2:7" x14ac:dyDescent="0.25">
      <c r="B4446" s="98"/>
      <c r="F4446">
        <v>4442</v>
      </c>
      <c r="G4446" s="109">
        <f t="shared" ca="1" si="78"/>
        <v>-2.444057878556645E-2</v>
      </c>
    </row>
    <row r="4447" spans="2:7" x14ac:dyDescent="0.25">
      <c r="B4447" s="98"/>
      <c r="F4447">
        <v>4443</v>
      </c>
      <c r="G4447" s="109">
        <f t="shared" ca="1" si="78"/>
        <v>9.6041313311525642E-2</v>
      </c>
    </row>
    <row r="4448" spans="2:7" x14ac:dyDescent="0.25">
      <c r="B4448" s="98"/>
      <c r="F4448">
        <v>4444</v>
      </c>
      <c r="G4448" s="109">
        <f t="shared" ca="1" si="78"/>
        <v>0.18166439432006626</v>
      </c>
    </row>
    <row r="4449" spans="2:7" x14ac:dyDescent="0.25">
      <c r="B4449" s="98"/>
      <c r="F4449">
        <v>4445</v>
      </c>
      <c r="G4449" s="109">
        <f t="shared" ca="1" si="78"/>
        <v>-4.1182749395659121E-2</v>
      </c>
    </row>
    <row r="4450" spans="2:7" x14ac:dyDescent="0.25">
      <c r="B4450" s="98"/>
      <c r="F4450">
        <v>4446</v>
      </c>
      <c r="G4450" s="109">
        <f t="shared" ca="1" si="78"/>
        <v>0.15504739436060344</v>
      </c>
    </row>
    <row r="4451" spans="2:7" x14ac:dyDescent="0.25">
      <c r="B4451" s="98"/>
      <c r="F4451">
        <v>4447</v>
      </c>
      <c r="G4451" s="109">
        <f t="shared" ca="1" si="78"/>
        <v>2.4275244878862526E-3</v>
      </c>
    </row>
    <row r="4452" spans="2:7" x14ac:dyDescent="0.25">
      <c r="B4452" s="98"/>
      <c r="F4452">
        <v>4448</v>
      </c>
      <c r="G4452" s="109">
        <f t="shared" ca="1" si="78"/>
        <v>8.6912988369004324E-2</v>
      </c>
    </row>
    <row r="4453" spans="2:7" x14ac:dyDescent="0.25">
      <c r="B4453" s="98"/>
      <c r="F4453">
        <v>4449</v>
      </c>
      <c r="G4453" s="109">
        <f t="shared" ca="1" si="78"/>
        <v>-0.12208546487384457</v>
      </c>
    </row>
    <row r="4454" spans="2:7" x14ac:dyDescent="0.25">
      <c r="B4454" s="98"/>
      <c r="F4454">
        <v>4450</v>
      </c>
      <c r="G4454" s="109">
        <f t="shared" ca="1" si="78"/>
        <v>0.21415893126165192</v>
      </c>
    </row>
    <row r="4455" spans="2:7" x14ac:dyDescent="0.25">
      <c r="B4455" s="98"/>
      <c r="F4455">
        <v>4451</v>
      </c>
      <c r="G4455" s="109">
        <f t="shared" ca="1" si="78"/>
        <v>0.13215642964356872</v>
      </c>
    </row>
    <row r="4456" spans="2:7" x14ac:dyDescent="0.25">
      <c r="B4456" s="98"/>
      <c r="F4456">
        <v>4452</v>
      </c>
      <c r="G4456" s="109">
        <f t="shared" ca="1" si="78"/>
        <v>-1.4988911867675619E-4</v>
      </c>
    </row>
    <row r="4457" spans="2:7" x14ac:dyDescent="0.25">
      <c r="B4457" s="98"/>
      <c r="F4457">
        <v>4453</v>
      </c>
      <c r="G4457" s="109">
        <f t="shared" ca="1" si="78"/>
        <v>-6.7276247328201505E-2</v>
      </c>
    </row>
    <row r="4458" spans="2:7" x14ac:dyDescent="0.25">
      <c r="B4458" s="98"/>
      <c r="F4458">
        <v>4454</v>
      </c>
      <c r="G4458" s="109">
        <f t="shared" ca="1" si="78"/>
        <v>1.303469852023495E-3</v>
      </c>
    </row>
    <row r="4459" spans="2:7" x14ac:dyDescent="0.25">
      <c r="B4459" s="98"/>
      <c r="F4459">
        <v>4455</v>
      </c>
      <c r="G4459" s="109">
        <f t="shared" ca="1" si="78"/>
        <v>0.17633190952298256</v>
      </c>
    </row>
    <row r="4460" spans="2:7" x14ac:dyDescent="0.25">
      <c r="B4460" s="98"/>
      <c r="F4460">
        <v>4456</v>
      </c>
      <c r="G4460" s="109">
        <f t="shared" ca="1" si="78"/>
        <v>0.21584161192958728</v>
      </c>
    </row>
    <row r="4461" spans="2:7" x14ac:dyDescent="0.25">
      <c r="B4461" s="98"/>
      <c r="F4461">
        <v>4457</v>
      </c>
      <c r="G4461" s="109">
        <f t="shared" ca="1" si="78"/>
        <v>-3.8185921661689201E-2</v>
      </c>
    </row>
    <row r="4462" spans="2:7" x14ac:dyDescent="0.25">
      <c r="B4462" s="98"/>
      <c r="F4462">
        <v>4458</v>
      </c>
      <c r="G4462" s="109">
        <f t="shared" ca="1" si="78"/>
        <v>9.0859361643990347E-2</v>
      </c>
    </row>
    <row r="4463" spans="2:7" x14ac:dyDescent="0.25">
      <c r="B4463" s="98"/>
      <c r="F4463">
        <v>4459</v>
      </c>
      <c r="G4463" s="109">
        <f t="shared" ca="1" si="78"/>
        <v>-7.1168345227678162E-2</v>
      </c>
    </row>
    <row r="4464" spans="2:7" x14ac:dyDescent="0.25">
      <c r="B4464" s="98"/>
      <c r="F4464">
        <v>4460</v>
      </c>
      <c r="G4464" s="109">
        <f t="shared" ca="1" si="78"/>
        <v>-6.7451743719975935E-2</v>
      </c>
    </row>
    <row r="4465" spans="2:7" x14ac:dyDescent="0.25">
      <c r="B4465" s="98"/>
      <c r="F4465">
        <v>4461</v>
      </c>
      <c r="G4465" s="109">
        <f t="shared" ca="1" si="78"/>
        <v>9.1741610817590954E-2</v>
      </c>
    </row>
    <row r="4466" spans="2:7" x14ac:dyDescent="0.25">
      <c r="B4466" s="98"/>
      <c r="F4466">
        <v>4462</v>
      </c>
      <c r="G4466" s="109">
        <f t="shared" ca="1" si="78"/>
        <v>3.892097319099011E-2</v>
      </c>
    </row>
    <row r="4467" spans="2:7" x14ac:dyDescent="0.25">
      <c r="B4467" s="98"/>
      <c r="F4467">
        <v>4463</v>
      </c>
      <c r="G4467" s="109">
        <f t="shared" ca="1" si="78"/>
        <v>0.21482520198135141</v>
      </c>
    </row>
    <row r="4468" spans="2:7" x14ac:dyDescent="0.25">
      <c r="B4468" s="98"/>
      <c r="F4468">
        <v>4464</v>
      </c>
      <c r="G4468" s="109">
        <f t="shared" ca="1" si="78"/>
        <v>0.17196178247860272</v>
      </c>
    </row>
    <row r="4469" spans="2:7" x14ac:dyDescent="0.25">
      <c r="B4469" s="98"/>
      <c r="F4469">
        <v>4465</v>
      </c>
      <c r="G4469" s="109">
        <f t="shared" ca="1" si="78"/>
        <v>1.6190973276795501E-3</v>
      </c>
    </row>
    <row r="4470" spans="2:7" x14ac:dyDescent="0.25">
      <c r="B4470" s="98"/>
      <c r="F4470">
        <v>4466</v>
      </c>
      <c r="G4470" s="109">
        <f t="shared" ca="1" si="78"/>
        <v>3.862946723747445E-2</v>
      </c>
    </row>
    <row r="4471" spans="2:7" x14ac:dyDescent="0.25">
      <c r="B4471" s="98"/>
      <c r="F4471">
        <v>4467</v>
      </c>
      <c r="G4471" s="109">
        <f t="shared" ca="1" si="78"/>
        <v>3.7157933574222451E-2</v>
      </c>
    </row>
    <row r="4472" spans="2:7" x14ac:dyDescent="0.25">
      <c r="B4472" s="98"/>
      <c r="F4472">
        <v>4468</v>
      </c>
      <c r="G4472" s="109">
        <f t="shared" ca="1" si="78"/>
        <v>0.12914226448386651</v>
      </c>
    </row>
    <row r="4473" spans="2:7" x14ac:dyDescent="0.25">
      <c r="B4473" s="98"/>
      <c r="F4473">
        <v>4469</v>
      </c>
      <c r="G4473" s="109">
        <f t="shared" ca="1" si="78"/>
        <v>0.23822304006623485</v>
      </c>
    </row>
    <row r="4474" spans="2:7" x14ac:dyDescent="0.25">
      <c r="B4474" s="98"/>
      <c r="F4474">
        <v>4470</v>
      </c>
      <c r="G4474" s="109">
        <f t="shared" ca="1" si="78"/>
        <v>8.4811939517721618E-2</v>
      </c>
    </row>
    <row r="4475" spans="2:7" x14ac:dyDescent="0.25">
      <c r="B4475" s="98"/>
      <c r="F4475">
        <v>4471</v>
      </c>
      <c r="G4475" s="109">
        <f t="shared" ca="1" si="78"/>
        <v>0.15108509553578114</v>
      </c>
    </row>
    <row r="4476" spans="2:7" x14ac:dyDescent="0.25">
      <c r="B4476" s="98"/>
      <c r="F4476">
        <v>4472</v>
      </c>
      <c r="G4476" s="109">
        <f t="shared" ca="1" si="78"/>
        <v>1.2974501788177786E-2</v>
      </c>
    </row>
    <row r="4477" spans="2:7" x14ac:dyDescent="0.25">
      <c r="B4477" s="98"/>
      <c r="F4477">
        <v>4473</v>
      </c>
      <c r="G4477" s="109">
        <f t="shared" ca="1" si="78"/>
        <v>-0.11721644946526787</v>
      </c>
    </row>
    <row r="4478" spans="2:7" x14ac:dyDescent="0.25">
      <c r="B4478" s="98"/>
      <c r="F4478">
        <v>4474</v>
      </c>
      <c r="G4478" s="109">
        <f t="shared" ca="1" si="78"/>
        <v>-1.0303433218223003E-2</v>
      </c>
    </row>
    <row r="4479" spans="2:7" x14ac:dyDescent="0.25">
      <c r="B4479" s="98"/>
      <c r="F4479">
        <v>4475</v>
      </c>
      <c r="G4479" s="109">
        <f t="shared" ca="1" si="78"/>
        <v>-6.3190322080479602E-2</v>
      </c>
    </row>
    <row r="4480" spans="2:7" x14ac:dyDescent="0.25">
      <c r="B4480" s="98"/>
      <c r="F4480">
        <v>4476</v>
      </c>
      <c r="G4480" s="109">
        <f t="shared" ca="1" si="78"/>
        <v>-0.10550114494923175</v>
      </c>
    </row>
    <row r="4481" spans="2:7" x14ac:dyDescent="0.25">
      <c r="B4481" s="98"/>
      <c r="F4481">
        <v>4477</v>
      </c>
      <c r="G4481" s="109">
        <f t="shared" ca="1" si="78"/>
        <v>0.26798717007095046</v>
      </c>
    </row>
    <row r="4482" spans="2:7" x14ac:dyDescent="0.25">
      <c r="B4482" s="98"/>
      <c r="F4482">
        <v>4478</v>
      </c>
      <c r="G4482" s="109">
        <f t="shared" ca="1" si="78"/>
        <v>-0.117812764497898</v>
      </c>
    </row>
    <row r="4483" spans="2:7" x14ac:dyDescent="0.25">
      <c r="B4483" s="98"/>
      <c r="F4483">
        <v>4479</v>
      </c>
      <c r="G4483" s="109">
        <f t="shared" ca="1" si="78"/>
        <v>-0.14183225616654677</v>
      </c>
    </row>
    <row r="4484" spans="2:7" x14ac:dyDescent="0.25">
      <c r="B4484" s="98"/>
      <c r="F4484">
        <v>4480</v>
      </c>
      <c r="G4484" s="109">
        <f t="shared" ca="1" si="78"/>
        <v>0.1831116905378618</v>
      </c>
    </row>
    <row r="4485" spans="2:7" x14ac:dyDescent="0.25">
      <c r="B4485" s="98"/>
      <c r="F4485">
        <v>4481</v>
      </c>
      <c r="G4485" s="109">
        <f t="shared" ca="1" si="78"/>
        <v>-0.21194529075062579</v>
      </c>
    </row>
    <row r="4486" spans="2:7" x14ac:dyDescent="0.25">
      <c r="B4486" s="98"/>
      <c r="F4486">
        <v>4482</v>
      </c>
      <c r="G4486" s="109">
        <f t="shared" ref="G4486:G4549" ca="1" si="79">_xlfn.NORM.INV(RAND(),$M$5,$M$6)</f>
        <v>-3.0289318648333424E-2</v>
      </c>
    </row>
    <row r="4487" spans="2:7" x14ac:dyDescent="0.25">
      <c r="B4487" s="98"/>
      <c r="F4487">
        <v>4483</v>
      </c>
      <c r="G4487" s="109">
        <f t="shared" ca="1" si="79"/>
        <v>-0.17354730147758129</v>
      </c>
    </row>
    <row r="4488" spans="2:7" x14ac:dyDescent="0.25">
      <c r="B4488" s="98"/>
      <c r="F4488">
        <v>4484</v>
      </c>
      <c r="G4488" s="109">
        <f t="shared" ca="1" si="79"/>
        <v>-1.886773027503684E-2</v>
      </c>
    </row>
    <row r="4489" spans="2:7" x14ac:dyDescent="0.25">
      <c r="B4489" s="98"/>
      <c r="F4489">
        <v>4485</v>
      </c>
      <c r="G4489" s="109">
        <f t="shared" ca="1" si="79"/>
        <v>6.5969094925665717E-2</v>
      </c>
    </row>
    <row r="4490" spans="2:7" x14ac:dyDescent="0.25">
      <c r="B4490" s="98"/>
      <c r="F4490">
        <v>4486</v>
      </c>
      <c r="G4490" s="109">
        <f t="shared" ca="1" si="79"/>
        <v>-1.373017291170682E-3</v>
      </c>
    </row>
    <row r="4491" spans="2:7" x14ac:dyDescent="0.25">
      <c r="B4491" s="98"/>
      <c r="F4491">
        <v>4487</v>
      </c>
      <c r="G4491" s="109">
        <f t="shared" ca="1" si="79"/>
        <v>9.2316774987441064E-2</v>
      </c>
    </row>
    <row r="4492" spans="2:7" x14ac:dyDescent="0.25">
      <c r="B4492" s="98"/>
      <c r="F4492">
        <v>4488</v>
      </c>
      <c r="G4492" s="109">
        <f t="shared" ca="1" si="79"/>
        <v>-0.15725476925491283</v>
      </c>
    </row>
    <row r="4493" spans="2:7" x14ac:dyDescent="0.25">
      <c r="B4493" s="98"/>
      <c r="F4493">
        <v>4489</v>
      </c>
      <c r="G4493" s="109">
        <f t="shared" ca="1" si="79"/>
        <v>1.7451927344286546E-2</v>
      </c>
    </row>
    <row r="4494" spans="2:7" x14ac:dyDescent="0.25">
      <c r="B4494" s="98"/>
      <c r="F4494">
        <v>4490</v>
      </c>
      <c r="G4494" s="109">
        <f t="shared" ca="1" si="79"/>
        <v>-8.8712022345215927E-2</v>
      </c>
    </row>
    <row r="4495" spans="2:7" x14ac:dyDescent="0.25">
      <c r="B4495" s="98"/>
      <c r="F4495">
        <v>4491</v>
      </c>
      <c r="G4495" s="109">
        <f t="shared" ca="1" si="79"/>
        <v>-6.9449325193570943E-2</v>
      </c>
    </row>
    <row r="4496" spans="2:7" x14ac:dyDescent="0.25">
      <c r="B4496" s="98"/>
      <c r="F4496">
        <v>4492</v>
      </c>
      <c r="G4496" s="109">
        <f t="shared" ca="1" si="79"/>
        <v>2.140645588271994E-2</v>
      </c>
    </row>
    <row r="4497" spans="2:7" x14ac:dyDescent="0.25">
      <c r="B4497" s="98"/>
      <c r="F4497">
        <v>4493</v>
      </c>
      <c r="G4497" s="109">
        <f t="shared" ca="1" si="79"/>
        <v>-0.13556289838282892</v>
      </c>
    </row>
    <row r="4498" spans="2:7" x14ac:dyDescent="0.25">
      <c r="B4498" s="98"/>
      <c r="F4498">
        <v>4494</v>
      </c>
      <c r="G4498" s="109">
        <f t="shared" ca="1" si="79"/>
        <v>6.6412674759829399E-2</v>
      </c>
    </row>
    <row r="4499" spans="2:7" x14ac:dyDescent="0.25">
      <c r="B4499" s="98"/>
      <c r="F4499">
        <v>4495</v>
      </c>
      <c r="G4499" s="109">
        <f t="shared" ca="1" si="79"/>
        <v>-8.1668840947883417E-2</v>
      </c>
    </row>
    <row r="4500" spans="2:7" x14ac:dyDescent="0.25">
      <c r="B4500" s="98"/>
      <c r="F4500">
        <v>4496</v>
      </c>
      <c r="G4500" s="109">
        <f t="shared" ca="1" si="79"/>
        <v>4.3435368269551196E-2</v>
      </c>
    </row>
    <row r="4501" spans="2:7" x14ac:dyDescent="0.25">
      <c r="B4501" s="98"/>
      <c r="F4501">
        <v>4497</v>
      </c>
      <c r="G4501" s="109">
        <f t="shared" ca="1" si="79"/>
        <v>-0.15246715844026715</v>
      </c>
    </row>
    <row r="4502" spans="2:7" x14ac:dyDescent="0.25">
      <c r="B4502" s="98"/>
      <c r="F4502">
        <v>4498</v>
      </c>
      <c r="G4502" s="109">
        <f t="shared" ca="1" si="79"/>
        <v>0.4273035410724218</v>
      </c>
    </row>
    <row r="4503" spans="2:7" x14ac:dyDescent="0.25">
      <c r="B4503" s="98"/>
      <c r="F4503">
        <v>4499</v>
      </c>
      <c r="G4503" s="109">
        <f t="shared" ca="1" si="79"/>
        <v>-4.4795755992207087E-2</v>
      </c>
    </row>
    <row r="4504" spans="2:7" x14ac:dyDescent="0.25">
      <c r="B4504" s="98"/>
      <c r="F4504">
        <v>4500</v>
      </c>
      <c r="G4504" s="109">
        <f t="shared" ca="1" si="79"/>
        <v>-3.3584935564548862E-3</v>
      </c>
    </row>
    <row r="4505" spans="2:7" x14ac:dyDescent="0.25">
      <c r="B4505" s="98"/>
      <c r="F4505">
        <v>4501</v>
      </c>
      <c r="G4505" s="109">
        <f t="shared" ca="1" si="79"/>
        <v>7.5565225667377944E-2</v>
      </c>
    </row>
    <row r="4506" spans="2:7" x14ac:dyDescent="0.25">
      <c r="B4506" s="98"/>
      <c r="F4506">
        <v>4502</v>
      </c>
      <c r="G4506" s="109">
        <f t="shared" ca="1" si="79"/>
        <v>-2.1227253247214375E-2</v>
      </c>
    </row>
    <row r="4507" spans="2:7" x14ac:dyDescent="0.25">
      <c r="B4507" s="98"/>
      <c r="F4507">
        <v>4503</v>
      </c>
      <c r="G4507" s="109">
        <f t="shared" ca="1" si="79"/>
        <v>-2.7342568366476513E-2</v>
      </c>
    </row>
    <row r="4508" spans="2:7" x14ac:dyDescent="0.25">
      <c r="B4508" s="98"/>
      <c r="F4508">
        <v>4504</v>
      </c>
      <c r="G4508" s="109">
        <f t="shared" ca="1" si="79"/>
        <v>7.0604016490065591E-2</v>
      </c>
    </row>
    <row r="4509" spans="2:7" x14ac:dyDescent="0.25">
      <c r="B4509" s="98"/>
      <c r="F4509">
        <v>4505</v>
      </c>
      <c r="G4509" s="109">
        <f t="shared" ca="1" si="79"/>
        <v>4.9939319472421473E-2</v>
      </c>
    </row>
    <row r="4510" spans="2:7" x14ac:dyDescent="0.25">
      <c r="B4510" s="98"/>
      <c r="F4510">
        <v>4506</v>
      </c>
      <c r="G4510" s="109">
        <f t="shared" ca="1" si="79"/>
        <v>-4.4430880967654809E-2</v>
      </c>
    </row>
    <row r="4511" spans="2:7" x14ac:dyDescent="0.25">
      <c r="B4511" s="98"/>
      <c r="F4511">
        <v>4507</v>
      </c>
      <c r="G4511" s="109">
        <f t="shared" ca="1" si="79"/>
        <v>6.8825064475562969E-2</v>
      </c>
    </row>
    <row r="4512" spans="2:7" x14ac:dyDescent="0.25">
      <c r="B4512" s="98"/>
      <c r="F4512">
        <v>4508</v>
      </c>
      <c r="G4512" s="109">
        <f t="shared" ca="1" si="79"/>
        <v>-2.6881244183741437E-2</v>
      </c>
    </row>
    <row r="4513" spans="2:7" x14ac:dyDescent="0.25">
      <c r="B4513" s="98"/>
      <c r="F4513">
        <v>4509</v>
      </c>
      <c r="G4513" s="109">
        <f t="shared" ca="1" si="79"/>
        <v>0.24279822235941689</v>
      </c>
    </row>
    <row r="4514" spans="2:7" x14ac:dyDescent="0.25">
      <c r="B4514" s="98"/>
      <c r="F4514">
        <v>4510</v>
      </c>
      <c r="G4514" s="109">
        <f t="shared" ca="1" si="79"/>
        <v>0.16459011295722475</v>
      </c>
    </row>
    <row r="4515" spans="2:7" x14ac:dyDescent="0.25">
      <c r="B4515" s="98"/>
      <c r="F4515">
        <v>4511</v>
      </c>
      <c r="G4515" s="109">
        <f t="shared" ca="1" si="79"/>
        <v>-7.8484378824022941E-2</v>
      </c>
    </row>
    <row r="4516" spans="2:7" x14ac:dyDescent="0.25">
      <c r="B4516" s="98"/>
      <c r="F4516">
        <v>4512</v>
      </c>
      <c r="G4516" s="109">
        <f t="shared" ca="1" si="79"/>
        <v>9.7235392540112778E-2</v>
      </c>
    </row>
    <row r="4517" spans="2:7" x14ac:dyDescent="0.25">
      <c r="B4517" s="98"/>
      <c r="F4517">
        <v>4513</v>
      </c>
      <c r="G4517" s="109">
        <f t="shared" ca="1" si="79"/>
        <v>4.2308269319660759E-2</v>
      </c>
    </row>
    <row r="4518" spans="2:7" x14ac:dyDescent="0.25">
      <c r="B4518" s="98"/>
      <c r="F4518">
        <v>4514</v>
      </c>
      <c r="G4518" s="109">
        <f t="shared" ca="1" si="79"/>
        <v>0.14754143078783361</v>
      </c>
    </row>
    <row r="4519" spans="2:7" x14ac:dyDescent="0.25">
      <c r="B4519" s="98"/>
      <c r="F4519">
        <v>4515</v>
      </c>
      <c r="G4519" s="109">
        <f t="shared" ca="1" si="79"/>
        <v>-7.2884235534603312E-2</v>
      </c>
    </row>
    <row r="4520" spans="2:7" x14ac:dyDescent="0.25">
      <c r="B4520" s="98"/>
      <c r="F4520">
        <v>4516</v>
      </c>
      <c r="G4520" s="109">
        <f t="shared" ca="1" si="79"/>
        <v>7.4713533647630531E-2</v>
      </c>
    </row>
    <row r="4521" spans="2:7" x14ac:dyDescent="0.25">
      <c r="B4521" s="98"/>
      <c r="F4521">
        <v>4517</v>
      </c>
      <c r="G4521" s="109">
        <f t="shared" ca="1" si="79"/>
        <v>5.474194238040965E-2</v>
      </c>
    </row>
    <row r="4522" spans="2:7" x14ac:dyDescent="0.25">
      <c r="B4522" s="98"/>
      <c r="F4522">
        <v>4518</v>
      </c>
      <c r="G4522" s="109">
        <f t="shared" ca="1" si="79"/>
        <v>-5.4188694328019441E-2</v>
      </c>
    </row>
    <row r="4523" spans="2:7" x14ac:dyDescent="0.25">
      <c r="B4523" s="98"/>
      <c r="F4523">
        <v>4519</v>
      </c>
      <c r="G4523" s="109">
        <f t="shared" ca="1" si="79"/>
        <v>-5.1751273269332418E-2</v>
      </c>
    </row>
    <row r="4524" spans="2:7" x14ac:dyDescent="0.25">
      <c r="B4524" s="98"/>
      <c r="F4524">
        <v>4520</v>
      </c>
      <c r="G4524" s="109">
        <f t="shared" ca="1" si="79"/>
        <v>-1.116615587004495E-2</v>
      </c>
    </row>
    <row r="4525" spans="2:7" x14ac:dyDescent="0.25">
      <c r="B4525" s="98"/>
      <c r="F4525">
        <v>4521</v>
      </c>
      <c r="G4525" s="109">
        <f t="shared" ca="1" si="79"/>
        <v>-1.9474290085776544E-2</v>
      </c>
    </row>
    <row r="4526" spans="2:7" x14ac:dyDescent="0.25">
      <c r="B4526" s="98"/>
      <c r="F4526">
        <v>4522</v>
      </c>
      <c r="G4526" s="109">
        <f t="shared" ca="1" si="79"/>
        <v>7.4001596729028965E-2</v>
      </c>
    </row>
    <row r="4527" spans="2:7" x14ac:dyDescent="0.25">
      <c r="B4527" s="98"/>
      <c r="F4527">
        <v>4523</v>
      </c>
      <c r="G4527" s="109">
        <f t="shared" ca="1" si="79"/>
        <v>9.256304152172555E-2</v>
      </c>
    </row>
    <row r="4528" spans="2:7" x14ac:dyDescent="0.25">
      <c r="B4528" s="98"/>
      <c r="F4528">
        <v>4524</v>
      </c>
      <c r="G4528" s="109">
        <f t="shared" ca="1" si="79"/>
        <v>3.4137296681488974E-2</v>
      </c>
    </row>
    <row r="4529" spans="2:7" x14ac:dyDescent="0.25">
      <c r="B4529" s="98"/>
      <c r="F4529">
        <v>4525</v>
      </c>
      <c r="G4529" s="109">
        <f t="shared" ca="1" si="79"/>
        <v>-0.11992616029352125</v>
      </c>
    </row>
    <row r="4530" spans="2:7" x14ac:dyDescent="0.25">
      <c r="B4530" s="98"/>
      <c r="F4530">
        <v>4526</v>
      </c>
      <c r="G4530" s="109">
        <f t="shared" ca="1" si="79"/>
        <v>5.5107627364967875E-2</v>
      </c>
    </row>
    <row r="4531" spans="2:7" x14ac:dyDescent="0.25">
      <c r="B4531" s="98"/>
      <c r="F4531">
        <v>4527</v>
      </c>
      <c r="G4531" s="109">
        <f t="shared" ca="1" si="79"/>
        <v>-0.12437566579362268</v>
      </c>
    </row>
    <row r="4532" spans="2:7" x14ac:dyDescent="0.25">
      <c r="B4532" s="98"/>
      <c r="F4532">
        <v>4528</v>
      </c>
      <c r="G4532" s="109">
        <f t="shared" ca="1" si="79"/>
        <v>6.6272899454816014E-2</v>
      </c>
    </row>
    <row r="4533" spans="2:7" x14ac:dyDescent="0.25">
      <c r="B4533" s="98"/>
      <c r="F4533">
        <v>4529</v>
      </c>
      <c r="G4533" s="109">
        <f t="shared" ca="1" si="79"/>
        <v>0.1911140415208194</v>
      </c>
    </row>
    <row r="4534" spans="2:7" x14ac:dyDescent="0.25">
      <c r="B4534" s="98"/>
      <c r="F4534">
        <v>4530</v>
      </c>
      <c r="G4534" s="109">
        <f t="shared" ca="1" si="79"/>
        <v>9.7977452564079248E-2</v>
      </c>
    </row>
    <row r="4535" spans="2:7" x14ac:dyDescent="0.25">
      <c r="B4535" s="98"/>
      <c r="F4535">
        <v>4531</v>
      </c>
      <c r="G4535" s="109">
        <f t="shared" ca="1" si="79"/>
        <v>0.10854592722032497</v>
      </c>
    </row>
    <row r="4536" spans="2:7" x14ac:dyDescent="0.25">
      <c r="B4536" s="98"/>
      <c r="F4536">
        <v>4532</v>
      </c>
      <c r="G4536" s="109">
        <f t="shared" ca="1" si="79"/>
        <v>4.3268293653132381E-2</v>
      </c>
    </row>
    <row r="4537" spans="2:7" x14ac:dyDescent="0.25">
      <c r="B4537" s="98"/>
      <c r="F4537">
        <v>4533</v>
      </c>
      <c r="G4537" s="109">
        <f t="shared" ca="1" si="79"/>
        <v>-3.087827504392758E-2</v>
      </c>
    </row>
    <row r="4538" spans="2:7" x14ac:dyDescent="0.25">
      <c r="B4538" s="98"/>
      <c r="F4538">
        <v>4534</v>
      </c>
      <c r="G4538" s="109">
        <f t="shared" ca="1" si="79"/>
        <v>5.0708294309195469E-2</v>
      </c>
    </row>
    <row r="4539" spans="2:7" x14ac:dyDescent="0.25">
      <c r="B4539" s="98"/>
      <c r="F4539">
        <v>4535</v>
      </c>
      <c r="G4539" s="109">
        <f t="shared" ca="1" si="79"/>
        <v>2.083071659617752E-2</v>
      </c>
    </row>
    <row r="4540" spans="2:7" x14ac:dyDescent="0.25">
      <c r="B4540" s="98"/>
      <c r="F4540">
        <v>4536</v>
      </c>
      <c r="G4540" s="109">
        <f t="shared" ca="1" si="79"/>
        <v>-4.6415141952238573E-2</v>
      </c>
    </row>
    <row r="4541" spans="2:7" x14ac:dyDescent="0.25">
      <c r="B4541" s="98"/>
      <c r="F4541">
        <v>4537</v>
      </c>
      <c r="G4541" s="109">
        <f t="shared" ca="1" si="79"/>
        <v>2.4806733437519296E-2</v>
      </c>
    </row>
    <row r="4542" spans="2:7" x14ac:dyDescent="0.25">
      <c r="B4542" s="98"/>
      <c r="F4542">
        <v>4538</v>
      </c>
      <c r="G4542" s="109">
        <f t="shared" ca="1" si="79"/>
        <v>0.15751196976833687</v>
      </c>
    </row>
    <row r="4543" spans="2:7" x14ac:dyDescent="0.25">
      <c r="B4543" s="98"/>
      <c r="F4543">
        <v>4539</v>
      </c>
      <c r="G4543" s="109">
        <f t="shared" ca="1" si="79"/>
        <v>1.2861345663374602E-2</v>
      </c>
    </row>
    <row r="4544" spans="2:7" x14ac:dyDescent="0.25">
      <c r="B4544" s="98"/>
      <c r="F4544">
        <v>4540</v>
      </c>
      <c r="G4544" s="109">
        <f t="shared" ca="1" si="79"/>
        <v>-0.20310175415223969</v>
      </c>
    </row>
    <row r="4545" spans="2:7" x14ac:dyDescent="0.25">
      <c r="B4545" s="98"/>
      <c r="F4545">
        <v>4541</v>
      </c>
      <c r="G4545" s="109">
        <f t="shared" ca="1" si="79"/>
        <v>2.3438993997741474E-2</v>
      </c>
    </row>
    <row r="4546" spans="2:7" x14ac:dyDescent="0.25">
      <c r="B4546" s="98"/>
      <c r="F4546">
        <v>4542</v>
      </c>
      <c r="G4546" s="109">
        <f t="shared" ca="1" si="79"/>
        <v>-4.2109896609164699E-2</v>
      </c>
    </row>
    <row r="4547" spans="2:7" x14ac:dyDescent="0.25">
      <c r="B4547" s="98"/>
      <c r="F4547">
        <v>4543</v>
      </c>
      <c r="G4547" s="109">
        <f t="shared" ca="1" si="79"/>
        <v>-2.0444412890661401E-2</v>
      </c>
    </row>
    <row r="4548" spans="2:7" x14ac:dyDescent="0.25">
      <c r="B4548" s="98"/>
      <c r="F4548">
        <v>4544</v>
      </c>
      <c r="G4548" s="109">
        <f t="shared" ca="1" si="79"/>
        <v>0.16058195710280293</v>
      </c>
    </row>
    <row r="4549" spans="2:7" x14ac:dyDescent="0.25">
      <c r="B4549" s="98"/>
      <c r="F4549">
        <v>4545</v>
      </c>
      <c r="G4549" s="109">
        <f t="shared" ca="1" si="79"/>
        <v>7.8305380392255292E-2</v>
      </c>
    </row>
    <row r="4550" spans="2:7" x14ac:dyDescent="0.25">
      <c r="B4550" s="98"/>
      <c r="F4550">
        <v>4546</v>
      </c>
      <c r="G4550" s="109">
        <f t="shared" ref="G4550:G4613" ca="1" si="80">_xlfn.NORM.INV(RAND(),$M$5,$M$6)</f>
        <v>4.5310546930363071E-2</v>
      </c>
    </row>
    <row r="4551" spans="2:7" x14ac:dyDescent="0.25">
      <c r="B4551" s="98"/>
      <c r="F4551">
        <v>4547</v>
      </c>
      <c r="G4551" s="109">
        <f t="shared" ca="1" si="80"/>
        <v>-4.6700858931246828E-2</v>
      </c>
    </row>
    <row r="4552" spans="2:7" x14ac:dyDescent="0.25">
      <c r="B4552" s="98"/>
      <c r="F4552">
        <v>4548</v>
      </c>
      <c r="G4552" s="109">
        <f t="shared" ca="1" si="80"/>
        <v>0.11779664563699603</v>
      </c>
    </row>
    <row r="4553" spans="2:7" x14ac:dyDescent="0.25">
      <c r="B4553" s="98"/>
      <c r="F4553">
        <v>4549</v>
      </c>
      <c r="G4553" s="109">
        <f t="shared" ca="1" si="80"/>
        <v>-0.2038356111677449</v>
      </c>
    </row>
    <row r="4554" spans="2:7" x14ac:dyDescent="0.25">
      <c r="B4554" s="98"/>
      <c r="F4554">
        <v>4550</v>
      </c>
      <c r="G4554" s="109">
        <f t="shared" ca="1" si="80"/>
        <v>9.1773013286922847E-2</v>
      </c>
    </row>
    <row r="4555" spans="2:7" x14ac:dyDescent="0.25">
      <c r="B4555" s="98"/>
      <c r="F4555">
        <v>4551</v>
      </c>
      <c r="G4555" s="109">
        <f t="shared" ca="1" si="80"/>
        <v>3.9115151919270896E-3</v>
      </c>
    </row>
    <row r="4556" spans="2:7" x14ac:dyDescent="0.25">
      <c r="B4556" s="98"/>
      <c r="F4556">
        <v>4552</v>
      </c>
      <c r="G4556" s="109">
        <f t="shared" ca="1" si="80"/>
        <v>5.2084109156156008E-2</v>
      </c>
    </row>
    <row r="4557" spans="2:7" x14ac:dyDescent="0.25">
      <c r="B4557" s="98"/>
      <c r="F4557">
        <v>4553</v>
      </c>
      <c r="G4557" s="109">
        <f t="shared" ca="1" si="80"/>
        <v>-1.2154076421285014E-2</v>
      </c>
    </row>
    <row r="4558" spans="2:7" x14ac:dyDescent="0.25">
      <c r="B4558" s="98"/>
      <c r="F4558">
        <v>4554</v>
      </c>
      <c r="G4558" s="109">
        <f t="shared" ca="1" si="80"/>
        <v>1.1045798392307002E-3</v>
      </c>
    </row>
    <row r="4559" spans="2:7" x14ac:dyDescent="0.25">
      <c r="B4559" s="98"/>
      <c r="F4559">
        <v>4555</v>
      </c>
      <c r="G4559" s="109">
        <f t="shared" ca="1" si="80"/>
        <v>6.1368628111572752E-2</v>
      </c>
    </row>
    <row r="4560" spans="2:7" x14ac:dyDescent="0.25">
      <c r="B4560" s="98"/>
      <c r="F4560">
        <v>4556</v>
      </c>
      <c r="G4560" s="109">
        <f t="shared" ca="1" si="80"/>
        <v>-2.2909218950670426E-3</v>
      </c>
    </row>
    <row r="4561" spans="2:7" x14ac:dyDescent="0.25">
      <c r="B4561" s="98"/>
      <c r="F4561">
        <v>4557</v>
      </c>
      <c r="G4561" s="109">
        <f t="shared" ca="1" si="80"/>
        <v>4.9361128401307922E-2</v>
      </c>
    </row>
    <row r="4562" spans="2:7" x14ac:dyDescent="0.25">
      <c r="B4562" s="98"/>
      <c r="F4562">
        <v>4558</v>
      </c>
      <c r="G4562" s="109">
        <f t="shared" ca="1" si="80"/>
        <v>5.5777363832140173E-2</v>
      </c>
    </row>
    <row r="4563" spans="2:7" x14ac:dyDescent="0.25">
      <c r="B4563" s="98"/>
      <c r="F4563">
        <v>4559</v>
      </c>
      <c r="G4563" s="109">
        <f t="shared" ca="1" si="80"/>
        <v>-2.328376454168421E-2</v>
      </c>
    </row>
    <row r="4564" spans="2:7" x14ac:dyDescent="0.25">
      <c r="B4564" s="98"/>
      <c r="F4564">
        <v>4560</v>
      </c>
      <c r="G4564" s="109">
        <f t="shared" ca="1" si="80"/>
        <v>-4.7642261176828793E-2</v>
      </c>
    </row>
    <row r="4565" spans="2:7" x14ac:dyDescent="0.25">
      <c r="B4565" s="98"/>
      <c r="F4565">
        <v>4561</v>
      </c>
      <c r="G4565" s="109">
        <f t="shared" ca="1" si="80"/>
        <v>-1.036011423530428E-2</v>
      </c>
    </row>
    <row r="4566" spans="2:7" x14ac:dyDescent="0.25">
      <c r="B4566" s="98"/>
      <c r="F4566">
        <v>4562</v>
      </c>
      <c r="G4566" s="109">
        <f t="shared" ca="1" si="80"/>
        <v>-4.1336219830449453E-2</v>
      </c>
    </row>
    <row r="4567" spans="2:7" x14ac:dyDescent="0.25">
      <c r="B4567" s="98"/>
      <c r="F4567">
        <v>4563</v>
      </c>
      <c r="G4567" s="109">
        <f t="shared" ca="1" si="80"/>
        <v>-3.971073843441332E-2</v>
      </c>
    </row>
    <row r="4568" spans="2:7" x14ac:dyDescent="0.25">
      <c r="B4568" s="98"/>
      <c r="F4568">
        <v>4564</v>
      </c>
      <c r="G4568" s="109">
        <f t="shared" ca="1" si="80"/>
        <v>-1.1892179601648678E-2</v>
      </c>
    </row>
    <row r="4569" spans="2:7" x14ac:dyDescent="0.25">
      <c r="B4569" s="98"/>
      <c r="F4569">
        <v>4565</v>
      </c>
      <c r="G4569" s="109">
        <f t="shared" ca="1" si="80"/>
        <v>-2.5145817549294333E-3</v>
      </c>
    </row>
    <row r="4570" spans="2:7" x14ac:dyDescent="0.25">
      <c r="B4570" s="98"/>
      <c r="F4570">
        <v>4566</v>
      </c>
      <c r="G4570" s="109">
        <f t="shared" ca="1" si="80"/>
        <v>0.16083993993429865</v>
      </c>
    </row>
    <row r="4571" spans="2:7" x14ac:dyDescent="0.25">
      <c r="B4571" s="98"/>
      <c r="F4571">
        <v>4567</v>
      </c>
      <c r="G4571" s="109">
        <f t="shared" ca="1" si="80"/>
        <v>-2.8117433534504271E-2</v>
      </c>
    </row>
    <row r="4572" spans="2:7" x14ac:dyDescent="0.25">
      <c r="B4572" s="98"/>
      <c r="F4572">
        <v>4568</v>
      </c>
      <c r="G4572" s="109">
        <f t="shared" ca="1" si="80"/>
        <v>-7.3834448669958044E-3</v>
      </c>
    </row>
    <row r="4573" spans="2:7" x14ac:dyDescent="0.25">
      <c r="B4573" s="98"/>
      <c r="F4573">
        <v>4569</v>
      </c>
      <c r="G4573" s="109">
        <f t="shared" ca="1" si="80"/>
        <v>0.11795318146174028</v>
      </c>
    </row>
    <row r="4574" spans="2:7" x14ac:dyDescent="0.25">
      <c r="B4574" s="98"/>
      <c r="F4574">
        <v>4570</v>
      </c>
      <c r="G4574" s="109">
        <f t="shared" ca="1" si="80"/>
        <v>-3.2918634612580863E-2</v>
      </c>
    </row>
    <row r="4575" spans="2:7" x14ac:dyDescent="0.25">
      <c r="B4575" s="98"/>
      <c r="F4575">
        <v>4571</v>
      </c>
      <c r="G4575" s="109">
        <f t="shared" ca="1" si="80"/>
        <v>9.4493769037092556E-3</v>
      </c>
    </row>
    <row r="4576" spans="2:7" x14ac:dyDescent="0.25">
      <c r="B4576" s="98"/>
      <c r="F4576">
        <v>4572</v>
      </c>
      <c r="G4576" s="109">
        <f t="shared" ca="1" si="80"/>
        <v>0.11067090665905573</v>
      </c>
    </row>
    <row r="4577" spans="2:7" x14ac:dyDescent="0.25">
      <c r="B4577" s="98"/>
      <c r="F4577">
        <v>4573</v>
      </c>
      <c r="G4577" s="109">
        <f t="shared" ca="1" si="80"/>
        <v>1.6628431689695432E-2</v>
      </c>
    </row>
    <row r="4578" spans="2:7" x14ac:dyDescent="0.25">
      <c r="B4578" s="98"/>
      <c r="F4578">
        <v>4574</v>
      </c>
      <c r="G4578" s="109">
        <f t="shared" ca="1" si="80"/>
        <v>1.9878715059074837E-2</v>
      </c>
    </row>
    <row r="4579" spans="2:7" x14ac:dyDescent="0.25">
      <c r="B4579" s="98"/>
      <c r="F4579">
        <v>4575</v>
      </c>
      <c r="G4579" s="109">
        <f t="shared" ca="1" si="80"/>
        <v>-2.3827413843002798E-2</v>
      </c>
    </row>
    <row r="4580" spans="2:7" x14ac:dyDescent="0.25">
      <c r="B4580" s="98"/>
      <c r="F4580">
        <v>4576</v>
      </c>
      <c r="G4580" s="109">
        <f t="shared" ca="1" si="80"/>
        <v>-7.1478346591901415E-2</v>
      </c>
    </row>
    <row r="4581" spans="2:7" x14ac:dyDescent="0.25">
      <c r="B4581" s="98"/>
      <c r="F4581">
        <v>4577</v>
      </c>
      <c r="G4581" s="109">
        <f t="shared" ca="1" si="80"/>
        <v>-1.5849681908670671E-2</v>
      </c>
    </row>
    <row r="4582" spans="2:7" x14ac:dyDescent="0.25">
      <c r="B4582" s="98"/>
      <c r="F4582">
        <v>4578</v>
      </c>
      <c r="G4582" s="109">
        <f t="shared" ca="1" si="80"/>
        <v>-0.17189583837405148</v>
      </c>
    </row>
    <row r="4583" spans="2:7" x14ac:dyDescent="0.25">
      <c r="B4583" s="98"/>
      <c r="F4583">
        <v>4579</v>
      </c>
      <c r="G4583" s="109">
        <f t="shared" ca="1" si="80"/>
        <v>0.10805180430103485</v>
      </c>
    </row>
    <row r="4584" spans="2:7" x14ac:dyDescent="0.25">
      <c r="B4584" s="98"/>
      <c r="F4584">
        <v>4580</v>
      </c>
      <c r="G4584" s="109">
        <f t="shared" ca="1" si="80"/>
        <v>4.7907265600675847E-2</v>
      </c>
    </row>
    <row r="4585" spans="2:7" x14ac:dyDescent="0.25">
      <c r="B4585" s="98"/>
      <c r="F4585">
        <v>4581</v>
      </c>
      <c r="G4585" s="109">
        <f t="shared" ca="1" si="80"/>
        <v>0.10577643374133433</v>
      </c>
    </row>
    <row r="4586" spans="2:7" x14ac:dyDescent="0.25">
      <c r="B4586" s="98"/>
      <c r="F4586">
        <v>4582</v>
      </c>
      <c r="G4586" s="109">
        <f t="shared" ca="1" si="80"/>
        <v>-0.20537503569005466</v>
      </c>
    </row>
    <row r="4587" spans="2:7" x14ac:dyDescent="0.25">
      <c r="B4587" s="98"/>
      <c r="F4587">
        <v>4583</v>
      </c>
      <c r="G4587" s="109">
        <f t="shared" ca="1" si="80"/>
        <v>1.3139188008161919E-2</v>
      </c>
    </row>
    <row r="4588" spans="2:7" x14ac:dyDescent="0.25">
      <c r="B4588" s="98"/>
      <c r="F4588">
        <v>4584</v>
      </c>
      <c r="G4588" s="109">
        <f t="shared" ca="1" si="80"/>
        <v>1.3791495160663671E-2</v>
      </c>
    </row>
    <row r="4589" spans="2:7" x14ac:dyDescent="0.25">
      <c r="B4589" s="98"/>
      <c r="F4589">
        <v>4585</v>
      </c>
      <c r="G4589" s="109">
        <f t="shared" ca="1" si="80"/>
        <v>6.1886002366307293E-2</v>
      </c>
    </row>
    <row r="4590" spans="2:7" x14ac:dyDescent="0.25">
      <c r="B4590" s="98"/>
      <c r="F4590">
        <v>4586</v>
      </c>
      <c r="G4590" s="109">
        <f t="shared" ca="1" si="80"/>
        <v>-9.1064313529040083E-2</v>
      </c>
    </row>
    <row r="4591" spans="2:7" x14ac:dyDescent="0.25">
      <c r="B4591" s="98"/>
      <c r="F4591">
        <v>4587</v>
      </c>
      <c r="G4591" s="109">
        <f t="shared" ca="1" si="80"/>
        <v>3.3607207663299624E-3</v>
      </c>
    </row>
    <row r="4592" spans="2:7" x14ac:dyDescent="0.25">
      <c r="B4592" s="98"/>
      <c r="F4592">
        <v>4588</v>
      </c>
      <c r="G4592" s="109">
        <f t="shared" ca="1" si="80"/>
        <v>-4.6673395547491003E-3</v>
      </c>
    </row>
    <row r="4593" spans="2:7" x14ac:dyDescent="0.25">
      <c r="B4593" s="98"/>
      <c r="F4593">
        <v>4589</v>
      </c>
      <c r="G4593" s="109">
        <f t="shared" ca="1" si="80"/>
        <v>6.6909606935748392E-2</v>
      </c>
    </row>
    <row r="4594" spans="2:7" x14ac:dyDescent="0.25">
      <c r="B4594" s="98"/>
      <c r="F4594">
        <v>4590</v>
      </c>
      <c r="G4594" s="109">
        <f t="shared" ca="1" si="80"/>
        <v>-0.14426582877765437</v>
      </c>
    </row>
    <row r="4595" spans="2:7" x14ac:dyDescent="0.25">
      <c r="B4595" s="98"/>
      <c r="F4595">
        <v>4591</v>
      </c>
      <c r="G4595" s="109">
        <f t="shared" ca="1" si="80"/>
        <v>0.14599012351533669</v>
      </c>
    </row>
    <row r="4596" spans="2:7" x14ac:dyDescent="0.25">
      <c r="B4596" s="98"/>
      <c r="F4596">
        <v>4592</v>
      </c>
      <c r="G4596" s="109">
        <f t="shared" ca="1" si="80"/>
        <v>8.4768982515973285E-2</v>
      </c>
    </row>
    <row r="4597" spans="2:7" x14ac:dyDescent="0.25">
      <c r="B4597" s="98"/>
      <c r="F4597">
        <v>4593</v>
      </c>
      <c r="G4597" s="109">
        <f t="shared" ca="1" si="80"/>
        <v>8.2236190944406304E-2</v>
      </c>
    </row>
    <row r="4598" spans="2:7" x14ac:dyDescent="0.25">
      <c r="B4598" s="98"/>
      <c r="F4598">
        <v>4594</v>
      </c>
      <c r="G4598" s="109">
        <f t="shared" ca="1" si="80"/>
        <v>4.0637998946423219E-2</v>
      </c>
    </row>
    <row r="4599" spans="2:7" x14ac:dyDescent="0.25">
      <c r="B4599" s="98"/>
      <c r="F4599">
        <v>4595</v>
      </c>
      <c r="G4599" s="109">
        <f t="shared" ca="1" si="80"/>
        <v>-8.4016978883199242E-2</v>
      </c>
    </row>
    <row r="4600" spans="2:7" x14ac:dyDescent="0.25">
      <c r="B4600" s="98"/>
      <c r="F4600">
        <v>4596</v>
      </c>
      <c r="G4600" s="109">
        <f t="shared" ca="1" si="80"/>
        <v>4.1539441693372085E-2</v>
      </c>
    </row>
    <row r="4601" spans="2:7" x14ac:dyDescent="0.25">
      <c r="B4601" s="98"/>
      <c r="F4601">
        <v>4597</v>
      </c>
      <c r="G4601" s="109">
        <f t="shared" ca="1" si="80"/>
        <v>-3.6504433645571946E-2</v>
      </c>
    </row>
    <row r="4602" spans="2:7" x14ac:dyDescent="0.25">
      <c r="B4602" s="98"/>
      <c r="F4602">
        <v>4598</v>
      </c>
      <c r="G4602" s="109">
        <f t="shared" ca="1" si="80"/>
        <v>5.9802420918124231E-2</v>
      </c>
    </row>
    <row r="4603" spans="2:7" x14ac:dyDescent="0.25">
      <c r="B4603" s="98"/>
      <c r="F4603">
        <v>4599</v>
      </c>
      <c r="G4603" s="109">
        <f t="shared" ca="1" si="80"/>
        <v>7.9838128858317842E-2</v>
      </c>
    </row>
    <row r="4604" spans="2:7" x14ac:dyDescent="0.25">
      <c r="B4604" s="98"/>
      <c r="F4604">
        <v>4600</v>
      </c>
      <c r="G4604" s="109">
        <f t="shared" ca="1" si="80"/>
        <v>0.18834953182831715</v>
      </c>
    </row>
    <row r="4605" spans="2:7" x14ac:dyDescent="0.25">
      <c r="B4605" s="98"/>
      <c r="F4605">
        <v>4601</v>
      </c>
      <c r="G4605" s="109">
        <f t="shared" ca="1" si="80"/>
        <v>-0.13725240387323651</v>
      </c>
    </row>
    <row r="4606" spans="2:7" x14ac:dyDescent="0.25">
      <c r="B4606" s="98"/>
      <c r="F4606">
        <v>4602</v>
      </c>
      <c r="G4606" s="109">
        <f t="shared" ca="1" si="80"/>
        <v>-9.4351387639409881E-2</v>
      </c>
    </row>
    <row r="4607" spans="2:7" x14ac:dyDescent="0.25">
      <c r="B4607" s="98"/>
      <c r="F4607">
        <v>4603</v>
      </c>
      <c r="G4607" s="109">
        <f t="shared" ca="1" si="80"/>
        <v>-1.7482527706764936E-2</v>
      </c>
    </row>
    <row r="4608" spans="2:7" x14ac:dyDescent="0.25">
      <c r="B4608" s="98"/>
      <c r="F4608">
        <v>4604</v>
      </c>
      <c r="G4608" s="109">
        <f t="shared" ca="1" si="80"/>
        <v>9.8310563820149022E-2</v>
      </c>
    </row>
    <row r="4609" spans="2:7" x14ac:dyDescent="0.25">
      <c r="B4609" s="98"/>
      <c r="F4609">
        <v>4605</v>
      </c>
      <c r="G4609" s="109">
        <f t="shared" ca="1" si="80"/>
        <v>7.0565742800696857E-3</v>
      </c>
    </row>
    <row r="4610" spans="2:7" x14ac:dyDescent="0.25">
      <c r="B4610" s="98"/>
      <c r="F4610">
        <v>4606</v>
      </c>
      <c r="G4610" s="109">
        <f t="shared" ca="1" si="80"/>
        <v>0.15430673852100718</v>
      </c>
    </row>
    <row r="4611" spans="2:7" x14ac:dyDescent="0.25">
      <c r="B4611" s="98"/>
      <c r="F4611">
        <v>4607</v>
      </c>
      <c r="G4611" s="109">
        <f t="shared" ca="1" si="80"/>
        <v>0.12390719729398153</v>
      </c>
    </row>
    <row r="4612" spans="2:7" x14ac:dyDescent="0.25">
      <c r="B4612" s="98"/>
      <c r="F4612">
        <v>4608</v>
      </c>
      <c r="G4612" s="109">
        <f t="shared" ca="1" si="80"/>
        <v>8.3381275845038821E-2</v>
      </c>
    </row>
    <row r="4613" spans="2:7" x14ac:dyDescent="0.25">
      <c r="B4613" s="98"/>
      <c r="F4613">
        <v>4609</v>
      </c>
      <c r="G4613" s="109">
        <f t="shared" ca="1" si="80"/>
        <v>7.4257465295735625E-2</v>
      </c>
    </row>
    <row r="4614" spans="2:7" x14ac:dyDescent="0.25">
      <c r="B4614" s="98"/>
      <c r="F4614">
        <v>4610</v>
      </c>
      <c r="G4614" s="109">
        <f t="shared" ref="G4614:G4677" ca="1" si="81">_xlfn.NORM.INV(RAND(),$M$5,$M$6)</f>
        <v>-4.3203568439749485E-2</v>
      </c>
    </row>
    <row r="4615" spans="2:7" x14ac:dyDescent="0.25">
      <c r="B4615" s="98"/>
      <c r="F4615">
        <v>4611</v>
      </c>
      <c r="G4615" s="109">
        <f t="shared" ca="1" si="81"/>
        <v>-2.0117734331710199E-2</v>
      </c>
    </row>
    <row r="4616" spans="2:7" x14ac:dyDescent="0.25">
      <c r="B4616" s="98"/>
      <c r="F4616">
        <v>4612</v>
      </c>
      <c r="G4616" s="109">
        <f t="shared" ca="1" si="81"/>
        <v>-0.10210044804268799</v>
      </c>
    </row>
    <row r="4617" spans="2:7" x14ac:dyDescent="0.25">
      <c r="B4617" s="98"/>
      <c r="F4617">
        <v>4613</v>
      </c>
      <c r="G4617" s="109">
        <f t="shared" ca="1" si="81"/>
        <v>0.21631708291140539</v>
      </c>
    </row>
    <row r="4618" spans="2:7" x14ac:dyDescent="0.25">
      <c r="B4618" s="98"/>
      <c r="F4618">
        <v>4614</v>
      </c>
      <c r="G4618" s="109">
        <f t="shared" ca="1" si="81"/>
        <v>-7.4689205634382444E-4</v>
      </c>
    </row>
    <row r="4619" spans="2:7" x14ac:dyDescent="0.25">
      <c r="B4619" s="98"/>
      <c r="F4619">
        <v>4615</v>
      </c>
      <c r="G4619" s="109">
        <f t="shared" ca="1" si="81"/>
        <v>0.21963703021742331</v>
      </c>
    </row>
    <row r="4620" spans="2:7" x14ac:dyDescent="0.25">
      <c r="B4620" s="98"/>
      <c r="F4620">
        <v>4616</v>
      </c>
      <c r="G4620" s="109">
        <f t="shared" ca="1" si="81"/>
        <v>8.4746515747772672E-3</v>
      </c>
    </row>
    <row r="4621" spans="2:7" x14ac:dyDescent="0.25">
      <c r="B4621" s="98"/>
      <c r="F4621">
        <v>4617</v>
      </c>
      <c r="G4621" s="109">
        <f t="shared" ca="1" si="81"/>
        <v>4.0768976623973829E-2</v>
      </c>
    </row>
    <row r="4622" spans="2:7" x14ac:dyDescent="0.25">
      <c r="B4622" s="98"/>
      <c r="F4622">
        <v>4618</v>
      </c>
      <c r="G4622" s="109">
        <f t="shared" ca="1" si="81"/>
        <v>0.18319747700266542</v>
      </c>
    </row>
    <row r="4623" spans="2:7" x14ac:dyDescent="0.25">
      <c r="B4623" s="98"/>
      <c r="F4623">
        <v>4619</v>
      </c>
      <c r="G4623" s="109">
        <f t="shared" ca="1" si="81"/>
        <v>0.10758165713706436</v>
      </c>
    </row>
    <row r="4624" spans="2:7" x14ac:dyDescent="0.25">
      <c r="B4624" s="98"/>
      <c r="F4624">
        <v>4620</v>
      </c>
      <c r="G4624" s="109">
        <f t="shared" ca="1" si="81"/>
        <v>6.4525990813164139E-2</v>
      </c>
    </row>
    <row r="4625" spans="2:7" x14ac:dyDescent="0.25">
      <c r="B4625" s="98"/>
      <c r="F4625">
        <v>4621</v>
      </c>
      <c r="G4625" s="109">
        <f t="shared" ca="1" si="81"/>
        <v>-1.4509036827257578E-2</v>
      </c>
    </row>
    <row r="4626" spans="2:7" x14ac:dyDescent="0.25">
      <c r="B4626" s="98"/>
      <c r="F4626">
        <v>4622</v>
      </c>
      <c r="G4626" s="109">
        <f t="shared" ca="1" si="81"/>
        <v>-2.0573058404632555E-2</v>
      </c>
    </row>
    <row r="4627" spans="2:7" x14ac:dyDescent="0.25">
      <c r="B4627" s="98"/>
      <c r="F4627">
        <v>4623</v>
      </c>
      <c r="G4627" s="109">
        <f t="shared" ca="1" si="81"/>
        <v>6.6697791899805597E-2</v>
      </c>
    </row>
    <row r="4628" spans="2:7" x14ac:dyDescent="0.25">
      <c r="B4628" s="98"/>
      <c r="F4628">
        <v>4624</v>
      </c>
      <c r="G4628" s="109">
        <f t="shared" ca="1" si="81"/>
        <v>-5.1402044600641142E-3</v>
      </c>
    </row>
    <row r="4629" spans="2:7" x14ac:dyDescent="0.25">
      <c r="B4629" s="98"/>
      <c r="F4629">
        <v>4625</v>
      </c>
      <c r="G4629" s="109">
        <f t="shared" ca="1" si="81"/>
        <v>0.12571074757875442</v>
      </c>
    </row>
    <row r="4630" spans="2:7" x14ac:dyDescent="0.25">
      <c r="B4630" s="98"/>
      <c r="F4630">
        <v>4626</v>
      </c>
      <c r="G4630" s="109">
        <f t="shared" ca="1" si="81"/>
        <v>7.8658220240635318E-2</v>
      </c>
    </row>
    <row r="4631" spans="2:7" x14ac:dyDescent="0.25">
      <c r="B4631" s="98"/>
      <c r="F4631">
        <v>4627</v>
      </c>
      <c r="G4631" s="109">
        <f t="shared" ca="1" si="81"/>
        <v>-5.1710998882506687E-2</v>
      </c>
    </row>
    <row r="4632" spans="2:7" x14ac:dyDescent="0.25">
      <c r="B4632" s="98"/>
      <c r="F4632">
        <v>4628</v>
      </c>
      <c r="G4632" s="109">
        <f t="shared" ca="1" si="81"/>
        <v>0.15770808834170785</v>
      </c>
    </row>
    <row r="4633" spans="2:7" x14ac:dyDescent="0.25">
      <c r="B4633" s="98"/>
      <c r="F4633">
        <v>4629</v>
      </c>
      <c r="G4633" s="109">
        <f t="shared" ca="1" si="81"/>
        <v>-8.3778635158057044E-2</v>
      </c>
    </row>
    <row r="4634" spans="2:7" x14ac:dyDescent="0.25">
      <c r="B4634" s="98"/>
      <c r="F4634">
        <v>4630</v>
      </c>
      <c r="G4634" s="109">
        <f t="shared" ca="1" si="81"/>
        <v>1.210001219945693E-2</v>
      </c>
    </row>
    <row r="4635" spans="2:7" x14ac:dyDescent="0.25">
      <c r="B4635" s="98"/>
      <c r="F4635">
        <v>4631</v>
      </c>
      <c r="G4635" s="109">
        <f t="shared" ca="1" si="81"/>
        <v>8.6527388245663805E-3</v>
      </c>
    </row>
    <row r="4636" spans="2:7" x14ac:dyDescent="0.25">
      <c r="B4636" s="98"/>
      <c r="F4636">
        <v>4632</v>
      </c>
      <c r="G4636" s="109">
        <f t="shared" ca="1" si="81"/>
        <v>-5.1750833110149858E-2</v>
      </c>
    </row>
    <row r="4637" spans="2:7" x14ac:dyDescent="0.25">
      <c r="B4637" s="98"/>
      <c r="F4637">
        <v>4633</v>
      </c>
      <c r="G4637" s="109">
        <f t="shared" ca="1" si="81"/>
        <v>1.0122163979570081E-2</v>
      </c>
    </row>
    <row r="4638" spans="2:7" x14ac:dyDescent="0.25">
      <c r="B4638" s="98"/>
      <c r="F4638">
        <v>4634</v>
      </c>
      <c r="G4638" s="109">
        <f t="shared" ca="1" si="81"/>
        <v>-3.0375007142348795E-2</v>
      </c>
    </row>
    <row r="4639" spans="2:7" x14ac:dyDescent="0.25">
      <c r="B4639" s="98"/>
      <c r="F4639">
        <v>4635</v>
      </c>
      <c r="G4639" s="109">
        <f t="shared" ca="1" si="81"/>
        <v>6.649270822351519E-2</v>
      </c>
    </row>
    <row r="4640" spans="2:7" x14ac:dyDescent="0.25">
      <c r="B4640" s="98"/>
      <c r="F4640">
        <v>4636</v>
      </c>
      <c r="G4640" s="109">
        <f t="shared" ca="1" si="81"/>
        <v>9.790811476277228E-2</v>
      </c>
    </row>
    <row r="4641" spans="2:7" x14ac:dyDescent="0.25">
      <c r="B4641" s="98"/>
      <c r="F4641">
        <v>4637</v>
      </c>
      <c r="G4641" s="109">
        <f t="shared" ca="1" si="81"/>
        <v>0.12734153635598999</v>
      </c>
    </row>
    <row r="4642" spans="2:7" x14ac:dyDescent="0.25">
      <c r="B4642" s="98"/>
      <c r="F4642">
        <v>4638</v>
      </c>
      <c r="G4642" s="109">
        <f t="shared" ca="1" si="81"/>
        <v>0.11850077932480171</v>
      </c>
    </row>
    <row r="4643" spans="2:7" x14ac:dyDescent="0.25">
      <c r="B4643" s="98"/>
      <c r="F4643">
        <v>4639</v>
      </c>
      <c r="G4643" s="109">
        <f t="shared" ca="1" si="81"/>
        <v>0.12735568164132732</v>
      </c>
    </row>
    <row r="4644" spans="2:7" x14ac:dyDescent="0.25">
      <c r="B4644" s="98"/>
      <c r="F4644">
        <v>4640</v>
      </c>
      <c r="G4644" s="109">
        <f t="shared" ca="1" si="81"/>
        <v>3.5642914598605864E-2</v>
      </c>
    </row>
    <row r="4645" spans="2:7" x14ac:dyDescent="0.25">
      <c r="B4645" s="98"/>
      <c r="F4645">
        <v>4641</v>
      </c>
      <c r="G4645" s="109">
        <f t="shared" ca="1" si="81"/>
        <v>-0.10112357517920322</v>
      </c>
    </row>
    <row r="4646" spans="2:7" x14ac:dyDescent="0.25">
      <c r="B4646" s="98"/>
      <c r="F4646">
        <v>4642</v>
      </c>
      <c r="G4646" s="109">
        <f t="shared" ca="1" si="81"/>
        <v>9.7325574452337665E-2</v>
      </c>
    </row>
    <row r="4647" spans="2:7" x14ac:dyDescent="0.25">
      <c r="B4647" s="98"/>
      <c r="F4647">
        <v>4643</v>
      </c>
      <c r="G4647" s="109">
        <f t="shared" ca="1" si="81"/>
        <v>5.2765846315995665E-2</v>
      </c>
    </row>
    <row r="4648" spans="2:7" x14ac:dyDescent="0.25">
      <c r="B4648" s="98"/>
      <c r="F4648">
        <v>4644</v>
      </c>
      <c r="G4648" s="109">
        <f t="shared" ca="1" si="81"/>
        <v>9.8958305239758459E-2</v>
      </c>
    </row>
    <row r="4649" spans="2:7" x14ac:dyDescent="0.25">
      <c r="B4649" s="98"/>
      <c r="F4649">
        <v>4645</v>
      </c>
      <c r="G4649" s="109">
        <f t="shared" ca="1" si="81"/>
        <v>0.1806920580220614</v>
      </c>
    </row>
    <row r="4650" spans="2:7" x14ac:dyDescent="0.25">
      <c r="B4650" s="98"/>
      <c r="F4650">
        <v>4646</v>
      </c>
      <c r="G4650" s="109">
        <f t="shared" ca="1" si="81"/>
        <v>9.0538030092679134E-2</v>
      </c>
    </row>
    <row r="4651" spans="2:7" x14ac:dyDescent="0.25">
      <c r="B4651" s="98"/>
      <c r="F4651">
        <v>4647</v>
      </c>
      <c r="G4651" s="109">
        <f t="shared" ca="1" si="81"/>
        <v>0.1385954291449514</v>
      </c>
    </row>
    <row r="4652" spans="2:7" x14ac:dyDescent="0.25">
      <c r="B4652" s="98"/>
      <c r="F4652">
        <v>4648</v>
      </c>
      <c r="G4652" s="109">
        <f t="shared" ca="1" si="81"/>
        <v>2.4090854836905522E-2</v>
      </c>
    </row>
    <row r="4653" spans="2:7" x14ac:dyDescent="0.25">
      <c r="B4653" s="98"/>
      <c r="F4653">
        <v>4649</v>
      </c>
      <c r="G4653" s="109">
        <f t="shared" ca="1" si="81"/>
        <v>0.21928297675371067</v>
      </c>
    </row>
    <row r="4654" spans="2:7" x14ac:dyDescent="0.25">
      <c r="B4654" s="98"/>
      <c r="F4654">
        <v>4650</v>
      </c>
      <c r="G4654" s="109">
        <f t="shared" ca="1" si="81"/>
        <v>-3.1577820478337876E-2</v>
      </c>
    </row>
    <row r="4655" spans="2:7" x14ac:dyDescent="0.25">
      <c r="B4655" s="98"/>
      <c r="F4655">
        <v>4651</v>
      </c>
      <c r="G4655" s="109">
        <f t="shared" ca="1" si="81"/>
        <v>0.16593852712656557</v>
      </c>
    </row>
    <row r="4656" spans="2:7" x14ac:dyDescent="0.25">
      <c r="B4656" s="98"/>
      <c r="F4656">
        <v>4652</v>
      </c>
      <c r="G4656" s="109">
        <f t="shared" ca="1" si="81"/>
        <v>5.9694740740477627E-2</v>
      </c>
    </row>
    <row r="4657" spans="2:7" x14ac:dyDescent="0.25">
      <c r="B4657" s="98"/>
      <c r="F4657">
        <v>4653</v>
      </c>
      <c r="G4657" s="109">
        <f t="shared" ca="1" si="81"/>
        <v>0.21774126219458884</v>
      </c>
    </row>
    <row r="4658" spans="2:7" x14ac:dyDescent="0.25">
      <c r="B4658" s="98"/>
      <c r="F4658">
        <v>4654</v>
      </c>
      <c r="G4658" s="109">
        <f t="shared" ca="1" si="81"/>
        <v>6.4453266315337224E-3</v>
      </c>
    </row>
    <row r="4659" spans="2:7" x14ac:dyDescent="0.25">
      <c r="B4659" s="98"/>
      <c r="F4659">
        <v>4655</v>
      </c>
      <c r="G4659" s="109">
        <f t="shared" ca="1" si="81"/>
        <v>-0.17356065406667487</v>
      </c>
    </row>
    <row r="4660" spans="2:7" x14ac:dyDescent="0.25">
      <c r="B4660" s="98"/>
      <c r="F4660">
        <v>4656</v>
      </c>
      <c r="G4660" s="109">
        <f t="shared" ca="1" si="81"/>
        <v>0.10231871029944652</v>
      </c>
    </row>
    <row r="4661" spans="2:7" x14ac:dyDescent="0.25">
      <c r="B4661" s="98"/>
      <c r="F4661">
        <v>4657</v>
      </c>
      <c r="G4661" s="109">
        <f t="shared" ca="1" si="81"/>
        <v>-3.389607491577723E-2</v>
      </c>
    </row>
    <row r="4662" spans="2:7" x14ac:dyDescent="0.25">
      <c r="B4662" s="98"/>
      <c r="F4662">
        <v>4658</v>
      </c>
      <c r="G4662" s="109">
        <f t="shared" ca="1" si="81"/>
        <v>-5.0738055146234876E-2</v>
      </c>
    </row>
    <row r="4663" spans="2:7" x14ac:dyDescent="0.25">
      <c r="B4663" s="98"/>
      <c r="F4663">
        <v>4659</v>
      </c>
      <c r="G4663" s="109">
        <f t="shared" ca="1" si="81"/>
        <v>7.7839609096659462E-2</v>
      </c>
    </row>
    <row r="4664" spans="2:7" x14ac:dyDescent="0.25">
      <c r="B4664" s="98"/>
      <c r="F4664">
        <v>4660</v>
      </c>
      <c r="G4664" s="109">
        <f t="shared" ca="1" si="81"/>
        <v>0.1219946633936753</v>
      </c>
    </row>
    <row r="4665" spans="2:7" x14ac:dyDescent="0.25">
      <c r="B4665" s="98"/>
      <c r="F4665">
        <v>4661</v>
      </c>
      <c r="G4665" s="109">
        <f t="shared" ca="1" si="81"/>
        <v>0.3408077650964465</v>
      </c>
    </row>
    <row r="4666" spans="2:7" x14ac:dyDescent="0.25">
      <c r="B4666" s="98"/>
      <c r="F4666">
        <v>4662</v>
      </c>
      <c r="G4666" s="109">
        <f t="shared" ca="1" si="81"/>
        <v>0.14062652624024613</v>
      </c>
    </row>
    <row r="4667" spans="2:7" x14ac:dyDescent="0.25">
      <c r="B4667" s="98"/>
      <c r="F4667">
        <v>4663</v>
      </c>
      <c r="G4667" s="109">
        <f t="shared" ca="1" si="81"/>
        <v>0.2564388682867908</v>
      </c>
    </row>
    <row r="4668" spans="2:7" x14ac:dyDescent="0.25">
      <c r="B4668" s="98"/>
      <c r="F4668">
        <v>4664</v>
      </c>
      <c r="G4668" s="109">
        <f t="shared" ca="1" si="81"/>
        <v>0.11338500934070091</v>
      </c>
    </row>
    <row r="4669" spans="2:7" x14ac:dyDescent="0.25">
      <c r="B4669" s="98"/>
      <c r="F4669">
        <v>4665</v>
      </c>
      <c r="G4669" s="109">
        <f t="shared" ca="1" si="81"/>
        <v>0.16944785936077353</v>
      </c>
    </row>
    <row r="4670" spans="2:7" x14ac:dyDescent="0.25">
      <c r="B4670" s="98"/>
      <c r="F4670">
        <v>4666</v>
      </c>
      <c r="G4670" s="109">
        <f t="shared" ca="1" si="81"/>
        <v>2.433447291235586E-2</v>
      </c>
    </row>
    <row r="4671" spans="2:7" x14ac:dyDescent="0.25">
      <c r="B4671" s="98"/>
      <c r="F4671">
        <v>4667</v>
      </c>
      <c r="G4671" s="109">
        <f t="shared" ca="1" si="81"/>
        <v>1.9907750432568691E-2</v>
      </c>
    </row>
    <row r="4672" spans="2:7" x14ac:dyDescent="0.25">
      <c r="B4672" s="98"/>
      <c r="F4672">
        <v>4668</v>
      </c>
      <c r="G4672" s="109">
        <f t="shared" ca="1" si="81"/>
        <v>7.3252763173184396E-2</v>
      </c>
    </row>
    <row r="4673" spans="2:7" x14ac:dyDescent="0.25">
      <c r="B4673" s="98"/>
      <c r="F4673">
        <v>4669</v>
      </c>
      <c r="G4673" s="109">
        <f t="shared" ca="1" si="81"/>
        <v>4.9312729665021364E-2</v>
      </c>
    </row>
    <row r="4674" spans="2:7" x14ac:dyDescent="0.25">
      <c r="B4674" s="98"/>
      <c r="F4674">
        <v>4670</v>
      </c>
      <c r="G4674" s="109">
        <f t="shared" ca="1" si="81"/>
        <v>0.2207703236483497</v>
      </c>
    </row>
    <row r="4675" spans="2:7" x14ac:dyDescent="0.25">
      <c r="B4675" s="98"/>
      <c r="F4675">
        <v>4671</v>
      </c>
      <c r="G4675" s="109">
        <f t="shared" ca="1" si="81"/>
        <v>1.9356989329805674E-3</v>
      </c>
    </row>
    <row r="4676" spans="2:7" x14ac:dyDescent="0.25">
      <c r="B4676" s="98"/>
      <c r="F4676">
        <v>4672</v>
      </c>
      <c r="G4676" s="109">
        <f t="shared" ca="1" si="81"/>
        <v>-5.0972297354605442E-2</v>
      </c>
    </row>
    <row r="4677" spans="2:7" x14ac:dyDescent="0.25">
      <c r="B4677" s="98"/>
      <c r="F4677">
        <v>4673</v>
      </c>
      <c r="G4677" s="109">
        <f t="shared" ca="1" si="81"/>
        <v>-1.6921366450373496E-2</v>
      </c>
    </row>
    <row r="4678" spans="2:7" x14ac:dyDescent="0.25">
      <c r="B4678" s="98"/>
      <c r="F4678">
        <v>4674</v>
      </c>
      <c r="G4678" s="109">
        <f t="shared" ref="G4678:G4741" ca="1" si="82">_xlfn.NORM.INV(RAND(),$M$5,$M$6)</f>
        <v>0.12693413181847088</v>
      </c>
    </row>
    <row r="4679" spans="2:7" x14ac:dyDescent="0.25">
      <c r="B4679" s="98"/>
      <c r="F4679">
        <v>4675</v>
      </c>
      <c r="G4679" s="109">
        <f t="shared" ca="1" si="82"/>
        <v>0.20085435173309285</v>
      </c>
    </row>
    <row r="4680" spans="2:7" x14ac:dyDescent="0.25">
      <c r="B4680" s="98"/>
      <c r="F4680">
        <v>4676</v>
      </c>
      <c r="G4680" s="109">
        <f t="shared" ca="1" si="82"/>
        <v>-3.7592773914917582E-2</v>
      </c>
    </row>
    <row r="4681" spans="2:7" x14ac:dyDescent="0.25">
      <c r="B4681" s="98"/>
      <c r="F4681">
        <v>4677</v>
      </c>
      <c r="G4681" s="109">
        <f t="shared" ca="1" si="82"/>
        <v>0.14229016341760586</v>
      </c>
    </row>
    <row r="4682" spans="2:7" x14ac:dyDescent="0.25">
      <c r="B4682" s="98"/>
      <c r="F4682">
        <v>4678</v>
      </c>
      <c r="G4682" s="109">
        <f t="shared" ca="1" si="82"/>
        <v>3.4802304984706628E-2</v>
      </c>
    </row>
    <row r="4683" spans="2:7" x14ac:dyDescent="0.25">
      <c r="B4683" s="98"/>
      <c r="F4683">
        <v>4679</v>
      </c>
      <c r="G4683" s="109">
        <f t="shared" ca="1" si="82"/>
        <v>4.0972671372230741E-2</v>
      </c>
    </row>
    <row r="4684" spans="2:7" x14ac:dyDescent="0.25">
      <c r="B4684" s="98"/>
      <c r="F4684">
        <v>4680</v>
      </c>
      <c r="G4684" s="109">
        <f t="shared" ca="1" si="82"/>
        <v>-6.5289179925709998E-2</v>
      </c>
    </row>
    <row r="4685" spans="2:7" x14ac:dyDescent="0.25">
      <c r="B4685" s="98"/>
      <c r="F4685">
        <v>4681</v>
      </c>
      <c r="G4685" s="109">
        <f t="shared" ca="1" si="82"/>
        <v>0.1206313121886045</v>
      </c>
    </row>
    <row r="4686" spans="2:7" x14ac:dyDescent="0.25">
      <c r="B4686" s="98"/>
      <c r="F4686">
        <v>4682</v>
      </c>
      <c r="G4686" s="109">
        <f t="shared" ca="1" si="82"/>
        <v>3.9537365099708267E-2</v>
      </c>
    </row>
    <row r="4687" spans="2:7" x14ac:dyDescent="0.25">
      <c r="B4687" s="98"/>
      <c r="F4687">
        <v>4683</v>
      </c>
      <c r="G4687" s="109">
        <f t="shared" ca="1" si="82"/>
        <v>-2.8999962173918037E-2</v>
      </c>
    </row>
    <row r="4688" spans="2:7" x14ac:dyDescent="0.25">
      <c r="B4688" s="98"/>
      <c r="F4688">
        <v>4684</v>
      </c>
      <c r="G4688" s="109">
        <f t="shared" ca="1" si="82"/>
        <v>5.8152424376434426E-2</v>
      </c>
    </row>
    <row r="4689" spans="2:7" x14ac:dyDescent="0.25">
      <c r="B4689" s="98"/>
      <c r="F4689">
        <v>4685</v>
      </c>
      <c r="G4689" s="109">
        <f t="shared" ca="1" si="82"/>
        <v>0.15131757660342926</v>
      </c>
    </row>
    <row r="4690" spans="2:7" x14ac:dyDescent="0.25">
      <c r="B4690" s="98"/>
      <c r="F4690">
        <v>4686</v>
      </c>
      <c r="G4690" s="109">
        <f t="shared" ca="1" si="82"/>
        <v>3.8082213911275066E-2</v>
      </c>
    </row>
    <row r="4691" spans="2:7" x14ac:dyDescent="0.25">
      <c r="B4691" s="98"/>
      <c r="F4691">
        <v>4687</v>
      </c>
      <c r="G4691" s="109">
        <f t="shared" ca="1" si="82"/>
        <v>2.8954307709458078E-2</v>
      </c>
    </row>
    <row r="4692" spans="2:7" x14ac:dyDescent="0.25">
      <c r="B4692" s="98"/>
      <c r="F4692">
        <v>4688</v>
      </c>
      <c r="G4692" s="109">
        <f t="shared" ca="1" si="82"/>
        <v>-1.6455337738117783E-2</v>
      </c>
    </row>
    <row r="4693" spans="2:7" x14ac:dyDescent="0.25">
      <c r="B4693" s="98"/>
      <c r="F4693">
        <v>4689</v>
      </c>
      <c r="G4693" s="109">
        <f t="shared" ca="1" si="82"/>
        <v>0.14601688316835887</v>
      </c>
    </row>
    <row r="4694" spans="2:7" x14ac:dyDescent="0.25">
      <c r="B4694" s="98"/>
      <c r="F4694">
        <v>4690</v>
      </c>
      <c r="G4694" s="109">
        <f t="shared" ca="1" si="82"/>
        <v>1.639440835389144E-2</v>
      </c>
    </row>
    <row r="4695" spans="2:7" x14ac:dyDescent="0.25">
      <c r="B4695" s="98"/>
      <c r="F4695">
        <v>4691</v>
      </c>
      <c r="G4695" s="109">
        <f t="shared" ca="1" si="82"/>
        <v>7.5935688845977442E-2</v>
      </c>
    </row>
    <row r="4696" spans="2:7" x14ac:dyDescent="0.25">
      <c r="B4696" s="98"/>
      <c r="F4696">
        <v>4692</v>
      </c>
      <c r="G4696" s="109">
        <f t="shared" ca="1" si="82"/>
        <v>0.13074580204699232</v>
      </c>
    </row>
    <row r="4697" spans="2:7" x14ac:dyDescent="0.25">
      <c r="B4697" s="98"/>
      <c r="F4697">
        <v>4693</v>
      </c>
      <c r="G4697" s="109">
        <f t="shared" ca="1" si="82"/>
        <v>8.6467666677958133E-2</v>
      </c>
    </row>
    <row r="4698" spans="2:7" x14ac:dyDescent="0.25">
      <c r="B4698" s="98"/>
      <c r="F4698">
        <v>4694</v>
      </c>
      <c r="G4698" s="109">
        <f t="shared" ca="1" si="82"/>
        <v>8.0467993726275958E-3</v>
      </c>
    </row>
    <row r="4699" spans="2:7" x14ac:dyDescent="0.25">
      <c r="B4699" s="98"/>
      <c r="F4699">
        <v>4695</v>
      </c>
      <c r="G4699" s="109">
        <f t="shared" ca="1" si="82"/>
        <v>-7.0426724506482338E-2</v>
      </c>
    </row>
    <row r="4700" spans="2:7" x14ac:dyDescent="0.25">
      <c r="B4700" s="98"/>
      <c r="F4700">
        <v>4696</v>
      </c>
      <c r="G4700" s="109">
        <f t="shared" ca="1" si="82"/>
        <v>2.71762113870565E-2</v>
      </c>
    </row>
    <row r="4701" spans="2:7" x14ac:dyDescent="0.25">
      <c r="B4701" s="98"/>
      <c r="F4701">
        <v>4697</v>
      </c>
      <c r="G4701" s="109">
        <f t="shared" ca="1" si="82"/>
        <v>-7.7832475323175443E-3</v>
      </c>
    </row>
    <row r="4702" spans="2:7" x14ac:dyDescent="0.25">
      <c r="B4702" s="98"/>
      <c r="F4702">
        <v>4698</v>
      </c>
      <c r="G4702" s="109">
        <f t="shared" ca="1" si="82"/>
        <v>-7.4966960079037664E-2</v>
      </c>
    </row>
    <row r="4703" spans="2:7" x14ac:dyDescent="0.25">
      <c r="B4703" s="98"/>
      <c r="F4703">
        <v>4699</v>
      </c>
      <c r="G4703" s="109">
        <f t="shared" ca="1" si="82"/>
        <v>9.3570189439516671E-2</v>
      </c>
    </row>
    <row r="4704" spans="2:7" x14ac:dyDescent="0.25">
      <c r="B4704" s="98"/>
      <c r="F4704">
        <v>4700</v>
      </c>
      <c r="G4704" s="109">
        <f t="shared" ca="1" si="82"/>
        <v>0.14430837026081267</v>
      </c>
    </row>
    <row r="4705" spans="2:7" x14ac:dyDescent="0.25">
      <c r="B4705" s="98"/>
      <c r="F4705">
        <v>4701</v>
      </c>
      <c r="G4705" s="109">
        <f t="shared" ca="1" si="82"/>
        <v>8.8143662289604546E-2</v>
      </c>
    </row>
    <row r="4706" spans="2:7" x14ac:dyDescent="0.25">
      <c r="B4706" s="98"/>
      <c r="F4706">
        <v>4702</v>
      </c>
      <c r="G4706" s="109">
        <f t="shared" ca="1" si="82"/>
        <v>0.20131344423887226</v>
      </c>
    </row>
    <row r="4707" spans="2:7" x14ac:dyDescent="0.25">
      <c r="B4707" s="98"/>
      <c r="F4707">
        <v>4703</v>
      </c>
      <c r="G4707" s="109">
        <f t="shared" ca="1" si="82"/>
        <v>0.10022204099208851</v>
      </c>
    </row>
    <row r="4708" spans="2:7" x14ac:dyDescent="0.25">
      <c r="B4708" s="98"/>
      <c r="F4708">
        <v>4704</v>
      </c>
      <c r="G4708" s="109">
        <f t="shared" ca="1" si="82"/>
        <v>0.17710700505034721</v>
      </c>
    </row>
    <row r="4709" spans="2:7" x14ac:dyDescent="0.25">
      <c r="B4709" s="98"/>
      <c r="F4709">
        <v>4705</v>
      </c>
      <c r="G4709" s="109">
        <f t="shared" ca="1" si="82"/>
        <v>-8.1329462112022202E-2</v>
      </c>
    </row>
    <row r="4710" spans="2:7" x14ac:dyDescent="0.25">
      <c r="B4710" s="98"/>
      <c r="F4710">
        <v>4706</v>
      </c>
      <c r="G4710" s="109">
        <f t="shared" ca="1" si="82"/>
        <v>-3.2171440043735733E-2</v>
      </c>
    </row>
    <row r="4711" spans="2:7" x14ac:dyDescent="0.25">
      <c r="B4711" s="98"/>
      <c r="F4711">
        <v>4707</v>
      </c>
      <c r="G4711" s="109">
        <f t="shared" ca="1" si="82"/>
        <v>-0.15886708642858138</v>
      </c>
    </row>
    <row r="4712" spans="2:7" x14ac:dyDescent="0.25">
      <c r="B4712" s="98"/>
      <c r="F4712">
        <v>4708</v>
      </c>
      <c r="G4712" s="109">
        <f t="shared" ca="1" si="82"/>
        <v>9.4993676369497626E-2</v>
      </c>
    </row>
    <row r="4713" spans="2:7" x14ac:dyDescent="0.25">
      <c r="B4713" s="98"/>
      <c r="F4713">
        <v>4709</v>
      </c>
      <c r="G4713" s="109">
        <f t="shared" ca="1" si="82"/>
        <v>0.13650784229935162</v>
      </c>
    </row>
    <row r="4714" spans="2:7" x14ac:dyDescent="0.25">
      <c r="B4714" s="98"/>
      <c r="F4714">
        <v>4710</v>
      </c>
      <c r="G4714" s="109">
        <f t="shared" ca="1" si="82"/>
        <v>-6.8340558482043151E-2</v>
      </c>
    </row>
    <row r="4715" spans="2:7" x14ac:dyDescent="0.25">
      <c r="B4715" s="98"/>
      <c r="F4715">
        <v>4711</v>
      </c>
      <c r="G4715" s="109">
        <f t="shared" ca="1" si="82"/>
        <v>0.12367836671268757</v>
      </c>
    </row>
    <row r="4716" spans="2:7" x14ac:dyDescent="0.25">
      <c r="B4716" s="98"/>
      <c r="F4716">
        <v>4712</v>
      </c>
      <c r="G4716" s="109">
        <f t="shared" ca="1" si="82"/>
        <v>4.4404353502494415E-2</v>
      </c>
    </row>
    <row r="4717" spans="2:7" x14ac:dyDescent="0.25">
      <c r="B4717" s="98"/>
      <c r="F4717">
        <v>4713</v>
      </c>
      <c r="G4717" s="109">
        <f t="shared" ca="1" si="82"/>
        <v>-0.13328522508907664</v>
      </c>
    </row>
    <row r="4718" spans="2:7" x14ac:dyDescent="0.25">
      <c r="B4718" s="98"/>
      <c r="F4718">
        <v>4714</v>
      </c>
      <c r="G4718" s="109">
        <f t="shared" ca="1" si="82"/>
        <v>-0.15248958926060496</v>
      </c>
    </row>
    <row r="4719" spans="2:7" x14ac:dyDescent="0.25">
      <c r="B4719" s="98"/>
      <c r="F4719">
        <v>4715</v>
      </c>
      <c r="G4719" s="109">
        <f t="shared" ca="1" si="82"/>
        <v>0.22402128759688361</v>
      </c>
    </row>
    <row r="4720" spans="2:7" x14ac:dyDescent="0.25">
      <c r="B4720" s="98"/>
      <c r="F4720">
        <v>4716</v>
      </c>
      <c r="G4720" s="109">
        <f t="shared" ca="1" si="82"/>
        <v>-2.8980500045593091E-2</v>
      </c>
    </row>
    <row r="4721" spans="2:7" x14ac:dyDescent="0.25">
      <c r="B4721" s="98"/>
      <c r="F4721">
        <v>4717</v>
      </c>
      <c r="G4721" s="109">
        <f t="shared" ca="1" si="82"/>
        <v>0.20813915479809092</v>
      </c>
    </row>
    <row r="4722" spans="2:7" x14ac:dyDescent="0.25">
      <c r="B4722" s="98"/>
      <c r="F4722">
        <v>4718</v>
      </c>
      <c r="G4722" s="109">
        <f t="shared" ca="1" si="82"/>
        <v>0.14538300057893322</v>
      </c>
    </row>
    <row r="4723" spans="2:7" x14ac:dyDescent="0.25">
      <c r="B4723" s="98"/>
      <c r="F4723">
        <v>4719</v>
      </c>
      <c r="G4723" s="109">
        <f t="shared" ca="1" si="82"/>
        <v>-2.1486789608636842E-2</v>
      </c>
    </row>
    <row r="4724" spans="2:7" x14ac:dyDescent="0.25">
      <c r="B4724" s="98"/>
      <c r="F4724">
        <v>4720</v>
      </c>
      <c r="G4724" s="109">
        <f t="shared" ca="1" si="82"/>
        <v>-8.8980914353023757E-2</v>
      </c>
    </row>
    <row r="4725" spans="2:7" x14ac:dyDescent="0.25">
      <c r="B4725" s="98"/>
      <c r="F4725">
        <v>4721</v>
      </c>
      <c r="G4725" s="109">
        <f t="shared" ca="1" si="82"/>
        <v>4.0846152874993366E-2</v>
      </c>
    </row>
    <row r="4726" spans="2:7" x14ac:dyDescent="0.25">
      <c r="B4726" s="98"/>
      <c r="F4726">
        <v>4722</v>
      </c>
      <c r="G4726" s="109">
        <f t="shared" ca="1" si="82"/>
        <v>0.13724162743775919</v>
      </c>
    </row>
    <row r="4727" spans="2:7" x14ac:dyDescent="0.25">
      <c r="B4727" s="98"/>
      <c r="F4727">
        <v>4723</v>
      </c>
      <c r="G4727" s="109">
        <f t="shared" ca="1" si="82"/>
        <v>4.9499754390194106E-2</v>
      </c>
    </row>
    <row r="4728" spans="2:7" x14ac:dyDescent="0.25">
      <c r="B4728" s="98"/>
      <c r="F4728">
        <v>4724</v>
      </c>
      <c r="G4728" s="109">
        <f t="shared" ca="1" si="82"/>
        <v>0.20086573454174894</v>
      </c>
    </row>
    <row r="4729" spans="2:7" x14ac:dyDescent="0.25">
      <c r="B4729" s="98"/>
      <c r="F4729">
        <v>4725</v>
      </c>
      <c r="G4729" s="109">
        <f t="shared" ca="1" si="82"/>
        <v>2.1292456844477149E-2</v>
      </c>
    </row>
    <row r="4730" spans="2:7" x14ac:dyDescent="0.25">
      <c r="B4730" s="98"/>
      <c r="F4730">
        <v>4726</v>
      </c>
      <c r="G4730" s="109">
        <f t="shared" ca="1" si="82"/>
        <v>-3.6467094014951379E-2</v>
      </c>
    </row>
    <row r="4731" spans="2:7" x14ac:dyDescent="0.25">
      <c r="B4731" s="98"/>
      <c r="F4731">
        <v>4727</v>
      </c>
      <c r="G4731" s="109">
        <f t="shared" ca="1" si="82"/>
        <v>-3.3225415913856304E-2</v>
      </c>
    </row>
    <row r="4732" spans="2:7" x14ac:dyDescent="0.25">
      <c r="B4732" s="98"/>
      <c r="F4732">
        <v>4728</v>
      </c>
      <c r="G4732" s="109">
        <f t="shared" ca="1" si="82"/>
        <v>9.9461799965385622E-2</v>
      </c>
    </row>
    <row r="4733" spans="2:7" x14ac:dyDescent="0.25">
      <c r="B4733" s="98"/>
      <c r="F4733">
        <v>4729</v>
      </c>
      <c r="G4733" s="109">
        <f t="shared" ca="1" si="82"/>
        <v>-2.9559187330114964E-2</v>
      </c>
    </row>
    <row r="4734" spans="2:7" x14ac:dyDescent="0.25">
      <c r="B4734" s="98"/>
      <c r="F4734">
        <v>4730</v>
      </c>
      <c r="G4734" s="109">
        <f t="shared" ca="1" si="82"/>
        <v>9.698185285574816E-2</v>
      </c>
    </row>
    <row r="4735" spans="2:7" x14ac:dyDescent="0.25">
      <c r="B4735" s="98"/>
      <c r="F4735">
        <v>4731</v>
      </c>
      <c r="G4735" s="109">
        <f t="shared" ca="1" si="82"/>
        <v>0.21400190656612861</v>
      </c>
    </row>
    <row r="4736" spans="2:7" x14ac:dyDescent="0.25">
      <c r="B4736" s="98"/>
      <c r="F4736">
        <v>4732</v>
      </c>
      <c r="G4736" s="109">
        <f t="shared" ca="1" si="82"/>
        <v>0.1332687885650119</v>
      </c>
    </row>
    <row r="4737" spans="2:7" x14ac:dyDescent="0.25">
      <c r="B4737" s="98"/>
      <c r="F4737">
        <v>4733</v>
      </c>
      <c r="G4737" s="109">
        <f t="shared" ca="1" si="82"/>
        <v>8.8111153916778845E-2</v>
      </c>
    </row>
    <row r="4738" spans="2:7" x14ac:dyDescent="0.25">
      <c r="B4738" s="98"/>
      <c r="F4738">
        <v>4734</v>
      </c>
      <c r="G4738" s="109">
        <f t="shared" ca="1" si="82"/>
        <v>0.14427255156878036</v>
      </c>
    </row>
    <row r="4739" spans="2:7" x14ac:dyDescent="0.25">
      <c r="B4739" s="98"/>
      <c r="F4739">
        <v>4735</v>
      </c>
      <c r="G4739" s="109">
        <f t="shared" ca="1" si="82"/>
        <v>0.11633273459805998</v>
      </c>
    </row>
    <row r="4740" spans="2:7" x14ac:dyDescent="0.25">
      <c r="B4740" s="98"/>
      <c r="F4740">
        <v>4736</v>
      </c>
      <c r="G4740" s="109">
        <f t="shared" ca="1" si="82"/>
        <v>-3.6592164360325516E-2</v>
      </c>
    </row>
    <row r="4741" spans="2:7" x14ac:dyDescent="0.25">
      <c r="B4741" s="98"/>
      <c r="F4741">
        <v>4737</v>
      </c>
      <c r="G4741" s="109">
        <f t="shared" ca="1" si="82"/>
        <v>-7.0627217012784183E-2</v>
      </c>
    </row>
    <row r="4742" spans="2:7" x14ac:dyDescent="0.25">
      <c r="B4742" s="98"/>
      <c r="F4742">
        <v>4738</v>
      </c>
      <c r="G4742" s="109">
        <f t="shared" ref="G4742:G4805" ca="1" si="83">_xlfn.NORM.INV(RAND(),$M$5,$M$6)</f>
        <v>0.19548057606350011</v>
      </c>
    </row>
    <row r="4743" spans="2:7" x14ac:dyDescent="0.25">
      <c r="B4743" s="98"/>
      <c r="F4743">
        <v>4739</v>
      </c>
      <c r="G4743" s="109">
        <f t="shared" ca="1" si="83"/>
        <v>-2.033496078143579E-2</v>
      </c>
    </row>
    <row r="4744" spans="2:7" x14ac:dyDescent="0.25">
      <c r="B4744" s="98"/>
      <c r="F4744">
        <v>4740</v>
      </c>
      <c r="G4744" s="109">
        <f t="shared" ca="1" si="83"/>
        <v>0.15725665676445499</v>
      </c>
    </row>
    <row r="4745" spans="2:7" x14ac:dyDescent="0.25">
      <c r="B4745" s="98"/>
      <c r="F4745">
        <v>4741</v>
      </c>
      <c r="G4745" s="109">
        <f t="shared" ca="1" si="83"/>
        <v>-8.8583651083047124E-2</v>
      </c>
    </row>
    <row r="4746" spans="2:7" x14ac:dyDescent="0.25">
      <c r="B4746" s="98"/>
      <c r="F4746">
        <v>4742</v>
      </c>
      <c r="G4746" s="109">
        <f t="shared" ca="1" si="83"/>
        <v>0.22327275931643709</v>
      </c>
    </row>
    <row r="4747" spans="2:7" x14ac:dyDescent="0.25">
      <c r="B4747" s="98"/>
      <c r="F4747">
        <v>4743</v>
      </c>
      <c r="G4747" s="109">
        <f t="shared" ca="1" si="83"/>
        <v>0.11893009808423187</v>
      </c>
    </row>
    <row r="4748" spans="2:7" x14ac:dyDescent="0.25">
      <c r="B4748" s="98"/>
      <c r="F4748">
        <v>4744</v>
      </c>
      <c r="G4748" s="109">
        <f t="shared" ca="1" si="83"/>
        <v>-1.7700097192276901E-2</v>
      </c>
    </row>
    <row r="4749" spans="2:7" x14ac:dyDescent="0.25">
      <c r="B4749" s="98"/>
      <c r="F4749">
        <v>4745</v>
      </c>
      <c r="G4749" s="109">
        <f t="shared" ca="1" si="83"/>
        <v>0.11277283082041215</v>
      </c>
    </row>
    <row r="4750" spans="2:7" x14ac:dyDescent="0.25">
      <c r="B4750" s="98"/>
      <c r="F4750">
        <v>4746</v>
      </c>
      <c r="G4750" s="109">
        <f t="shared" ca="1" si="83"/>
        <v>0.21848380779578297</v>
      </c>
    </row>
    <row r="4751" spans="2:7" x14ac:dyDescent="0.25">
      <c r="B4751" s="98"/>
      <c r="F4751">
        <v>4747</v>
      </c>
      <c r="G4751" s="109">
        <f t="shared" ca="1" si="83"/>
        <v>-3.4800837093784398E-2</v>
      </c>
    </row>
    <row r="4752" spans="2:7" x14ac:dyDescent="0.25">
      <c r="B4752" s="98"/>
      <c r="F4752">
        <v>4748</v>
      </c>
      <c r="G4752" s="109">
        <f t="shared" ca="1" si="83"/>
        <v>0.15868364604748297</v>
      </c>
    </row>
    <row r="4753" spans="2:7" x14ac:dyDescent="0.25">
      <c r="B4753" s="98"/>
      <c r="F4753">
        <v>4749</v>
      </c>
      <c r="G4753" s="109">
        <f t="shared" ca="1" si="83"/>
        <v>0.12424825552281574</v>
      </c>
    </row>
    <row r="4754" spans="2:7" x14ac:dyDescent="0.25">
      <c r="B4754" s="98"/>
      <c r="F4754">
        <v>4750</v>
      </c>
      <c r="G4754" s="109">
        <f t="shared" ca="1" si="83"/>
        <v>0.22909396634512053</v>
      </c>
    </row>
    <row r="4755" spans="2:7" x14ac:dyDescent="0.25">
      <c r="B4755" s="98"/>
      <c r="F4755">
        <v>4751</v>
      </c>
      <c r="G4755" s="109">
        <f t="shared" ca="1" si="83"/>
        <v>0.13714291528524333</v>
      </c>
    </row>
    <row r="4756" spans="2:7" x14ac:dyDescent="0.25">
      <c r="B4756" s="98"/>
      <c r="F4756">
        <v>4752</v>
      </c>
      <c r="G4756" s="109">
        <f t="shared" ca="1" si="83"/>
        <v>3.4382784767499841E-2</v>
      </c>
    </row>
    <row r="4757" spans="2:7" x14ac:dyDescent="0.25">
      <c r="B4757" s="98"/>
      <c r="F4757">
        <v>4753</v>
      </c>
      <c r="G4757" s="109">
        <f t="shared" ca="1" si="83"/>
        <v>0.15570309276952329</v>
      </c>
    </row>
    <row r="4758" spans="2:7" x14ac:dyDescent="0.25">
      <c r="B4758" s="98"/>
      <c r="F4758">
        <v>4754</v>
      </c>
      <c r="G4758" s="109">
        <f t="shared" ca="1" si="83"/>
        <v>4.202958962627195E-2</v>
      </c>
    </row>
    <row r="4759" spans="2:7" x14ac:dyDescent="0.25">
      <c r="B4759" s="98"/>
      <c r="F4759">
        <v>4755</v>
      </c>
      <c r="G4759" s="109">
        <f t="shared" ca="1" si="83"/>
        <v>8.2111584387030839E-3</v>
      </c>
    </row>
    <row r="4760" spans="2:7" x14ac:dyDescent="0.25">
      <c r="B4760" s="98"/>
      <c r="F4760">
        <v>4756</v>
      </c>
      <c r="G4760" s="109">
        <f t="shared" ca="1" si="83"/>
        <v>8.5885362525613115E-2</v>
      </c>
    </row>
    <row r="4761" spans="2:7" x14ac:dyDescent="0.25">
      <c r="B4761" s="98"/>
      <c r="F4761">
        <v>4757</v>
      </c>
      <c r="G4761" s="109">
        <f t="shared" ca="1" si="83"/>
        <v>4.0963692111764198E-2</v>
      </c>
    </row>
    <row r="4762" spans="2:7" x14ac:dyDescent="0.25">
      <c r="B4762" s="98"/>
      <c r="F4762">
        <v>4758</v>
      </c>
      <c r="G4762" s="109">
        <f t="shared" ca="1" si="83"/>
        <v>0.20327876478081569</v>
      </c>
    </row>
    <row r="4763" spans="2:7" x14ac:dyDescent="0.25">
      <c r="B4763" s="98"/>
      <c r="F4763">
        <v>4759</v>
      </c>
      <c r="G4763" s="109">
        <f t="shared" ca="1" si="83"/>
        <v>0.13693317963595081</v>
      </c>
    </row>
    <row r="4764" spans="2:7" x14ac:dyDescent="0.25">
      <c r="B4764" s="98"/>
      <c r="F4764">
        <v>4760</v>
      </c>
      <c r="G4764" s="109">
        <f t="shared" ca="1" si="83"/>
        <v>9.1214893432623401E-2</v>
      </c>
    </row>
    <row r="4765" spans="2:7" x14ac:dyDescent="0.25">
      <c r="B4765" s="98"/>
      <c r="F4765">
        <v>4761</v>
      </c>
      <c r="G4765" s="109">
        <f t="shared" ca="1" si="83"/>
        <v>-1.0309527348403721E-2</v>
      </c>
    </row>
    <row r="4766" spans="2:7" x14ac:dyDescent="0.25">
      <c r="B4766" s="98"/>
      <c r="F4766">
        <v>4762</v>
      </c>
      <c r="G4766" s="109">
        <f t="shared" ca="1" si="83"/>
        <v>3.6796934463291173E-2</v>
      </c>
    </row>
    <row r="4767" spans="2:7" x14ac:dyDescent="0.25">
      <c r="B4767" s="98"/>
      <c r="F4767">
        <v>4763</v>
      </c>
      <c r="G4767" s="109">
        <f t="shared" ca="1" si="83"/>
        <v>-4.906755927383688E-2</v>
      </c>
    </row>
    <row r="4768" spans="2:7" x14ac:dyDescent="0.25">
      <c r="B4768" s="98"/>
      <c r="F4768">
        <v>4764</v>
      </c>
      <c r="G4768" s="109">
        <f t="shared" ca="1" si="83"/>
        <v>5.2172960432504495E-2</v>
      </c>
    </row>
    <row r="4769" spans="2:7" x14ac:dyDescent="0.25">
      <c r="B4769" s="98"/>
      <c r="F4769">
        <v>4765</v>
      </c>
      <c r="G4769" s="109">
        <f t="shared" ca="1" si="83"/>
        <v>4.9516631939092635E-2</v>
      </c>
    </row>
    <row r="4770" spans="2:7" x14ac:dyDescent="0.25">
      <c r="B4770" s="98"/>
      <c r="F4770">
        <v>4766</v>
      </c>
      <c r="G4770" s="109">
        <f t="shared" ca="1" si="83"/>
        <v>-0.16531705027807186</v>
      </c>
    </row>
    <row r="4771" spans="2:7" x14ac:dyDescent="0.25">
      <c r="B4771" s="98"/>
      <c r="F4771">
        <v>4767</v>
      </c>
      <c r="G4771" s="109">
        <f t="shared" ca="1" si="83"/>
        <v>0.1803823464643477</v>
      </c>
    </row>
    <row r="4772" spans="2:7" x14ac:dyDescent="0.25">
      <c r="B4772" s="98"/>
      <c r="F4772">
        <v>4768</v>
      </c>
      <c r="G4772" s="109">
        <f t="shared" ca="1" si="83"/>
        <v>0.20543400756427116</v>
      </c>
    </row>
    <row r="4773" spans="2:7" x14ac:dyDescent="0.25">
      <c r="B4773" s="98"/>
      <c r="F4773">
        <v>4769</v>
      </c>
      <c r="G4773" s="109">
        <f t="shared" ca="1" si="83"/>
        <v>2.0080775837761553E-2</v>
      </c>
    </row>
    <row r="4774" spans="2:7" x14ac:dyDescent="0.25">
      <c r="B4774" s="98"/>
      <c r="F4774">
        <v>4770</v>
      </c>
      <c r="G4774" s="109">
        <f t="shared" ca="1" si="83"/>
        <v>-3.9584421837853476E-2</v>
      </c>
    </row>
    <row r="4775" spans="2:7" x14ac:dyDescent="0.25">
      <c r="B4775" s="98"/>
      <c r="F4775">
        <v>4771</v>
      </c>
      <c r="G4775" s="109">
        <f t="shared" ca="1" si="83"/>
        <v>0.12774351006743362</v>
      </c>
    </row>
    <row r="4776" spans="2:7" x14ac:dyDescent="0.25">
      <c r="B4776" s="98"/>
      <c r="F4776">
        <v>4772</v>
      </c>
      <c r="G4776" s="109">
        <f t="shared" ca="1" si="83"/>
        <v>8.7223416573620594E-2</v>
      </c>
    </row>
    <row r="4777" spans="2:7" x14ac:dyDescent="0.25">
      <c r="B4777" s="98"/>
      <c r="F4777">
        <v>4773</v>
      </c>
      <c r="G4777" s="109">
        <f t="shared" ca="1" si="83"/>
        <v>6.170357928022463E-2</v>
      </c>
    </row>
    <row r="4778" spans="2:7" x14ac:dyDescent="0.25">
      <c r="B4778" s="98"/>
      <c r="F4778">
        <v>4774</v>
      </c>
      <c r="G4778" s="109">
        <f t="shared" ca="1" si="83"/>
        <v>3.6691532552382534E-2</v>
      </c>
    </row>
    <row r="4779" spans="2:7" x14ac:dyDescent="0.25">
      <c r="B4779" s="98"/>
      <c r="F4779">
        <v>4775</v>
      </c>
      <c r="G4779" s="109">
        <f t="shared" ca="1" si="83"/>
        <v>0.22151065751966759</v>
      </c>
    </row>
    <row r="4780" spans="2:7" x14ac:dyDescent="0.25">
      <c r="B4780" s="98"/>
      <c r="F4780">
        <v>4776</v>
      </c>
      <c r="G4780" s="109">
        <f t="shared" ca="1" si="83"/>
        <v>-0.21431212722209741</v>
      </c>
    </row>
    <row r="4781" spans="2:7" x14ac:dyDescent="0.25">
      <c r="B4781" s="98"/>
      <c r="F4781">
        <v>4777</v>
      </c>
      <c r="G4781" s="109">
        <f t="shared" ca="1" si="83"/>
        <v>0.11854261200927566</v>
      </c>
    </row>
    <row r="4782" spans="2:7" x14ac:dyDescent="0.25">
      <c r="B4782" s="98"/>
      <c r="F4782">
        <v>4778</v>
      </c>
      <c r="G4782" s="109">
        <f t="shared" ca="1" si="83"/>
        <v>4.5037147704569049E-2</v>
      </c>
    </row>
    <row r="4783" spans="2:7" x14ac:dyDescent="0.25">
      <c r="B4783" s="98"/>
      <c r="F4783">
        <v>4779</v>
      </c>
      <c r="G4783" s="109">
        <f t="shared" ca="1" si="83"/>
        <v>0.10347480318659774</v>
      </c>
    </row>
    <row r="4784" spans="2:7" x14ac:dyDescent="0.25">
      <c r="B4784" s="98"/>
      <c r="F4784">
        <v>4780</v>
      </c>
      <c r="G4784" s="109">
        <f t="shared" ca="1" si="83"/>
        <v>7.9114363783217373E-2</v>
      </c>
    </row>
    <row r="4785" spans="2:7" x14ac:dyDescent="0.25">
      <c r="B4785" s="98"/>
      <c r="F4785">
        <v>4781</v>
      </c>
      <c r="G4785" s="109">
        <f t="shared" ca="1" si="83"/>
        <v>-5.2076091870377483E-2</v>
      </c>
    </row>
    <row r="4786" spans="2:7" x14ac:dyDescent="0.25">
      <c r="B4786" s="98"/>
      <c r="F4786">
        <v>4782</v>
      </c>
      <c r="G4786" s="109">
        <f t="shared" ca="1" si="83"/>
        <v>-5.273760168527962E-2</v>
      </c>
    </row>
    <row r="4787" spans="2:7" x14ac:dyDescent="0.25">
      <c r="B4787" s="98"/>
      <c r="F4787">
        <v>4783</v>
      </c>
      <c r="G4787" s="109">
        <f t="shared" ca="1" si="83"/>
        <v>0.10787297553372951</v>
      </c>
    </row>
    <row r="4788" spans="2:7" x14ac:dyDescent="0.25">
      <c r="B4788" s="98"/>
      <c r="F4788">
        <v>4784</v>
      </c>
      <c r="G4788" s="109">
        <f t="shared" ca="1" si="83"/>
        <v>5.9030195600554329E-2</v>
      </c>
    </row>
    <row r="4789" spans="2:7" x14ac:dyDescent="0.25">
      <c r="B4789" s="98"/>
      <c r="F4789">
        <v>4785</v>
      </c>
      <c r="G4789" s="109">
        <f t="shared" ca="1" si="83"/>
        <v>0.23720190057689144</v>
      </c>
    </row>
    <row r="4790" spans="2:7" x14ac:dyDescent="0.25">
      <c r="B4790" s="98"/>
      <c r="F4790">
        <v>4786</v>
      </c>
      <c r="G4790" s="109">
        <f t="shared" ca="1" si="83"/>
        <v>1.7963246937151289E-4</v>
      </c>
    </row>
    <row r="4791" spans="2:7" x14ac:dyDescent="0.25">
      <c r="B4791" s="98"/>
      <c r="F4791">
        <v>4787</v>
      </c>
      <c r="G4791" s="109">
        <f t="shared" ca="1" si="83"/>
        <v>-7.5923092992578975E-2</v>
      </c>
    </row>
    <row r="4792" spans="2:7" x14ac:dyDescent="0.25">
      <c r="B4792" s="98"/>
      <c r="F4792">
        <v>4788</v>
      </c>
      <c r="G4792" s="109">
        <f t="shared" ca="1" si="83"/>
        <v>4.3153464411493848E-2</v>
      </c>
    </row>
    <row r="4793" spans="2:7" x14ac:dyDescent="0.25">
      <c r="B4793" s="98"/>
      <c r="F4793">
        <v>4789</v>
      </c>
      <c r="G4793" s="109">
        <f t="shared" ca="1" si="83"/>
        <v>0.10407988666291434</v>
      </c>
    </row>
    <row r="4794" spans="2:7" x14ac:dyDescent="0.25">
      <c r="B4794" s="98"/>
      <c r="F4794">
        <v>4790</v>
      </c>
      <c r="G4794" s="109">
        <f t="shared" ca="1" si="83"/>
        <v>1.121228874823306E-3</v>
      </c>
    </row>
    <row r="4795" spans="2:7" x14ac:dyDescent="0.25">
      <c r="B4795" s="98"/>
      <c r="F4795">
        <v>4791</v>
      </c>
      <c r="G4795" s="109">
        <f t="shared" ca="1" si="83"/>
        <v>-0.19343060978020354</v>
      </c>
    </row>
    <row r="4796" spans="2:7" x14ac:dyDescent="0.25">
      <c r="B4796" s="98"/>
      <c r="F4796">
        <v>4792</v>
      </c>
      <c r="G4796" s="109">
        <f t="shared" ca="1" si="83"/>
        <v>-2.7503527565851213E-2</v>
      </c>
    </row>
    <row r="4797" spans="2:7" x14ac:dyDescent="0.25">
      <c r="B4797" s="98"/>
      <c r="F4797">
        <v>4793</v>
      </c>
      <c r="G4797" s="109">
        <f t="shared" ca="1" si="83"/>
        <v>0.13183935239636108</v>
      </c>
    </row>
    <row r="4798" spans="2:7" x14ac:dyDescent="0.25">
      <c r="B4798" s="98"/>
      <c r="F4798">
        <v>4794</v>
      </c>
      <c r="G4798" s="109">
        <f t="shared" ca="1" si="83"/>
        <v>7.5370592384275709E-2</v>
      </c>
    </row>
    <row r="4799" spans="2:7" x14ac:dyDescent="0.25">
      <c r="B4799" s="98"/>
      <c r="F4799">
        <v>4795</v>
      </c>
      <c r="G4799" s="109">
        <f t="shared" ca="1" si="83"/>
        <v>4.1388769883910145E-2</v>
      </c>
    </row>
    <row r="4800" spans="2:7" x14ac:dyDescent="0.25">
      <c r="B4800" s="98"/>
      <c r="F4800">
        <v>4796</v>
      </c>
      <c r="G4800" s="109">
        <f t="shared" ca="1" si="83"/>
        <v>0.2986552281262162</v>
      </c>
    </row>
    <row r="4801" spans="2:7" x14ac:dyDescent="0.25">
      <c r="B4801" s="98"/>
      <c r="F4801">
        <v>4797</v>
      </c>
      <c r="G4801" s="109">
        <f t="shared" ca="1" si="83"/>
        <v>4.3414706016105253E-2</v>
      </c>
    </row>
    <row r="4802" spans="2:7" x14ac:dyDescent="0.25">
      <c r="B4802" s="98"/>
      <c r="F4802">
        <v>4798</v>
      </c>
      <c r="G4802" s="109">
        <f t="shared" ca="1" si="83"/>
        <v>-0.12509867704872307</v>
      </c>
    </row>
    <row r="4803" spans="2:7" x14ac:dyDescent="0.25">
      <c r="B4803" s="98"/>
      <c r="F4803">
        <v>4799</v>
      </c>
      <c r="G4803" s="109">
        <f t="shared" ca="1" si="83"/>
        <v>-1.2674128998465012E-2</v>
      </c>
    </row>
    <row r="4804" spans="2:7" x14ac:dyDescent="0.25">
      <c r="B4804" s="98"/>
      <c r="F4804">
        <v>4800</v>
      </c>
      <c r="G4804" s="109">
        <f t="shared" ca="1" si="83"/>
        <v>0.15180053471143712</v>
      </c>
    </row>
    <row r="4805" spans="2:7" x14ac:dyDescent="0.25">
      <c r="B4805" s="98"/>
      <c r="F4805">
        <v>4801</v>
      </c>
      <c r="G4805" s="109">
        <f t="shared" ca="1" si="83"/>
        <v>0.2615732624105192</v>
      </c>
    </row>
    <row r="4806" spans="2:7" x14ac:dyDescent="0.25">
      <c r="B4806" s="98"/>
      <c r="F4806">
        <v>4802</v>
      </c>
      <c r="G4806" s="109">
        <f t="shared" ref="G4806:G4869" ca="1" si="84">_xlfn.NORM.INV(RAND(),$M$5,$M$6)</f>
        <v>1.7969404847317291E-2</v>
      </c>
    </row>
    <row r="4807" spans="2:7" x14ac:dyDescent="0.25">
      <c r="B4807" s="98"/>
      <c r="F4807">
        <v>4803</v>
      </c>
      <c r="G4807" s="109">
        <f t="shared" ca="1" si="84"/>
        <v>4.7721636911761844E-2</v>
      </c>
    </row>
    <row r="4808" spans="2:7" x14ac:dyDescent="0.25">
      <c r="B4808" s="98"/>
      <c r="F4808">
        <v>4804</v>
      </c>
      <c r="G4808" s="109">
        <f t="shared" ca="1" si="84"/>
        <v>1.5077158198584122E-2</v>
      </c>
    </row>
    <row r="4809" spans="2:7" x14ac:dyDescent="0.25">
      <c r="B4809" s="98"/>
      <c r="F4809">
        <v>4805</v>
      </c>
      <c r="G4809" s="109">
        <f t="shared" ca="1" si="84"/>
        <v>0.23010941210659147</v>
      </c>
    </row>
    <row r="4810" spans="2:7" x14ac:dyDescent="0.25">
      <c r="B4810" s="98"/>
      <c r="F4810">
        <v>4806</v>
      </c>
      <c r="G4810" s="109">
        <f t="shared" ca="1" si="84"/>
        <v>5.6599756063520426E-2</v>
      </c>
    </row>
    <row r="4811" spans="2:7" x14ac:dyDescent="0.25">
      <c r="B4811" s="98"/>
      <c r="F4811">
        <v>4807</v>
      </c>
      <c r="G4811" s="109">
        <f t="shared" ca="1" si="84"/>
        <v>7.1208363609210151E-2</v>
      </c>
    </row>
    <row r="4812" spans="2:7" x14ac:dyDescent="0.25">
      <c r="B4812" s="98"/>
      <c r="F4812">
        <v>4808</v>
      </c>
      <c r="G4812" s="109">
        <f t="shared" ca="1" si="84"/>
        <v>0.17101497912698438</v>
      </c>
    </row>
    <row r="4813" spans="2:7" x14ac:dyDescent="0.25">
      <c r="B4813" s="98"/>
      <c r="F4813">
        <v>4809</v>
      </c>
      <c r="G4813" s="109">
        <f t="shared" ca="1" si="84"/>
        <v>-3.0497467637169803E-2</v>
      </c>
    </row>
    <row r="4814" spans="2:7" x14ac:dyDescent="0.25">
      <c r="B4814" s="98"/>
      <c r="F4814">
        <v>4810</v>
      </c>
      <c r="G4814" s="109">
        <f t="shared" ca="1" si="84"/>
        <v>-1.0520527637803319E-2</v>
      </c>
    </row>
    <row r="4815" spans="2:7" x14ac:dyDescent="0.25">
      <c r="B4815" s="98"/>
      <c r="F4815">
        <v>4811</v>
      </c>
      <c r="G4815" s="109">
        <f t="shared" ca="1" si="84"/>
        <v>9.0863048052952172E-2</v>
      </c>
    </row>
    <row r="4816" spans="2:7" x14ac:dyDescent="0.25">
      <c r="B4816" s="98"/>
      <c r="F4816">
        <v>4812</v>
      </c>
      <c r="G4816" s="109">
        <f t="shared" ca="1" si="84"/>
        <v>6.1358950959602587E-2</v>
      </c>
    </row>
    <row r="4817" spans="2:7" x14ac:dyDescent="0.25">
      <c r="B4817" s="98"/>
      <c r="F4817">
        <v>4813</v>
      </c>
      <c r="G4817" s="109">
        <f t="shared" ca="1" si="84"/>
        <v>6.3649101582318693E-2</v>
      </c>
    </row>
    <row r="4818" spans="2:7" x14ac:dyDescent="0.25">
      <c r="B4818" s="98"/>
      <c r="F4818">
        <v>4814</v>
      </c>
      <c r="G4818" s="109">
        <f t="shared" ca="1" si="84"/>
        <v>1.7793604585543063E-2</v>
      </c>
    </row>
    <row r="4819" spans="2:7" x14ac:dyDescent="0.25">
      <c r="B4819" s="98"/>
      <c r="F4819">
        <v>4815</v>
      </c>
      <c r="G4819" s="109">
        <f t="shared" ca="1" si="84"/>
        <v>5.3690643651919931E-2</v>
      </c>
    </row>
    <row r="4820" spans="2:7" x14ac:dyDescent="0.25">
      <c r="B4820" s="98"/>
      <c r="F4820">
        <v>4816</v>
      </c>
      <c r="G4820" s="109">
        <f t="shared" ca="1" si="84"/>
        <v>-3.5132369994508195E-2</v>
      </c>
    </row>
    <row r="4821" spans="2:7" x14ac:dyDescent="0.25">
      <c r="B4821" s="98"/>
      <c r="F4821">
        <v>4817</v>
      </c>
      <c r="G4821" s="109">
        <f t="shared" ca="1" si="84"/>
        <v>3.5721022769696298E-2</v>
      </c>
    </row>
    <row r="4822" spans="2:7" x14ac:dyDescent="0.25">
      <c r="B4822" s="98"/>
      <c r="F4822">
        <v>4818</v>
      </c>
      <c r="G4822" s="109">
        <f t="shared" ca="1" si="84"/>
        <v>0.10520350772839825</v>
      </c>
    </row>
    <row r="4823" spans="2:7" x14ac:dyDescent="0.25">
      <c r="B4823" s="98"/>
      <c r="F4823">
        <v>4819</v>
      </c>
      <c r="G4823" s="109">
        <f t="shared" ca="1" si="84"/>
        <v>-9.5622266913965706E-2</v>
      </c>
    </row>
    <row r="4824" spans="2:7" x14ac:dyDescent="0.25">
      <c r="B4824" s="98"/>
      <c r="F4824">
        <v>4820</v>
      </c>
      <c r="G4824" s="109">
        <f t="shared" ca="1" si="84"/>
        <v>-9.9839290911205622E-2</v>
      </c>
    </row>
    <row r="4825" spans="2:7" x14ac:dyDescent="0.25">
      <c r="B4825" s="98"/>
      <c r="F4825">
        <v>4821</v>
      </c>
      <c r="G4825" s="109">
        <f t="shared" ca="1" si="84"/>
        <v>4.0796263951723914E-2</v>
      </c>
    </row>
    <row r="4826" spans="2:7" x14ac:dyDescent="0.25">
      <c r="B4826" s="98"/>
      <c r="F4826">
        <v>4822</v>
      </c>
      <c r="G4826" s="109">
        <f t="shared" ca="1" si="84"/>
        <v>0.23918035766641377</v>
      </c>
    </row>
    <row r="4827" spans="2:7" x14ac:dyDescent="0.25">
      <c r="B4827" s="98"/>
      <c r="F4827">
        <v>4823</v>
      </c>
      <c r="G4827" s="109">
        <f t="shared" ca="1" si="84"/>
        <v>-2.7328486367179536E-2</v>
      </c>
    </row>
    <row r="4828" spans="2:7" x14ac:dyDescent="0.25">
      <c r="B4828" s="98"/>
      <c r="F4828">
        <v>4824</v>
      </c>
      <c r="G4828" s="109">
        <f t="shared" ca="1" si="84"/>
        <v>0.27444957479622006</v>
      </c>
    </row>
    <row r="4829" spans="2:7" x14ac:dyDescent="0.25">
      <c r="B4829" s="98"/>
      <c r="F4829">
        <v>4825</v>
      </c>
      <c r="G4829" s="109">
        <f t="shared" ca="1" si="84"/>
        <v>0.11684884180909198</v>
      </c>
    </row>
    <row r="4830" spans="2:7" x14ac:dyDescent="0.25">
      <c r="B4830" s="98"/>
      <c r="F4830">
        <v>4826</v>
      </c>
      <c r="G4830" s="109">
        <f t="shared" ca="1" si="84"/>
        <v>2.6115865396800914E-2</v>
      </c>
    </row>
    <row r="4831" spans="2:7" x14ac:dyDescent="0.25">
      <c r="B4831" s="98"/>
      <c r="F4831">
        <v>4827</v>
      </c>
      <c r="G4831" s="109">
        <f t="shared" ca="1" si="84"/>
        <v>0.10512568721547033</v>
      </c>
    </row>
    <row r="4832" spans="2:7" x14ac:dyDescent="0.25">
      <c r="B4832" s="98"/>
      <c r="F4832">
        <v>4828</v>
      </c>
      <c r="G4832" s="109">
        <f t="shared" ca="1" si="84"/>
        <v>-3.3756902407786074E-2</v>
      </c>
    </row>
    <row r="4833" spans="2:7" x14ac:dyDescent="0.25">
      <c r="B4833" s="98"/>
      <c r="F4833">
        <v>4829</v>
      </c>
      <c r="G4833" s="109">
        <f t="shared" ca="1" si="84"/>
        <v>3.4144378861104011E-2</v>
      </c>
    </row>
    <row r="4834" spans="2:7" x14ac:dyDescent="0.25">
      <c r="B4834" s="98"/>
      <c r="F4834">
        <v>4830</v>
      </c>
      <c r="G4834" s="109">
        <f t="shared" ca="1" si="84"/>
        <v>9.1860938418496463E-2</v>
      </c>
    </row>
    <row r="4835" spans="2:7" x14ac:dyDescent="0.25">
      <c r="B4835" s="98"/>
      <c r="F4835">
        <v>4831</v>
      </c>
      <c r="G4835" s="109">
        <f t="shared" ca="1" si="84"/>
        <v>-3.9184618232785906E-2</v>
      </c>
    </row>
    <row r="4836" spans="2:7" x14ac:dyDescent="0.25">
      <c r="B4836" s="98"/>
      <c r="F4836">
        <v>4832</v>
      </c>
      <c r="G4836" s="109">
        <f t="shared" ca="1" si="84"/>
        <v>0.21915774483035128</v>
      </c>
    </row>
    <row r="4837" spans="2:7" x14ac:dyDescent="0.25">
      <c r="B4837" s="98"/>
      <c r="F4837">
        <v>4833</v>
      </c>
      <c r="G4837" s="109">
        <f t="shared" ca="1" si="84"/>
        <v>5.56700956107943E-2</v>
      </c>
    </row>
    <row r="4838" spans="2:7" x14ac:dyDescent="0.25">
      <c r="B4838" s="98"/>
      <c r="F4838">
        <v>4834</v>
      </c>
      <c r="G4838" s="109">
        <f t="shared" ca="1" si="84"/>
        <v>0.19139697463727329</v>
      </c>
    </row>
    <row r="4839" spans="2:7" x14ac:dyDescent="0.25">
      <c r="B4839" s="98"/>
      <c r="F4839">
        <v>4835</v>
      </c>
      <c r="G4839" s="109">
        <f t="shared" ca="1" si="84"/>
        <v>-0.11035320333477446</v>
      </c>
    </row>
    <row r="4840" spans="2:7" x14ac:dyDescent="0.25">
      <c r="B4840" s="98"/>
      <c r="F4840">
        <v>4836</v>
      </c>
      <c r="G4840" s="109">
        <f t="shared" ca="1" si="84"/>
        <v>-5.5012833020846807E-2</v>
      </c>
    </row>
    <row r="4841" spans="2:7" x14ac:dyDescent="0.25">
      <c r="B4841" s="98"/>
      <c r="F4841">
        <v>4837</v>
      </c>
      <c r="G4841" s="109">
        <f t="shared" ca="1" si="84"/>
        <v>0.17326174092793795</v>
      </c>
    </row>
    <row r="4842" spans="2:7" x14ac:dyDescent="0.25">
      <c r="B4842" s="98"/>
      <c r="F4842">
        <v>4838</v>
      </c>
      <c r="G4842" s="109">
        <f t="shared" ca="1" si="84"/>
        <v>0.17893822068760046</v>
      </c>
    </row>
    <row r="4843" spans="2:7" x14ac:dyDescent="0.25">
      <c r="B4843" s="98"/>
      <c r="F4843">
        <v>4839</v>
      </c>
      <c r="G4843" s="109">
        <f t="shared" ca="1" si="84"/>
        <v>2.0735174342004951E-2</v>
      </c>
    </row>
    <row r="4844" spans="2:7" x14ac:dyDescent="0.25">
      <c r="B4844" s="98"/>
      <c r="F4844">
        <v>4840</v>
      </c>
      <c r="G4844" s="109">
        <f t="shared" ca="1" si="84"/>
        <v>2.0172055144575946E-2</v>
      </c>
    </row>
    <row r="4845" spans="2:7" x14ac:dyDescent="0.25">
      <c r="B4845" s="98"/>
      <c r="F4845">
        <v>4841</v>
      </c>
      <c r="G4845" s="109">
        <f t="shared" ca="1" si="84"/>
        <v>6.4591668574327799E-4</v>
      </c>
    </row>
    <row r="4846" spans="2:7" x14ac:dyDescent="0.25">
      <c r="B4846" s="98"/>
      <c r="F4846">
        <v>4842</v>
      </c>
      <c r="G4846" s="109">
        <f t="shared" ca="1" si="84"/>
        <v>-0.10613474979729003</v>
      </c>
    </row>
    <row r="4847" spans="2:7" x14ac:dyDescent="0.25">
      <c r="B4847" s="98"/>
      <c r="F4847">
        <v>4843</v>
      </c>
      <c r="G4847" s="109">
        <f t="shared" ca="1" si="84"/>
        <v>0.17621761461895519</v>
      </c>
    </row>
    <row r="4848" spans="2:7" x14ac:dyDescent="0.25">
      <c r="B4848" s="98"/>
      <c r="F4848">
        <v>4844</v>
      </c>
      <c r="G4848" s="109">
        <f t="shared" ca="1" si="84"/>
        <v>0.14450993652133898</v>
      </c>
    </row>
    <row r="4849" spans="2:7" x14ac:dyDescent="0.25">
      <c r="B4849" s="98"/>
      <c r="F4849">
        <v>4845</v>
      </c>
      <c r="G4849" s="109">
        <f t="shared" ca="1" si="84"/>
        <v>4.6125843953966357E-2</v>
      </c>
    </row>
    <row r="4850" spans="2:7" x14ac:dyDescent="0.25">
      <c r="B4850" s="98"/>
      <c r="F4850">
        <v>4846</v>
      </c>
      <c r="G4850" s="109">
        <f t="shared" ca="1" si="84"/>
        <v>-9.8583976489097766E-2</v>
      </c>
    </row>
    <row r="4851" spans="2:7" x14ac:dyDescent="0.25">
      <c r="B4851" s="98"/>
      <c r="F4851">
        <v>4847</v>
      </c>
      <c r="G4851" s="109">
        <f t="shared" ca="1" si="84"/>
        <v>-8.0185863348106803E-2</v>
      </c>
    </row>
    <row r="4852" spans="2:7" x14ac:dyDescent="0.25">
      <c r="B4852" s="98"/>
      <c r="F4852">
        <v>4848</v>
      </c>
      <c r="G4852" s="109">
        <f t="shared" ca="1" si="84"/>
        <v>6.4542488998630715E-2</v>
      </c>
    </row>
    <row r="4853" spans="2:7" x14ac:dyDescent="0.25">
      <c r="B4853" s="98"/>
      <c r="F4853">
        <v>4849</v>
      </c>
      <c r="G4853" s="109">
        <f t="shared" ca="1" si="84"/>
        <v>-0.16612063392381815</v>
      </c>
    </row>
    <row r="4854" spans="2:7" x14ac:dyDescent="0.25">
      <c r="B4854" s="98"/>
      <c r="F4854">
        <v>4850</v>
      </c>
      <c r="G4854" s="109">
        <f t="shared" ca="1" si="84"/>
        <v>-2.8651507725475131E-2</v>
      </c>
    </row>
    <row r="4855" spans="2:7" x14ac:dyDescent="0.25">
      <c r="B4855" s="98"/>
      <c r="F4855">
        <v>4851</v>
      </c>
      <c r="G4855" s="109">
        <f t="shared" ca="1" si="84"/>
        <v>0.1479447406669607</v>
      </c>
    </row>
    <row r="4856" spans="2:7" x14ac:dyDescent="0.25">
      <c r="B4856" s="98"/>
      <c r="F4856">
        <v>4852</v>
      </c>
      <c r="G4856" s="109">
        <f t="shared" ca="1" si="84"/>
        <v>0.11902071374534855</v>
      </c>
    </row>
    <row r="4857" spans="2:7" x14ac:dyDescent="0.25">
      <c r="B4857" s="98"/>
      <c r="F4857">
        <v>4853</v>
      </c>
      <c r="G4857" s="109">
        <f t="shared" ca="1" si="84"/>
        <v>3.1102946211765591E-2</v>
      </c>
    </row>
    <row r="4858" spans="2:7" x14ac:dyDescent="0.25">
      <c r="B4858" s="98"/>
      <c r="F4858">
        <v>4854</v>
      </c>
      <c r="G4858" s="109">
        <f t="shared" ca="1" si="84"/>
        <v>-9.1754146210014376E-3</v>
      </c>
    </row>
    <row r="4859" spans="2:7" x14ac:dyDescent="0.25">
      <c r="B4859" s="98"/>
      <c r="F4859">
        <v>4855</v>
      </c>
      <c r="G4859" s="109">
        <f t="shared" ca="1" si="84"/>
        <v>-3.1486589550620545E-2</v>
      </c>
    </row>
    <row r="4860" spans="2:7" x14ac:dyDescent="0.25">
      <c r="B4860" s="98"/>
      <c r="F4860">
        <v>4856</v>
      </c>
      <c r="G4860" s="109">
        <f t="shared" ca="1" si="84"/>
        <v>6.8863525777166729E-2</v>
      </c>
    </row>
    <row r="4861" spans="2:7" x14ac:dyDescent="0.25">
      <c r="B4861" s="98"/>
      <c r="F4861">
        <v>4857</v>
      </c>
      <c r="G4861" s="109">
        <f t="shared" ca="1" si="84"/>
        <v>8.6393784499205942E-2</v>
      </c>
    </row>
    <row r="4862" spans="2:7" x14ac:dyDescent="0.25">
      <c r="B4862" s="98"/>
      <c r="F4862">
        <v>4858</v>
      </c>
      <c r="G4862" s="109">
        <f t="shared" ca="1" si="84"/>
        <v>6.634068466545219E-3</v>
      </c>
    </row>
    <row r="4863" spans="2:7" x14ac:dyDescent="0.25">
      <c r="B4863" s="98"/>
      <c r="F4863">
        <v>4859</v>
      </c>
      <c r="G4863" s="109">
        <f t="shared" ca="1" si="84"/>
        <v>-3.7387184074149579E-2</v>
      </c>
    </row>
    <row r="4864" spans="2:7" x14ac:dyDescent="0.25">
      <c r="B4864" s="98"/>
      <c r="F4864">
        <v>4860</v>
      </c>
      <c r="G4864" s="109">
        <f t="shared" ca="1" si="84"/>
        <v>2.05823589302781E-2</v>
      </c>
    </row>
    <row r="4865" spans="2:7" x14ac:dyDescent="0.25">
      <c r="B4865" s="98"/>
      <c r="F4865">
        <v>4861</v>
      </c>
      <c r="G4865" s="109">
        <f t="shared" ca="1" si="84"/>
        <v>-2.0622812186994077E-2</v>
      </c>
    </row>
    <row r="4866" spans="2:7" x14ac:dyDescent="0.25">
      <c r="B4866" s="98"/>
      <c r="F4866">
        <v>4862</v>
      </c>
      <c r="G4866" s="109">
        <f t="shared" ca="1" si="84"/>
        <v>0.12214766534571021</v>
      </c>
    </row>
    <row r="4867" spans="2:7" x14ac:dyDescent="0.25">
      <c r="B4867" s="98"/>
      <c r="F4867">
        <v>4863</v>
      </c>
      <c r="G4867" s="109">
        <f t="shared" ca="1" si="84"/>
        <v>-5.4123730565256878E-2</v>
      </c>
    </row>
    <row r="4868" spans="2:7" x14ac:dyDescent="0.25">
      <c r="B4868" s="98"/>
      <c r="F4868">
        <v>4864</v>
      </c>
      <c r="G4868" s="109">
        <f t="shared" ca="1" si="84"/>
        <v>5.3249253097288868E-2</v>
      </c>
    </row>
    <row r="4869" spans="2:7" x14ac:dyDescent="0.25">
      <c r="B4869" s="98"/>
      <c r="F4869">
        <v>4865</v>
      </c>
      <c r="G4869" s="109">
        <f t="shared" ca="1" si="84"/>
        <v>3.0118277465304377E-2</v>
      </c>
    </row>
    <row r="4870" spans="2:7" x14ac:dyDescent="0.25">
      <c r="B4870" s="98"/>
      <c r="F4870">
        <v>4866</v>
      </c>
      <c r="G4870" s="109">
        <f t="shared" ref="G4870:G4933" ca="1" si="85">_xlfn.NORM.INV(RAND(),$M$5,$M$6)</f>
        <v>0.14942742576797396</v>
      </c>
    </row>
    <row r="4871" spans="2:7" x14ac:dyDescent="0.25">
      <c r="B4871" s="98"/>
      <c r="F4871">
        <v>4867</v>
      </c>
      <c r="G4871" s="109">
        <f t="shared" ca="1" si="85"/>
        <v>4.106141121602673E-2</v>
      </c>
    </row>
    <row r="4872" spans="2:7" x14ac:dyDescent="0.25">
      <c r="B4872" s="98"/>
      <c r="F4872">
        <v>4868</v>
      </c>
      <c r="G4872" s="109">
        <f t="shared" ca="1" si="85"/>
        <v>7.7423878992634088E-2</v>
      </c>
    </row>
    <row r="4873" spans="2:7" x14ac:dyDescent="0.25">
      <c r="B4873" s="98"/>
      <c r="F4873">
        <v>4869</v>
      </c>
      <c r="G4873" s="109">
        <f t="shared" ca="1" si="85"/>
        <v>-0.11293940974829349</v>
      </c>
    </row>
    <row r="4874" spans="2:7" x14ac:dyDescent="0.25">
      <c r="B4874" s="98"/>
      <c r="F4874">
        <v>4870</v>
      </c>
      <c r="G4874" s="109">
        <f t="shared" ca="1" si="85"/>
        <v>0.11186284577665315</v>
      </c>
    </row>
    <row r="4875" spans="2:7" x14ac:dyDescent="0.25">
      <c r="B4875" s="98"/>
      <c r="F4875">
        <v>4871</v>
      </c>
      <c r="G4875" s="109">
        <f t="shared" ca="1" si="85"/>
        <v>3.806796067294102E-3</v>
      </c>
    </row>
    <row r="4876" spans="2:7" x14ac:dyDescent="0.25">
      <c r="B4876" s="98"/>
      <c r="F4876">
        <v>4872</v>
      </c>
      <c r="G4876" s="109">
        <f t="shared" ca="1" si="85"/>
        <v>-0.1106557945837308</v>
      </c>
    </row>
    <row r="4877" spans="2:7" x14ac:dyDescent="0.25">
      <c r="B4877" s="98"/>
      <c r="F4877">
        <v>4873</v>
      </c>
      <c r="G4877" s="109">
        <f t="shared" ca="1" si="85"/>
        <v>-4.3468992013904306E-2</v>
      </c>
    </row>
    <row r="4878" spans="2:7" x14ac:dyDescent="0.25">
      <c r="B4878" s="98"/>
      <c r="F4878">
        <v>4874</v>
      </c>
      <c r="G4878" s="109">
        <f t="shared" ca="1" si="85"/>
        <v>7.6094461538928515E-2</v>
      </c>
    </row>
    <row r="4879" spans="2:7" x14ac:dyDescent="0.25">
      <c r="B4879" s="98"/>
      <c r="F4879">
        <v>4875</v>
      </c>
      <c r="G4879" s="109">
        <f t="shared" ca="1" si="85"/>
        <v>0.21028939124997592</v>
      </c>
    </row>
    <row r="4880" spans="2:7" x14ac:dyDescent="0.25">
      <c r="B4880" s="98"/>
      <c r="F4880">
        <v>4876</v>
      </c>
      <c r="G4880" s="109">
        <f t="shared" ca="1" si="85"/>
        <v>0.21447915170164367</v>
      </c>
    </row>
    <row r="4881" spans="2:7" x14ac:dyDescent="0.25">
      <c r="B4881" s="98"/>
      <c r="F4881">
        <v>4877</v>
      </c>
      <c r="G4881" s="109">
        <f t="shared" ca="1" si="85"/>
        <v>-7.925251243724038E-2</v>
      </c>
    </row>
    <row r="4882" spans="2:7" x14ac:dyDescent="0.25">
      <c r="B4882" s="98"/>
      <c r="F4882">
        <v>4878</v>
      </c>
      <c r="G4882" s="109">
        <f t="shared" ca="1" si="85"/>
        <v>-3.8022225170203122E-2</v>
      </c>
    </row>
    <row r="4883" spans="2:7" x14ac:dyDescent="0.25">
      <c r="B4883" s="98"/>
      <c r="F4883">
        <v>4879</v>
      </c>
      <c r="G4883" s="109">
        <f t="shared" ca="1" si="85"/>
        <v>9.8795711888968282E-2</v>
      </c>
    </row>
    <row r="4884" spans="2:7" x14ac:dyDescent="0.25">
      <c r="B4884" s="98"/>
      <c r="F4884">
        <v>4880</v>
      </c>
      <c r="G4884" s="109">
        <f t="shared" ca="1" si="85"/>
        <v>6.668780641772995E-2</v>
      </c>
    </row>
    <row r="4885" spans="2:7" x14ac:dyDescent="0.25">
      <c r="B4885" s="98"/>
      <c r="F4885">
        <v>4881</v>
      </c>
      <c r="G4885" s="109">
        <f t="shared" ca="1" si="85"/>
        <v>-1.3084406702328105E-2</v>
      </c>
    </row>
    <row r="4886" spans="2:7" x14ac:dyDescent="0.25">
      <c r="B4886" s="98"/>
      <c r="F4886">
        <v>4882</v>
      </c>
      <c r="G4886" s="109">
        <f t="shared" ca="1" si="85"/>
        <v>7.2503854243498214E-2</v>
      </c>
    </row>
    <row r="4887" spans="2:7" x14ac:dyDescent="0.25">
      <c r="B4887" s="98"/>
      <c r="F4887">
        <v>4883</v>
      </c>
      <c r="G4887" s="109">
        <f t="shared" ca="1" si="85"/>
        <v>-3.0636760079858438E-2</v>
      </c>
    </row>
    <row r="4888" spans="2:7" x14ac:dyDescent="0.25">
      <c r="B4888" s="98"/>
      <c r="F4888">
        <v>4884</v>
      </c>
      <c r="G4888" s="109">
        <f t="shared" ca="1" si="85"/>
        <v>0.15411478351175345</v>
      </c>
    </row>
    <row r="4889" spans="2:7" x14ac:dyDescent="0.25">
      <c r="B4889" s="98"/>
      <c r="F4889">
        <v>4885</v>
      </c>
      <c r="G4889" s="109">
        <f t="shared" ca="1" si="85"/>
        <v>-6.5352212889893485E-2</v>
      </c>
    </row>
    <row r="4890" spans="2:7" x14ac:dyDescent="0.25">
      <c r="B4890" s="98"/>
      <c r="F4890">
        <v>4886</v>
      </c>
      <c r="G4890" s="109">
        <f t="shared" ca="1" si="85"/>
        <v>0.24073852768344334</v>
      </c>
    </row>
    <row r="4891" spans="2:7" x14ac:dyDescent="0.25">
      <c r="B4891" s="98"/>
      <c r="F4891">
        <v>4887</v>
      </c>
      <c r="G4891" s="109">
        <f t="shared" ca="1" si="85"/>
        <v>0.1268236837758448</v>
      </c>
    </row>
    <row r="4892" spans="2:7" x14ac:dyDescent="0.25">
      <c r="B4892" s="98"/>
      <c r="F4892">
        <v>4888</v>
      </c>
      <c r="G4892" s="109">
        <f t="shared" ca="1" si="85"/>
        <v>0.18725330392839457</v>
      </c>
    </row>
    <row r="4893" spans="2:7" x14ac:dyDescent="0.25">
      <c r="B4893" s="98"/>
      <c r="F4893">
        <v>4889</v>
      </c>
      <c r="G4893" s="109">
        <f t="shared" ca="1" si="85"/>
        <v>7.3329283409164281E-2</v>
      </c>
    </row>
    <row r="4894" spans="2:7" x14ac:dyDescent="0.25">
      <c r="B4894" s="98"/>
      <c r="F4894">
        <v>4890</v>
      </c>
      <c r="G4894" s="109">
        <f t="shared" ca="1" si="85"/>
        <v>-4.9661024913378635E-2</v>
      </c>
    </row>
    <row r="4895" spans="2:7" x14ac:dyDescent="0.25">
      <c r="B4895" s="98"/>
      <c r="F4895">
        <v>4891</v>
      </c>
      <c r="G4895" s="109">
        <f t="shared" ca="1" si="85"/>
        <v>0.16541727478457446</v>
      </c>
    </row>
    <row r="4896" spans="2:7" x14ac:dyDescent="0.25">
      <c r="B4896" s="98"/>
      <c r="F4896">
        <v>4892</v>
      </c>
      <c r="G4896" s="109">
        <f t="shared" ca="1" si="85"/>
        <v>3.2509360517980521E-2</v>
      </c>
    </row>
    <row r="4897" spans="2:7" x14ac:dyDescent="0.25">
      <c r="B4897" s="98"/>
      <c r="F4897">
        <v>4893</v>
      </c>
      <c r="G4897" s="109">
        <f t="shared" ca="1" si="85"/>
        <v>0.10804456406033509</v>
      </c>
    </row>
    <row r="4898" spans="2:7" x14ac:dyDescent="0.25">
      <c r="B4898" s="98"/>
      <c r="F4898">
        <v>4894</v>
      </c>
      <c r="G4898" s="109">
        <f t="shared" ca="1" si="85"/>
        <v>-2.0904073100688675E-2</v>
      </c>
    </row>
    <row r="4899" spans="2:7" x14ac:dyDescent="0.25">
      <c r="B4899" s="98"/>
      <c r="F4899">
        <v>4895</v>
      </c>
      <c r="G4899" s="109">
        <f t="shared" ca="1" si="85"/>
        <v>0.11793899710018074</v>
      </c>
    </row>
    <row r="4900" spans="2:7" x14ac:dyDescent="0.25">
      <c r="B4900" s="98"/>
      <c r="F4900">
        <v>4896</v>
      </c>
      <c r="G4900" s="109">
        <f t="shared" ca="1" si="85"/>
        <v>1.658969406266526E-2</v>
      </c>
    </row>
    <row r="4901" spans="2:7" x14ac:dyDescent="0.25">
      <c r="B4901" s="98"/>
      <c r="F4901">
        <v>4897</v>
      </c>
      <c r="G4901" s="109">
        <f t="shared" ca="1" si="85"/>
        <v>-0.16274108944024107</v>
      </c>
    </row>
    <row r="4902" spans="2:7" x14ac:dyDescent="0.25">
      <c r="B4902" s="98"/>
      <c r="F4902">
        <v>4898</v>
      </c>
      <c r="G4902" s="109">
        <f t="shared" ca="1" si="85"/>
        <v>3.9969812934904037E-2</v>
      </c>
    </row>
    <row r="4903" spans="2:7" x14ac:dyDescent="0.25">
      <c r="B4903" s="98"/>
      <c r="F4903">
        <v>4899</v>
      </c>
      <c r="G4903" s="109">
        <f t="shared" ca="1" si="85"/>
        <v>0.16485129952982319</v>
      </c>
    </row>
    <row r="4904" spans="2:7" x14ac:dyDescent="0.25">
      <c r="B4904" s="98"/>
      <c r="F4904">
        <v>4900</v>
      </c>
      <c r="G4904" s="109">
        <f t="shared" ca="1" si="85"/>
        <v>-5.7606272372904541E-2</v>
      </c>
    </row>
    <row r="4905" spans="2:7" x14ac:dyDescent="0.25">
      <c r="B4905" s="98"/>
      <c r="F4905">
        <v>4901</v>
      </c>
      <c r="G4905" s="109">
        <f t="shared" ca="1" si="85"/>
        <v>-0.11236018699719409</v>
      </c>
    </row>
    <row r="4906" spans="2:7" x14ac:dyDescent="0.25">
      <c r="B4906" s="98"/>
      <c r="F4906">
        <v>4902</v>
      </c>
      <c r="G4906" s="109">
        <f t="shared" ca="1" si="85"/>
        <v>-2.6998376754459652E-2</v>
      </c>
    </row>
    <row r="4907" spans="2:7" x14ac:dyDescent="0.25">
      <c r="B4907" s="98"/>
      <c r="F4907">
        <v>4903</v>
      </c>
      <c r="G4907" s="109">
        <f t="shared" ca="1" si="85"/>
        <v>-0.18537378335864146</v>
      </c>
    </row>
    <row r="4908" spans="2:7" x14ac:dyDescent="0.25">
      <c r="B4908" s="98"/>
      <c r="F4908">
        <v>4904</v>
      </c>
      <c r="G4908" s="109">
        <f t="shared" ca="1" si="85"/>
        <v>-1.3921396889119197E-2</v>
      </c>
    </row>
    <row r="4909" spans="2:7" x14ac:dyDescent="0.25">
      <c r="B4909" s="98"/>
      <c r="F4909">
        <v>4905</v>
      </c>
      <c r="G4909" s="109">
        <f t="shared" ca="1" si="85"/>
        <v>0.16282305316115159</v>
      </c>
    </row>
    <row r="4910" spans="2:7" x14ac:dyDescent="0.25">
      <c r="B4910" s="98"/>
      <c r="F4910">
        <v>4906</v>
      </c>
      <c r="G4910" s="109">
        <f t="shared" ca="1" si="85"/>
        <v>2.3725941929314102E-2</v>
      </c>
    </row>
    <row r="4911" spans="2:7" x14ac:dyDescent="0.25">
      <c r="B4911" s="98"/>
      <c r="F4911">
        <v>4907</v>
      </c>
      <c r="G4911" s="109">
        <f t="shared" ca="1" si="85"/>
        <v>0.11647725870984726</v>
      </c>
    </row>
    <row r="4912" spans="2:7" x14ac:dyDescent="0.25">
      <c r="B4912" s="98"/>
      <c r="F4912">
        <v>4908</v>
      </c>
      <c r="G4912" s="109">
        <f t="shared" ca="1" si="85"/>
        <v>-9.3315806791365724E-4</v>
      </c>
    </row>
    <row r="4913" spans="2:7" x14ac:dyDescent="0.25">
      <c r="B4913" s="98"/>
      <c r="F4913">
        <v>4909</v>
      </c>
      <c r="G4913" s="109">
        <f t="shared" ca="1" si="85"/>
        <v>0.12089216119121032</v>
      </c>
    </row>
    <row r="4914" spans="2:7" x14ac:dyDescent="0.25">
      <c r="B4914" s="98"/>
      <c r="F4914">
        <v>4910</v>
      </c>
      <c r="G4914" s="109">
        <f t="shared" ca="1" si="85"/>
        <v>1.0559893506851721E-2</v>
      </c>
    </row>
    <row r="4915" spans="2:7" x14ac:dyDescent="0.25">
      <c r="B4915" s="98"/>
      <c r="F4915">
        <v>4911</v>
      </c>
      <c r="G4915" s="109">
        <f t="shared" ca="1" si="85"/>
        <v>0.197746831995251</v>
      </c>
    </row>
    <row r="4916" spans="2:7" x14ac:dyDescent="0.25">
      <c r="B4916" s="98"/>
      <c r="F4916">
        <v>4912</v>
      </c>
      <c r="G4916" s="109">
        <f t="shared" ca="1" si="85"/>
        <v>-2.7497478632117087E-2</v>
      </c>
    </row>
    <row r="4917" spans="2:7" x14ac:dyDescent="0.25">
      <c r="B4917" s="98"/>
      <c r="F4917">
        <v>4913</v>
      </c>
      <c r="G4917" s="109">
        <f t="shared" ca="1" si="85"/>
        <v>-3.6589895266953193E-2</v>
      </c>
    </row>
    <row r="4918" spans="2:7" x14ac:dyDescent="0.25">
      <c r="B4918" s="98"/>
      <c r="F4918">
        <v>4914</v>
      </c>
      <c r="G4918" s="109">
        <f t="shared" ca="1" si="85"/>
        <v>-3.0131409677065735E-2</v>
      </c>
    </row>
    <row r="4919" spans="2:7" x14ac:dyDescent="0.25">
      <c r="B4919" s="98"/>
      <c r="F4919">
        <v>4915</v>
      </c>
      <c r="G4919" s="109">
        <f t="shared" ca="1" si="85"/>
        <v>0.13985793840660465</v>
      </c>
    </row>
    <row r="4920" spans="2:7" x14ac:dyDescent="0.25">
      <c r="B4920" s="98"/>
      <c r="F4920">
        <v>4916</v>
      </c>
      <c r="G4920" s="109">
        <f t="shared" ca="1" si="85"/>
        <v>0.14881885032868028</v>
      </c>
    </row>
    <row r="4921" spans="2:7" x14ac:dyDescent="0.25">
      <c r="B4921" s="98"/>
      <c r="F4921">
        <v>4917</v>
      </c>
      <c r="G4921" s="109">
        <f t="shared" ca="1" si="85"/>
        <v>-6.2464708594277038E-2</v>
      </c>
    </row>
    <row r="4922" spans="2:7" x14ac:dyDescent="0.25">
      <c r="B4922" s="98"/>
      <c r="F4922">
        <v>4918</v>
      </c>
      <c r="G4922" s="109">
        <f t="shared" ca="1" si="85"/>
        <v>6.5268293759653304E-2</v>
      </c>
    </row>
    <row r="4923" spans="2:7" x14ac:dyDescent="0.25">
      <c r="B4923" s="98"/>
      <c r="F4923">
        <v>4919</v>
      </c>
      <c r="G4923" s="109">
        <f t="shared" ca="1" si="85"/>
        <v>0.26975233367340928</v>
      </c>
    </row>
    <row r="4924" spans="2:7" x14ac:dyDescent="0.25">
      <c r="B4924" s="98"/>
      <c r="F4924">
        <v>4920</v>
      </c>
      <c r="G4924" s="109">
        <f t="shared" ca="1" si="85"/>
        <v>-1.5857242944006256E-2</v>
      </c>
    </row>
    <row r="4925" spans="2:7" x14ac:dyDescent="0.25">
      <c r="B4925" s="98"/>
      <c r="F4925">
        <v>4921</v>
      </c>
      <c r="G4925" s="109">
        <f t="shared" ca="1" si="85"/>
        <v>-6.8160682359959618E-2</v>
      </c>
    </row>
    <row r="4926" spans="2:7" x14ac:dyDescent="0.25">
      <c r="B4926" s="98"/>
      <c r="F4926">
        <v>4922</v>
      </c>
      <c r="G4926" s="109">
        <f t="shared" ca="1" si="85"/>
        <v>0.1501897369573254</v>
      </c>
    </row>
    <row r="4927" spans="2:7" x14ac:dyDescent="0.25">
      <c r="B4927" s="98"/>
      <c r="F4927">
        <v>4923</v>
      </c>
      <c r="G4927" s="109">
        <f t="shared" ca="1" si="85"/>
        <v>1.1704762351433043E-3</v>
      </c>
    </row>
    <row r="4928" spans="2:7" x14ac:dyDescent="0.25">
      <c r="B4928" s="98"/>
      <c r="F4928">
        <v>4924</v>
      </c>
      <c r="G4928" s="109">
        <f t="shared" ca="1" si="85"/>
        <v>-5.251693397217358E-2</v>
      </c>
    </row>
    <row r="4929" spans="2:7" x14ac:dyDescent="0.25">
      <c r="B4929" s="98"/>
      <c r="F4929">
        <v>4925</v>
      </c>
      <c r="G4929" s="109">
        <f t="shared" ca="1" si="85"/>
        <v>0.16311235581855296</v>
      </c>
    </row>
    <row r="4930" spans="2:7" x14ac:dyDescent="0.25">
      <c r="B4930" s="98"/>
      <c r="F4930">
        <v>4926</v>
      </c>
      <c r="G4930" s="109">
        <f t="shared" ca="1" si="85"/>
        <v>7.6348347406110892E-2</v>
      </c>
    </row>
    <row r="4931" spans="2:7" x14ac:dyDescent="0.25">
      <c r="B4931" s="98"/>
      <c r="F4931">
        <v>4927</v>
      </c>
      <c r="G4931" s="109">
        <f t="shared" ca="1" si="85"/>
        <v>-4.3484304751525052E-2</v>
      </c>
    </row>
    <row r="4932" spans="2:7" x14ac:dyDescent="0.25">
      <c r="B4932" s="98"/>
      <c r="F4932">
        <v>4928</v>
      </c>
      <c r="G4932" s="109">
        <f t="shared" ca="1" si="85"/>
        <v>-1.6582231122021854E-2</v>
      </c>
    </row>
    <row r="4933" spans="2:7" x14ac:dyDescent="0.25">
      <c r="B4933" s="98"/>
      <c r="F4933">
        <v>4929</v>
      </c>
      <c r="G4933" s="109">
        <f t="shared" ca="1" si="85"/>
        <v>-0.16165613291445019</v>
      </c>
    </row>
    <row r="4934" spans="2:7" x14ac:dyDescent="0.25">
      <c r="B4934" s="98"/>
      <c r="F4934">
        <v>4930</v>
      </c>
      <c r="G4934" s="109">
        <f t="shared" ref="G4934:G4997" ca="1" si="86">_xlfn.NORM.INV(RAND(),$M$5,$M$6)</f>
        <v>-0.14356306789858791</v>
      </c>
    </row>
    <row r="4935" spans="2:7" x14ac:dyDescent="0.25">
      <c r="B4935" s="98"/>
      <c r="F4935">
        <v>4931</v>
      </c>
      <c r="G4935" s="109">
        <f t="shared" ca="1" si="86"/>
        <v>0.20655908981947874</v>
      </c>
    </row>
    <row r="4936" spans="2:7" x14ac:dyDescent="0.25">
      <c r="B4936" s="98"/>
      <c r="F4936">
        <v>4932</v>
      </c>
      <c r="G4936" s="109">
        <f t="shared" ca="1" si="86"/>
        <v>6.0116429571874748E-2</v>
      </c>
    </row>
    <row r="4937" spans="2:7" x14ac:dyDescent="0.25">
      <c r="B4937" s="98"/>
      <c r="F4937">
        <v>4933</v>
      </c>
      <c r="G4937" s="109">
        <f t="shared" ca="1" si="86"/>
        <v>0.18287720766496246</v>
      </c>
    </row>
    <row r="4938" spans="2:7" x14ac:dyDescent="0.25">
      <c r="B4938" s="98"/>
      <c r="F4938">
        <v>4934</v>
      </c>
      <c r="G4938" s="109">
        <f t="shared" ca="1" si="86"/>
        <v>-2.4725930597305587E-2</v>
      </c>
    </row>
    <row r="4939" spans="2:7" x14ac:dyDescent="0.25">
      <c r="B4939" s="98"/>
      <c r="F4939">
        <v>4935</v>
      </c>
      <c r="G4939" s="109">
        <f t="shared" ca="1" si="86"/>
        <v>5.4143341142682128E-2</v>
      </c>
    </row>
    <row r="4940" spans="2:7" x14ac:dyDescent="0.25">
      <c r="B4940" s="98"/>
      <c r="F4940">
        <v>4936</v>
      </c>
      <c r="G4940" s="109">
        <f t="shared" ca="1" si="86"/>
        <v>0.15855649951302903</v>
      </c>
    </row>
    <row r="4941" spans="2:7" x14ac:dyDescent="0.25">
      <c r="B4941" s="98"/>
      <c r="F4941">
        <v>4937</v>
      </c>
      <c r="G4941" s="109">
        <f t="shared" ca="1" si="86"/>
        <v>0.25370349195528646</v>
      </c>
    </row>
    <row r="4942" spans="2:7" x14ac:dyDescent="0.25">
      <c r="B4942" s="98"/>
      <c r="F4942">
        <v>4938</v>
      </c>
      <c r="G4942" s="109">
        <f t="shared" ca="1" si="86"/>
        <v>4.7063063932895388E-2</v>
      </c>
    </row>
    <row r="4943" spans="2:7" x14ac:dyDescent="0.25">
      <c r="B4943" s="98"/>
      <c r="F4943">
        <v>4939</v>
      </c>
      <c r="G4943" s="109">
        <f t="shared" ca="1" si="86"/>
        <v>-5.5877042922770487E-2</v>
      </c>
    </row>
    <row r="4944" spans="2:7" x14ac:dyDescent="0.25">
      <c r="B4944" s="98"/>
      <c r="F4944">
        <v>4940</v>
      </c>
      <c r="G4944" s="109">
        <f t="shared" ca="1" si="86"/>
        <v>0.1548391601721848</v>
      </c>
    </row>
    <row r="4945" spans="2:7" x14ac:dyDescent="0.25">
      <c r="B4945" s="98"/>
      <c r="F4945">
        <v>4941</v>
      </c>
      <c r="G4945" s="109">
        <f t="shared" ca="1" si="86"/>
        <v>0.2160051051745347</v>
      </c>
    </row>
    <row r="4946" spans="2:7" x14ac:dyDescent="0.25">
      <c r="B4946" s="98"/>
      <c r="F4946">
        <v>4942</v>
      </c>
      <c r="G4946" s="109">
        <f t="shared" ca="1" si="86"/>
        <v>0.15363851108390711</v>
      </c>
    </row>
    <row r="4947" spans="2:7" x14ac:dyDescent="0.25">
      <c r="B4947" s="98"/>
      <c r="F4947">
        <v>4943</v>
      </c>
      <c r="G4947" s="109">
        <f t="shared" ca="1" si="86"/>
        <v>8.2548415345479464E-2</v>
      </c>
    </row>
    <row r="4948" spans="2:7" x14ac:dyDescent="0.25">
      <c r="B4948" s="98"/>
      <c r="F4948">
        <v>4944</v>
      </c>
      <c r="G4948" s="109">
        <f t="shared" ca="1" si="86"/>
        <v>3.5857330782489767E-2</v>
      </c>
    </row>
    <row r="4949" spans="2:7" x14ac:dyDescent="0.25">
      <c r="B4949" s="98"/>
      <c r="F4949">
        <v>4945</v>
      </c>
      <c r="G4949" s="109">
        <f t="shared" ca="1" si="86"/>
        <v>0.15013470558931974</v>
      </c>
    </row>
    <row r="4950" spans="2:7" x14ac:dyDescent="0.25">
      <c r="B4950" s="98"/>
      <c r="F4950">
        <v>4946</v>
      </c>
      <c r="G4950" s="109">
        <f t="shared" ca="1" si="86"/>
        <v>6.4280622109556262E-3</v>
      </c>
    </row>
    <row r="4951" spans="2:7" x14ac:dyDescent="0.25">
      <c r="B4951" s="98"/>
      <c r="F4951">
        <v>4947</v>
      </c>
      <c r="G4951" s="109">
        <f t="shared" ca="1" si="86"/>
        <v>3.5307969666336675E-2</v>
      </c>
    </row>
    <row r="4952" spans="2:7" x14ac:dyDescent="0.25">
      <c r="B4952" s="98"/>
      <c r="F4952">
        <v>4948</v>
      </c>
      <c r="G4952" s="109">
        <f t="shared" ca="1" si="86"/>
        <v>-5.7201861758027855E-2</v>
      </c>
    </row>
    <row r="4953" spans="2:7" x14ac:dyDescent="0.25">
      <c r="B4953" s="98"/>
      <c r="F4953">
        <v>4949</v>
      </c>
      <c r="G4953" s="109">
        <f t="shared" ca="1" si="86"/>
        <v>0.16224463717429755</v>
      </c>
    </row>
    <row r="4954" spans="2:7" x14ac:dyDescent="0.25">
      <c r="B4954" s="98"/>
      <c r="F4954">
        <v>4950</v>
      </c>
      <c r="G4954" s="109">
        <f t="shared" ca="1" si="86"/>
        <v>1.8810178100551467E-3</v>
      </c>
    </row>
    <row r="4955" spans="2:7" x14ac:dyDescent="0.25">
      <c r="B4955" s="98"/>
      <c r="F4955">
        <v>4951</v>
      </c>
      <c r="G4955" s="109">
        <f t="shared" ca="1" si="86"/>
        <v>-2.0407958813518451E-2</v>
      </c>
    </row>
    <row r="4956" spans="2:7" x14ac:dyDescent="0.25">
      <c r="B4956" s="98"/>
      <c r="F4956">
        <v>4952</v>
      </c>
      <c r="G4956" s="109">
        <f t="shared" ca="1" si="86"/>
        <v>2.6813074883452408E-2</v>
      </c>
    </row>
    <row r="4957" spans="2:7" x14ac:dyDescent="0.25">
      <c r="B4957" s="98"/>
      <c r="F4957">
        <v>4953</v>
      </c>
      <c r="G4957" s="109">
        <f t="shared" ca="1" si="86"/>
        <v>0.12840116666007906</v>
      </c>
    </row>
    <row r="4958" spans="2:7" x14ac:dyDescent="0.25">
      <c r="B4958" s="98"/>
      <c r="F4958">
        <v>4954</v>
      </c>
      <c r="G4958" s="109">
        <f t="shared" ca="1" si="86"/>
        <v>0.13074313401961213</v>
      </c>
    </row>
    <row r="4959" spans="2:7" x14ac:dyDescent="0.25">
      <c r="B4959" s="98"/>
      <c r="F4959">
        <v>4955</v>
      </c>
      <c r="G4959" s="109">
        <f t="shared" ca="1" si="86"/>
        <v>-6.6180691378925433E-2</v>
      </c>
    </row>
    <row r="4960" spans="2:7" x14ac:dyDescent="0.25">
      <c r="B4960" s="98"/>
      <c r="F4960">
        <v>4956</v>
      </c>
      <c r="G4960" s="109">
        <f t="shared" ca="1" si="86"/>
        <v>1.389943475930587E-2</v>
      </c>
    </row>
    <row r="4961" spans="2:7" x14ac:dyDescent="0.25">
      <c r="B4961" s="98"/>
      <c r="F4961">
        <v>4957</v>
      </c>
      <c r="G4961" s="109">
        <f t="shared" ca="1" si="86"/>
        <v>-0.10651209530147622</v>
      </c>
    </row>
    <row r="4962" spans="2:7" x14ac:dyDescent="0.25">
      <c r="B4962" s="98"/>
      <c r="F4962">
        <v>4958</v>
      </c>
      <c r="G4962" s="109">
        <f t="shared" ca="1" si="86"/>
        <v>-7.2705745379577899E-2</v>
      </c>
    </row>
    <row r="4963" spans="2:7" x14ac:dyDescent="0.25">
      <c r="B4963" s="98"/>
      <c r="F4963">
        <v>4959</v>
      </c>
      <c r="G4963" s="109">
        <f t="shared" ca="1" si="86"/>
        <v>5.9575221488499808E-3</v>
      </c>
    </row>
    <row r="4964" spans="2:7" x14ac:dyDescent="0.25">
      <c r="B4964" s="98"/>
      <c r="F4964">
        <v>4960</v>
      </c>
      <c r="G4964" s="109">
        <f t="shared" ca="1" si="86"/>
        <v>-1.5248576252029286E-3</v>
      </c>
    </row>
    <row r="4965" spans="2:7" x14ac:dyDescent="0.25">
      <c r="B4965" s="98"/>
      <c r="F4965">
        <v>4961</v>
      </c>
      <c r="G4965" s="109">
        <f t="shared" ca="1" si="86"/>
        <v>-0.20801197108269337</v>
      </c>
    </row>
    <row r="4966" spans="2:7" x14ac:dyDescent="0.25">
      <c r="B4966" s="98"/>
      <c r="F4966">
        <v>4962</v>
      </c>
      <c r="G4966" s="109">
        <f t="shared" ca="1" si="86"/>
        <v>0.19332645054046727</v>
      </c>
    </row>
    <row r="4967" spans="2:7" x14ac:dyDescent="0.25">
      <c r="B4967" s="98"/>
      <c r="F4967">
        <v>4963</v>
      </c>
      <c r="G4967" s="109">
        <f t="shared" ca="1" si="86"/>
        <v>0.10764710137505727</v>
      </c>
    </row>
    <row r="4968" spans="2:7" x14ac:dyDescent="0.25">
      <c r="B4968" s="98"/>
      <c r="F4968">
        <v>4964</v>
      </c>
      <c r="G4968" s="109">
        <f t="shared" ca="1" si="86"/>
        <v>4.6167996528278507E-2</v>
      </c>
    </row>
    <row r="4969" spans="2:7" x14ac:dyDescent="0.25">
      <c r="B4969" s="98"/>
      <c r="F4969">
        <v>4965</v>
      </c>
      <c r="G4969" s="109">
        <f t="shared" ca="1" si="86"/>
        <v>5.2581175527673371E-2</v>
      </c>
    </row>
    <row r="4970" spans="2:7" x14ac:dyDescent="0.25">
      <c r="B4970" s="98"/>
      <c r="F4970">
        <v>4966</v>
      </c>
      <c r="G4970" s="109">
        <f t="shared" ca="1" si="86"/>
        <v>-3.0266020582284989E-2</v>
      </c>
    </row>
    <row r="4971" spans="2:7" x14ac:dyDescent="0.25">
      <c r="B4971" s="98"/>
      <c r="F4971">
        <v>4967</v>
      </c>
      <c r="G4971" s="109">
        <f t="shared" ca="1" si="86"/>
        <v>0.10785758317316137</v>
      </c>
    </row>
    <row r="4972" spans="2:7" x14ac:dyDescent="0.25">
      <c r="B4972" s="98"/>
      <c r="F4972">
        <v>4968</v>
      </c>
      <c r="G4972" s="109">
        <f t="shared" ca="1" si="86"/>
        <v>0.2083846791741471</v>
      </c>
    </row>
    <row r="4973" spans="2:7" x14ac:dyDescent="0.25">
      <c r="B4973" s="98"/>
      <c r="F4973">
        <v>4969</v>
      </c>
      <c r="G4973" s="109">
        <f t="shared" ca="1" si="86"/>
        <v>-0.13176062068147099</v>
      </c>
    </row>
    <row r="4974" spans="2:7" x14ac:dyDescent="0.25">
      <c r="B4974" s="98"/>
      <c r="F4974">
        <v>4970</v>
      </c>
      <c r="G4974" s="109">
        <f t="shared" ca="1" si="86"/>
        <v>6.527663777460789E-2</v>
      </c>
    </row>
    <row r="4975" spans="2:7" x14ac:dyDescent="0.25">
      <c r="B4975" s="98"/>
      <c r="F4975">
        <v>4971</v>
      </c>
      <c r="G4975" s="109">
        <f t="shared" ca="1" si="86"/>
        <v>4.0128578681952701E-2</v>
      </c>
    </row>
    <row r="4976" spans="2:7" x14ac:dyDescent="0.25">
      <c r="B4976" s="98"/>
      <c r="F4976">
        <v>4972</v>
      </c>
      <c r="G4976" s="109">
        <f t="shared" ca="1" si="86"/>
        <v>9.4357215254904148E-2</v>
      </c>
    </row>
    <row r="4977" spans="2:7" x14ac:dyDescent="0.25">
      <c r="B4977" s="98"/>
      <c r="F4977">
        <v>4973</v>
      </c>
      <c r="G4977" s="109">
        <f t="shared" ca="1" si="86"/>
        <v>7.6674257995446277E-2</v>
      </c>
    </row>
    <row r="4978" spans="2:7" x14ac:dyDescent="0.25">
      <c r="B4978" s="98"/>
      <c r="F4978">
        <v>4974</v>
      </c>
      <c r="G4978" s="109">
        <f t="shared" ca="1" si="86"/>
        <v>0.13910267048591329</v>
      </c>
    </row>
    <row r="4979" spans="2:7" x14ac:dyDescent="0.25">
      <c r="B4979" s="98"/>
      <c r="F4979">
        <v>4975</v>
      </c>
      <c r="G4979" s="109">
        <f t="shared" ca="1" si="86"/>
        <v>-2.690075749448731E-2</v>
      </c>
    </row>
    <row r="4980" spans="2:7" x14ac:dyDescent="0.25">
      <c r="B4980" s="98"/>
      <c r="F4980">
        <v>4976</v>
      </c>
      <c r="G4980" s="109">
        <f t="shared" ca="1" si="86"/>
        <v>-7.6728568099301758E-2</v>
      </c>
    </row>
    <row r="4981" spans="2:7" x14ac:dyDescent="0.25">
      <c r="B4981" s="98"/>
      <c r="F4981">
        <v>4977</v>
      </c>
      <c r="G4981" s="109">
        <f t="shared" ca="1" si="86"/>
        <v>0.17857567237025063</v>
      </c>
    </row>
    <row r="4982" spans="2:7" x14ac:dyDescent="0.25">
      <c r="B4982" s="98"/>
      <c r="F4982">
        <v>4978</v>
      </c>
      <c r="G4982" s="109">
        <f t="shared" ca="1" si="86"/>
        <v>2.0207953471047632E-2</v>
      </c>
    </row>
    <row r="4983" spans="2:7" x14ac:dyDescent="0.25">
      <c r="B4983" s="98"/>
      <c r="F4983">
        <v>4979</v>
      </c>
      <c r="G4983" s="109">
        <f t="shared" ca="1" si="86"/>
        <v>-9.2833803656710637E-2</v>
      </c>
    </row>
    <row r="4984" spans="2:7" x14ac:dyDescent="0.25">
      <c r="B4984" s="98"/>
      <c r="F4984">
        <v>4980</v>
      </c>
      <c r="G4984" s="109">
        <f t="shared" ca="1" si="86"/>
        <v>8.2682351986561181E-2</v>
      </c>
    </row>
    <row r="4985" spans="2:7" x14ac:dyDescent="0.25">
      <c r="B4985" s="98"/>
      <c r="F4985">
        <v>4981</v>
      </c>
      <c r="G4985" s="109">
        <f t="shared" ca="1" si="86"/>
        <v>0.10113090957471327</v>
      </c>
    </row>
    <row r="4986" spans="2:7" x14ac:dyDescent="0.25">
      <c r="B4986" s="98"/>
      <c r="F4986">
        <v>4982</v>
      </c>
      <c r="G4986" s="109">
        <f t="shared" ca="1" si="86"/>
        <v>8.7584326537859802E-2</v>
      </c>
    </row>
    <row r="4987" spans="2:7" x14ac:dyDescent="0.25">
      <c r="B4987" s="98"/>
      <c r="F4987">
        <v>4983</v>
      </c>
      <c r="G4987" s="109">
        <f t="shared" ca="1" si="86"/>
        <v>6.9530569080591159E-2</v>
      </c>
    </row>
    <row r="4988" spans="2:7" x14ac:dyDescent="0.25">
      <c r="B4988" s="98"/>
      <c r="F4988">
        <v>4984</v>
      </c>
      <c r="G4988" s="109">
        <f t="shared" ca="1" si="86"/>
        <v>5.5411364631373798E-2</v>
      </c>
    </row>
    <row r="4989" spans="2:7" x14ac:dyDescent="0.25">
      <c r="B4989" s="98"/>
      <c r="F4989">
        <v>4985</v>
      </c>
      <c r="G4989" s="109">
        <f t="shared" ca="1" si="86"/>
        <v>0.23580747066349089</v>
      </c>
    </row>
    <row r="4990" spans="2:7" x14ac:dyDescent="0.25">
      <c r="B4990" s="98"/>
      <c r="F4990">
        <v>4986</v>
      </c>
      <c r="G4990" s="109">
        <f t="shared" ca="1" si="86"/>
        <v>7.0140301346012179E-2</v>
      </c>
    </row>
    <row r="4991" spans="2:7" x14ac:dyDescent="0.25">
      <c r="B4991" s="98"/>
      <c r="F4991">
        <v>4987</v>
      </c>
      <c r="G4991" s="109">
        <f t="shared" ca="1" si="86"/>
        <v>-3.9178273018267554E-2</v>
      </c>
    </row>
    <row r="4992" spans="2:7" x14ac:dyDescent="0.25">
      <c r="B4992" s="98"/>
      <c r="F4992">
        <v>4988</v>
      </c>
      <c r="G4992" s="109">
        <f t="shared" ca="1" si="86"/>
        <v>-2.7511321443854458E-2</v>
      </c>
    </row>
    <row r="4993" spans="2:7" x14ac:dyDescent="0.25">
      <c r="B4993" s="98"/>
      <c r="F4993">
        <v>4989</v>
      </c>
      <c r="G4993" s="109">
        <f t="shared" ca="1" si="86"/>
        <v>-0.11310667880502391</v>
      </c>
    </row>
    <row r="4994" spans="2:7" x14ac:dyDescent="0.25">
      <c r="B4994" s="98"/>
      <c r="F4994">
        <v>4990</v>
      </c>
      <c r="G4994" s="109">
        <f t="shared" ca="1" si="86"/>
        <v>1.0771126089926898E-2</v>
      </c>
    </row>
    <row r="4995" spans="2:7" x14ac:dyDescent="0.25">
      <c r="B4995" s="98"/>
      <c r="F4995">
        <v>4991</v>
      </c>
      <c r="G4995" s="109">
        <f t="shared" ca="1" si="86"/>
        <v>7.6628711555364742E-3</v>
      </c>
    </row>
    <row r="4996" spans="2:7" x14ac:dyDescent="0.25">
      <c r="B4996" s="98"/>
      <c r="F4996">
        <v>4992</v>
      </c>
      <c r="G4996" s="109">
        <f t="shared" ca="1" si="86"/>
        <v>0.12744683833877446</v>
      </c>
    </row>
    <row r="4997" spans="2:7" x14ac:dyDescent="0.25">
      <c r="B4997" s="98"/>
      <c r="F4997">
        <v>4993</v>
      </c>
      <c r="G4997" s="109">
        <f t="shared" ca="1" si="86"/>
        <v>3.7229358306692661E-3</v>
      </c>
    </row>
    <row r="4998" spans="2:7" x14ac:dyDescent="0.25">
      <c r="B4998" s="98"/>
      <c r="F4998">
        <v>4994</v>
      </c>
      <c r="G4998" s="109">
        <f t="shared" ref="G4998:G5061" ca="1" si="87">_xlfn.NORM.INV(RAND(),$M$5,$M$6)</f>
        <v>-5.6958324781135772E-2</v>
      </c>
    </row>
    <row r="4999" spans="2:7" x14ac:dyDescent="0.25">
      <c r="B4999" s="98"/>
      <c r="F4999">
        <v>4995</v>
      </c>
      <c r="G4999" s="109">
        <f t="shared" ca="1" si="87"/>
        <v>5.0299015458330258E-2</v>
      </c>
    </row>
    <row r="5000" spans="2:7" x14ac:dyDescent="0.25">
      <c r="B5000" s="98"/>
      <c r="F5000">
        <v>4996</v>
      </c>
      <c r="G5000" s="109">
        <f t="shared" ca="1" si="87"/>
        <v>0.14753918136353922</v>
      </c>
    </row>
    <row r="5001" spans="2:7" x14ac:dyDescent="0.25">
      <c r="B5001" s="98"/>
      <c r="F5001">
        <v>4997</v>
      </c>
      <c r="G5001" s="109">
        <f t="shared" ca="1" si="87"/>
        <v>0.10749106025950866</v>
      </c>
    </row>
    <row r="5002" spans="2:7" x14ac:dyDescent="0.25">
      <c r="B5002" s="98"/>
      <c r="F5002">
        <v>4998</v>
      </c>
      <c r="G5002" s="109">
        <f t="shared" ca="1" si="87"/>
        <v>-5.4623901674020481E-2</v>
      </c>
    </row>
    <row r="5003" spans="2:7" x14ac:dyDescent="0.25">
      <c r="B5003" s="98"/>
      <c r="F5003">
        <v>4999</v>
      </c>
      <c r="G5003" s="109">
        <f t="shared" ca="1" si="87"/>
        <v>-8.4006357594187953E-3</v>
      </c>
    </row>
    <row r="5004" spans="2:7" x14ac:dyDescent="0.25">
      <c r="B5004" s="98"/>
      <c r="F5004">
        <v>5000</v>
      </c>
      <c r="G5004" s="109">
        <f t="shared" ca="1" si="87"/>
        <v>0.20537238762565846</v>
      </c>
    </row>
    <row r="5005" spans="2:7" x14ac:dyDescent="0.25">
      <c r="B5005" s="98"/>
      <c r="F5005">
        <v>5001</v>
      </c>
      <c r="G5005" s="109">
        <f t="shared" ca="1" si="87"/>
        <v>-6.2693222681233965E-2</v>
      </c>
    </row>
    <row r="5006" spans="2:7" x14ac:dyDescent="0.25">
      <c r="B5006" s="98"/>
      <c r="F5006">
        <v>5002</v>
      </c>
      <c r="G5006" s="109">
        <f t="shared" ca="1" si="87"/>
        <v>0.11282052794089457</v>
      </c>
    </row>
    <row r="5007" spans="2:7" x14ac:dyDescent="0.25">
      <c r="B5007" s="98"/>
      <c r="F5007">
        <v>5003</v>
      </c>
      <c r="G5007" s="109">
        <f t="shared" ca="1" si="87"/>
        <v>-0.10336578744642531</v>
      </c>
    </row>
    <row r="5008" spans="2:7" x14ac:dyDescent="0.25">
      <c r="B5008" s="98"/>
      <c r="F5008">
        <v>5004</v>
      </c>
      <c r="G5008" s="109">
        <f t="shared" ca="1" si="87"/>
        <v>0.20136255018155658</v>
      </c>
    </row>
    <row r="5009" spans="2:7" x14ac:dyDescent="0.25">
      <c r="B5009" s="98"/>
      <c r="F5009">
        <v>5005</v>
      </c>
      <c r="G5009" s="109">
        <f t="shared" ca="1" si="87"/>
        <v>0.18592340639171023</v>
      </c>
    </row>
    <row r="5010" spans="2:7" x14ac:dyDescent="0.25">
      <c r="B5010" s="98"/>
      <c r="F5010">
        <v>5006</v>
      </c>
      <c r="G5010" s="109">
        <f t="shared" ca="1" si="87"/>
        <v>-4.978763151725743E-2</v>
      </c>
    </row>
    <row r="5011" spans="2:7" x14ac:dyDescent="0.25">
      <c r="B5011" s="98"/>
      <c r="F5011">
        <v>5007</v>
      </c>
      <c r="G5011" s="109">
        <f t="shared" ca="1" si="87"/>
        <v>-8.8010579190856961E-2</v>
      </c>
    </row>
    <row r="5012" spans="2:7" x14ac:dyDescent="0.25">
      <c r="B5012" s="98"/>
      <c r="F5012">
        <v>5008</v>
      </c>
      <c r="G5012" s="109">
        <f t="shared" ca="1" si="87"/>
        <v>4.9732373667095452E-2</v>
      </c>
    </row>
    <row r="5013" spans="2:7" x14ac:dyDescent="0.25">
      <c r="B5013" s="98"/>
      <c r="F5013">
        <v>5009</v>
      </c>
      <c r="G5013" s="109">
        <f t="shared" ca="1" si="87"/>
        <v>0.20797269307514732</v>
      </c>
    </row>
    <row r="5014" spans="2:7" x14ac:dyDescent="0.25">
      <c r="B5014" s="98"/>
      <c r="F5014">
        <v>5010</v>
      </c>
      <c r="G5014" s="109">
        <f t="shared" ca="1" si="87"/>
        <v>-7.5203925275595301E-2</v>
      </c>
    </row>
    <row r="5015" spans="2:7" x14ac:dyDescent="0.25">
      <c r="B5015" s="98"/>
      <c r="F5015">
        <v>5011</v>
      </c>
      <c r="G5015" s="109">
        <f t="shared" ca="1" si="87"/>
        <v>0.265660481181618</v>
      </c>
    </row>
    <row r="5016" spans="2:7" x14ac:dyDescent="0.25">
      <c r="B5016" s="98"/>
      <c r="F5016">
        <v>5012</v>
      </c>
      <c r="G5016" s="109">
        <f t="shared" ca="1" si="87"/>
        <v>-7.4001393164151316E-2</v>
      </c>
    </row>
    <row r="5017" spans="2:7" x14ac:dyDescent="0.25">
      <c r="B5017" s="98"/>
      <c r="F5017">
        <v>5013</v>
      </c>
      <c r="G5017" s="109">
        <f t="shared" ca="1" si="87"/>
        <v>0.2411947906056181</v>
      </c>
    </row>
    <row r="5018" spans="2:7" x14ac:dyDescent="0.25">
      <c r="B5018" s="98"/>
      <c r="F5018">
        <v>5014</v>
      </c>
      <c r="G5018" s="109">
        <f t="shared" ca="1" si="87"/>
        <v>-0.18026013678945202</v>
      </c>
    </row>
    <row r="5019" spans="2:7" x14ac:dyDescent="0.25">
      <c r="B5019" s="98"/>
      <c r="F5019">
        <v>5015</v>
      </c>
      <c r="G5019" s="109">
        <f t="shared" ca="1" si="87"/>
        <v>0.11802457718152672</v>
      </c>
    </row>
    <row r="5020" spans="2:7" x14ac:dyDescent="0.25">
      <c r="B5020" s="98"/>
      <c r="F5020">
        <v>5016</v>
      </c>
      <c r="G5020" s="109">
        <f t="shared" ca="1" si="87"/>
        <v>0.34575484620965463</v>
      </c>
    </row>
    <row r="5021" spans="2:7" x14ac:dyDescent="0.25">
      <c r="B5021" s="98"/>
      <c r="F5021">
        <v>5017</v>
      </c>
      <c r="G5021" s="109">
        <f t="shared" ca="1" si="87"/>
        <v>8.6800031315411461E-2</v>
      </c>
    </row>
    <row r="5022" spans="2:7" x14ac:dyDescent="0.25">
      <c r="B5022" s="98"/>
      <c r="F5022">
        <v>5018</v>
      </c>
      <c r="G5022" s="109">
        <f t="shared" ca="1" si="87"/>
        <v>-9.973271655163736E-2</v>
      </c>
    </row>
    <row r="5023" spans="2:7" x14ac:dyDescent="0.25">
      <c r="B5023" s="98"/>
      <c r="F5023">
        <v>5019</v>
      </c>
      <c r="G5023" s="109">
        <f t="shared" ca="1" si="87"/>
        <v>9.9539784469300341E-2</v>
      </c>
    </row>
    <row r="5024" spans="2:7" x14ac:dyDescent="0.25">
      <c r="B5024" s="98"/>
      <c r="F5024">
        <v>5020</v>
      </c>
      <c r="G5024" s="109">
        <f t="shared" ca="1" si="87"/>
        <v>0.1467034666285239</v>
      </c>
    </row>
    <row r="5025" spans="2:7" x14ac:dyDescent="0.25">
      <c r="B5025" s="98"/>
      <c r="F5025">
        <v>5021</v>
      </c>
      <c r="G5025" s="109">
        <f t="shared" ca="1" si="87"/>
        <v>-0.1055585679393025</v>
      </c>
    </row>
    <row r="5026" spans="2:7" x14ac:dyDescent="0.25">
      <c r="B5026" s="98"/>
      <c r="F5026">
        <v>5022</v>
      </c>
      <c r="G5026" s="109">
        <f t="shared" ca="1" si="87"/>
        <v>2.813923959357989E-2</v>
      </c>
    </row>
    <row r="5027" spans="2:7" x14ac:dyDescent="0.25">
      <c r="B5027" s="98"/>
      <c r="F5027">
        <v>5023</v>
      </c>
      <c r="G5027" s="109">
        <f t="shared" ca="1" si="87"/>
        <v>1.4510703882227305E-2</v>
      </c>
    </row>
    <row r="5028" spans="2:7" x14ac:dyDescent="0.25">
      <c r="B5028" s="98"/>
      <c r="F5028">
        <v>5024</v>
      </c>
      <c r="G5028" s="109">
        <f t="shared" ca="1" si="87"/>
        <v>-6.4510842250345299E-2</v>
      </c>
    </row>
    <row r="5029" spans="2:7" x14ac:dyDescent="0.25">
      <c r="B5029" s="98"/>
      <c r="F5029">
        <v>5025</v>
      </c>
      <c r="G5029" s="109">
        <f t="shared" ca="1" si="87"/>
        <v>0.20370045270233883</v>
      </c>
    </row>
    <row r="5030" spans="2:7" x14ac:dyDescent="0.25">
      <c r="B5030" s="98"/>
      <c r="F5030">
        <v>5026</v>
      </c>
      <c r="G5030" s="109">
        <f t="shared" ca="1" si="87"/>
        <v>3.4742375604769921E-2</v>
      </c>
    </row>
    <row r="5031" spans="2:7" x14ac:dyDescent="0.25">
      <c r="B5031" s="98"/>
      <c r="F5031">
        <v>5027</v>
      </c>
      <c r="G5031" s="109">
        <f t="shared" ca="1" si="87"/>
        <v>8.2507413440223581E-3</v>
      </c>
    </row>
    <row r="5032" spans="2:7" x14ac:dyDescent="0.25">
      <c r="B5032" s="98"/>
      <c r="F5032">
        <v>5028</v>
      </c>
      <c r="G5032" s="109">
        <f t="shared" ca="1" si="87"/>
        <v>8.9750139236201371E-2</v>
      </c>
    </row>
    <row r="5033" spans="2:7" x14ac:dyDescent="0.25">
      <c r="B5033" s="98"/>
      <c r="F5033">
        <v>5029</v>
      </c>
      <c r="G5033" s="109">
        <f t="shared" ca="1" si="87"/>
        <v>0.33490829233514996</v>
      </c>
    </row>
    <row r="5034" spans="2:7" x14ac:dyDescent="0.25">
      <c r="B5034" s="98"/>
      <c r="F5034">
        <v>5030</v>
      </c>
      <c r="G5034" s="109">
        <f t="shared" ca="1" si="87"/>
        <v>0.1211361024759962</v>
      </c>
    </row>
    <row r="5035" spans="2:7" x14ac:dyDescent="0.25">
      <c r="B5035" s="98"/>
      <c r="F5035">
        <v>5031</v>
      </c>
      <c r="G5035" s="109">
        <f t="shared" ca="1" si="87"/>
        <v>-7.6108364353517866E-2</v>
      </c>
    </row>
    <row r="5036" spans="2:7" x14ac:dyDescent="0.25">
      <c r="B5036" s="98"/>
      <c r="F5036">
        <v>5032</v>
      </c>
      <c r="G5036" s="109">
        <f t="shared" ca="1" si="87"/>
        <v>0.21374698578031909</v>
      </c>
    </row>
    <row r="5037" spans="2:7" x14ac:dyDescent="0.25">
      <c r="B5037" s="98"/>
      <c r="F5037">
        <v>5033</v>
      </c>
      <c r="G5037" s="109">
        <f t="shared" ca="1" si="87"/>
        <v>5.7556771063231857E-2</v>
      </c>
    </row>
    <row r="5038" spans="2:7" x14ac:dyDescent="0.25">
      <c r="B5038" s="98"/>
      <c r="F5038">
        <v>5034</v>
      </c>
      <c r="G5038" s="109">
        <f t="shared" ca="1" si="87"/>
        <v>3.7153186661914403E-2</v>
      </c>
    </row>
    <row r="5039" spans="2:7" x14ac:dyDescent="0.25">
      <c r="B5039" s="98"/>
      <c r="F5039">
        <v>5035</v>
      </c>
      <c r="G5039" s="109">
        <f t="shared" ca="1" si="87"/>
        <v>0.1042482365835477</v>
      </c>
    </row>
    <row r="5040" spans="2:7" x14ac:dyDescent="0.25">
      <c r="B5040" s="98"/>
      <c r="F5040">
        <v>5036</v>
      </c>
      <c r="G5040" s="109">
        <f t="shared" ca="1" si="87"/>
        <v>4.2064315331000621E-2</v>
      </c>
    </row>
    <row r="5041" spans="2:7" x14ac:dyDescent="0.25">
      <c r="B5041" s="98"/>
      <c r="F5041">
        <v>5037</v>
      </c>
      <c r="G5041" s="109">
        <f t="shared" ca="1" si="87"/>
        <v>-0.10302571377349208</v>
      </c>
    </row>
    <row r="5042" spans="2:7" x14ac:dyDescent="0.25">
      <c r="B5042" s="98"/>
      <c r="F5042">
        <v>5038</v>
      </c>
      <c r="G5042" s="109">
        <f t="shared" ca="1" si="87"/>
        <v>-2.1315087671480798E-2</v>
      </c>
    </row>
    <row r="5043" spans="2:7" x14ac:dyDescent="0.25">
      <c r="B5043" s="98"/>
      <c r="F5043">
        <v>5039</v>
      </c>
      <c r="G5043" s="109">
        <f t="shared" ca="1" si="87"/>
        <v>0.16731057037840169</v>
      </c>
    </row>
    <row r="5044" spans="2:7" x14ac:dyDescent="0.25">
      <c r="B5044" s="98"/>
      <c r="F5044">
        <v>5040</v>
      </c>
      <c r="G5044" s="109">
        <f t="shared" ca="1" si="87"/>
        <v>-0.10301393434351912</v>
      </c>
    </row>
    <row r="5045" spans="2:7" x14ac:dyDescent="0.25">
      <c r="B5045" s="98"/>
      <c r="F5045">
        <v>5041</v>
      </c>
      <c r="G5045" s="109">
        <f t="shared" ca="1" si="87"/>
        <v>0.10807467186967692</v>
      </c>
    </row>
    <row r="5046" spans="2:7" x14ac:dyDescent="0.25">
      <c r="B5046" s="98"/>
      <c r="F5046">
        <v>5042</v>
      </c>
      <c r="G5046" s="109">
        <f t="shared" ca="1" si="87"/>
        <v>0.26588866274138256</v>
      </c>
    </row>
    <row r="5047" spans="2:7" x14ac:dyDescent="0.25">
      <c r="B5047" s="98"/>
      <c r="F5047">
        <v>5043</v>
      </c>
      <c r="G5047" s="109">
        <f t="shared" ca="1" si="87"/>
        <v>-2.3803847239345033E-2</v>
      </c>
    </row>
    <row r="5048" spans="2:7" x14ac:dyDescent="0.25">
      <c r="B5048" s="98"/>
      <c r="F5048">
        <v>5044</v>
      </c>
      <c r="G5048" s="109">
        <f t="shared" ca="1" si="87"/>
        <v>-9.3002965892038172E-3</v>
      </c>
    </row>
    <row r="5049" spans="2:7" x14ac:dyDescent="0.25">
      <c r="B5049" s="98"/>
      <c r="F5049">
        <v>5045</v>
      </c>
      <c r="G5049" s="109">
        <f t="shared" ca="1" si="87"/>
        <v>6.7220651649038565E-2</v>
      </c>
    </row>
    <row r="5050" spans="2:7" x14ac:dyDescent="0.25">
      <c r="B5050" s="98"/>
      <c r="F5050">
        <v>5046</v>
      </c>
      <c r="G5050" s="109">
        <f t="shared" ca="1" si="87"/>
        <v>0.27672839814879835</v>
      </c>
    </row>
    <row r="5051" spans="2:7" x14ac:dyDescent="0.25">
      <c r="B5051" s="98"/>
      <c r="F5051">
        <v>5047</v>
      </c>
      <c r="G5051" s="109">
        <f t="shared" ca="1" si="87"/>
        <v>0.16113206690208415</v>
      </c>
    </row>
    <row r="5052" spans="2:7" x14ac:dyDescent="0.25">
      <c r="B5052" s="98"/>
      <c r="F5052">
        <v>5048</v>
      </c>
      <c r="G5052" s="109">
        <f t="shared" ca="1" si="87"/>
        <v>6.7116461062147054E-3</v>
      </c>
    </row>
    <row r="5053" spans="2:7" x14ac:dyDescent="0.25">
      <c r="B5053" s="98"/>
      <c r="F5053">
        <v>5049</v>
      </c>
      <c r="G5053" s="109">
        <f t="shared" ca="1" si="87"/>
        <v>2.4183717458028206E-2</v>
      </c>
    </row>
    <row r="5054" spans="2:7" x14ac:dyDescent="0.25">
      <c r="B5054" s="98"/>
      <c r="F5054">
        <v>5050</v>
      </c>
      <c r="G5054" s="109">
        <f t="shared" ca="1" si="87"/>
        <v>3.2403909291232581E-2</v>
      </c>
    </row>
    <row r="5055" spans="2:7" x14ac:dyDescent="0.25">
      <c r="B5055" s="98"/>
      <c r="F5055">
        <v>5051</v>
      </c>
      <c r="G5055" s="109">
        <f t="shared" ca="1" si="87"/>
        <v>-8.9685272601459878E-2</v>
      </c>
    </row>
    <row r="5056" spans="2:7" x14ac:dyDescent="0.25">
      <c r="B5056" s="98"/>
      <c r="F5056">
        <v>5052</v>
      </c>
      <c r="G5056" s="109">
        <f t="shared" ca="1" si="87"/>
        <v>9.0141866478400515E-2</v>
      </c>
    </row>
    <row r="5057" spans="2:7" x14ac:dyDescent="0.25">
      <c r="B5057" s="98"/>
      <c r="F5057">
        <v>5053</v>
      </c>
      <c r="G5057" s="109">
        <f t="shared" ca="1" si="87"/>
        <v>3.8343838443576035E-2</v>
      </c>
    </row>
    <row r="5058" spans="2:7" x14ac:dyDescent="0.25">
      <c r="B5058" s="98"/>
      <c r="F5058">
        <v>5054</v>
      </c>
      <c r="G5058" s="109">
        <f t="shared" ca="1" si="87"/>
        <v>1.6586976911584277E-2</v>
      </c>
    </row>
    <row r="5059" spans="2:7" x14ac:dyDescent="0.25">
      <c r="B5059" s="98"/>
      <c r="F5059">
        <v>5055</v>
      </c>
      <c r="G5059" s="109">
        <f t="shared" ca="1" si="87"/>
        <v>5.225560992051901E-2</v>
      </c>
    </row>
    <row r="5060" spans="2:7" x14ac:dyDescent="0.25">
      <c r="B5060" s="98"/>
      <c r="F5060">
        <v>5056</v>
      </c>
      <c r="G5060" s="109">
        <f t="shared" ca="1" si="87"/>
        <v>-0.11228112924229229</v>
      </c>
    </row>
    <row r="5061" spans="2:7" x14ac:dyDescent="0.25">
      <c r="B5061" s="98"/>
      <c r="F5061">
        <v>5057</v>
      </c>
      <c r="G5061" s="109">
        <f t="shared" ca="1" si="87"/>
        <v>0.11723826692534835</v>
      </c>
    </row>
    <row r="5062" spans="2:7" x14ac:dyDescent="0.25">
      <c r="B5062" s="98"/>
      <c r="F5062">
        <v>5058</v>
      </c>
      <c r="G5062" s="109">
        <f t="shared" ref="G5062:G5125" ca="1" si="88">_xlfn.NORM.INV(RAND(),$M$5,$M$6)</f>
        <v>2.1356579416565297E-2</v>
      </c>
    </row>
    <row r="5063" spans="2:7" x14ac:dyDescent="0.25">
      <c r="B5063" s="98"/>
      <c r="F5063">
        <v>5059</v>
      </c>
      <c r="G5063" s="109">
        <f t="shared" ca="1" si="88"/>
        <v>-1.5351997929836408E-2</v>
      </c>
    </row>
    <row r="5064" spans="2:7" x14ac:dyDescent="0.25">
      <c r="B5064" s="98"/>
      <c r="F5064">
        <v>5060</v>
      </c>
      <c r="G5064" s="109">
        <f t="shared" ca="1" si="88"/>
        <v>-4.3765999975695871E-2</v>
      </c>
    </row>
    <row r="5065" spans="2:7" x14ac:dyDescent="0.25">
      <c r="B5065" s="98"/>
      <c r="F5065">
        <v>5061</v>
      </c>
      <c r="G5065" s="109">
        <f t="shared" ca="1" si="88"/>
        <v>-5.1923766578742522E-2</v>
      </c>
    </row>
    <row r="5066" spans="2:7" x14ac:dyDescent="0.25">
      <c r="B5066" s="98"/>
      <c r="F5066">
        <v>5062</v>
      </c>
      <c r="G5066" s="109">
        <f t="shared" ca="1" si="88"/>
        <v>9.9411783184590485E-2</v>
      </c>
    </row>
    <row r="5067" spans="2:7" x14ac:dyDescent="0.25">
      <c r="B5067" s="98"/>
      <c r="F5067">
        <v>5063</v>
      </c>
      <c r="G5067" s="109">
        <f t="shared" ca="1" si="88"/>
        <v>-1.793109113921218E-2</v>
      </c>
    </row>
    <row r="5068" spans="2:7" x14ac:dyDescent="0.25">
      <c r="B5068" s="98"/>
      <c r="F5068">
        <v>5064</v>
      </c>
      <c r="G5068" s="109">
        <f t="shared" ca="1" si="88"/>
        <v>8.9201462979899726E-2</v>
      </c>
    </row>
    <row r="5069" spans="2:7" x14ac:dyDescent="0.25">
      <c r="B5069" s="98"/>
      <c r="F5069">
        <v>5065</v>
      </c>
      <c r="G5069" s="109">
        <f t="shared" ca="1" si="88"/>
        <v>1.950465466883828E-2</v>
      </c>
    </row>
    <row r="5070" spans="2:7" x14ac:dyDescent="0.25">
      <c r="B5070" s="98"/>
      <c r="F5070">
        <v>5066</v>
      </c>
      <c r="G5070" s="109">
        <f t="shared" ca="1" si="88"/>
        <v>3.6348433722430039E-2</v>
      </c>
    </row>
    <row r="5071" spans="2:7" x14ac:dyDescent="0.25">
      <c r="B5071" s="98"/>
      <c r="F5071">
        <v>5067</v>
      </c>
      <c r="G5071" s="109">
        <f t="shared" ca="1" si="88"/>
        <v>-1.6515035570226794E-2</v>
      </c>
    </row>
    <row r="5072" spans="2:7" x14ac:dyDescent="0.25">
      <c r="B5072" s="98"/>
      <c r="F5072">
        <v>5068</v>
      </c>
      <c r="G5072" s="109">
        <f t="shared" ca="1" si="88"/>
        <v>-0.18538807875596452</v>
      </c>
    </row>
    <row r="5073" spans="2:7" x14ac:dyDescent="0.25">
      <c r="B5073" s="98"/>
      <c r="F5073">
        <v>5069</v>
      </c>
      <c r="G5073" s="109">
        <f t="shared" ca="1" si="88"/>
        <v>0.18086469766707086</v>
      </c>
    </row>
    <row r="5074" spans="2:7" x14ac:dyDescent="0.25">
      <c r="B5074" s="98"/>
      <c r="F5074">
        <v>5070</v>
      </c>
      <c r="G5074" s="109">
        <f t="shared" ca="1" si="88"/>
        <v>0.1676559829966715</v>
      </c>
    </row>
    <row r="5075" spans="2:7" x14ac:dyDescent="0.25">
      <c r="B5075" s="98"/>
      <c r="F5075">
        <v>5071</v>
      </c>
      <c r="G5075" s="109">
        <f t="shared" ca="1" si="88"/>
        <v>7.8463249280401992E-2</v>
      </c>
    </row>
    <row r="5076" spans="2:7" x14ac:dyDescent="0.25">
      <c r="B5076" s="98"/>
      <c r="F5076">
        <v>5072</v>
      </c>
      <c r="G5076" s="109">
        <f t="shared" ca="1" si="88"/>
        <v>-0.23662672356496417</v>
      </c>
    </row>
    <row r="5077" spans="2:7" x14ac:dyDescent="0.25">
      <c r="B5077" s="98"/>
      <c r="F5077">
        <v>5073</v>
      </c>
      <c r="G5077" s="109">
        <f t="shared" ca="1" si="88"/>
        <v>-0.19595916429715238</v>
      </c>
    </row>
    <row r="5078" spans="2:7" x14ac:dyDescent="0.25">
      <c r="B5078" s="98"/>
      <c r="F5078">
        <v>5074</v>
      </c>
      <c r="G5078" s="109">
        <f t="shared" ca="1" si="88"/>
        <v>0.11590495750600678</v>
      </c>
    </row>
    <row r="5079" spans="2:7" x14ac:dyDescent="0.25">
      <c r="B5079" s="98"/>
      <c r="F5079">
        <v>5075</v>
      </c>
      <c r="G5079" s="109">
        <f t="shared" ca="1" si="88"/>
        <v>7.4938402632772544E-2</v>
      </c>
    </row>
    <row r="5080" spans="2:7" x14ac:dyDescent="0.25">
      <c r="B5080" s="98"/>
      <c r="F5080">
        <v>5076</v>
      </c>
      <c r="G5080" s="109">
        <f t="shared" ca="1" si="88"/>
        <v>3.7728483288298413E-2</v>
      </c>
    </row>
    <row r="5081" spans="2:7" x14ac:dyDescent="0.25">
      <c r="B5081" s="98"/>
      <c r="F5081">
        <v>5077</v>
      </c>
      <c r="G5081" s="109">
        <f t="shared" ca="1" si="88"/>
        <v>0.1077448257047961</v>
      </c>
    </row>
    <row r="5082" spans="2:7" x14ac:dyDescent="0.25">
      <c r="B5082" s="98"/>
      <c r="F5082">
        <v>5078</v>
      </c>
      <c r="G5082" s="109">
        <f t="shared" ca="1" si="88"/>
        <v>8.7648494375706307E-2</v>
      </c>
    </row>
    <row r="5083" spans="2:7" x14ac:dyDescent="0.25">
      <c r="B5083" s="98"/>
      <c r="F5083">
        <v>5079</v>
      </c>
      <c r="G5083" s="109">
        <f t="shared" ca="1" si="88"/>
        <v>-4.756773462755387E-2</v>
      </c>
    </row>
    <row r="5084" spans="2:7" x14ac:dyDescent="0.25">
      <c r="B5084" s="98"/>
      <c r="F5084">
        <v>5080</v>
      </c>
      <c r="G5084" s="109">
        <f t="shared" ca="1" si="88"/>
        <v>0.26225498074248438</v>
      </c>
    </row>
    <row r="5085" spans="2:7" x14ac:dyDescent="0.25">
      <c r="B5085" s="98"/>
      <c r="F5085">
        <v>5081</v>
      </c>
      <c r="G5085" s="109">
        <f t="shared" ca="1" si="88"/>
        <v>8.9866079836662671E-2</v>
      </c>
    </row>
    <row r="5086" spans="2:7" x14ac:dyDescent="0.25">
      <c r="B5086" s="98"/>
      <c r="F5086">
        <v>5082</v>
      </c>
      <c r="G5086" s="109">
        <f t="shared" ca="1" si="88"/>
        <v>5.8212418352936515E-2</v>
      </c>
    </row>
    <row r="5087" spans="2:7" x14ac:dyDescent="0.25">
      <c r="B5087" s="98"/>
      <c r="F5087">
        <v>5083</v>
      </c>
      <c r="G5087" s="109">
        <f t="shared" ca="1" si="88"/>
        <v>-6.6432165306790358E-2</v>
      </c>
    </row>
    <row r="5088" spans="2:7" x14ac:dyDescent="0.25">
      <c r="B5088" s="98"/>
      <c r="F5088">
        <v>5084</v>
      </c>
      <c r="G5088" s="109">
        <f t="shared" ca="1" si="88"/>
        <v>5.1640937423423107E-2</v>
      </c>
    </row>
    <row r="5089" spans="2:7" x14ac:dyDescent="0.25">
      <c r="B5089" s="98"/>
      <c r="F5089">
        <v>5085</v>
      </c>
      <c r="G5089" s="109">
        <f t="shared" ca="1" si="88"/>
        <v>6.1482793329891997E-2</v>
      </c>
    </row>
    <row r="5090" spans="2:7" x14ac:dyDescent="0.25">
      <c r="B5090" s="98"/>
      <c r="F5090">
        <v>5086</v>
      </c>
      <c r="G5090" s="109">
        <f t="shared" ca="1" si="88"/>
        <v>-2.5445442325490022E-2</v>
      </c>
    </row>
    <row r="5091" spans="2:7" x14ac:dyDescent="0.25">
      <c r="B5091" s="98"/>
      <c r="F5091">
        <v>5087</v>
      </c>
      <c r="G5091" s="109">
        <f t="shared" ca="1" si="88"/>
        <v>7.0635974688386324E-3</v>
      </c>
    </row>
    <row r="5092" spans="2:7" x14ac:dyDescent="0.25">
      <c r="B5092" s="98"/>
      <c r="F5092">
        <v>5088</v>
      </c>
      <c r="G5092" s="109">
        <f t="shared" ca="1" si="88"/>
        <v>5.7880669534161489E-2</v>
      </c>
    </row>
    <row r="5093" spans="2:7" x14ac:dyDescent="0.25">
      <c r="B5093" s="98"/>
      <c r="F5093">
        <v>5089</v>
      </c>
      <c r="G5093" s="109">
        <f t="shared" ca="1" si="88"/>
        <v>-3.3148280528146765E-2</v>
      </c>
    </row>
    <row r="5094" spans="2:7" x14ac:dyDescent="0.25">
      <c r="B5094" s="98"/>
      <c r="F5094">
        <v>5090</v>
      </c>
      <c r="G5094" s="109">
        <f t="shared" ca="1" si="88"/>
        <v>-3.3143111170831074E-2</v>
      </c>
    </row>
    <row r="5095" spans="2:7" x14ac:dyDescent="0.25">
      <c r="B5095" s="98"/>
      <c r="F5095">
        <v>5091</v>
      </c>
      <c r="G5095" s="109">
        <f t="shared" ca="1" si="88"/>
        <v>0.10960919048480927</v>
      </c>
    </row>
    <row r="5096" spans="2:7" x14ac:dyDescent="0.25">
      <c r="B5096" s="98"/>
      <c r="F5096">
        <v>5092</v>
      </c>
      <c r="G5096" s="109">
        <f t="shared" ca="1" si="88"/>
        <v>1.3667890323055168E-2</v>
      </c>
    </row>
    <row r="5097" spans="2:7" x14ac:dyDescent="0.25">
      <c r="B5097" s="98"/>
      <c r="F5097">
        <v>5093</v>
      </c>
      <c r="G5097" s="109">
        <f t="shared" ca="1" si="88"/>
        <v>4.7597693936352811E-2</v>
      </c>
    </row>
    <row r="5098" spans="2:7" x14ac:dyDescent="0.25">
      <c r="B5098" s="98"/>
      <c r="F5098">
        <v>5094</v>
      </c>
      <c r="G5098" s="109">
        <f t="shared" ca="1" si="88"/>
        <v>-5.6310713444276891E-3</v>
      </c>
    </row>
    <row r="5099" spans="2:7" x14ac:dyDescent="0.25">
      <c r="B5099" s="98"/>
      <c r="F5099">
        <v>5095</v>
      </c>
      <c r="G5099" s="109">
        <f t="shared" ca="1" si="88"/>
        <v>0.24818609326276569</v>
      </c>
    </row>
    <row r="5100" spans="2:7" x14ac:dyDescent="0.25">
      <c r="B5100" s="98"/>
      <c r="F5100">
        <v>5096</v>
      </c>
      <c r="G5100" s="109">
        <f t="shared" ca="1" si="88"/>
        <v>-1.9977886948312151E-2</v>
      </c>
    </row>
    <row r="5101" spans="2:7" x14ac:dyDescent="0.25">
      <c r="B5101" s="98"/>
      <c r="F5101">
        <v>5097</v>
      </c>
      <c r="G5101" s="109">
        <f t="shared" ca="1" si="88"/>
        <v>-0.13148245776216227</v>
      </c>
    </row>
    <row r="5102" spans="2:7" x14ac:dyDescent="0.25">
      <c r="B5102" s="98"/>
      <c r="F5102">
        <v>5098</v>
      </c>
      <c r="G5102" s="109">
        <f t="shared" ca="1" si="88"/>
        <v>1.3479246794552341E-2</v>
      </c>
    </row>
    <row r="5103" spans="2:7" x14ac:dyDescent="0.25">
      <c r="B5103" s="98"/>
      <c r="F5103">
        <v>5099</v>
      </c>
      <c r="G5103" s="109">
        <f t="shared" ca="1" si="88"/>
        <v>-5.2922645229163207E-2</v>
      </c>
    </row>
    <row r="5104" spans="2:7" x14ac:dyDescent="0.25">
      <c r="B5104" s="98"/>
      <c r="F5104">
        <v>5100</v>
      </c>
      <c r="G5104" s="109">
        <f t="shared" ca="1" si="88"/>
        <v>3.0770993509145687E-2</v>
      </c>
    </row>
    <row r="5105" spans="2:7" x14ac:dyDescent="0.25">
      <c r="B5105" s="98"/>
      <c r="F5105">
        <v>5101</v>
      </c>
      <c r="G5105" s="109">
        <f t="shared" ca="1" si="88"/>
        <v>0.11490898693633929</v>
      </c>
    </row>
    <row r="5106" spans="2:7" x14ac:dyDescent="0.25">
      <c r="B5106" s="98"/>
      <c r="F5106">
        <v>5102</v>
      </c>
      <c r="G5106" s="109">
        <f t="shared" ca="1" si="88"/>
        <v>1.0143277355024717E-2</v>
      </c>
    </row>
    <row r="5107" spans="2:7" x14ac:dyDescent="0.25">
      <c r="B5107" s="98"/>
      <c r="F5107">
        <v>5103</v>
      </c>
      <c r="G5107" s="109">
        <f t="shared" ca="1" si="88"/>
        <v>-0.21358706969523966</v>
      </c>
    </row>
    <row r="5108" spans="2:7" x14ac:dyDescent="0.25">
      <c r="B5108" s="98"/>
      <c r="F5108">
        <v>5104</v>
      </c>
      <c r="G5108" s="109">
        <f t="shared" ca="1" si="88"/>
        <v>-0.17784459166634159</v>
      </c>
    </row>
    <row r="5109" spans="2:7" x14ac:dyDescent="0.25">
      <c r="B5109" s="98"/>
      <c r="F5109">
        <v>5105</v>
      </c>
      <c r="G5109" s="109">
        <f t="shared" ca="1" si="88"/>
        <v>3.1703264342764596E-2</v>
      </c>
    </row>
    <row r="5110" spans="2:7" x14ac:dyDescent="0.25">
      <c r="B5110" s="98"/>
      <c r="F5110">
        <v>5106</v>
      </c>
      <c r="G5110" s="109">
        <f t="shared" ca="1" si="88"/>
        <v>6.0396166970926833E-2</v>
      </c>
    </row>
    <row r="5111" spans="2:7" x14ac:dyDescent="0.25">
      <c r="B5111" s="98"/>
      <c r="F5111">
        <v>5107</v>
      </c>
      <c r="G5111" s="109">
        <f t="shared" ca="1" si="88"/>
        <v>5.4031745944118421E-2</v>
      </c>
    </row>
    <row r="5112" spans="2:7" x14ac:dyDescent="0.25">
      <c r="B5112" s="98"/>
      <c r="F5112">
        <v>5108</v>
      </c>
      <c r="G5112" s="109">
        <f t="shared" ca="1" si="88"/>
        <v>-5.1668012941386565E-3</v>
      </c>
    </row>
    <row r="5113" spans="2:7" x14ac:dyDescent="0.25">
      <c r="B5113" s="98"/>
      <c r="F5113">
        <v>5109</v>
      </c>
      <c r="G5113" s="109">
        <f t="shared" ca="1" si="88"/>
        <v>4.5406325037443754E-2</v>
      </c>
    </row>
    <row r="5114" spans="2:7" x14ac:dyDescent="0.25">
      <c r="B5114" s="98"/>
      <c r="F5114">
        <v>5110</v>
      </c>
      <c r="G5114" s="109">
        <f t="shared" ca="1" si="88"/>
        <v>-8.2209291100657514E-2</v>
      </c>
    </row>
    <row r="5115" spans="2:7" x14ac:dyDescent="0.25">
      <c r="B5115" s="98"/>
      <c r="F5115">
        <v>5111</v>
      </c>
      <c r="G5115" s="109">
        <f t="shared" ca="1" si="88"/>
        <v>9.7461026588816654E-2</v>
      </c>
    </row>
    <row r="5116" spans="2:7" x14ac:dyDescent="0.25">
      <c r="B5116" s="98"/>
      <c r="F5116">
        <v>5112</v>
      </c>
      <c r="G5116" s="109">
        <f t="shared" ca="1" si="88"/>
        <v>-7.152839787445639E-2</v>
      </c>
    </row>
    <row r="5117" spans="2:7" x14ac:dyDescent="0.25">
      <c r="B5117" s="98"/>
      <c r="F5117">
        <v>5113</v>
      </c>
      <c r="G5117" s="109">
        <f t="shared" ca="1" si="88"/>
        <v>-0.12916496812389233</v>
      </c>
    </row>
    <row r="5118" spans="2:7" x14ac:dyDescent="0.25">
      <c r="B5118" s="98"/>
      <c r="F5118">
        <v>5114</v>
      </c>
      <c r="G5118" s="109">
        <f t="shared" ca="1" si="88"/>
        <v>-0.19603966341578316</v>
      </c>
    </row>
    <row r="5119" spans="2:7" x14ac:dyDescent="0.25">
      <c r="B5119" s="98"/>
      <c r="F5119">
        <v>5115</v>
      </c>
      <c r="G5119" s="109">
        <f t="shared" ca="1" si="88"/>
        <v>9.8460392425528398E-2</v>
      </c>
    </row>
    <row r="5120" spans="2:7" x14ac:dyDescent="0.25">
      <c r="B5120" s="98"/>
      <c r="F5120">
        <v>5116</v>
      </c>
      <c r="G5120" s="109">
        <f t="shared" ca="1" si="88"/>
        <v>7.0594812105204421E-2</v>
      </c>
    </row>
    <row r="5121" spans="2:7" x14ac:dyDescent="0.25">
      <c r="B5121" s="98"/>
      <c r="F5121">
        <v>5117</v>
      </c>
      <c r="G5121" s="109">
        <f t="shared" ca="1" si="88"/>
        <v>1.53031076082355E-3</v>
      </c>
    </row>
    <row r="5122" spans="2:7" x14ac:dyDescent="0.25">
      <c r="B5122" s="98"/>
      <c r="F5122">
        <v>5118</v>
      </c>
      <c r="G5122" s="109">
        <f t="shared" ca="1" si="88"/>
        <v>7.3310831175022823E-2</v>
      </c>
    </row>
    <row r="5123" spans="2:7" x14ac:dyDescent="0.25">
      <c r="B5123" s="98"/>
      <c r="F5123">
        <v>5119</v>
      </c>
      <c r="G5123" s="109">
        <f t="shared" ca="1" si="88"/>
        <v>-0.23287584781946857</v>
      </c>
    </row>
    <row r="5124" spans="2:7" x14ac:dyDescent="0.25">
      <c r="B5124" s="98"/>
      <c r="F5124">
        <v>5120</v>
      </c>
      <c r="G5124" s="109">
        <f t="shared" ca="1" si="88"/>
        <v>0.15691317473774513</v>
      </c>
    </row>
    <row r="5125" spans="2:7" x14ac:dyDescent="0.25">
      <c r="B5125" s="98"/>
      <c r="F5125">
        <v>5121</v>
      </c>
      <c r="G5125" s="109">
        <f t="shared" ca="1" si="88"/>
        <v>0.17301292179764993</v>
      </c>
    </row>
    <row r="5126" spans="2:7" x14ac:dyDescent="0.25">
      <c r="B5126" s="98"/>
      <c r="F5126">
        <v>5122</v>
      </c>
      <c r="G5126" s="109">
        <f t="shared" ref="G5126:G5189" ca="1" si="89">_xlfn.NORM.INV(RAND(),$M$5,$M$6)</f>
        <v>-9.6899746633898956E-2</v>
      </c>
    </row>
    <row r="5127" spans="2:7" x14ac:dyDescent="0.25">
      <c r="B5127" s="98"/>
      <c r="F5127">
        <v>5123</v>
      </c>
      <c r="G5127" s="109">
        <f t="shared" ca="1" si="89"/>
        <v>0.17000046245520067</v>
      </c>
    </row>
    <row r="5128" spans="2:7" x14ac:dyDescent="0.25">
      <c r="B5128" s="98"/>
      <c r="F5128">
        <v>5124</v>
      </c>
      <c r="G5128" s="109">
        <f t="shared" ca="1" si="89"/>
        <v>3.1926947399811383E-2</v>
      </c>
    </row>
    <row r="5129" spans="2:7" x14ac:dyDescent="0.25">
      <c r="B5129" s="98"/>
      <c r="F5129">
        <v>5125</v>
      </c>
      <c r="G5129" s="109">
        <f t="shared" ca="1" si="89"/>
        <v>-3.9944628969901211E-2</v>
      </c>
    </row>
    <row r="5130" spans="2:7" x14ac:dyDescent="0.25">
      <c r="B5130" s="98"/>
      <c r="F5130">
        <v>5126</v>
      </c>
      <c r="G5130" s="109">
        <f t="shared" ca="1" si="89"/>
        <v>0.13190557159463523</v>
      </c>
    </row>
    <row r="5131" spans="2:7" x14ac:dyDescent="0.25">
      <c r="B5131" s="98"/>
      <c r="F5131">
        <v>5127</v>
      </c>
      <c r="G5131" s="109">
        <f t="shared" ca="1" si="89"/>
        <v>-7.0676149435851376E-2</v>
      </c>
    </row>
    <row r="5132" spans="2:7" x14ac:dyDescent="0.25">
      <c r="B5132" s="98"/>
      <c r="F5132">
        <v>5128</v>
      </c>
      <c r="G5132" s="109">
        <f t="shared" ca="1" si="89"/>
        <v>0.16327597783771325</v>
      </c>
    </row>
    <row r="5133" spans="2:7" x14ac:dyDescent="0.25">
      <c r="B5133" s="98"/>
      <c r="F5133">
        <v>5129</v>
      </c>
      <c r="G5133" s="109">
        <f t="shared" ca="1" si="89"/>
        <v>-6.578885941696111E-2</v>
      </c>
    </row>
    <row r="5134" spans="2:7" x14ac:dyDescent="0.25">
      <c r="B5134" s="98"/>
      <c r="F5134">
        <v>5130</v>
      </c>
      <c r="G5134" s="109">
        <f t="shared" ca="1" si="89"/>
        <v>1.5112275158932244E-2</v>
      </c>
    </row>
    <row r="5135" spans="2:7" x14ac:dyDescent="0.25">
      <c r="B5135" s="98"/>
      <c r="F5135">
        <v>5131</v>
      </c>
      <c r="G5135" s="109">
        <f t="shared" ca="1" si="89"/>
        <v>3.7963940177651659E-3</v>
      </c>
    </row>
    <row r="5136" spans="2:7" x14ac:dyDescent="0.25">
      <c r="B5136" s="98"/>
      <c r="F5136">
        <v>5132</v>
      </c>
      <c r="G5136" s="109">
        <f t="shared" ca="1" si="89"/>
        <v>0.34838357160623901</v>
      </c>
    </row>
    <row r="5137" spans="2:7" x14ac:dyDescent="0.25">
      <c r="B5137" s="98"/>
      <c r="F5137">
        <v>5133</v>
      </c>
      <c r="G5137" s="109">
        <f t="shared" ca="1" si="89"/>
        <v>1.3160708065673772E-2</v>
      </c>
    </row>
    <row r="5138" spans="2:7" x14ac:dyDescent="0.25">
      <c r="B5138" s="98"/>
      <c r="F5138">
        <v>5134</v>
      </c>
      <c r="G5138" s="109">
        <f t="shared" ca="1" si="89"/>
        <v>9.8063276233214258E-3</v>
      </c>
    </row>
    <row r="5139" spans="2:7" x14ac:dyDescent="0.25">
      <c r="B5139" s="98"/>
      <c r="F5139">
        <v>5135</v>
      </c>
      <c r="G5139" s="109">
        <f t="shared" ca="1" si="89"/>
        <v>7.4148297932072699E-2</v>
      </c>
    </row>
    <row r="5140" spans="2:7" x14ac:dyDescent="0.25">
      <c r="B5140" s="98"/>
      <c r="F5140">
        <v>5136</v>
      </c>
      <c r="G5140" s="109">
        <f t="shared" ca="1" si="89"/>
        <v>0.17731480840133051</v>
      </c>
    </row>
    <row r="5141" spans="2:7" x14ac:dyDescent="0.25">
      <c r="B5141" s="98"/>
      <c r="F5141">
        <v>5137</v>
      </c>
      <c r="G5141" s="109">
        <f t="shared" ca="1" si="89"/>
        <v>3.9728920592905184E-2</v>
      </c>
    </row>
    <row r="5142" spans="2:7" x14ac:dyDescent="0.25">
      <c r="B5142" s="98"/>
      <c r="F5142">
        <v>5138</v>
      </c>
      <c r="G5142" s="109">
        <f t="shared" ca="1" si="89"/>
        <v>0.12586874612348142</v>
      </c>
    </row>
    <row r="5143" spans="2:7" x14ac:dyDescent="0.25">
      <c r="B5143" s="98"/>
      <c r="F5143">
        <v>5139</v>
      </c>
      <c r="G5143" s="109">
        <f t="shared" ca="1" si="89"/>
        <v>0.25895085034811466</v>
      </c>
    </row>
    <row r="5144" spans="2:7" x14ac:dyDescent="0.25">
      <c r="B5144" s="98"/>
      <c r="F5144">
        <v>5140</v>
      </c>
      <c r="G5144" s="109">
        <f t="shared" ca="1" si="89"/>
        <v>5.5764171493262217E-2</v>
      </c>
    </row>
    <row r="5145" spans="2:7" x14ac:dyDescent="0.25">
      <c r="B5145" s="98"/>
      <c r="F5145">
        <v>5141</v>
      </c>
      <c r="G5145" s="109">
        <f t="shared" ca="1" si="89"/>
        <v>-2.5348238567740947E-3</v>
      </c>
    </row>
    <row r="5146" spans="2:7" x14ac:dyDescent="0.25">
      <c r="B5146" s="98"/>
      <c r="F5146">
        <v>5142</v>
      </c>
      <c r="G5146" s="109">
        <f t="shared" ca="1" si="89"/>
        <v>-0.10857852123641541</v>
      </c>
    </row>
    <row r="5147" spans="2:7" x14ac:dyDescent="0.25">
      <c r="B5147" s="98"/>
      <c r="F5147">
        <v>5143</v>
      </c>
      <c r="G5147" s="109">
        <f t="shared" ca="1" si="89"/>
        <v>-5.0355025269714901E-2</v>
      </c>
    </row>
    <row r="5148" spans="2:7" x14ac:dyDescent="0.25">
      <c r="B5148" s="98"/>
      <c r="F5148">
        <v>5144</v>
      </c>
      <c r="G5148" s="109">
        <f t="shared" ca="1" si="89"/>
        <v>-0.10477392628725234</v>
      </c>
    </row>
    <row r="5149" spans="2:7" x14ac:dyDescent="0.25">
      <c r="B5149" s="98"/>
      <c r="F5149">
        <v>5145</v>
      </c>
      <c r="G5149" s="109">
        <f t="shared" ca="1" si="89"/>
        <v>0.12876360590365937</v>
      </c>
    </row>
    <row r="5150" spans="2:7" x14ac:dyDescent="0.25">
      <c r="B5150" s="98"/>
      <c r="F5150">
        <v>5146</v>
      </c>
      <c r="G5150" s="109">
        <f t="shared" ca="1" si="89"/>
        <v>2.9713350511194423E-2</v>
      </c>
    </row>
    <row r="5151" spans="2:7" x14ac:dyDescent="0.25">
      <c r="B5151" s="98"/>
      <c r="F5151">
        <v>5147</v>
      </c>
      <c r="G5151" s="109">
        <f t="shared" ca="1" si="89"/>
        <v>0.19165458121667361</v>
      </c>
    </row>
    <row r="5152" spans="2:7" x14ac:dyDescent="0.25">
      <c r="B5152" s="98"/>
      <c r="F5152">
        <v>5148</v>
      </c>
      <c r="G5152" s="109">
        <f t="shared" ca="1" si="89"/>
        <v>0.17535492693466215</v>
      </c>
    </row>
    <row r="5153" spans="2:7" x14ac:dyDescent="0.25">
      <c r="B5153" s="98"/>
      <c r="F5153">
        <v>5149</v>
      </c>
      <c r="G5153" s="109">
        <f t="shared" ca="1" si="89"/>
        <v>0.16547635311577999</v>
      </c>
    </row>
    <row r="5154" spans="2:7" x14ac:dyDescent="0.25">
      <c r="B5154" s="98"/>
      <c r="F5154">
        <v>5150</v>
      </c>
      <c r="G5154" s="109">
        <f t="shared" ca="1" si="89"/>
        <v>-7.0036349081804561E-3</v>
      </c>
    </row>
    <row r="5155" spans="2:7" x14ac:dyDescent="0.25">
      <c r="B5155" s="98"/>
      <c r="F5155">
        <v>5151</v>
      </c>
      <c r="G5155" s="109">
        <f t="shared" ca="1" si="89"/>
        <v>-4.0556754385869406E-2</v>
      </c>
    </row>
    <row r="5156" spans="2:7" x14ac:dyDescent="0.25">
      <c r="B5156" s="98"/>
      <c r="F5156">
        <v>5152</v>
      </c>
      <c r="G5156" s="109">
        <f t="shared" ca="1" si="89"/>
        <v>-0.10003588931943692</v>
      </c>
    </row>
    <row r="5157" spans="2:7" x14ac:dyDescent="0.25">
      <c r="B5157" s="98"/>
      <c r="F5157">
        <v>5153</v>
      </c>
      <c r="G5157" s="109">
        <f t="shared" ca="1" si="89"/>
        <v>9.1290000463785242E-2</v>
      </c>
    </row>
    <row r="5158" spans="2:7" x14ac:dyDescent="0.25">
      <c r="B5158" s="98"/>
      <c r="F5158">
        <v>5154</v>
      </c>
      <c r="G5158" s="109">
        <f t="shared" ca="1" si="89"/>
        <v>0.10359904987747948</v>
      </c>
    </row>
    <row r="5159" spans="2:7" x14ac:dyDescent="0.25">
      <c r="B5159" s="98"/>
      <c r="F5159">
        <v>5155</v>
      </c>
      <c r="G5159" s="109">
        <f t="shared" ca="1" si="89"/>
        <v>3.0251091937052256E-2</v>
      </c>
    </row>
    <row r="5160" spans="2:7" x14ac:dyDescent="0.25">
      <c r="B5160" s="98"/>
      <c r="F5160">
        <v>5156</v>
      </c>
      <c r="G5160" s="109">
        <f t="shared" ca="1" si="89"/>
        <v>0.12762625718560147</v>
      </c>
    </row>
    <row r="5161" spans="2:7" x14ac:dyDescent="0.25">
      <c r="B5161" s="98"/>
      <c r="F5161">
        <v>5157</v>
      </c>
      <c r="G5161" s="109">
        <f t="shared" ca="1" si="89"/>
        <v>0.11701798339372088</v>
      </c>
    </row>
    <row r="5162" spans="2:7" x14ac:dyDescent="0.25">
      <c r="B5162" s="98"/>
      <c r="F5162">
        <v>5158</v>
      </c>
      <c r="G5162" s="109">
        <f t="shared" ca="1" si="89"/>
        <v>5.2539865004295215E-2</v>
      </c>
    </row>
    <row r="5163" spans="2:7" x14ac:dyDescent="0.25">
      <c r="B5163" s="98"/>
      <c r="F5163">
        <v>5159</v>
      </c>
      <c r="G5163" s="109">
        <f t="shared" ca="1" si="89"/>
        <v>0.2897849746638928</v>
      </c>
    </row>
    <row r="5164" spans="2:7" x14ac:dyDescent="0.25">
      <c r="B5164" s="98"/>
      <c r="F5164">
        <v>5160</v>
      </c>
      <c r="G5164" s="109">
        <f t="shared" ca="1" si="89"/>
        <v>3.417600589428884E-2</v>
      </c>
    </row>
    <row r="5165" spans="2:7" x14ac:dyDescent="0.25">
      <c r="B5165" s="98"/>
      <c r="F5165">
        <v>5161</v>
      </c>
      <c r="G5165" s="109">
        <f t="shared" ca="1" si="89"/>
        <v>-1.0769035831284003E-2</v>
      </c>
    </row>
    <row r="5166" spans="2:7" x14ac:dyDescent="0.25">
      <c r="B5166" s="98"/>
      <c r="F5166">
        <v>5162</v>
      </c>
      <c r="G5166" s="109">
        <f t="shared" ca="1" si="89"/>
        <v>0.22298850952324983</v>
      </c>
    </row>
    <row r="5167" spans="2:7" x14ac:dyDescent="0.25">
      <c r="B5167" s="98"/>
      <c r="F5167">
        <v>5163</v>
      </c>
      <c r="G5167" s="109">
        <f t="shared" ca="1" si="89"/>
        <v>-8.1777733338747757E-2</v>
      </c>
    </row>
    <row r="5168" spans="2:7" x14ac:dyDescent="0.25">
      <c r="B5168" s="98"/>
      <c r="F5168">
        <v>5164</v>
      </c>
      <c r="G5168" s="109">
        <f t="shared" ca="1" si="89"/>
        <v>-0.18092691606969613</v>
      </c>
    </row>
    <row r="5169" spans="2:7" x14ac:dyDescent="0.25">
      <c r="B5169" s="98"/>
      <c r="F5169">
        <v>5165</v>
      </c>
      <c r="G5169" s="109">
        <f t="shared" ca="1" si="89"/>
        <v>7.3695243070278943E-2</v>
      </c>
    </row>
    <row r="5170" spans="2:7" x14ac:dyDescent="0.25">
      <c r="B5170" s="98"/>
      <c r="F5170">
        <v>5166</v>
      </c>
      <c r="G5170" s="109">
        <f t="shared" ca="1" si="89"/>
        <v>0.10978139266850361</v>
      </c>
    </row>
    <row r="5171" spans="2:7" x14ac:dyDescent="0.25">
      <c r="B5171" s="98"/>
      <c r="F5171">
        <v>5167</v>
      </c>
      <c r="G5171" s="109">
        <f t="shared" ca="1" si="89"/>
        <v>2.0476790173451088E-2</v>
      </c>
    </row>
    <row r="5172" spans="2:7" x14ac:dyDescent="0.25">
      <c r="B5172" s="98"/>
      <c r="F5172">
        <v>5168</v>
      </c>
      <c r="G5172" s="109">
        <f t="shared" ca="1" si="89"/>
        <v>0.15653368946429747</v>
      </c>
    </row>
    <row r="5173" spans="2:7" x14ac:dyDescent="0.25">
      <c r="B5173" s="98"/>
      <c r="F5173">
        <v>5169</v>
      </c>
      <c r="G5173" s="109">
        <f t="shared" ca="1" si="89"/>
        <v>-6.6773513861268868E-2</v>
      </c>
    </row>
    <row r="5174" spans="2:7" x14ac:dyDescent="0.25">
      <c r="B5174" s="98"/>
      <c r="F5174">
        <v>5170</v>
      </c>
      <c r="G5174" s="109">
        <f t="shared" ca="1" si="89"/>
        <v>0.1027090253563729</v>
      </c>
    </row>
    <row r="5175" spans="2:7" x14ac:dyDescent="0.25">
      <c r="B5175" s="98"/>
      <c r="F5175">
        <v>5171</v>
      </c>
      <c r="G5175" s="109">
        <f t="shared" ca="1" si="89"/>
        <v>-1.7992342199980721E-2</v>
      </c>
    </row>
    <row r="5176" spans="2:7" x14ac:dyDescent="0.25">
      <c r="B5176" s="98"/>
      <c r="F5176">
        <v>5172</v>
      </c>
      <c r="G5176" s="109">
        <f t="shared" ca="1" si="89"/>
        <v>0.13137137906695762</v>
      </c>
    </row>
    <row r="5177" spans="2:7" x14ac:dyDescent="0.25">
      <c r="B5177" s="98"/>
      <c r="F5177">
        <v>5173</v>
      </c>
      <c r="G5177" s="109">
        <f t="shared" ca="1" si="89"/>
        <v>-0.12881207152331042</v>
      </c>
    </row>
    <row r="5178" spans="2:7" x14ac:dyDescent="0.25">
      <c r="B5178" s="98"/>
      <c r="F5178">
        <v>5174</v>
      </c>
      <c r="G5178" s="109">
        <f t="shared" ca="1" si="89"/>
        <v>-0.10151903721969648</v>
      </c>
    </row>
    <row r="5179" spans="2:7" x14ac:dyDescent="0.25">
      <c r="B5179" s="98"/>
      <c r="F5179">
        <v>5175</v>
      </c>
      <c r="G5179" s="109">
        <f t="shared" ca="1" si="89"/>
        <v>-1.1424603740495462E-3</v>
      </c>
    </row>
    <row r="5180" spans="2:7" x14ac:dyDescent="0.25">
      <c r="B5180" s="98"/>
      <c r="F5180">
        <v>5176</v>
      </c>
      <c r="G5180" s="109">
        <f t="shared" ca="1" si="89"/>
        <v>-0.10893010246820052</v>
      </c>
    </row>
    <row r="5181" spans="2:7" x14ac:dyDescent="0.25">
      <c r="B5181" s="98"/>
      <c r="F5181">
        <v>5177</v>
      </c>
      <c r="G5181" s="109">
        <f t="shared" ca="1" si="89"/>
        <v>-0.11189688769836288</v>
      </c>
    </row>
    <row r="5182" spans="2:7" x14ac:dyDescent="0.25">
      <c r="B5182" s="98"/>
      <c r="F5182">
        <v>5178</v>
      </c>
      <c r="G5182" s="109">
        <f t="shared" ca="1" si="89"/>
        <v>1.4909218150460424E-2</v>
      </c>
    </row>
    <row r="5183" spans="2:7" x14ac:dyDescent="0.25">
      <c r="B5183" s="98"/>
      <c r="F5183">
        <v>5179</v>
      </c>
      <c r="G5183" s="109">
        <f t="shared" ca="1" si="89"/>
        <v>1.2264030882541709E-2</v>
      </c>
    </row>
    <row r="5184" spans="2:7" x14ac:dyDescent="0.25">
      <c r="B5184" s="98"/>
      <c r="F5184">
        <v>5180</v>
      </c>
      <c r="G5184" s="109">
        <f t="shared" ca="1" si="89"/>
        <v>0.26392329976567724</v>
      </c>
    </row>
    <row r="5185" spans="2:7" x14ac:dyDescent="0.25">
      <c r="B5185" s="98"/>
      <c r="F5185">
        <v>5181</v>
      </c>
      <c r="G5185" s="109">
        <f t="shared" ca="1" si="89"/>
        <v>1.1793440532919044E-2</v>
      </c>
    </row>
    <row r="5186" spans="2:7" x14ac:dyDescent="0.25">
      <c r="B5186" s="98"/>
      <c r="F5186">
        <v>5182</v>
      </c>
      <c r="G5186" s="109">
        <f t="shared" ca="1" si="89"/>
        <v>-7.0127989450561437E-2</v>
      </c>
    </row>
    <row r="5187" spans="2:7" x14ac:dyDescent="0.25">
      <c r="B5187" s="98"/>
      <c r="F5187">
        <v>5183</v>
      </c>
      <c r="G5187" s="109">
        <f t="shared" ca="1" si="89"/>
        <v>-4.1364954690167988E-2</v>
      </c>
    </row>
    <row r="5188" spans="2:7" x14ac:dyDescent="0.25">
      <c r="B5188" s="98"/>
      <c r="F5188">
        <v>5184</v>
      </c>
      <c r="G5188" s="109">
        <f t="shared" ca="1" si="89"/>
        <v>0.12885504268325276</v>
      </c>
    </row>
    <row r="5189" spans="2:7" x14ac:dyDescent="0.25">
      <c r="B5189" s="98"/>
      <c r="F5189">
        <v>5185</v>
      </c>
      <c r="G5189" s="109">
        <f t="shared" ca="1" si="89"/>
        <v>-4.6827844305778646E-2</v>
      </c>
    </row>
    <row r="5190" spans="2:7" x14ac:dyDescent="0.25">
      <c r="B5190" s="98"/>
      <c r="F5190">
        <v>5186</v>
      </c>
      <c r="G5190" s="109">
        <f t="shared" ref="G5190:G5253" ca="1" si="90">_xlfn.NORM.INV(RAND(),$M$5,$M$6)</f>
        <v>3.4155588801312711E-2</v>
      </c>
    </row>
    <row r="5191" spans="2:7" x14ac:dyDescent="0.25">
      <c r="B5191" s="98"/>
      <c r="F5191">
        <v>5187</v>
      </c>
      <c r="G5191" s="109">
        <f t="shared" ca="1" si="90"/>
        <v>-3.8308357066946783E-2</v>
      </c>
    </row>
    <row r="5192" spans="2:7" x14ac:dyDescent="0.25">
      <c r="B5192" s="98"/>
      <c r="F5192">
        <v>5188</v>
      </c>
      <c r="G5192" s="109">
        <f t="shared" ca="1" si="90"/>
        <v>-2.9570926740354303E-2</v>
      </c>
    </row>
    <row r="5193" spans="2:7" x14ac:dyDescent="0.25">
      <c r="B5193" s="98"/>
      <c r="F5193">
        <v>5189</v>
      </c>
      <c r="G5193" s="109">
        <f t="shared" ca="1" si="90"/>
        <v>8.6523583588701283E-2</v>
      </c>
    </row>
    <row r="5194" spans="2:7" x14ac:dyDescent="0.25">
      <c r="B5194" s="98"/>
      <c r="F5194">
        <v>5190</v>
      </c>
      <c r="G5194" s="109">
        <f t="shared" ca="1" si="90"/>
        <v>-0.16315511279354317</v>
      </c>
    </row>
    <row r="5195" spans="2:7" x14ac:dyDescent="0.25">
      <c r="B5195" s="98"/>
      <c r="F5195">
        <v>5191</v>
      </c>
      <c r="G5195" s="109">
        <f t="shared" ca="1" si="90"/>
        <v>0.19085659607940636</v>
      </c>
    </row>
    <row r="5196" spans="2:7" x14ac:dyDescent="0.25">
      <c r="B5196" s="98"/>
      <c r="F5196">
        <v>5192</v>
      </c>
      <c r="G5196" s="109">
        <f t="shared" ca="1" si="90"/>
        <v>-1.5492275942385732E-2</v>
      </c>
    </row>
    <row r="5197" spans="2:7" x14ac:dyDescent="0.25">
      <c r="B5197" s="98"/>
      <c r="F5197">
        <v>5193</v>
      </c>
      <c r="G5197" s="109">
        <f t="shared" ca="1" si="90"/>
        <v>-1.0015064921250344E-2</v>
      </c>
    </row>
    <row r="5198" spans="2:7" x14ac:dyDescent="0.25">
      <c r="B5198" s="98"/>
      <c r="F5198">
        <v>5194</v>
      </c>
      <c r="G5198" s="109">
        <f t="shared" ca="1" si="90"/>
        <v>0.2794800925988386</v>
      </c>
    </row>
    <row r="5199" spans="2:7" x14ac:dyDescent="0.25">
      <c r="B5199" s="98"/>
      <c r="F5199">
        <v>5195</v>
      </c>
      <c r="G5199" s="109">
        <f t="shared" ca="1" si="90"/>
        <v>9.8981535628097611E-2</v>
      </c>
    </row>
    <row r="5200" spans="2:7" x14ac:dyDescent="0.25">
      <c r="B5200" s="98"/>
      <c r="F5200">
        <v>5196</v>
      </c>
      <c r="G5200" s="109">
        <f t="shared" ca="1" si="90"/>
        <v>3.0811895532353792E-2</v>
      </c>
    </row>
    <row r="5201" spans="2:7" x14ac:dyDescent="0.25">
      <c r="B5201" s="98"/>
      <c r="F5201">
        <v>5197</v>
      </c>
      <c r="G5201" s="109">
        <f t="shared" ca="1" si="90"/>
        <v>-7.5134456679708334E-2</v>
      </c>
    </row>
    <row r="5202" spans="2:7" x14ac:dyDescent="0.25">
      <c r="B5202" s="98"/>
      <c r="F5202">
        <v>5198</v>
      </c>
      <c r="G5202" s="109">
        <f t="shared" ca="1" si="90"/>
        <v>7.7944890814405587E-2</v>
      </c>
    </row>
    <row r="5203" spans="2:7" x14ac:dyDescent="0.25">
      <c r="B5203" s="98"/>
      <c r="F5203">
        <v>5199</v>
      </c>
      <c r="G5203" s="109">
        <f t="shared" ca="1" si="90"/>
        <v>0.30534385489362043</v>
      </c>
    </row>
    <row r="5204" spans="2:7" x14ac:dyDescent="0.25">
      <c r="B5204" s="98"/>
      <c r="F5204">
        <v>5200</v>
      </c>
      <c r="G5204" s="109">
        <f t="shared" ca="1" si="90"/>
        <v>-0.1271587370933478</v>
      </c>
    </row>
    <row r="5205" spans="2:7" x14ac:dyDescent="0.25">
      <c r="B5205" s="98"/>
      <c r="F5205">
        <v>5201</v>
      </c>
      <c r="G5205" s="109">
        <f t="shared" ca="1" si="90"/>
        <v>-4.1011309342939756E-2</v>
      </c>
    </row>
    <row r="5206" spans="2:7" x14ac:dyDescent="0.25">
      <c r="B5206" s="98"/>
      <c r="F5206">
        <v>5202</v>
      </c>
      <c r="G5206" s="109">
        <f t="shared" ca="1" si="90"/>
        <v>0.17817681589586865</v>
      </c>
    </row>
    <row r="5207" spans="2:7" x14ac:dyDescent="0.25">
      <c r="B5207" s="98"/>
      <c r="F5207">
        <v>5203</v>
      </c>
      <c r="G5207" s="109">
        <f t="shared" ca="1" si="90"/>
        <v>0.10059862690150689</v>
      </c>
    </row>
    <row r="5208" spans="2:7" x14ac:dyDescent="0.25">
      <c r="B5208" s="98"/>
      <c r="F5208">
        <v>5204</v>
      </c>
      <c r="G5208" s="109">
        <f t="shared" ca="1" si="90"/>
        <v>3.8660416211982962E-2</v>
      </c>
    </row>
    <row r="5209" spans="2:7" x14ac:dyDescent="0.25">
      <c r="B5209" s="98"/>
      <c r="F5209">
        <v>5205</v>
      </c>
      <c r="G5209" s="109">
        <f t="shared" ca="1" si="90"/>
        <v>3.9864643762874359E-2</v>
      </c>
    </row>
    <row r="5210" spans="2:7" x14ac:dyDescent="0.25">
      <c r="B5210" s="98"/>
      <c r="F5210">
        <v>5206</v>
      </c>
      <c r="G5210" s="109">
        <f t="shared" ca="1" si="90"/>
        <v>-0.13556060777815776</v>
      </c>
    </row>
    <row r="5211" spans="2:7" x14ac:dyDescent="0.25">
      <c r="B5211" s="98"/>
      <c r="F5211">
        <v>5207</v>
      </c>
      <c r="G5211" s="109">
        <f t="shared" ca="1" si="90"/>
        <v>0.26757776218259799</v>
      </c>
    </row>
    <row r="5212" spans="2:7" x14ac:dyDescent="0.25">
      <c r="B5212" s="98"/>
      <c r="F5212">
        <v>5208</v>
      </c>
      <c r="G5212" s="109">
        <f t="shared" ca="1" si="90"/>
        <v>-0.10014364833949722</v>
      </c>
    </row>
    <row r="5213" spans="2:7" x14ac:dyDescent="0.25">
      <c r="B5213" s="98"/>
      <c r="F5213">
        <v>5209</v>
      </c>
      <c r="G5213" s="109">
        <f t="shared" ca="1" si="90"/>
        <v>1.0403385949621639E-2</v>
      </c>
    </row>
    <row r="5214" spans="2:7" x14ac:dyDescent="0.25">
      <c r="B5214" s="98"/>
      <c r="F5214">
        <v>5210</v>
      </c>
      <c r="G5214" s="109">
        <f t="shared" ca="1" si="90"/>
        <v>-2.7292376056413506E-2</v>
      </c>
    </row>
    <row r="5215" spans="2:7" x14ac:dyDescent="0.25">
      <c r="B5215" s="98"/>
      <c r="F5215">
        <v>5211</v>
      </c>
      <c r="G5215" s="109">
        <f t="shared" ca="1" si="90"/>
        <v>0.28153664363101061</v>
      </c>
    </row>
    <row r="5216" spans="2:7" x14ac:dyDescent="0.25">
      <c r="B5216" s="98"/>
      <c r="F5216">
        <v>5212</v>
      </c>
      <c r="G5216" s="109">
        <f t="shared" ca="1" si="90"/>
        <v>0.24704778069057448</v>
      </c>
    </row>
    <row r="5217" spans="2:7" x14ac:dyDescent="0.25">
      <c r="B5217" s="98"/>
      <c r="F5217">
        <v>5213</v>
      </c>
      <c r="G5217" s="109">
        <f t="shared" ca="1" si="90"/>
        <v>9.7278227454293487E-2</v>
      </c>
    </row>
    <row r="5218" spans="2:7" x14ac:dyDescent="0.25">
      <c r="B5218" s="98"/>
      <c r="F5218">
        <v>5214</v>
      </c>
      <c r="G5218" s="109">
        <f t="shared" ca="1" si="90"/>
        <v>-0.22904835447055649</v>
      </c>
    </row>
    <row r="5219" spans="2:7" x14ac:dyDescent="0.25">
      <c r="B5219" s="98"/>
      <c r="F5219">
        <v>5215</v>
      </c>
      <c r="G5219" s="109">
        <f t="shared" ca="1" si="90"/>
        <v>0.14849468787096159</v>
      </c>
    </row>
    <row r="5220" spans="2:7" x14ac:dyDescent="0.25">
      <c r="B5220" s="98"/>
      <c r="F5220">
        <v>5216</v>
      </c>
      <c r="G5220" s="109">
        <f t="shared" ca="1" si="90"/>
        <v>8.7143875251863054E-2</v>
      </c>
    </row>
    <row r="5221" spans="2:7" x14ac:dyDescent="0.25">
      <c r="B5221" s="98"/>
      <c r="F5221">
        <v>5217</v>
      </c>
      <c r="G5221" s="109">
        <f t="shared" ca="1" si="90"/>
        <v>-3.268097589867465E-2</v>
      </c>
    </row>
    <row r="5222" spans="2:7" x14ac:dyDescent="0.25">
      <c r="B5222" s="98"/>
      <c r="F5222">
        <v>5218</v>
      </c>
      <c r="G5222" s="109">
        <f t="shared" ca="1" si="90"/>
        <v>0.22717854851418201</v>
      </c>
    </row>
    <row r="5223" spans="2:7" x14ac:dyDescent="0.25">
      <c r="B5223" s="98"/>
      <c r="F5223">
        <v>5219</v>
      </c>
      <c r="G5223" s="109">
        <f t="shared" ca="1" si="90"/>
        <v>9.8503393360936581E-2</v>
      </c>
    </row>
    <row r="5224" spans="2:7" x14ac:dyDescent="0.25">
      <c r="B5224" s="98"/>
      <c r="F5224">
        <v>5220</v>
      </c>
      <c r="G5224" s="109">
        <f t="shared" ca="1" si="90"/>
        <v>0.10637749142133512</v>
      </c>
    </row>
    <row r="5225" spans="2:7" x14ac:dyDescent="0.25">
      <c r="B5225" s="98"/>
      <c r="F5225">
        <v>5221</v>
      </c>
      <c r="G5225" s="109">
        <f t="shared" ca="1" si="90"/>
        <v>6.6044923768995539E-2</v>
      </c>
    </row>
    <row r="5226" spans="2:7" x14ac:dyDescent="0.25">
      <c r="B5226" s="98"/>
      <c r="F5226">
        <v>5222</v>
      </c>
      <c r="G5226" s="109">
        <f t="shared" ca="1" si="90"/>
        <v>0.13659001782830765</v>
      </c>
    </row>
    <row r="5227" spans="2:7" x14ac:dyDescent="0.25">
      <c r="B5227" s="98"/>
      <c r="F5227">
        <v>5223</v>
      </c>
      <c r="G5227" s="109">
        <f t="shared" ca="1" si="90"/>
        <v>0.1666130257841141</v>
      </c>
    </row>
    <row r="5228" spans="2:7" x14ac:dyDescent="0.25">
      <c r="B5228" s="98"/>
      <c r="F5228">
        <v>5224</v>
      </c>
      <c r="G5228" s="109">
        <f t="shared" ca="1" si="90"/>
        <v>8.29902304525095E-2</v>
      </c>
    </row>
    <row r="5229" spans="2:7" x14ac:dyDescent="0.25">
      <c r="B5229" s="98"/>
      <c r="F5229">
        <v>5225</v>
      </c>
      <c r="G5229" s="109">
        <f t="shared" ca="1" si="90"/>
        <v>9.8444819285295609E-2</v>
      </c>
    </row>
    <row r="5230" spans="2:7" x14ac:dyDescent="0.25">
      <c r="B5230" s="98"/>
      <c r="F5230">
        <v>5226</v>
      </c>
      <c r="G5230" s="109">
        <f t="shared" ca="1" si="90"/>
        <v>1.6512030914030432E-2</v>
      </c>
    </row>
    <row r="5231" spans="2:7" x14ac:dyDescent="0.25">
      <c r="B5231" s="98"/>
      <c r="F5231">
        <v>5227</v>
      </c>
      <c r="G5231" s="109">
        <f t="shared" ca="1" si="90"/>
        <v>0.103404164349888</v>
      </c>
    </row>
    <row r="5232" spans="2:7" x14ac:dyDescent="0.25">
      <c r="B5232" s="98"/>
      <c r="F5232">
        <v>5228</v>
      </c>
      <c r="G5232" s="109">
        <f t="shared" ca="1" si="90"/>
        <v>5.8340808991238183E-2</v>
      </c>
    </row>
    <row r="5233" spans="2:7" x14ac:dyDescent="0.25">
      <c r="B5233" s="98"/>
      <c r="F5233">
        <v>5229</v>
      </c>
      <c r="G5233" s="109">
        <f t="shared" ca="1" si="90"/>
        <v>9.9609919953751694E-2</v>
      </c>
    </row>
    <row r="5234" spans="2:7" x14ac:dyDescent="0.25">
      <c r="B5234" s="98"/>
      <c r="F5234">
        <v>5230</v>
      </c>
      <c r="G5234" s="109">
        <f t="shared" ca="1" si="90"/>
        <v>0.15977679601420552</v>
      </c>
    </row>
    <row r="5235" spans="2:7" x14ac:dyDescent="0.25">
      <c r="B5235" s="98"/>
      <c r="F5235">
        <v>5231</v>
      </c>
      <c r="G5235" s="109">
        <f t="shared" ca="1" si="90"/>
        <v>0.14621343123581282</v>
      </c>
    </row>
    <row r="5236" spans="2:7" x14ac:dyDescent="0.25">
      <c r="B5236" s="98"/>
      <c r="F5236">
        <v>5232</v>
      </c>
      <c r="G5236" s="109">
        <f t="shared" ca="1" si="90"/>
        <v>1.6399845996507383E-2</v>
      </c>
    </row>
    <row r="5237" spans="2:7" x14ac:dyDescent="0.25">
      <c r="B5237" s="98"/>
      <c r="F5237">
        <v>5233</v>
      </c>
      <c r="G5237" s="109">
        <f t="shared" ca="1" si="90"/>
        <v>-5.0012050507064157E-2</v>
      </c>
    </row>
    <row r="5238" spans="2:7" x14ac:dyDescent="0.25">
      <c r="B5238" s="98"/>
      <c r="F5238">
        <v>5234</v>
      </c>
      <c r="G5238" s="109">
        <f t="shared" ca="1" si="90"/>
        <v>9.8538683165912896E-3</v>
      </c>
    </row>
    <row r="5239" spans="2:7" x14ac:dyDescent="0.25">
      <c r="B5239" s="98"/>
      <c r="F5239">
        <v>5235</v>
      </c>
      <c r="G5239" s="109">
        <f t="shared" ca="1" si="90"/>
        <v>0.17416668723364942</v>
      </c>
    </row>
    <row r="5240" spans="2:7" x14ac:dyDescent="0.25">
      <c r="B5240" s="98"/>
      <c r="F5240">
        <v>5236</v>
      </c>
      <c r="G5240" s="109">
        <f t="shared" ca="1" si="90"/>
        <v>-3.7142232739788783E-2</v>
      </c>
    </row>
    <row r="5241" spans="2:7" x14ac:dyDescent="0.25">
      <c r="B5241" s="98"/>
      <c r="F5241">
        <v>5237</v>
      </c>
      <c r="G5241" s="109">
        <f t="shared" ca="1" si="90"/>
        <v>5.0160421389051892E-2</v>
      </c>
    </row>
    <row r="5242" spans="2:7" x14ac:dyDescent="0.25">
      <c r="B5242" s="98"/>
      <c r="F5242">
        <v>5238</v>
      </c>
      <c r="G5242" s="109">
        <f t="shared" ca="1" si="90"/>
        <v>1.4891445148912424E-2</v>
      </c>
    </row>
    <row r="5243" spans="2:7" x14ac:dyDescent="0.25">
      <c r="B5243" s="98"/>
      <c r="F5243">
        <v>5239</v>
      </c>
      <c r="G5243" s="109">
        <f t="shared" ca="1" si="90"/>
        <v>-1.946916621310335E-2</v>
      </c>
    </row>
    <row r="5244" spans="2:7" x14ac:dyDescent="0.25">
      <c r="B5244" s="98"/>
      <c r="F5244">
        <v>5240</v>
      </c>
      <c r="G5244" s="109">
        <f t="shared" ca="1" si="90"/>
        <v>7.1365462184077244E-2</v>
      </c>
    </row>
    <row r="5245" spans="2:7" x14ac:dyDescent="0.25">
      <c r="B5245" s="98"/>
      <c r="F5245">
        <v>5241</v>
      </c>
      <c r="G5245" s="109">
        <f t="shared" ca="1" si="90"/>
        <v>-2.4923074100279524E-2</v>
      </c>
    </row>
    <row r="5246" spans="2:7" x14ac:dyDescent="0.25">
      <c r="B5246" s="98"/>
      <c r="F5246">
        <v>5242</v>
      </c>
      <c r="G5246" s="109">
        <f t="shared" ca="1" si="90"/>
        <v>-4.3173287315692491E-2</v>
      </c>
    </row>
    <row r="5247" spans="2:7" x14ac:dyDescent="0.25">
      <c r="B5247" s="98"/>
      <c r="F5247">
        <v>5243</v>
      </c>
      <c r="G5247" s="109">
        <f t="shared" ca="1" si="90"/>
        <v>-3.3879885775186261E-2</v>
      </c>
    </row>
    <row r="5248" spans="2:7" x14ac:dyDescent="0.25">
      <c r="B5248" s="98"/>
      <c r="F5248">
        <v>5244</v>
      </c>
      <c r="G5248" s="109">
        <f t="shared" ca="1" si="90"/>
        <v>0.12983492789446499</v>
      </c>
    </row>
    <row r="5249" spans="2:7" x14ac:dyDescent="0.25">
      <c r="B5249" s="98"/>
      <c r="F5249">
        <v>5245</v>
      </c>
      <c r="G5249" s="109">
        <f t="shared" ca="1" si="90"/>
        <v>0.10556400293906244</v>
      </c>
    </row>
    <row r="5250" spans="2:7" x14ac:dyDescent="0.25">
      <c r="B5250" s="98"/>
      <c r="F5250">
        <v>5246</v>
      </c>
      <c r="G5250" s="109">
        <f t="shared" ca="1" si="90"/>
        <v>4.5824750770629974E-3</v>
      </c>
    </row>
    <row r="5251" spans="2:7" x14ac:dyDescent="0.25">
      <c r="B5251" s="98"/>
      <c r="F5251">
        <v>5247</v>
      </c>
      <c r="G5251" s="109">
        <f t="shared" ca="1" si="90"/>
        <v>0.10716229062601161</v>
      </c>
    </row>
    <row r="5252" spans="2:7" x14ac:dyDescent="0.25">
      <c r="B5252" s="98"/>
      <c r="F5252">
        <v>5248</v>
      </c>
      <c r="G5252" s="109">
        <f t="shared" ca="1" si="90"/>
        <v>0.12319870645082784</v>
      </c>
    </row>
    <row r="5253" spans="2:7" x14ac:dyDescent="0.25">
      <c r="B5253" s="98"/>
      <c r="F5253">
        <v>5249</v>
      </c>
      <c r="G5253" s="109">
        <f t="shared" ca="1" si="90"/>
        <v>0.21881200991666139</v>
      </c>
    </row>
    <row r="5254" spans="2:7" x14ac:dyDescent="0.25">
      <c r="B5254" s="98"/>
      <c r="F5254">
        <v>5250</v>
      </c>
      <c r="G5254" s="109">
        <f t="shared" ref="G5254:G5317" ca="1" si="91">_xlfn.NORM.INV(RAND(),$M$5,$M$6)</f>
        <v>-1.5706841664278166E-2</v>
      </c>
    </row>
    <row r="5255" spans="2:7" x14ac:dyDescent="0.25">
      <c r="B5255" s="98"/>
      <c r="F5255">
        <v>5251</v>
      </c>
      <c r="G5255" s="109">
        <f t="shared" ca="1" si="91"/>
        <v>-0.22391275136313282</v>
      </c>
    </row>
    <row r="5256" spans="2:7" x14ac:dyDescent="0.25">
      <c r="B5256" s="98"/>
      <c r="F5256">
        <v>5252</v>
      </c>
      <c r="G5256" s="109">
        <f t="shared" ca="1" si="91"/>
        <v>0.21141945344541785</v>
      </c>
    </row>
    <row r="5257" spans="2:7" x14ac:dyDescent="0.25">
      <c r="B5257" s="98"/>
      <c r="F5257">
        <v>5253</v>
      </c>
      <c r="G5257" s="109">
        <f t="shared" ca="1" si="91"/>
        <v>-9.5258471413783949E-2</v>
      </c>
    </row>
    <row r="5258" spans="2:7" x14ac:dyDescent="0.25">
      <c r="B5258" s="98"/>
      <c r="F5258">
        <v>5254</v>
      </c>
      <c r="G5258" s="109">
        <f t="shared" ca="1" si="91"/>
        <v>-0.22397232447718818</v>
      </c>
    </row>
    <row r="5259" spans="2:7" x14ac:dyDescent="0.25">
      <c r="B5259" s="98"/>
      <c r="F5259">
        <v>5255</v>
      </c>
      <c r="G5259" s="109">
        <f t="shared" ca="1" si="91"/>
        <v>5.1490738595389308E-2</v>
      </c>
    </row>
    <row r="5260" spans="2:7" x14ac:dyDescent="0.25">
      <c r="B5260" s="98"/>
      <c r="F5260">
        <v>5256</v>
      </c>
      <c r="G5260" s="109">
        <f t="shared" ca="1" si="91"/>
        <v>0.17598786472246714</v>
      </c>
    </row>
    <row r="5261" spans="2:7" x14ac:dyDescent="0.25">
      <c r="B5261" s="98"/>
      <c r="F5261">
        <v>5257</v>
      </c>
      <c r="G5261" s="109">
        <f t="shared" ca="1" si="91"/>
        <v>0.15681280426757413</v>
      </c>
    </row>
    <row r="5262" spans="2:7" x14ac:dyDescent="0.25">
      <c r="B5262" s="98"/>
      <c r="F5262">
        <v>5258</v>
      </c>
      <c r="G5262" s="109">
        <f t="shared" ca="1" si="91"/>
        <v>6.0630033886614414E-2</v>
      </c>
    </row>
    <row r="5263" spans="2:7" x14ac:dyDescent="0.25">
      <c r="B5263" s="98"/>
      <c r="F5263">
        <v>5259</v>
      </c>
      <c r="G5263" s="109">
        <f t="shared" ca="1" si="91"/>
        <v>7.8630184171813167E-3</v>
      </c>
    </row>
    <row r="5264" spans="2:7" x14ac:dyDescent="0.25">
      <c r="B5264" s="98"/>
      <c r="F5264">
        <v>5260</v>
      </c>
      <c r="G5264" s="109">
        <f t="shared" ca="1" si="91"/>
        <v>-4.732449260242598E-3</v>
      </c>
    </row>
    <row r="5265" spans="2:7" x14ac:dyDescent="0.25">
      <c r="B5265" s="98"/>
      <c r="F5265">
        <v>5261</v>
      </c>
      <c r="G5265" s="109">
        <f t="shared" ca="1" si="91"/>
        <v>-9.6149282882907403E-3</v>
      </c>
    </row>
    <row r="5266" spans="2:7" x14ac:dyDescent="0.25">
      <c r="B5266" s="98"/>
      <c r="F5266">
        <v>5262</v>
      </c>
      <c r="G5266" s="109">
        <f t="shared" ca="1" si="91"/>
        <v>-6.2304256557150897E-2</v>
      </c>
    </row>
    <row r="5267" spans="2:7" x14ac:dyDescent="0.25">
      <c r="B5267" s="98"/>
      <c r="F5267">
        <v>5263</v>
      </c>
      <c r="G5267" s="109">
        <f t="shared" ca="1" si="91"/>
        <v>-5.1467058503068153E-2</v>
      </c>
    </row>
    <row r="5268" spans="2:7" x14ac:dyDescent="0.25">
      <c r="B5268" s="98"/>
      <c r="F5268">
        <v>5264</v>
      </c>
      <c r="G5268" s="109">
        <f t="shared" ca="1" si="91"/>
        <v>6.9242878413774522E-2</v>
      </c>
    </row>
    <row r="5269" spans="2:7" x14ac:dyDescent="0.25">
      <c r="B5269" s="98"/>
      <c r="F5269">
        <v>5265</v>
      </c>
      <c r="G5269" s="109">
        <f t="shared" ca="1" si="91"/>
        <v>5.0430438461865776E-2</v>
      </c>
    </row>
    <row r="5270" spans="2:7" x14ac:dyDescent="0.25">
      <c r="B5270" s="98"/>
      <c r="F5270">
        <v>5266</v>
      </c>
      <c r="G5270" s="109">
        <f t="shared" ca="1" si="91"/>
        <v>2.8122810230007747E-3</v>
      </c>
    </row>
    <row r="5271" spans="2:7" x14ac:dyDescent="0.25">
      <c r="B5271" s="98"/>
      <c r="F5271">
        <v>5267</v>
      </c>
      <c r="G5271" s="109">
        <f t="shared" ca="1" si="91"/>
        <v>7.1437694323831513E-2</v>
      </c>
    </row>
    <row r="5272" spans="2:7" x14ac:dyDescent="0.25">
      <c r="B5272" s="98"/>
      <c r="F5272">
        <v>5268</v>
      </c>
      <c r="G5272" s="109">
        <f t="shared" ca="1" si="91"/>
        <v>2.0933164268585186E-3</v>
      </c>
    </row>
    <row r="5273" spans="2:7" x14ac:dyDescent="0.25">
      <c r="B5273" s="98"/>
      <c r="F5273">
        <v>5269</v>
      </c>
      <c r="G5273" s="109">
        <f t="shared" ca="1" si="91"/>
        <v>3.5872117352082837E-2</v>
      </c>
    </row>
    <row r="5274" spans="2:7" x14ac:dyDescent="0.25">
      <c r="B5274" s="98"/>
      <c r="F5274">
        <v>5270</v>
      </c>
      <c r="G5274" s="109">
        <f t="shared" ca="1" si="91"/>
        <v>2.1724459976836738E-2</v>
      </c>
    </row>
    <row r="5275" spans="2:7" x14ac:dyDescent="0.25">
      <c r="B5275" s="98"/>
      <c r="F5275">
        <v>5271</v>
      </c>
      <c r="G5275" s="109">
        <f t="shared" ca="1" si="91"/>
        <v>-2.6993671135929084E-2</v>
      </c>
    </row>
    <row r="5276" spans="2:7" x14ac:dyDescent="0.25">
      <c r="B5276" s="98"/>
      <c r="F5276">
        <v>5272</v>
      </c>
      <c r="G5276" s="109">
        <f t="shared" ca="1" si="91"/>
        <v>-7.169274218109449E-2</v>
      </c>
    </row>
    <row r="5277" spans="2:7" x14ac:dyDescent="0.25">
      <c r="B5277" s="98"/>
      <c r="F5277">
        <v>5273</v>
      </c>
      <c r="G5277" s="109">
        <f t="shared" ca="1" si="91"/>
        <v>2.8179890700264637E-4</v>
      </c>
    </row>
    <row r="5278" spans="2:7" x14ac:dyDescent="0.25">
      <c r="B5278" s="98"/>
      <c r="F5278">
        <v>5274</v>
      </c>
      <c r="G5278" s="109">
        <f t="shared" ca="1" si="91"/>
        <v>0.12906758129707913</v>
      </c>
    </row>
    <row r="5279" spans="2:7" x14ac:dyDescent="0.25">
      <c r="B5279" s="98"/>
      <c r="F5279">
        <v>5275</v>
      </c>
      <c r="G5279" s="109">
        <f t="shared" ca="1" si="91"/>
        <v>0.13347313400361988</v>
      </c>
    </row>
    <row r="5280" spans="2:7" x14ac:dyDescent="0.25">
      <c r="B5280" s="98"/>
      <c r="F5280">
        <v>5276</v>
      </c>
      <c r="G5280" s="109">
        <f t="shared" ca="1" si="91"/>
        <v>-3.4593479388397852E-4</v>
      </c>
    </row>
    <row r="5281" spans="2:7" x14ac:dyDescent="0.25">
      <c r="B5281" s="98"/>
      <c r="F5281">
        <v>5277</v>
      </c>
      <c r="G5281" s="109">
        <f t="shared" ca="1" si="91"/>
        <v>9.8254296969742694E-2</v>
      </c>
    </row>
    <row r="5282" spans="2:7" x14ac:dyDescent="0.25">
      <c r="B5282" s="98"/>
      <c r="F5282">
        <v>5278</v>
      </c>
      <c r="G5282" s="109">
        <f t="shared" ca="1" si="91"/>
        <v>0.15091512390087075</v>
      </c>
    </row>
    <row r="5283" spans="2:7" x14ac:dyDescent="0.25">
      <c r="B5283" s="98"/>
      <c r="F5283">
        <v>5279</v>
      </c>
      <c r="G5283" s="109">
        <f t="shared" ca="1" si="91"/>
        <v>-4.2288935514300588E-3</v>
      </c>
    </row>
    <row r="5284" spans="2:7" x14ac:dyDescent="0.25">
      <c r="B5284" s="98"/>
      <c r="F5284">
        <v>5280</v>
      </c>
      <c r="G5284" s="109">
        <f t="shared" ca="1" si="91"/>
        <v>5.7674888239800742E-2</v>
      </c>
    </row>
    <row r="5285" spans="2:7" x14ac:dyDescent="0.25">
      <c r="B5285" s="98"/>
      <c r="F5285">
        <v>5281</v>
      </c>
      <c r="G5285" s="109">
        <f t="shared" ca="1" si="91"/>
        <v>-4.6885352836574148E-2</v>
      </c>
    </row>
    <row r="5286" spans="2:7" x14ac:dyDescent="0.25">
      <c r="B5286" s="98"/>
      <c r="F5286">
        <v>5282</v>
      </c>
      <c r="G5286" s="109">
        <f t="shared" ca="1" si="91"/>
        <v>0.25144214979869711</v>
      </c>
    </row>
    <row r="5287" spans="2:7" x14ac:dyDescent="0.25">
      <c r="B5287" s="98"/>
      <c r="F5287">
        <v>5283</v>
      </c>
      <c r="G5287" s="109">
        <f t="shared" ca="1" si="91"/>
        <v>-8.0509780902921366E-2</v>
      </c>
    </row>
    <row r="5288" spans="2:7" x14ac:dyDescent="0.25">
      <c r="B5288" s="98"/>
      <c r="F5288">
        <v>5284</v>
      </c>
      <c r="G5288" s="109">
        <f t="shared" ca="1" si="91"/>
        <v>3.7854024961937877E-3</v>
      </c>
    </row>
    <row r="5289" spans="2:7" x14ac:dyDescent="0.25">
      <c r="B5289" s="98"/>
      <c r="F5289">
        <v>5285</v>
      </c>
      <c r="G5289" s="109">
        <f t="shared" ca="1" si="91"/>
        <v>-0.1001904401728058</v>
      </c>
    </row>
    <row r="5290" spans="2:7" x14ac:dyDescent="0.25">
      <c r="B5290" s="98"/>
      <c r="F5290">
        <v>5286</v>
      </c>
      <c r="G5290" s="109">
        <f t="shared" ca="1" si="91"/>
        <v>0.15094794486560428</v>
      </c>
    </row>
    <row r="5291" spans="2:7" x14ac:dyDescent="0.25">
      <c r="B5291" s="98"/>
      <c r="F5291">
        <v>5287</v>
      </c>
      <c r="G5291" s="109">
        <f t="shared" ca="1" si="91"/>
        <v>5.0585405620313106E-2</v>
      </c>
    </row>
    <row r="5292" spans="2:7" x14ac:dyDescent="0.25">
      <c r="B5292" s="98"/>
      <c r="F5292">
        <v>5288</v>
      </c>
      <c r="G5292" s="109">
        <f t="shared" ca="1" si="91"/>
        <v>0.12906414358343687</v>
      </c>
    </row>
    <row r="5293" spans="2:7" x14ac:dyDescent="0.25">
      <c r="B5293" s="98"/>
      <c r="F5293">
        <v>5289</v>
      </c>
      <c r="G5293" s="109">
        <f t="shared" ca="1" si="91"/>
        <v>-2.0825210101412736E-2</v>
      </c>
    </row>
    <row r="5294" spans="2:7" x14ac:dyDescent="0.25">
      <c r="B5294" s="98"/>
      <c r="F5294">
        <v>5290</v>
      </c>
      <c r="G5294" s="109">
        <f t="shared" ca="1" si="91"/>
        <v>6.680925699715172E-2</v>
      </c>
    </row>
    <row r="5295" spans="2:7" x14ac:dyDescent="0.25">
      <c r="B5295" s="98"/>
      <c r="F5295">
        <v>5291</v>
      </c>
      <c r="G5295" s="109">
        <f t="shared" ca="1" si="91"/>
        <v>-4.6024473705310431E-2</v>
      </c>
    </row>
    <row r="5296" spans="2:7" x14ac:dyDescent="0.25">
      <c r="B5296" s="98"/>
      <c r="F5296">
        <v>5292</v>
      </c>
      <c r="G5296" s="109">
        <f t="shared" ca="1" si="91"/>
        <v>8.7718024024322938E-2</v>
      </c>
    </row>
    <row r="5297" spans="2:7" x14ac:dyDescent="0.25">
      <c r="B5297" s="98"/>
      <c r="F5297">
        <v>5293</v>
      </c>
      <c r="G5297" s="109">
        <f t="shared" ca="1" si="91"/>
        <v>0.11384305012315635</v>
      </c>
    </row>
    <row r="5298" spans="2:7" x14ac:dyDescent="0.25">
      <c r="B5298" s="98"/>
      <c r="F5298">
        <v>5294</v>
      </c>
      <c r="G5298" s="109">
        <f t="shared" ca="1" si="91"/>
        <v>0.21920414042733449</v>
      </c>
    </row>
    <row r="5299" spans="2:7" x14ac:dyDescent="0.25">
      <c r="B5299" s="98"/>
      <c r="F5299">
        <v>5295</v>
      </c>
      <c r="G5299" s="109">
        <f t="shared" ca="1" si="91"/>
        <v>3.3111349627912359E-3</v>
      </c>
    </row>
    <row r="5300" spans="2:7" x14ac:dyDescent="0.25">
      <c r="B5300" s="98"/>
      <c r="F5300">
        <v>5296</v>
      </c>
      <c r="G5300" s="109">
        <f t="shared" ca="1" si="91"/>
        <v>4.2910121326997494E-2</v>
      </c>
    </row>
    <row r="5301" spans="2:7" x14ac:dyDescent="0.25">
      <c r="B5301" s="98"/>
      <c r="F5301">
        <v>5297</v>
      </c>
      <c r="G5301" s="109">
        <f t="shared" ca="1" si="91"/>
        <v>7.8939038528274413E-3</v>
      </c>
    </row>
    <row r="5302" spans="2:7" x14ac:dyDescent="0.25">
      <c r="B5302" s="98"/>
      <c r="F5302">
        <v>5298</v>
      </c>
      <c r="G5302" s="109">
        <f t="shared" ca="1" si="91"/>
        <v>-0.24079087068915933</v>
      </c>
    </row>
    <row r="5303" spans="2:7" x14ac:dyDescent="0.25">
      <c r="B5303" s="98"/>
      <c r="F5303">
        <v>5299</v>
      </c>
      <c r="G5303" s="109">
        <f t="shared" ca="1" si="91"/>
        <v>-2.4018371410065006E-2</v>
      </c>
    </row>
    <row r="5304" spans="2:7" x14ac:dyDescent="0.25">
      <c r="B5304" s="98"/>
      <c r="F5304">
        <v>5300</v>
      </c>
      <c r="G5304" s="109">
        <f t="shared" ca="1" si="91"/>
        <v>0.11656324889721144</v>
      </c>
    </row>
    <row r="5305" spans="2:7" x14ac:dyDescent="0.25">
      <c r="B5305" s="98"/>
      <c r="F5305">
        <v>5301</v>
      </c>
      <c r="G5305" s="109">
        <f t="shared" ca="1" si="91"/>
        <v>0.11698717591440878</v>
      </c>
    </row>
    <row r="5306" spans="2:7" x14ac:dyDescent="0.25">
      <c r="B5306" s="98"/>
      <c r="F5306">
        <v>5302</v>
      </c>
      <c r="G5306" s="109">
        <f t="shared" ca="1" si="91"/>
        <v>-5.3013549202762675E-2</v>
      </c>
    </row>
    <row r="5307" spans="2:7" x14ac:dyDescent="0.25">
      <c r="B5307" s="98"/>
      <c r="F5307">
        <v>5303</v>
      </c>
      <c r="G5307" s="109">
        <f t="shared" ca="1" si="91"/>
        <v>-0.12716008868961343</v>
      </c>
    </row>
    <row r="5308" spans="2:7" x14ac:dyDescent="0.25">
      <c r="B5308" s="98"/>
      <c r="F5308">
        <v>5304</v>
      </c>
      <c r="G5308" s="109">
        <f t="shared" ca="1" si="91"/>
        <v>-5.2944666929567341E-2</v>
      </c>
    </row>
    <row r="5309" spans="2:7" x14ac:dyDescent="0.25">
      <c r="B5309" s="98"/>
      <c r="F5309">
        <v>5305</v>
      </c>
      <c r="G5309" s="109">
        <f t="shared" ca="1" si="91"/>
        <v>0.12591407527951898</v>
      </c>
    </row>
    <row r="5310" spans="2:7" x14ac:dyDescent="0.25">
      <c r="B5310" s="98"/>
      <c r="F5310">
        <v>5306</v>
      </c>
      <c r="G5310" s="109">
        <f t="shared" ca="1" si="91"/>
        <v>0.14676145548977618</v>
      </c>
    </row>
    <row r="5311" spans="2:7" x14ac:dyDescent="0.25">
      <c r="B5311" s="98"/>
      <c r="F5311">
        <v>5307</v>
      </c>
      <c r="G5311" s="109">
        <f t="shared" ca="1" si="91"/>
        <v>9.0420087783005032E-2</v>
      </c>
    </row>
    <row r="5312" spans="2:7" x14ac:dyDescent="0.25">
      <c r="B5312" s="98"/>
      <c r="F5312">
        <v>5308</v>
      </c>
      <c r="G5312" s="109">
        <f t="shared" ca="1" si="91"/>
        <v>4.1901765515865039E-2</v>
      </c>
    </row>
    <row r="5313" spans="2:7" x14ac:dyDescent="0.25">
      <c r="B5313" s="98"/>
      <c r="F5313">
        <v>5309</v>
      </c>
      <c r="G5313" s="109">
        <f t="shared" ca="1" si="91"/>
        <v>0.12780351845707211</v>
      </c>
    </row>
    <row r="5314" spans="2:7" x14ac:dyDescent="0.25">
      <c r="B5314" s="98"/>
      <c r="F5314">
        <v>5310</v>
      </c>
      <c r="G5314" s="109">
        <f t="shared" ca="1" si="91"/>
        <v>0.11522556058765759</v>
      </c>
    </row>
    <row r="5315" spans="2:7" x14ac:dyDescent="0.25">
      <c r="B5315" s="98"/>
      <c r="F5315">
        <v>5311</v>
      </c>
      <c r="G5315" s="109">
        <f t="shared" ca="1" si="91"/>
        <v>-0.13175446075486635</v>
      </c>
    </row>
    <row r="5316" spans="2:7" x14ac:dyDescent="0.25">
      <c r="B5316" s="98"/>
      <c r="F5316">
        <v>5312</v>
      </c>
      <c r="G5316" s="109">
        <f t="shared" ca="1" si="91"/>
        <v>7.2754649545771904E-2</v>
      </c>
    </row>
    <row r="5317" spans="2:7" x14ac:dyDescent="0.25">
      <c r="B5317" s="98"/>
      <c r="F5317">
        <v>5313</v>
      </c>
      <c r="G5317" s="109">
        <f t="shared" ca="1" si="91"/>
        <v>-0.12135695797546524</v>
      </c>
    </row>
    <row r="5318" spans="2:7" x14ac:dyDescent="0.25">
      <c r="B5318" s="98"/>
      <c r="F5318">
        <v>5314</v>
      </c>
      <c r="G5318" s="109">
        <f t="shared" ref="G5318:G5381" ca="1" si="92">_xlfn.NORM.INV(RAND(),$M$5,$M$6)</f>
        <v>7.9930599393960827E-2</v>
      </c>
    </row>
    <row r="5319" spans="2:7" x14ac:dyDescent="0.25">
      <c r="B5319" s="98"/>
      <c r="F5319">
        <v>5315</v>
      </c>
      <c r="G5319" s="109">
        <f t="shared" ca="1" si="92"/>
        <v>-5.8780536789182339E-2</v>
      </c>
    </row>
    <row r="5320" spans="2:7" x14ac:dyDescent="0.25">
      <c r="B5320" s="98"/>
      <c r="F5320">
        <v>5316</v>
      </c>
      <c r="G5320" s="109">
        <f t="shared" ca="1" si="92"/>
        <v>0.1903947293890122</v>
      </c>
    </row>
    <row r="5321" spans="2:7" x14ac:dyDescent="0.25">
      <c r="B5321" s="98"/>
      <c r="F5321">
        <v>5317</v>
      </c>
      <c r="G5321" s="109">
        <f t="shared" ca="1" si="92"/>
        <v>-8.2751291937863472E-2</v>
      </c>
    </row>
    <row r="5322" spans="2:7" x14ac:dyDescent="0.25">
      <c r="B5322" s="98"/>
      <c r="F5322">
        <v>5318</v>
      </c>
      <c r="G5322" s="109">
        <f t="shared" ca="1" si="92"/>
        <v>-0.21971563840244984</v>
      </c>
    </row>
    <row r="5323" spans="2:7" x14ac:dyDescent="0.25">
      <c r="B5323" s="98"/>
      <c r="F5323">
        <v>5319</v>
      </c>
      <c r="G5323" s="109">
        <f t="shared" ca="1" si="92"/>
        <v>-5.4927067112864769E-2</v>
      </c>
    </row>
    <row r="5324" spans="2:7" x14ac:dyDescent="0.25">
      <c r="B5324" s="98"/>
      <c r="F5324">
        <v>5320</v>
      </c>
      <c r="G5324" s="109">
        <f t="shared" ca="1" si="92"/>
        <v>0.35967127198419147</v>
      </c>
    </row>
    <row r="5325" spans="2:7" x14ac:dyDescent="0.25">
      <c r="B5325" s="98"/>
      <c r="F5325">
        <v>5321</v>
      </c>
      <c r="G5325" s="109">
        <f t="shared" ca="1" si="92"/>
        <v>0.27531731114364477</v>
      </c>
    </row>
    <row r="5326" spans="2:7" x14ac:dyDescent="0.25">
      <c r="B5326" s="98"/>
      <c r="F5326">
        <v>5322</v>
      </c>
      <c r="G5326" s="109">
        <f t="shared" ca="1" si="92"/>
        <v>0.17004040901749884</v>
      </c>
    </row>
    <row r="5327" spans="2:7" x14ac:dyDescent="0.25">
      <c r="B5327" s="98"/>
      <c r="F5327">
        <v>5323</v>
      </c>
      <c r="G5327" s="109">
        <f t="shared" ca="1" si="92"/>
        <v>-2.8942297272808171E-3</v>
      </c>
    </row>
    <row r="5328" spans="2:7" x14ac:dyDescent="0.25">
      <c r="B5328" s="98"/>
      <c r="F5328">
        <v>5324</v>
      </c>
      <c r="G5328" s="109">
        <f t="shared" ca="1" si="92"/>
        <v>0.12734867829976665</v>
      </c>
    </row>
    <row r="5329" spans="2:7" x14ac:dyDescent="0.25">
      <c r="B5329" s="98"/>
      <c r="F5329">
        <v>5325</v>
      </c>
      <c r="G5329" s="109">
        <f t="shared" ca="1" si="92"/>
        <v>0.3923638353037075</v>
      </c>
    </row>
    <row r="5330" spans="2:7" x14ac:dyDescent="0.25">
      <c r="B5330" s="98"/>
      <c r="F5330">
        <v>5326</v>
      </c>
      <c r="G5330" s="109">
        <f t="shared" ca="1" si="92"/>
        <v>0.22079950288036132</v>
      </c>
    </row>
    <row r="5331" spans="2:7" x14ac:dyDescent="0.25">
      <c r="B5331" s="98"/>
      <c r="F5331">
        <v>5327</v>
      </c>
      <c r="G5331" s="109">
        <f t="shared" ca="1" si="92"/>
        <v>2.4374583340931108E-3</v>
      </c>
    </row>
    <row r="5332" spans="2:7" x14ac:dyDescent="0.25">
      <c r="B5332" s="98"/>
      <c r="F5332">
        <v>5328</v>
      </c>
      <c r="G5332" s="109">
        <f t="shared" ca="1" si="92"/>
        <v>1.6800490546550369E-2</v>
      </c>
    </row>
    <row r="5333" spans="2:7" x14ac:dyDescent="0.25">
      <c r="B5333" s="98"/>
      <c r="F5333">
        <v>5329</v>
      </c>
      <c r="G5333" s="109">
        <f t="shared" ca="1" si="92"/>
        <v>6.283373348117631E-2</v>
      </c>
    </row>
    <row r="5334" spans="2:7" x14ac:dyDescent="0.25">
      <c r="B5334" s="98"/>
      <c r="F5334">
        <v>5330</v>
      </c>
      <c r="G5334" s="109">
        <f t="shared" ca="1" si="92"/>
        <v>0.11008514307258402</v>
      </c>
    </row>
    <row r="5335" spans="2:7" x14ac:dyDescent="0.25">
      <c r="B5335" s="98"/>
      <c r="F5335">
        <v>5331</v>
      </c>
      <c r="G5335" s="109">
        <f t="shared" ca="1" si="92"/>
        <v>-2.5433927361893788E-2</v>
      </c>
    </row>
    <row r="5336" spans="2:7" x14ac:dyDescent="0.25">
      <c r="B5336" s="98"/>
      <c r="F5336">
        <v>5332</v>
      </c>
      <c r="G5336" s="109">
        <f t="shared" ca="1" si="92"/>
        <v>0.24271723465742667</v>
      </c>
    </row>
    <row r="5337" spans="2:7" x14ac:dyDescent="0.25">
      <c r="B5337" s="98"/>
      <c r="F5337">
        <v>5333</v>
      </c>
      <c r="G5337" s="109">
        <f t="shared" ca="1" si="92"/>
        <v>0.17738567163326535</v>
      </c>
    </row>
    <row r="5338" spans="2:7" x14ac:dyDescent="0.25">
      <c r="B5338" s="98"/>
      <c r="F5338">
        <v>5334</v>
      </c>
      <c r="G5338" s="109">
        <f t="shared" ca="1" si="92"/>
        <v>5.139609171452638E-2</v>
      </c>
    </row>
    <row r="5339" spans="2:7" x14ac:dyDescent="0.25">
      <c r="B5339" s="98"/>
      <c r="F5339">
        <v>5335</v>
      </c>
      <c r="G5339" s="109">
        <f t="shared" ca="1" si="92"/>
        <v>-7.7360200377029134E-3</v>
      </c>
    </row>
    <row r="5340" spans="2:7" x14ac:dyDescent="0.25">
      <c r="B5340" s="98"/>
      <c r="F5340">
        <v>5336</v>
      </c>
      <c r="G5340" s="109">
        <f t="shared" ca="1" si="92"/>
        <v>9.2876596503949624E-2</v>
      </c>
    </row>
    <row r="5341" spans="2:7" x14ac:dyDescent="0.25">
      <c r="B5341" s="98"/>
      <c r="F5341">
        <v>5337</v>
      </c>
      <c r="G5341" s="109">
        <f t="shared" ca="1" si="92"/>
        <v>6.2436059435667324E-2</v>
      </c>
    </row>
    <row r="5342" spans="2:7" x14ac:dyDescent="0.25">
      <c r="B5342" s="98"/>
      <c r="F5342">
        <v>5338</v>
      </c>
      <c r="G5342" s="109">
        <f t="shared" ca="1" si="92"/>
        <v>0.19481119796304447</v>
      </c>
    </row>
    <row r="5343" spans="2:7" x14ac:dyDescent="0.25">
      <c r="B5343" s="98"/>
      <c r="F5343">
        <v>5339</v>
      </c>
      <c r="G5343" s="109">
        <f t="shared" ca="1" si="92"/>
        <v>3.638397069395672E-2</v>
      </c>
    </row>
    <row r="5344" spans="2:7" x14ac:dyDescent="0.25">
      <c r="B5344" s="98"/>
      <c r="F5344">
        <v>5340</v>
      </c>
      <c r="G5344" s="109">
        <f t="shared" ca="1" si="92"/>
        <v>0.19971169973226788</v>
      </c>
    </row>
    <row r="5345" spans="2:7" x14ac:dyDescent="0.25">
      <c r="B5345" s="98"/>
      <c r="F5345">
        <v>5341</v>
      </c>
      <c r="G5345" s="109">
        <f t="shared" ca="1" si="92"/>
        <v>-0.12132850186281334</v>
      </c>
    </row>
    <row r="5346" spans="2:7" x14ac:dyDescent="0.25">
      <c r="B5346" s="98"/>
      <c r="F5346">
        <v>5342</v>
      </c>
      <c r="G5346" s="109">
        <f t="shared" ca="1" si="92"/>
        <v>0.21165426327209419</v>
      </c>
    </row>
    <row r="5347" spans="2:7" x14ac:dyDescent="0.25">
      <c r="B5347" s="98"/>
      <c r="F5347">
        <v>5343</v>
      </c>
      <c r="G5347" s="109">
        <f t="shared" ca="1" si="92"/>
        <v>0.19054818848025762</v>
      </c>
    </row>
    <row r="5348" spans="2:7" x14ac:dyDescent="0.25">
      <c r="B5348" s="98"/>
      <c r="F5348">
        <v>5344</v>
      </c>
      <c r="G5348" s="109">
        <f t="shared" ca="1" si="92"/>
        <v>0.25331656767584881</v>
      </c>
    </row>
    <row r="5349" spans="2:7" x14ac:dyDescent="0.25">
      <c r="B5349" s="98"/>
      <c r="F5349">
        <v>5345</v>
      </c>
      <c r="G5349" s="109">
        <f t="shared" ca="1" si="92"/>
        <v>0.18332594519384166</v>
      </c>
    </row>
    <row r="5350" spans="2:7" x14ac:dyDescent="0.25">
      <c r="B5350" s="98"/>
      <c r="F5350">
        <v>5346</v>
      </c>
      <c r="G5350" s="109">
        <f t="shared" ca="1" si="92"/>
        <v>-6.045911176393548E-2</v>
      </c>
    </row>
    <row r="5351" spans="2:7" x14ac:dyDescent="0.25">
      <c r="B5351" s="98"/>
      <c r="F5351">
        <v>5347</v>
      </c>
      <c r="G5351" s="109">
        <f t="shared" ca="1" si="92"/>
        <v>1.4691061954400675E-2</v>
      </c>
    </row>
    <row r="5352" spans="2:7" x14ac:dyDescent="0.25">
      <c r="B5352" s="98"/>
      <c r="F5352">
        <v>5348</v>
      </c>
      <c r="G5352" s="109">
        <f t="shared" ca="1" si="92"/>
        <v>-4.2882361713790326E-2</v>
      </c>
    </row>
    <row r="5353" spans="2:7" x14ac:dyDescent="0.25">
      <c r="B5353" s="98"/>
      <c r="F5353">
        <v>5349</v>
      </c>
      <c r="G5353" s="109">
        <f t="shared" ca="1" si="92"/>
        <v>0.17002834910076464</v>
      </c>
    </row>
    <row r="5354" spans="2:7" x14ac:dyDescent="0.25">
      <c r="B5354" s="98"/>
      <c r="F5354">
        <v>5350</v>
      </c>
      <c r="G5354" s="109">
        <f t="shared" ca="1" si="92"/>
        <v>-0.11296962362533185</v>
      </c>
    </row>
    <row r="5355" spans="2:7" x14ac:dyDescent="0.25">
      <c r="B5355" s="98"/>
      <c r="F5355">
        <v>5351</v>
      </c>
      <c r="G5355" s="109">
        <f t="shared" ca="1" si="92"/>
        <v>4.899913547677312E-4</v>
      </c>
    </row>
    <row r="5356" spans="2:7" x14ac:dyDescent="0.25">
      <c r="B5356" s="98"/>
      <c r="F5356">
        <v>5352</v>
      </c>
      <c r="G5356" s="109">
        <f t="shared" ca="1" si="92"/>
        <v>-7.584156610717499E-2</v>
      </c>
    </row>
    <row r="5357" spans="2:7" x14ac:dyDescent="0.25">
      <c r="B5357" s="98"/>
      <c r="F5357">
        <v>5353</v>
      </c>
      <c r="G5357" s="109">
        <f t="shared" ca="1" si="92"/>
        <v>4.119619374421693E-3</v>
      </c>
    </row>
    <row r="5358" spans="2:7" x14ac:dyDescent="0.25">
      <c r="B5358" s="98"/>
      <c r="F5358">
        <v>5354</v>
      </c>
      <c r="G5358" s="109">
        <f t="shared" ca="1" si="92"/>
        <v>3.2235625122599608E-2</v>
      </c>
    </row>
    <row r="5359" spans="2:7" x14ac:dyDescent="0.25">
      <c r="B5359" s="98"/>
      <c r="F5359">
        <v>5355</v>
      </c>
      <c r="G5359" s="109">
        <f t="shared" ca="1" si="92"/>
        <v>1.4568520779723804E-2</v>
      </c>
    </row>
    <row r="5360" spans="2:7" x14ac:dyDescent="0.25">
      <c r="B5360" s="98"/>
      <c r="F5360">
        <v>5356</v>
      </c>
      <c r="G5360" s="109">
        <f t="shared" ca="1" si="92"/>
        <v>0.13211472372953009</v>
      </c>
    </row>
    <row r="5361" spans="2:7" x14ac:dyDescent="0.25">
      <c r="B5361" s="98"/>
      <c r="F5361">
        <v>5357</v>
      </c>
      <c r="G5361" s="109">
        <f t="shared" ca="1" si="92"/>
        <v>2.7821669444668566E-2</v>
      </c>
    </row>
    <row r="5362" spans="2:7" x14ac:dyDescent="0.25">
      <c r="B5362" s="98"/>
      <c r="F5362">
        <v>5358</v>
      </c>
      <c r="G5362" s="109">
        <f t="shared" ca="1" si="92"/>
        <v>3.4020808865356494E-2</v>
      </c>
    </row>
    <row r="5363" spans="2:7" x14ac:dyDescent="0.25">
      <c r="B5363" s="98"/>
      <c r="F5363">
        <v>5359</v>
      </c>
      <c r="G5363" s="109">
        <f t="shared" ca="1" si="92"/>
        <v>2.1451615252099234E-2</v>
      </c>
    </row>
    <row r="5364" spans="2:7" x14ac:dyDescent="0.25">
      <c r="B5364" s="98"/>
      <c r="F5364">
        <v>5360</v>
      </c>
      <c r="G5364" s="109">
        <f t="shared" ca="1" si="92"/>
        <v>-0.25009511256241462</v>
      </c>
    </row>
    <row r="5365" spans="2:7" x14ac:dyDescent="0.25">
      <c r="B5365" s="98"/>
      <c r="F5365">
        <v>5361</v>
      </c>
      <c r="G5365" s="109">
        <f t="shared" ca="1" si="92"/>
        <v>0.14060440302400615</v>
      </c>
    </row>
    <row r="5366" spans="2:7" x14ac:dyDescent="0.25">
      <c r="B5366" s="98"/>
      <c r="F5366">
        <v>5362</v>
      </c>
      <c r="G5366" s="109">
        <f t="shared" ca="1" si="92"/>
        <v>-0.23656654862149806</v>
      </c>
    </row>
    <row r="5367" spans="2:7" x14ac:dyDescent="0.25">
      <c r="B5367" s="98"/>
      <c r="F5367">
        <v>5363</v>
      </c>
      <c r="G5367" s="109">
        <f t="shared" ca="1" si="92"/>
        <v>0.20597175301960496</v>
      </c>
    </row>
    <row r="5368" spans="2:7" x14ac:dyDescent="0.25">
      <c r="B5368" s="98"/>
      <c r="F5368">
        <v>5364</v>
      </c>
      <c r="G5368" s="109">
        <f t="shared" ca="1" si="92"/>
        <v>1.0928987861993276E-2</v>
      </c>
    </row>
    <row r="5369" spans="2:7" x14ac:dyDescent="0.25">
      <c r="B5369" s="98"/>
      <c r="F5369">
        <v>5365</v>
      </c>
      <c r="G5369" s="109">
        <f t="shared" ca="1" si="92"/>
        <v>3.0665623594849704E-2</v>
      </c>
    </row>
    <row r="5370" spans="2:7" x14ac:dyDescent="0.25">
      <c r="B5370" s="98"/>
      <c r="F5370">
        <v>5366</v>
      </c>
      <c r="G5370" s="109">
        <f t="shared" ca="1" si="92"/>
        <v>-7.2745350043363799E-2</v>
      </c>
    </row>
    <row r="5371" spans="2:7" x14ac:dyDescent="0.25">
      <c r="B5371" s="98"/>
      <c r="F5371">
        <v>5367</v>
      </c>
      <c r="G5371" s="109">
        <f t="shared" ca="1" si="92"/>
        <v>-4.7525075573086106E-2</v>
      </c>
    </row>
    <row r="5372" spans="2:7" x14ac:dyDescent="0.25">
      <c r="B5372" s="98"/>
      <c r="F5372">
        <v>5368</v>
      </c>
      <c r="G5372" s="109">
        <f t="shared" ca="1" si="92"/>
        <v>-8.7660476777762883E-2</v>
      </c>
    </row>
    <row r="5373" spans="2:7" x14ac:dyDescent="0.25">
      <c r="B5373" s="98"/>
      <c r="F5373">
        <v>5369</v>
      </c>
      <c r="G5373" s="109">
        <f t="shared" ca="1" si="92"/>
        <v>2.9566773913550934E-2</v>
      </c>
    </row>
    <row r="5374" spans="2:7" x14ac:dyDescent="0.25">
      <c r="B5374" s="98"/>
      <c r="F5374">
        <v>5370</v>
      </c>
      <c r="G5374" s="109">
        <f t="shared" ca="1" si="92"/>
        <v>-4.2789192269148263E-2</v>
      </c>
    </row>
    <row r="5375" spans="2:7" x14ac:dyDescent="0.25">
      <c r="B5375" s="98"/>
      <c r="F5375">
        <v>5371</v>
      </c>
      <c r="G5375" s="109">
        <f t="shared" ca="1" si="92"/>
        <v>0.16411306836171982</v>
      </c>
    </row>
    <row r="5376" spans="2:7" x14ac:dyDescent="0.25">
      <c r="B5376" s="98"/>
      <c r="F5376">
        <v>5372</v>
      </c>
      <c r="G5376" s="109">
        <f t="shared" ca="1" si="92"/>
        <v>-8.3558377601037195E-2</v>
      </c>
    </row>
    <row r="5377" spans="2:7" x14ac:dyDescent="0.25">
      <c r="B5377" s="98"/>
      <c r="F5377">
        <v>5373</v>
      </c>
      <c r="G5377" s="109">
        <f t="shared" ca="1" si="92"/>
        <v>0.15484207049208826</v>
      </c>
    </row>
    <row r="5378" spans="2:7" x14ac:dyDescent="0.25">
      <c r="B5378" s="98"/>
      <c r="F5378">
        <v>5374</v>
      </c>
      <c r="G5378" s="109">
        <f t="shared" ca="1" si="92"/>
        <v>0.33772662167250767</v>
      </c>
    </row>
    <row r="5379" spans="2:7" x14ac:dyDescent="0.25">
      <c r="B5379" s="98"/>
      <c r="F5379">
        <v>5375</v>
      </c>
      <c r="G5379" s="109">
        <f t="shared" ca="1" si="92"/>
        <v>3.5880256188497307E-2</v>
      </c>
    </row>
    <row r="5380" spans="2:7" x14ac:dyDescent="0.25">
      <c r="B5380" s="98"/>
      <c r="F5380">
        <v>5376</v>
      </c>
      <c r="G5380" s="109">
        <f t="shared" ca="1" si="92"/>
        <v>-0.10305470035041557</v>
      </c>
    </row>
    <row r="5381" spans="2:7" x14ac:dyDescent="0.25">
      <c r="B5381" s="98"/>
      <c r="F5381">
        <v>5377</v>
      </c>
      <c r="G5381" s="109">
        <f t="shared" ca="1" si="92"/>
        <v>-3.3822485948202807E-2</v>
      </c>
    </row>
    <row r="5382" spans="2:7" x14ac:dyDescent="0.25">
      <c r="B5382" s="98"/>
      <c r="F5382">
        <v>5378</v>
      </c>
      <c r="G5382" s="109">
        <f t="shared" ref="G5382:G5445" ca="1" si="93">_xlfn.NORM.INV(RAND(),$M$5,$M$6)</f>
        <v>8.8247999084298465E-2</v>
      </c>
    </row>
    <row r="5383" spans="2:7" x14ac:dyDescent="0.25">
      <c r="B5383" s="98"/>
      <c r="F5383">
        <v>5379</v>
      </c>
      <c r="G5383" s="109">
        <f t="shared" ca="1" si="93"/>
        <v>-3.0282063546351864E-2</v>
      </c>
    </row>
    <row r="5384" spans="2:7" x14ac:dyDescent="0.25">
      <c r="B5384" s="98"/>
      <c r="F5384">
        <v>5380</v>
      </c>
      <c r="G5384" s="109">
        <f t="shared" ca="1" si="93"/>
        <v>-3.7350671041925881E-2</v>
      </c>
    </row>
    <row r="5385" spans="2:7" x14ac:dyDescent="0.25">
      <c r="B5385" s="98"/>
      <c r="F5385">
        <v>5381</v>
      </c>
      <c r="G5385" s="109">
        <f t="shared" ca="1" si="93"/>
        <v>8.6863176263227815E-2</v>
      </c>
    </row>
    <row r="5386" spans="2:7" x14ac:dyDescent="0.25">
      <c r="B5386" s="98"/>
      <c r="F5386">
        <v>5382</v>
      </c>
      <c r="G5386" s="109">
        <f t="shared" ca="1" si="93"/>
        <v>0.13320478606899744</v>
      </c>
    </row>
    <row r="5387" spans="2:7" x14ac:dyDescent="0.25">
      <c r="B5387" s="98"/>
      <c r="F5387">
        <v>5383</v>
      </c>
      <c r="G5387" s="109">
        <f t="shared" ca="1" si="93"/>
        <v>-3.9133023878806628E-2</v>
      </c>
    </row>
    <row r="5388" spans="2:7" x14ac:dyDescent="0.25">
      <c r="B5388" s="98"/>
      <c r="F5388">
        <v>5384</v>
      </c>
      <c r="G5388" s="109">
        <f t="shared" ca="1" si="93"/>
        <v>0.13872521039442975</v>
      </c>
    </row>
    <row r="5389" spans="2:7" x14ac:dyDescent="0.25">
      <c r="B5389" s="98"/>
      <c r="F5389">
        <v>5385</v>
      </c>
      <c r="G5389" s="109">
        <f t="shared" ca="1" si="93"/>
        <v>-1.2358899214590872E-2</v>
      </c>
    </row>
    <row r="5390" spans="2:7" x14ac:dyDescent="0.25">
      <c r="B5390" s="98"/>
      <c r="F5390">
        <v>5386</v>
      </c>
      <c r="G5390" s="109">
        <f t="shared" ca="1" si="93"/>
        <v>-2.1929538400262932E-2</v>
      </c>
    </row>
    <row r="5391" spans="2:7" x14ac:dyDescent="0.25">
      <c r="B5391" s="98"/>
      <c r="F5391">
        <v>5387</v>
      </c>
      <c r="G5391" s="109">
        <f t="shared" ca="1" si="93"/>
        <v>0.14799088679781627</v>
      </c>
    </row>
    <row r="5392" spans="2:7" x14ac:dyDescent="0.25">
      <c r="B5392" s="98"/>
      <c r="F5392">
        <v>5388</v>
      </c>
      <c r="G5392" s="109">
        <f t="shared" ca="1" si="93"/>
        <v>3.8222593282206022E-2</v>
      </c>
    </row>
    <row r="5393" spans="2:7" x14ac:dyDescent="0.25">
      <c r="B5393" s="98"/>
      <c r="F5393">
        <v>5389</v>
      </c>
      <c r="G5393" s="109">
        <f t="shared" ca="1" si="93"/>
        <v>-0.15099196961957551</v>
      </c>
    </row>
    <row r="5394" spans="2:7" x14ac:dyDescent="0.25">
      <c r="B5394" s="98"/>
      <c r="F5394">
        <v>5390</v>
      </c>
      <c r="G5394" s="109">
        <f t="shared" ca="1" si="93"/>
        <v>-1.6994031417974384E-2</v>
      </c>
    </row>
    <row r="5395" spans="2:7" x14ac:dyDescent="0.25">
      <c r="B5395" s="98"/>
      <c r="F5395">
        <v>5391</v>
      </c>
      <c r="G5395" s="109">
        <f t="shared" ca="1" si="93"/>
        <v>-0.12051388596648448</v>
      </c>
    </row>
    <row r="5396" spans="2:7" x14ac:dyDescent="0.25">
      <c r="B5396" s="98"/>
      <c r="F5396">
        <v>5392</v>
      </c>
      <c r="G5396" s="109">
        <f t="shared" ca="1" si="93"/>
        <v>7.3067287836551253E-3</v>
      </c>
    </row>
    <row r="5397" spans="2:7" x14ac:dyDescent="0.25">
      <c r="B5397" s="98"/>
      <c r="F5397">
        <v>5393</v>
      </c>
      <c r="G5397" s="109">
        <f t="shared" ca="1" si="93"/>
        <v>5.368299092246314E-2</v>
      </c>
    </row>
    <row r="5398" spans="2:7" x14ac:dyDescent="0.25">
      <c r="B5398" s="98"/>
      <c r="F5398">
        <v>5394</v>
      </c>
      <c r="G5398" s="109">
        <f t="shared" ca="1" si="93"/>
        <v>2.681476389076571E-2</v>
      </c>
    </row>
    <row r="5399" spans="2:7" x14ac:dyDescent="0.25">
      <c r="B5399" s="98"/>
      <c r="F5399">
        <v>5395</v>
      </c>
      <c r="G5399" s="109">
        <f t="shared" ca="1" si="93"/>
        <v>0.17634948865061023</v>
      </c>
    </row>
    <row r="5400" spans="2:7" x14ac:dyDescent="0.25">
      <c r="B5400" s="98"/>
      <c r="F5400">
        <v>5396</v>
      </c>
      <c r="G5400" s="109">
        <f t="shared" ca="1" si="93"/>
        <v>0.17420886066635199</v>
      </c>
    </row>
    <row r="5401" spans="2:7" x14ac:dyDescent="0.25">
      <c r="B5401" s="98"/>
      <c r="F5401">
        <v>5397</v>
      </c>
      <c r="G5401" s="109">
        <f t="shared" ca="1" si="93"/>
        <v>0.20561022993079375</v>
      </c>
    </row>
    <row r="5402" spans="2:7" x14ac:dyDescent="0.25">
      <c r="B5402" s="98"/>
      <c r="F5402">
        <v>5398</v>
      </c>
      <c r="G5402" s="109">
        <f t="shared" ca="1" si="93"/>
        <v>1.264713602440086E-2</v>
      </c>
    </row>
    <row r="5403" spans="2:7" x14ac:dyDescent="0.25">
      <c r="B5403" s="98"/>
      <c r="F5403">
        <v>5399</v>
      </c>
      <c r="G5403" s="109">
        <f t="shared" ca="1" si="93"/>
        <v>-3.3361559373747754E-3</v>
      </c>
    </row>
    <row r="5404" spans="2:7" x14ac:dyDescent="0.25">
      <c r="B5404" s="98"/>
      <c r="F5404">
        <v>5400</v>
      </c>
      <c r="G5404" s="109">
        <f t="shared" ca="1" si="93"/>
        <v>0.18969629902007107</v>
      </c>
    </row>
    <row r="5405" spans="2:7" x14ac:dyDescent="0.25">
      <c r="B5405" s="98"/>
      <c r="F5405">
        <v>5401</v>
      </c>
      <c r="G5405" s="109">
        <f t="shared" ca="1" si="93"/>
        <v>-0.14649464696597175</v>
      </c>
    </row>
    <row r="5406" spans="2:7" x14ac:dyDescent="0.25">
      <c r="B5406" s="98"/>
      <c r="F5406">
        <v>5402</v>
      </c>
      <c r="G5406" s="109">
        <f t="shared" ca="1" si="93"/>
        <v>-8.8007819267093848E-2</v>
      </c>
    </row>
    <row r="5407" spans="2:7" x14ac:dyDescent="0.25">
      <c r="B5407" s="98"/>
      <c r="F5407">
        <v>5403</v>
      </c>
      <c r="G5407" s="109">
        <f t="shared" ca="1" si="93"/>
        <v>0.17516457360252402</v>
      </c>
    </row>
    <row r="5408" spans="2:7" x14ac:dyDescent="0.25">
      <c r="B5408" s="98"/>
      <c r="F5408">
        <v>5404</v>
      </c>
      <c r="G5408" s="109">
        <f t="shared" ca="1" si="93"/>
        <v>0.10992989494233309</v>
      </c>
    </row>
    <row r="5409" spans="2:7" x14ac:dyDescent="0.25">
      <c r="B5409" s="98"/>
      <c r="F5409">
        <v>5405</v>
      </c>
      <c r="G5409" s="109">
        <f t="shared" ca="1" si="93"/>
        <v>8.9506457605116968E-2</v>
      </c>
    </row>
    <row r="5410" spans="2:7" x14ac:dyDescent="0.25">
      <c r="B5410" s="98"/>
      <c r="F5410">
        <v>5406</v>
      </c>
      <c r="G5410" s="109">
        <f t="shared" ca="1" si="93"/>
        <v>-5.817609662394331E-2</v>
      </c>
    </row>
    <row r="5411" spans="2:7" x14ac:dyDescent="0.25">
      <c r="B5411" s="98"/>
      <c r="F5411">
        <v>5407</v>
      </c>
      <c r="G5411" s="109">
        <f t="shared" ca="1" si="93"/>
        <v>8.8203082735390348E-2</v>
      </c>
    </row>
    <row r="5412" spans="2:7" x14ac:dyDescent="0.25">
      <c r="B5412" s="98"/>
      <c r="F5412">
        <v>5408</v>
      </c>
      <c r="G5412" s="109">
        <f t="shared" ca="1" si="93"/>
        <v>0.10502667500706905</v>
      </c>
    </row>
    <row r="5413" spans="2:7" x14ac:dyDescent="0.25">
      <c r="B5413" s="98"/>
      <c r="F5413">
        <v>5409</v>
      </c>
      <c r="G5413" s="109">
        <f t="shared" ca="1" si="93"/>
        <v>7.9344311917969257E-2</v>
      </c>
    </row>
    <row r="5414" spans="2:7" x14ac:dyDescent="0.25">
      <c r="B5414" s="98"/>
      <c r="F5414">
        <v>5410</v>
      </c>
      <c r="G5414" s="109">
        <f t="shared" ca="1" si="93"/>
        <v>-7.0782483247302894E-2</v>
      </c>
    </row>
    <row r="5415" spans="2:7" x14ac:dyDescent="0.25">
      <c r="B5415" s="98"/>
      <c r="F5415">
        <v>5411</v>
      </c>
      <c r="G5415" s="109">
        <f t="shared" ca="1" si="93"/>
        <v>8.0426400193205877E-2</v>
      </c>
    </row>
    <row r="5416" spans="2:7" x14ac:dyDescent="0.25">
      <c r="B5416" s="98"/>
      <c r="F5416">
        <v>5412</v>
      </c>
      <c r="G5416" s="109">
        <f t="shared" ca="1" si="93"/>
        <v>7.7376960076946194E-2</v>
      </c>
    </row>
    <row r="5417" spans="2:7" x14ac:dyDescent="0.25">
      <c r="B5417" s="98"/>
      <c r="F5417">
        <v>5413</v>
      </c>
      <c r="G5417" s="109">
        <f t="shared" ca="1" si="93"/>
        <v>4.6492925639242372E-2</v>
      </c>
    </row>
    <row r="5418" spans="2:7" x14ac:dyDescent="0.25">
      <c r="B5418" s="98"/>
      <c r="F5418">
        <v>5414</v>
      </c>
      <c r="G5418" s="109">
        <f t="shared" ca="1" si="93"/>
        <v>0.21574891443086974</v>
      </c>
    </row>
    <row r="5419" spans="2:7" x14ac:dyDescent="0.25">
      <c r="B5419" s="98"/>
      <c r="F5419">
        <v>5415</v>
      </c>
      <c r="G5419" s="109">
        <f t="shared" ca="1" si="93"/>
        <v>0.13111779324112427</v>
      </c>
    </row>
    <row r="5420" spans="2:7" x14ac:dyDescent="0.25">
      <c r="B5420" s="98"/>
      <c r="F5420">
        <v>5416</v>
      </c>
      <c r="G5420" s="109">
        <f t="shared" ca="1" si="93"/>
        <v>6.4626667958708639E-2</v>
      </c>
    </row>
    <row r="5421" spans="2:7" x14ac:dyDescent="0.25">
      <c r="B5421" s="98"/>
      <c r="F5421">
        <v>5417</v>
      </c>
      <c r="G5421" s="109">
        <f t="shared" ca="1" si="93"/>
        <v>0.16866650682624224</v>
      </c>
    </row>
    <row r="5422" spans="2:7" x14ac:dyDescent="0.25">
      <c r="B5422" s="98"/>
      <c r="F5422">
        <v>5418</v>
      </c>
      <c r="G5422" s="109">
        <f t="shared" ca="1" si="93"/>
        <v>-3.861463208373879E-2</v>
      </c>
    </row>
    <row r="5423" spans="2:7" x14ac:dyDescent="0.25">
      <c r="B5423" s="98"/>
      <c r="F5423">
        <v>5419</v>
      </c>
      <c r="G5423" s="109">
        <f t="shared" ca="1" si="93"/>
        <v>-3.3218244660817825E-2</v>
      </c>
    </row>
    <row r="5424" spans="2:7" x14ac:dyDescent="0.25">
      <c r="B5424" s="98"/>
      <c r="F5424">
        <v>5420</v>
      </c>
      <c r="G5424" s="109">
        <f t="shared" ca="1" si="93"/>
        <v>-0.13638748092427599</v>
      </c>
    </row>
    <row r="5425" spans="2:7" x14ac:dyDescent="0.25">
      <c r="B5425" s="98"/>
      <c r="F5425">
        <v>5421</v>
      </c>
      <c r="G5425" s="109">
        <f t="shared" ca="1" si="93"/>
        <v>-0.14683620605355496</v>
      </c>
    </row>
    <row r="5426" spans="2:7" x14ac:dyDescent="0.25">
      <c r="B5426" s="98"/>
      <c r="F5426">
        <v>5422</v>
      </c>
      <c r="G5426" s="109">
        <f t="shared" ca="1" si="93"/>
        <v>0.1520056498394855</v>
      </c>
    </row>
    <row r="5427" spans="2:7" x14ac:dyDescent="0.25">
      <c r="B5427" s="98"/>
      <c r="F5427">
        <v>5423</v>
      </c>
      <c r="G5427" s="109">
        <f t="shared" ca="1" si="93"/>
        <v>0.15862829659884581</v>
      </c>
    </row>
    <row r="5428" spans="2:7" x14ac:dyDescent="0.25">
      <c r="B5428" s="98"/>
      <c r="F5428">
        <v>5424</v>
      </c>
      <c r="G5428" s="109">
        <f t="shared" ca="1" si="93"/>
        <v>3.886995350348723E-2</v>
      </c>
    </row>
    <row r="5429" spans="2:7" x14ac:dyDescent="0.25">
      <c r="B5429" s="98"/>
      <c r="F5429">
        <v>5425</v>
      </c>
      <c r="G5429" s="109">
        <f t="shared" ca="1" si="93"/>
        <v>2.282598843310334E-2</v>
      </c>
    </row>
    <row r="5430" spans="2:7" x14ac:dyDescent="0.25">
      <c r="B5430" s="98"/>
      <c r="F5430">
        <v>5426</v>
      </c>
      <c r="G5430" s="109">
        <f t="shared" ca="1" si="93"/>
        <v>9.9204179154939634E-2</v>
      </c>
    </row>
    <row r="5431" spans="2:7" x14ac:dyDescent="0.25">
      <c r="B5431" s="98"/>
      <c r="F5431">
        <v>5427</v>
      </c>
      <c r="G5431" s="109">
        <f t="shared" ca="1" si="93"/>
        <v>-7.0223917845281494E-2</v>
      </c>
    </row>
    <row r="5432" spans="2:7" x14ac:dyDescent="0.25">
      <c r="B5432" s="98"/>
      <c r="F5432">
        <v>5428</v>
      </c>
      <c r="G5432" s="109">
        <f t="shared" ca="1" si="93"/>
        <v>-6.9687730757701252E-2</v>
      </c>
    </row>
    <row r="5433" spans="2:7" x14ac:dyDescent="0.25">
      <c r="B5433" s="98"/>
      <c r="F5433">
        <v>5429</v>
      </c>
      <c r="G5433" s="109">
        <f t="shared" ca="1" si="93"/>
        <v>9.5833930874515694E-3</v>
      </c>
    </row>
    <row r="5434" spans="2:7" x14ac:dyDescent="0.25">
      <c r="B5434" s="98"/>
      <c r="F5434">
        <v>5430</v>
      </c>
      <c r="G5434" s="109">
        <f t="shared" ca="1" si="93"/>
        <v>0.18214229708779889</v>
      </c>
    </row>
    <row r="5435" spans="2:7" x14ac:dyDescent="0.25">
      <c r="B5435" s="98"/>
      <c r="F5435">
        <v>5431</v>
      </c>
      <c r="G5435" s="109">
        <f t="shared" ca="1" si="93"/>
        <v>2.4652685493122779E-2</v>
      </c>
    </row>
    <row r="5436" spans="2:7" x14ac:dyDescent="0.25">
      <c r="B5436" s="98"/>
      <c r="F5436">
        <v>5432</v>
      </c>
      <c r="G5436" s="109">
        <f t="shared" ca="1" si="93"/>
        <v>4.1621278174437143E-2</v>
      </c>
    </row>
    <row r="5437" spans="2:7" x14ac:dyDescent="0.25">
      <c r="B5437" s="98"/>
      <c r="F5437">
        <v>5433</v>
      </c>
      <c r="G5437" s="109">
        <f t="shared" ca="1" si="93"/>
        <v>0.13386156652958298</v>
      </c>
    </row>
    <row r="5438" spans="2:7" x14ac:dyDescent="0.25">
      <c r="B5438" s="98"/>
      <c r="F5438">
        <v>5434</v>
      </c>
      <c r="G5438" s="109">
        <f t="shared" ca="1" si="93"/>
        <v>0.11265393082079204</v>
      </c>
    </row>
    <row r="5439" spans="2:7" x14ac:dyDescent="0.25">
      <c r="B5439" s="98"/>
      <c r="F5439">
        <v>5435</v>
      </c>
      <c r="G5439" s="109">
        <f t="shared" ca="1" si="93"/>
        <v>0.20109848704338723</v>
      </c>
    </row>
    <row r="5440" spans="2:7" x14ac:dyDescent="0.25">
      <c r="B5440" s="98"/>
      <c r="F5440">
        <v>5436</v>
      </c>
      <c r="G5440" s="109">
        <f t="shared" ca="1" si="93"/>
        <v>0.17242797737029308</v>
      </c>
    </row>
    <row r="5441" spans="2:7" x14ac:dyDescent="0.25">
      <c r="B5441" s="98"/>
      <c r="F5441">
        <v>5437</v>
      </c>
      <c r="G5441" s="109">
        <f t="shared" ca="1" si="93"/>
        <v>-0.16933374757858538</v>
      </c>
    </row>
    <row r="5442" spans="2:7" x14ac:dyDescent="0.25">
      <c r="B5442" s="98"/>
      <c r="F5442">
        <v>5438</v>
      </c>
      <c r="G5442" s="109">
        <f t="shared" ca="1" si="93"/>
        <v>1.7893562490166881E-3</v>
      </c>
    </row>
    <row r="5443" spans="2:7" x14ac:dyDescent="0.25">
      <c r="B5443" s="98"/>
      <c r="F5443">
        <v>5439</v>
      </c>
      <c r="G5443" s="109">
        <f t="shared" ca="1" si="93"/>
        <v>-0.26192950866583969</v>
      </c>
    </row>
    <row r="5444" spans="2:7" x14ac:dyDescent="0.25">
      <c r="B5444" s="98"/>
      <c r="F5444">
        <v>5440</v>
      </c>
      <c r="G5444" s="109">
        <f t="shared" ca="1" si="93"/>
        <v>0.17023838292343055</v>
      </c>
    </row>
    <row r="5445" spans="2:7" x14ac:dyDescent="0.25">
      <c r="B5445" s="98"/>
      <c r="F5445">
        <v>5441</v>
      </c>
      <c r="G5445" s="109">
        <f t="shared" ca="1" si="93"/>
        <v>-0.1144794710822256</v>
      </c>
    </row>
    <row r="5446" spans="2:7" x14ac:dyDescent="0.25">
      <c r="B5446" s="98"/>
      <c r="F5446">
        <v>5442</v>
      </c>
      <c r="G5446" s="109">
        <f t="shared" ref="G5446:G5509" ca="1" si="94">_xlfn.NORM.INV(RAND(),$M$5,$M$6)</f>
        <v>9.3670751875900515E-2</v>
      </c>
    </row>
    <row r="5447" spans="2:7" x14ac:dyDescent="0.25">
      <c r="B5447" s="98"/>
      <c r="F5447">
        <v>5443</v>
      </c>
      <c r="G5447" s="109">
        <f t="shared" ca="1" si="94"/>
        <v>0.11784384073679852</v>
      </c>
    </row>
    <row r="5448" spans="2:7" x14ac:dyDescent="0.25">
      <c r="B5448" s="98"/>
      <c r="F5448">
        <v>5444</v>
      </c>
      <c r="G5448" s="109">
        <f t="shared" ca="1" si="94"/>
        <v>0.18165658108117777</v>
      </c>
    </row>
    <row r="5449" spans="2:7" x14ac:dyDescent="0.25">
      <c r="B5449" s="98"/>
      <c r="F5449">
        <v>5445</v>
      </c>
      <c r="G5449" s="109">
        <f t="shared" ca="1" si="94"/>
        <v>0.12316533461721296</v>
      </c>
    </row>
    <row r="5450" spans="2:7" x14ac:dyDescent="0.25">
      <c r="B5450" s="98"/>
      <c r="F5450">
        <v>5446</v>
      </c>
      <c r="G5450" s="109">
        <f t="shared" ca="1" si="94"/>
        <v>-3.0565150273871855E-2</v>
      </c>
    </row>
    <row r="5451" spans="2:7" x14ac:dyDescent="0.25">
      <c r="B5451" s="98"/>
      <c r="F5451">
        <v>5447</v>
      </c>
      <c r="G5451" s="109">
        <f t="shared" ca="1" si="94"/>
        <v>4.8042532736371192E-2</v>
      </c>
    </row>
    <row r="5452" spans="2:7" x14ac:dyDescent="0.25">
      <c r="B5452" s="98"/>
      <c r="F5452">
        <v>5448</v>
      </c>
      <c r="G5452" s="109">
        <f t="shared" ca="1" si="94"/>
        <v>-4.0216366014526619E-2</v>
      </c>
    </row>
    <row r="5453" spans="2:7" x14ac:dyDescent="0.25">
      <c r="B5453" s="98"/>
      <c r="F5453">
        <v>5449</v>
      </c>
      <c r="G5453" s="109">
        <f t="shared" ca="1" si="94"/>
        <v>0.1076707609060753</v>
      </c>
    </row>
    <row r="5454" spans="2:7" x14ac:dyDescent="0.25">
      <c r="B5454" s="98"/>
      <c r="F5454">
        <v>5450</v>
      </c>
      <c r="G5454" s="109">
        <f t="shared" ca="1" si="94"/>
        <v>0.19221324412123542</v>
      </c>
    </row>
    <row r="5455" spans="2:7" x14ac:dyDescent="0.25">
      <c r="B5455" s="98"/>
      <c r="F5455">
        <v>5451</v>
      </c>
      <c r="G5455" s="109">
        <f t="shared" ca="1" si="94"/>
        <v>-0.12911795992777675</v>
      </c>
    </row>
    <row r="5456" spans="2:7" x14ac:dyDescent="0.25">
      <c r="B5456" s="98"/>
      <c r="F5456">
        <v>5452</v>
      </c>
      <c r="G5456" s="109">
        <f t="shared" ca="1" si="94"/>
        <v>-7.7865160662863628E-2</v>
      </c>
    </row>
    <row r="5457" spans="2:7" x14ac:dyDescent="0.25">
      <c r="B5457" s="98"/>
      <c r="F5457">
        <v>5453</v>
      </c>
      <c r="G5457" s="109">
        <f t="shared" ca="1" si="94"/>
        <v>5.1541122535763394E-2</v>
      </c>
    </row>
    <row r="5458" spans="2:7" x14ac:dyDescent="0.25">
      <c r="B5458" s="98"/>
      <c r="F5458">
        <v>5454</v>
      </c>
      <c r="G5458" s="109">
        <f t="shared" ca="1" si="94"/>
        <v>4.8781727113401535E-2</v>
      </c>
    </row>
    <row r="5459" spans="2:7" x14ac:dyDescent="0.25">
      <c r="B5459" s="98"/>
      <c r="F5459">
        <v>5455</v>
      </c>
      <c r="G5459" s="109">
        <f t="shared" ca="1" si="94"/>
        <v>8.0301049918268586E-2</v>
      </c>
    </row>
    <row r="5460" spans="2:7" x14ac:dyDescent="0.25">
      <c r="B5460" s="98"/>
      <c r="F5460">
        <v>5456</v>
      </c>
      <c r="G5460" s="109">
        <f t="shared" ca="1" si="94"/>
        <v>-1.2923277027580844E-2</v>
      </c>
    </row>
    <row r="5461" spans="2:7" x14ac:dyDescent="0.25">
      <c r="B5461" s="98"/>
      <c r="F5461">
        <v>5457</v>
      </c>
      <c r="G5461" s="109">
        <f t="shared" ca="1" si="94"/>
        <v>-3.0977067769495825E-2</v>
      </c>
    </row>
    <row r="5462" spans="2:7" x14ac:dyDescent="0.25">
      <c r="B5462" s="98"/>
      <c r="F5462">
        <v>5458</v>
      </c>
      <c r="G5462" s="109">
        <f t="shared" ca="1" si="94"/>
        <v>-9.7782167473050061E-2</v>
      </c>
    </row>
    <row r="5463" spans="2:7" x14ac:dyDescent="0.25">
      <c r="B5463" s="98"/>
      <c r="F5463">
        <v>5459</v>
      </c>
      <c r="G5463" s="109">
        <f t="shared" ca="1" si="94"/>
        <v>6.5914078700585119E-2</v>
      </c>
    </row>
    <row r="5464" spans="2:7" x14ac:dyDescent="0.25">
      <c r="B5464" s="98"/>
      <c r="F5464">
        <v>5460</v>
      </c>
      <c r="G5464" s="109">
        <f t="shared" ca="1" si="94"/>
        <v>0.1504134873463488</v>
      </c>
    </row>
    <row r="5465" spans="2:7" x14ac:dyDescent="0.25">
      <c r="B5465" s="98"/>
      <c r="F5465">
        <v>5461</v>
      </c>
      <c r="G5465" s="109">
        <f t="shared" ca="1" si="94"/>
        <v>-4.1883297177929754E-3</v>
      </c>
    </row>
    <row r="5466" spans="2:7" x14ac:dyDescent="0.25">
      <c r="B5466" s="98"/>
      <c r="F5466">
        <v>5462</v>
      </c>
      <c r="G5466" s="109">
        <f t="shared" ca="1" si="94"/>
        <v>3.4088379694460297E-2</v>
      </c>
    </row>
    <row r="5467" spans="2:7" x14ac:dyDescent="0.25">
      <c r="B5467" s="98"/>
      <c r="F5467">
        <v>5463</v>
      </c>
      <c r="G5467" s="109">
        <f t="shared" ca="1" si="94"/>
        <v>3.1235624119237332E-2</v>
      </c>
    </row>
    <row r="5468" spans="2:7" x14ac:dyDescent="0.25">
      <c r="B5468" s="98"/>
      <c r="F5468">
        <v>5464</v>
      </c>
      <c r="G5468" s="109">
        <f t="shared" ca="1" si="94"/>
        <v>-9.6353840463387005E-2</v>
      </c>
    </row>
    <row r="5469" spans="2:7" x14ac:dyDescent="0.25">
      <c r="B5469" s="98"/>
      <c r="F5469">
        <v>5465</v>
      </c>
      <c r="G5469" s="109">
        <f t="shared" ca="1" si="94"/>
        <v>0.22145761085514931</v>
      </c>
    </row>
    <row r="5470" spans="2:7" x14ac:dyDescent="0.25">
      <c r="B5470" s="98"/>
      <c r="F5470">
        <v>5466</v>
      </c>
      <c r="G5470" s="109">
        <f t="shared" ca="1" si="94"/>
        <v>6.9703308979875894E-2</v>
      </c>
    </row>
    <row r="5471" spans="2:7" x14ac:dyDescent="0.25">
      <c r="B5471" s="98"/>
      <c r="F5471">
        <v>5467</v>
      </c>
      <c r="G5471" s="109">
        <f t="shared" ca="1" si="94"/>
        <v>-0.15456938211223487</v>
      </c>
    </row>
    <row r="5472" spans="2:7" x14ac:dyDescent="0.25">
      <c r="B5472" s="98"/>
      <c r="F5472">
        <v>5468</v>
      </c>
      <c r="G5472" s="109">
        <f t="shared" ca="1" si="94"/>
        <v>6.3827665418354593E-2</v>
      </c>
    </row>
    <row r="5473" spans="2:7" x14ac:dyDescent="0.25">
      <c r="B5473" s="98"/>
      <c r="F5473">
        <v>5469</v>
      </c>
      <c r="G5473" s="109">
        <f t="shared" ca="1" si="94"/>
        <v>0.10787143426220563</v>
      </c>
    </row>
    <row r="5474" spans="2:7" x14ac:dyDescent="0.25">
      <c r="B5474" s="98"/>
      <c r="F5474">
        <v>5470</v>
      </c>
      <c r="G5474" s="109">
        <f t="shared" ca="1" si="94"/>
        <v>0.18686538888326398</v>
      </c>
    </row>
    <row r="5475" spans="2:7" x14ac:dyDescent="0.25">
      <c r="B5475" s="98"/>
      <c r="F5475">
        <v>5471</v>
      </c>
      <c r="G5475" s="109">
        <f t="shared" ca="1" si="94"/>
        <v>-4.1249613681827599E-2</v>
      </c>
    </row>
    <row r="5476" spans="2:7" x14ac:dyDescent="0.25">
      <c r="B5476" s="98"/>
      <c r="F5476">
        <v>5472</v>
      </c>
      <c r="G5476" s="109">
        <f t="shared" ca="1" si="94"/>
        <v>7.5897904389869431E-3</v>
      </c>
    </row>
    <row r="5477" spans="2:7" x14ac:dyDescent="0.25">
      <c r="B5477" s="98"/>
      <c r="F5477">
        <v>5473</v>
      </c>
      <c r="G5477" s="109">
        <f t="shared" ca="1" si="94"/>
        <v>4.7305239203376405E-2</v>
      </c>
    </row>
    <row r="5478" spans="2:7" x14ac:dyDescent="0.25">
      <c r="B5478" s="98"/>
      <c r="F5478">
        <v>5474</v>
      </c>
      <c r="G5478" s="109">
        <f t="shared" ca="1" si="94"/>
        <v>0.24928951483390482</v>
      </c>
    </row>
    <row r="5479" spans="2:7" x14ac:dyDescent="0.25">
      <c r="B5479" s="98"/>
      <c r="F5479">
        <v>5475</v>
      </c>
      <c r="G5479" s="109">
        <f t="shared" ca="1" si="94"/>
        <v>6.0249328943906819E-2</v>
      </c>
    </row>
    <row r="5480" spans="2:7" x14ac:dyDescent="0.25">
      <c r="B5480" s="98"/>
      <c r="F5480">
        <v>5476</v>
      </c>
      <c r="G5480" s="109">
        <f t="shared" ca="1" si="94"/>
        <v>0.19020026331676371</v>
      </c>
    </row>
    <row r="5481" spans="2:7" x14ac:dyDescent="0.25">
      <c r="B5481" s="98"/>
      <c r="F5481">
        <v>5477</v>
      </c>
      <c r="G5481" s="109">
        <f t="shared" ca="1" si="94"/>
        <v>-1.2086283259848764E-2</v>
      </c>
    </row>
    <row r="5482" spans="2:7" x14ac:dyDescent="0.25">
      <c r="B5482" s="98"/>
      <c r="F5482">
        <v>5478</v>
      </c>
      <c r="G5482" s="109">
        <f t="shared" ca="1" si="94"/>
        <v>-0.12630408895758571</v>
      </c>
    </row>
    <row r="5483" spans="2:7" x14ac:dyDescent="0.25">
      <c r="B5483" s="98"/>
      <c r="F5483">
        <v>5479</v>
      </c>
      <c r="G5483" s="109">
        <f t="shared" ca="1" si="94"/>
        <v>-0.27924377678779955</v>
      </c>
    </row>
    <row r="5484" spans="2:7" x14ac:dyDescent="0.25">
      <c r="B5484" s="98"/>
      <c r="F5484">
        <v>5480</v>
      </c>
      <c r="G5484" s="109">
        <f t="shared" ca="1" si="94"/>
        <v>-4.8994888292412428E-2</v>
      </c>
    </row>
    <row r="5485" spans="2:7" x14ac:dyDescent="0.25">
      <c r="B5485" s="98"/>
      <c r="F5485">
        <v>5481</v>
      </c>
      <c r="G5485" s="109">
        <f t="shared" ca="1" si="94"/>
        <v>0.10551763457186114</v>
      </c>
    </row>
    <row r="5486" spans="2:7" x14ac:dyDescent="0.25">
      <c r="B5486" s="98"/>
      <c r="F5486">
        <v>5482</v>
      </c>
      <c r="G5486" s="109">
        <f t="shared" ca="1" si="94"/>
        <v>6.0466231160267517E-3</v>
      </c>
    </row>
    <row r="5487" spans="2:7" x14ac:dyDescent="0.25">
      <c r="B5487" s="98"/>
      <c r="F5487">
        <v>5483</v>
      </c>
      <c r="G5487" s="109">
        <f t="shared" ca="1" si="94"/>
        <v>5.2334640231648175E-2</v>
      </c>
    </row>
    <row r="5488" spans="2:7" x14ac:dyDescent="0.25">
      <c r="B5488" s="98"/>
      <c r="F5488">
        <v>5484</v>
      </c>
      <c r="G5488" s="109">
        <f t="shared" ca="1" si="94"/>
        <v>-4.5891661056048152E-3</v>
      </c>
    </row>
    <row r="5489" spans="2:7" x14ac:dyDescent="0.25">
      <c r="B5489" s="98"/>
      <c r="F5489">
        <v>5485</v>
      </c>
      <c r="G5489" s="109">
        <f t="shared" ca="1" si="94"/>
        <v>-3.9920332161731825E-3</v>
      </c>
    </row>
    <row r="5490" spans="2:7" x14ac:dyDescent="0.25">
      <c r="B5490" s="98"/>
      <c r="F5490">
        <v>5486</v>
      </c>
      <c r="G5490" s="109">
        <f t="shared" ca="1" si="94"/>
        <v>1.4403805351656574E-2</v>
      </c>
    </row>
    <row r="5491" spans="2:7" x14ac:dyDescent="0.25">
      <c r="B5491" s="98"/>
      <c r="F5491">
        <v>5487</v>
      </c>
      <c r="G5491" s="109">
        <f t="shared" ca="1" si="94"/>
        <v>-6.665796906250103E-2</v>
      </c>
    </row>
    <row r="5492" spans="2:7" x14ac:dyDescent="0.25">
      <c r="B5492" s="98"/>
      <c r="F5492">
        <v>5488</v>
      </c>
      <c r="G5492" s="109">
        <f t="shared" ca="1" si="94"/>
        <v>6.6859109010024398E-2</v>
      </c>
    </row>
    <row r="5493" spans="2:7" x14ac:dyDescent="0.25">
      <c r="B5493" s="98"/>
      <c r="F5493">
        <v>5489</v>
      </c>
      <c r="G5493" s="109">
        <f t="shared" ca="1" si="94"/>
        <v>-2.1377006926567868E-2</v>
      </c>
    </row>
    <row r="5494" spans="2:7" x14ac:dyDescent="0.25">
      <c r="B5494" s="98"/>
      <c r="F5494">
        <v>5490</v>
      </c>
      <c r="G5494" s="109">
        <f t="shared" ca="1" si="94"/>
        <v>6.5480841552084529E-2</v>
      </c>
    </row>
    <row r="5495" spans="2:7" x14ac:dyDescent="0.25">
      <c r="B5495" s="98"/>
      <c r="F5495">
        <v>5491</v>
      </c>
      <c r="G5495" s="109">
        <f t="shared" ca="1" si="94"/>
        <v>-0.14245853815775522</v>
      </c>
    </row>
    <row r="5496" spans="2:7" x14ac:dyDescent="0.25">
      <c r="B5496" s="98"/>
      <c r="F5496">
        <v>5492</v>
      </c>
      <c r="G5496" s="109">
        <f t="shared" ca="1" si="94"/>
        <v>6.7699887818790938E-2</v>
      </c>
    </row>
    <row r="5497" spans="2:7" x14ac:dyDescent="0.25">
      <c r="B5497" s="98"/>
      <c r="F5497">
        <v>5493</v>
      </c>
      <c r="G5497" s="109">
        <f t="shared" ca="1" si="94"/>
        <v>3.2896012039256184E-2</v>
      </c>
    </row>
    <row r="5498" spans="2:7" x14ac:dyDescent="0.25">
      <c r="B5498" s="98"/>
      <c r="F5498">
        <v>5494</v>
      </c>
      <c r="G5498" s="109">
        <f t="shared" ca="1" si="94"/>
        <v>8.1339057054756678E-2</v>
      </c>
    </row>
    <row r="5499" spans="2:7" x14ac:dyDescent="0.25">
      <c r="B5499" s="98"/>
      <c r="F5499">
        <v>5495</v>
      </c>
      <c r="G5499" s="109">
        <f t="shared" ca="1" si="94"/>
        <v>0.28646578817755708</v>
      </c>
    </row>
    <row r="5500" spans="2:7" x14ac:dyDescent="0.25">
      <c r="B5500" s="98"/>
      <c r="F5500">
        <v>5496</v>
      </c>
      <c r="G5500" s="109">
        <f t="shared" ca="1" si="94"/>
        <v>-4.1611879526223625E-2</v>
      </c>
    </row>
    <row r="5501" spans="2:7" x14ac:dyDescent="0.25">
      <c r="B5501" s="98"/>
      <c r="F5501">
        <v>5497</v>
      </c>
      <c r="G5501" s="109">
        <f t="shared" ca="1" si="94"/>
        <v>2.0991728680003117E-2</v>
      </c>
    </row>
    <row r="5502" spans="2:7" x14ac:dyDescent="0.25">
      <c r="B5502" s="98"/>
      <c r="F5502">
        <v>5498</v>
      </c>
      <c r="G5502" s="109">
        <f t="shared" ca="1" si="94"/>
        <v>9.9260810632616797E-2</v>
      </c>
    </row>
    <row r="5503" spans="2:7" x14ac:dyDescent="0.25">
      <c r="B5503" s="98"/>
      <c r="F5503">
        <v>5499</v>
      </c>
      <c r="G5503" s="109">
        <f t="shared" ca="1" si="94"/>
        <v>-0.14059900820606974</v>
      </c>
    </row>
    <row r="5504" spans="2:7" x14ac:dyDescent="0.25">
      <c r="B5504" s="98"/>
      <c r="F5504">
        <v>5500</v>
      </c>
      <c r="G5504" s="109">
        <f t="shared" ca="1" si="94"/>
        <v>1.3013751610811461E-2</v>
      </c>
    </row>
    <row r="5505" spans="2:7" x14ac:dyDescent="0.25">
      <c r="B5505" s="98"/>
      <c r="F5505">
        <v>5501</v>
      </c>
      <c r="G5505" s="109">
        <f t="shared" ca="1" si="94"/>
        <v>9.374503657082886E-2</v>
      </c>
    </row>
    <row r="5506" spans="2:7" x14ac:dyDescent="0.25">
      <c r="B5506" s="98"/>
      <c r="F5506">
        <v>5502</v>
      </c>
      <c r="G5506" s="109">
        <f t="shared" ca="1" si="94"/>
        <v>-5.1927599621108572E-2</v>
      </c>
    </row>
    <row r="5507" spans="2:7" x14ac:dyDescent="0.25">
      <c r="B5507" s="98"/>
      <c r="F5507">
        <v>5503</v>
      </c>
      <c r="G5507" s="109">
        <f t="shared" ca="1" si="94"/>
        <v>9.8534660771700283E-2</v>
      </c>
    </row>
    <row r="5508" spans="2:7" x14ac:dyDescent="0.25">
      <c r="B5508" s="98"/>
      <c r="F5508">
        <v>5504</v>
      </c>
      <c r="G5508" s="109">
        <f t="shared" ca="1" si="94"/>
        <v>0.21105877349199104</v>
      </c>
    </row>
    <row r="5509" spans="2:7" x14ac:dyDescent="0.25">
      <c r="B5509" s="98"/>
      <c r="F5509">
        <v>5505</v>
      </c>
      <c r="G5509" s="109">
        <f t="shared" ca="1" si="94"/>
        <v>-4.1275689423365056E-2</v>
      </c>
    </row>
    <row r="5510" spans="2:7" x14ac:dyDescent="0.25">
      <c r="B5510" s="98"/>
      <c r="F5510">
        <v>5506</v>
      </c>
      <c r="G5510" s="109">
        <f t="shared" ref="G5510:G5573" ca="1" si="95">_xlfn.NORM.INV(RAND(),$M$5,$M$6)</f>
        <v>0.14335175550703591</v>
      </c>
    </row>
    <row r="5511" spans="2:7" x14ac:dyDescent="0.25">
      <c r="B5511" s="98"/>
      <c r="F5511">
        <v>5507</v>
      </c>
      <c r="G5511" s="109">
        <f t="shared" ca="1" si="95"/>
        <v>1.619578436528352E-2</v>
      </c>
    </row>
    <row r="5512" spans="2:7" x14ac:dyDescent="0.25">
      <c r="B5512" s="98"/>
      <c r="F5512">
        <v>5508</v>
      </c>
      <c r="G5512" s="109">
        <f t="shared" ca="1" si="95"/>
        <v>0.14208220052366521</v>
      </c>
    </row>
    <row r="5513" spans="2:7" x14ac:dyDescent="0.25">
      <c r="B5513" s="98"/>
      <c r="F5513">
        <v>5509</v>
      </c>
      <c r="G5513" s="109">
        <f t="shared" ca="1" si="95"/>
        <v>-1.8303956686718026E-2</v>
      </c>
    </row>
    <row r="5514" spans="2:7" x14ac:dyDescent="0.25">
      <c r="B5514" s="98"/>
      <c r="F5514">
        <v>5510</v>
      </c>
      <c r="G5514" s="109">
        <f t="shared" ca="1" si="95"/>
        <v>-6.6561450494963606E-3</v>
      </c>
    </row>
    <row r="5515" spans="2:7" x14ac:dyDescent="0.25">
      <c r="B5515" s="98"/>
      <c r="F5515">
        <v>5511</v>
      </c>
      <c r="G5515" s="109">
        <f t="shared" ca="1" si="95"/>
        <v>-0.14804230186826611</v>
      </c>
    </row>
    <row r="5516" spans="2:7" x14ac:dyDescent="0.25">
      <c r="B5516" s="98"/>
      <c r="F5516">
        <v>5512</v>
      </c>
      <c r="G5516" s="109">
        <f t="shared" ca="1" si="95"/>
        <v>0.14188413433520747</v>
      </c>
    </row>
    <row r="5517" spans="2:7" x14ac:dyDescent="0.25">
      <c r="B5517" s="98"/>
      <c r="F5517">
        <v>5513</v>
      </c>
      <c r="G5517" s="109">
        <f t="shared" ca="1" si="95"/>
        <v>9.6751076019786192E-2</v>
      </c>
    </row>
    <row r="5518" spans="2:7" x14ac:dyDescent="0.25">
      <c r="B5518" s="98"/>
      <c r="F5518">
        <v>5514</v>
      </c>
      <c r="G5518" s="109">
        <f t="shared" ca="1" si="95"/>
        <v>6.2640874195911911E-2</v>
      </c>
    </row>
    <row r="5519" spans="2:7" x14ac:dyDescent="0.25">
      <c r="B5519" s="98"/>
      <c r="F5519">
        <v>5515</v>
      </c>
      <c r="G5519" s="109">
        <f t="shared" ca="1" si="95"/>
        <v>5.3487490419105402E-2</v>
      </c>
    </row>
    <row r="5520" spans="2:7" x14ac:dyDescent="0.25">
      <c r="B5520" s="98"/>
      <c r="F5520">
        <v>5516</v>
      </c>
      <c r="G5520" s="109">
        <f t="shared" ca="1" si="95"/>
        <v>6.0537561297758821E-2</v>
      </c>
    </row>
    <row r="5521" spans="2:7" x14ac:dyDescent="0.25">
      <c r="B5521" s="98"/>
      <c r="F5521">
        <v>5517</v>
      </c>
      <c r="G5521" s="109">
        <f t="shared" ca="1" si="95"/>
        <v>-1.8197938487021281E-2</v>
      </c>
    </row>
    <row r="5522" spans="2:7" x14ac:dyDescent="0.25">
      <c r="B5522" s="98"/>
      <c r="F5522">
        <v>5518</v>
      </c>
      <c r="G5522" s="109">
        <f t="shared" ca="1" si="95"/>
        <v>1.160091766829352E-2</v>
      </c>
    </row>
    <row r="5523" spans="2:7" x14ac:dyDescent="0.25">
      <c r="B5523" s="98"/>
      <c r="F5523">
        <v>5519</v>
      </c>
      <c r="G5523" s="109">
        <f t="shared" ca="1" si="95"/>
        <v>4.9776111774248316E-2</v>
      </c>
    </row>
    <row r="5524" spans="2:7" x14ac:dyDescent="0.25">
      <c r="B5524" s="98"/>
      <c r="F5524">
        <v>5520</v>
      </c>
      <c r="G5524" s="109">
        <f t="shared" ca="1" si="95"/>
        <v>4.6030928843714153E-2</v>
      </c>
    </row>
    <row r="5525" spans="2:7" x14ac:dyDescent="0.25">
      <c r="B5525" s="98"/>
      <c r="F5525">
        <v>5521</v>
      </c>
      <c r="G5525" s="109">
        <f t="shared" ca="1" si="95"/>
        <v>0.24467152965448985</v>
      </c>
    </row>
    <row r="5526" spans="2:7" x14ac:dyDescent="0.25">
      <c r="B5526" s="98"/>
      <c r="F5526">
        <v>5522</v>
      </c>
      <c r="G5526" s="109">
        <f t="shared" ca="1" si="95"/>
        <v>0.29478764132713597</v>
      </c>
    </row>
    <row r="5527" spans="2:7" x14ac:dyDescent="0.25">
      <c r="B5527" s="98"/>
      <c r="F5527">
        <v>5523</v>
      </c>
      <c r="G5527" s="109">
        <f t="shared" ca="1" si="95"/>
        <v>-2.5756333609273097E-3</v>
      </c>
    </row>
    <row r="5528" spans="2:7" x14ac:dyDescent="0.25">
      <c r="B5528" s="98"/>
      <c r="F5528">
        <v>5524</v>
      </c>
      <c r="G5528" s="109">
        <f t="shared" ca="1" si="95"/>
        <v>5.5467019083582259E-2</v>
      </c>
    </row>
    <row r="5529" spans="2:7" x14ac:dyDescent="0.25">
      <c r="B5529" s="98"/>
      <c r="F5529">
        <v>5525</v>
      </c>
      <c r="G5529" s="109">
        <f t="shared" ca="1" si="95"/>
        <v>0.29537238253393405</v>
      </c>
    </row>
    <row r="5530" spans="2:7" x14ac:dyDescent="0.25">
      <c r="B5530" s="98"/>
      <c r="F5530">
        <v>5526</v>
      </c>
      <c r="G5530" s="109">
        <f t="shared" ca="1" si="95"/>
        <v>8.9632232044355692E-2</v>
      </c>
    </row>
    <row r="5531" spans="2:7" x14ac:dyDescent="0.25">
      <c r="B5531" s="98"/>
      <c r="F5531">
        <v>5527</v>
      </c>
      <c r="G5531" s="109">
        <f t="shared" ca="1" si="95"/>
        <v>8.9199454202869163E-2</v>
      </c>
    </row>
    <row r="5532" spans="2:7" x14ac:dyDescent="0.25">
      <c r="B5532" s="98"/>
      <c r="F5532">
        <v>5528</v>
      </c>
      <c r="G5532" s="109">
        <f t="shared" ca="1" si="95"/>
        <v>5.9359076987830252E-2</v>
      </c>
    </row>
    <row r="5533" spans="2:7" x14ac:dyDescent="0.25">
      <c r="B5533" s="98"/>
      <c r="F5533">
        <v>5529</v>
      </c>
      <c r="G5533" s="109">
        <f t="shared" ca="1" si="95"/>
        <v>0.14893224923155773</v>
      </c>
    </row>
    <row r="5534" spans="2:7" x14ac:dyDescent="0.25">
      <c r="B5534" s="98"/>
      <c r="F5534">
        <v>5530</v>
      </c>
      <c r="G5534" s="109">
        <f t="shared" ca="1" si="95"/>
        <v>-5.8472000173318217E-2</v>
      </c>
    </row>
    <row r="5535" spans="2:7" x14ac:dyDescent="0.25">
      <c r="B5535" s="98"/>
      <c r="F5535">
        <v>5531</v>
      </c>
      <c r="G5535" s="109">
        <f t="shared" ca="1" si="95"/>
        <v>-1.7134440283279165E-2</v>
      </c>
    </row>
    <row r="5536" spans="2:7" x14ac:dyDescent="0.25">
      <c r="B5536" s="98"/>
      <c r="F5536">
        <v>5532</v>
      </c>
      <c r="G5536" s="109">
        <f t="shared" ca="1" si="95"/>
        <v>0.27043458925768277</v>
      </c>
    </row>
    <row r="5537" spans="2:7" x14ac:dyDescent="0.25">
      <c r="B5537" s="98"/>
      <c r="F5537">
        <v>5533</v>
      </c>
      <c r="G5537" s="109">
        <f t="shared" ca="1" si="95"/>
        <v>0.10293219138418289</v>
      </c>
    </row>
    <row r="5538" spans="2:7" x14ac:dyDescent="0.25">
      <c r="B5538" s="98"/>
      <c r="F5538">
        <v>5534</v>
      </c>
      <c r="G5538" s="109">
        <f t="shared" ca="1" si="95"/>
        <v>7.2025669000692627E-2</v>
      </c>
    </row>
    <row r="5539" spans="2:7" x14ac:dyDescent="0.25">
      <c r="B5539" s="98"/>
      <c r="F5539">
        <v>5535</v>
      </c>
      <c r="G5539" s="109">
        <f t="shared" ca="1" si="95"/>
        <v>0.14464613357938694</v>
      </c>
    </row>
    <row r="5540" spans="2:7" x14ac:dyDescent="0.25">
      <c r="B5540" s="98"/>
      <c r="F5540">
        <v>5536</v>
      </c>
      <c r="G5540" s="109">
        <f t="shared" ca="1" si="95"/>
        <v>0.19980714717935871</v>
      </c>
    </row>
    <row r="5541" spans="2:7" x14ac:dyDescent="0.25">
      <c r="B5541" s="98"/>
      <c r="F5541">
        <v>5537</v>
      </c>
      <c r="G5541" s="109">
        <f t="shared" ca="1" si="95"/>
        <v>0.1552132284791678</v>
      </c>
    </row>
    <row r="5542" spans="2:7" x14ac:dyDescent="0.25">
      <c r="B5542" s="98"/>
      <c r="F5542">
        <v>5538</v>
      </c>
      <c r="G5542" s="109">
        <f t="shared" ca="1" si="95"/>
        <v>-2.9804505414276344E-3</v>
      </c>
    </row>
    <row r="5543" spans="2:7" x14ac:dyDescent="0.25">
      <c r="B5543" s="98"/>
      <c r="F5543">
        <v>5539</v>
      </c>
      <c r="G5543" s="109">
        <f t="shared" ca="1" si="95"/>
        <v>0.10130101231959082</v>
      </c>
    </row>
    <row r="5544" spans="2:7" x14ac:dyDescent="0.25">
      <c r="B5544" s="98"/>
      <c r="F5544">
        <v>5540</v>
      </c>
      <c r="G5544" s="109">
        <f t="shared" ca="1" si="95"/>
        <v>0.11914789384440852</v>
      </c>
    </row>
    <row r="5545" spans="2:7" x14ac:dyDescent="0.25">
      <c r="B5545" s="98"/>
      <c r="F5545">
        <v>5541</v>
      </c>
      <c r="G5545" s="109">
        <f t="shared" ca="1" si="95"/>
        <v>0.1742341362453399</v>
      </c>
    </row>
    <row r="5546" spans="2:7" x14ac:dyDescent="0.25">
      <c r="B5546" s="98"/>
      <c r="F5546">
        <v>5542</v>
      </c>
      <c r="G5546" s="109">
        <f t="shared" ca="1" si="95"/>
        <v>6.3300125122923767E-2</v>
      </c>
    </row>
    <row r="5547" spans="2:7" x14ac:dyDescent="0.25">
      <c r="B5547" s="98"/>
      <c r="F5547">
        <v>5543</v>
      </c>
      <c r="G5547" s="109">
        <f t="shared" ca="1" si="95"/>
        <v>9.4278610064158885E-2</v>
      </c>
    </row>
    <row r="5548" spans="2:7" x14ac:dyDescent="0.25">
      <c r="B5548" s="98"/>
      <c r="F5548">
        <v>5544</v>
      </c>
      <c r="G5548" s="109">
        <f t="shared" ca="1" si="95"/>
        <v>-1.5533318046635734E-2</v>
      </c>
    </row>
    <row r="5549" spans="2:7" x14ac:dyDescent="0.25">
      <c r="B5549" s="98"/>
      <c r="F5549">
        <v>5545</v>
      </c>
      <c r="G5549" s="109">
        <f t="shared" ca="1" si="95"/>
        <v>-1.5224156522798009E-2</v>
      </c>
    </row>
    <row r="5550" spans="2:7" x14ac:dyDescent="0.25">
      <c r="B5550" s="98"/>
      <c r="F5550">
        <v>5546</v>
      </c>
      <c r="G5550" s="109">
        <f t="shared" ca="1" si="95"/>
        <v>0.15422207216994221</v>
      </c>
    </row>
    <row r="5551" spans="2:7" x14ac:dyDescent="0.25">
      <c r="B5551" s="98"/>
      <c r="F5551">
        <v>5547</v>
      </c>
      <c r="G5551" s="109">
        <f t="shared" ca="1" si="95"/>
        <v>-5.0298398880631007E-2</v>
      </c>
    </row>
    <row r="5552" spans="2:7" x14ac:dyDescent="0.25">
      <c r="B5552" s="98"/>
      <c r="F5552">
        <v>5548</v>
      </c>
      <c r="G5552" s="109">
        <f t="shared" ca="1" si="95"/>
        <v>-0.17379250894134313</v>
      </c>
    </row>
    <row r="5553" spans="2:7" x14ac:dyDescent="0.25">
      <c r="B5553" s="98"/>
      <c r="F5553">
        <v>5549</v>
      </c>
      <c r="G5553" s="109">
        <f t="shared" ca="1" si="95"/>
        <v>1.3041026128976042E-2</v>
      </c>
    </row>
    <row r="5554" spans="2:7" x14ac:dyDescent="0.25">
      <c r="B5554" s="98"/>
      <c r="F5554">
        <v>5550</v>
      </c>
      <c r="G5554" s="109">
        <f t="shared" ca="1" si="95"/>
        <v>-3.672530514433614E-4</v>
      </c>
    </row>
    <row r="5555" spans="2:7" x14ac:dyDescent="0.25">
      <c r="B5555" s="98"/>
      <c r="F5555">
        <v>5551</v>
      </c>
      <c r="G5555" s="109">
        <f t="shared" ca="1" si="95"/>
        <v>3.373262251673604E-2</v>
      </c>
    </row>
    <row r="5556" spans="2:7" x14ac:dyDescent="0.25">
      <c r="B5556" s="98"/>
      <c r="F5556">
        <v>5552</v>
      </c>
      <c r="G5556" s="109">
        <f t="shared" ca="1" si="95"/>
        <v>0.11783526188288236</v>
      </c>
    </row>
    <row r="5557" spans="2:7" x14ac:dyDescent="0.25">
      <c r="B5557" s="98"/>
      <c r="F5557">
        <v>5553</v>
      </c>
      <c r="G5557" s="109">
        <f t="shared" ca="1" si="95"/>
        <v>0.15211107405759677</v>
      </c>
    </row>
    <row r="5558" spans="2:7" x14ac:dyDescent="0.25">
      <c r="B5558" s="98"/>
      <c r="F5558">
        <v>5554</v>
      </c>
      <c r="G5558" s="109">
        <f t="shared" ca="1" si="95"/>
        <v>-5.0137123200189412E-2</v>
      </c>
    </row>
    <row r="5559" spans="2:7" x14ac:dyDescent="0.25">
      <c r="B5559" s="98"/>
      <c r="F5559">
        <v>5555</v>
      </c>
      <c r="G5559" s="109">
        <f t="shared" ca="1" si="95"/>
        <v>-9.1887233568672136E-2</v>
      </c>
    </row>
    <row r="5560" spans="2:7" x14ac:dyDescent="0.25">
      <c r="B5560" s="98"/>
      <c r="F5560">
        <v>5556</v>
      </c>
      <c r="G5560" s="109">
        <f t="shared" ca="1" si="95"/>
        <v>0.12401238185331048</v>
      </c>
    </row>
    <row r="5561" spans="2:7" x14ac:dyDescent="0.25">
      <c r="B5561" s="98"/>
      <c r="F5561">
        <v>5557</v>
      </c>
      <c r="G5561" s="109">
        <f t="shared" ca="1" si="95"/>
        <v>-1.9866544989014093E-2</v>
      </c>
    </row>
    <row r="5562" spans="2:7" x14ac:dyDescent="0.25">
      <c r="B5562" s="98"/>
      <c r="F5562">
        <v>5558</v>
      </c>
      <c r="G5562" s="109">
        <f t="shared" ca="1" si="95"/>
        <v>-1.3328985064766527E-2</v>
      </c>
    </row>
    <row r="5563" spans="2:7" x14ac:dyDescent="0.25">
      <c r="B5563" s="98"/>
      <c r="F5563">
        <v>5559</v>
      </c>
      <c r="G5563" s="109">
        <f t="shared" ca="1" si="95"/>
        <v>0.14109617564317534</v>
      </c>
    </row>
    <row r="5564" spans="2:7" x14ac:dyDescent="0.25">
      <c r="B5564" s="98"/>
      <c r="F5564">
        <v>5560</v>
      </c>
      <c r="G5564" s="109">
        <f t="shared" ca="1" si="95"/>
        <v>2.5496667736009587E-2</v>
      </c>
    </row>
    <row r="5565" spans="2:7" x14ac:dyDescent="0.25">
      <c r="B5565" s="98"/>
      <c r="F5565">
        <v>5561</v>
      </c>
      <c r="G5565" s="109">
        <f t="shared" ca="1" si="95"/>
        <v>0.11646107020165208</v>
      </c>
    </row>
    <row r="5566" spans="2:7" x14ac:dyDescent="0.25">
      <c r="B5566" s="98"/>
      <c r="F5566">
        <v>5562</v>
      </c>
      <c r="G5566" s="109">
        <f t="shared" ca="1" si="95"/>
        <v>4.9715516572544242E-2</v>
      </c>
    </row>
    <row r="5567" spans="2:7" x14ac:dyDescent="0.25">
      <c r="B5567" s="98"/>
      <c r="F5567">
        <v>5563</v>
      </c>
      <c r="G5567" s="109">
        <f t="shared" ca="1" si="95"/>
        <v>-3.634372925837516E-2</v>
      </c>
    </row>
    <row r="5568" spans="2:7" x14ac:dyDescent="0.25">
      <c r="B5568" s="98"/>
      <c r="F5568">
        <v>5564</v>
      </c>
      <c r="G5568" s="109">
        <f t="shared" ca="1" si="95"/>
        <v>-5.1602831933859131E-3</v>
      </c>
    </row>
    <row r="5569" spans="2:7" x14ac:dyDescent="0.25">
      <c r="B5569" s="98"/>
      <c r="F5569">
        <v>5565</v>
      </c>
      <c r="G5569" s="109">
        <f t="shared" ca="1" si="95"/>
        <v>0.20290545126844028</v>
      </c>
    </row>
    <row r="5570" spans="2:7" x14ac:dyDescent="0.25">
      <c r="B5570" s="98"/>
      <c r="F5570">
        <v>5566</v>
      </c>
      <c r="G5570" s="109">
        <f t="shared" ca="1" si="95"/>
        <v>2.3210219306031191E-2</v>
      </c>
    </row>
    <row r="5571" spans="2:7" x14ac:dyDescent="0.25">
      <c r="B5571" s="98"/>
      <c r="F5571">
        <v>5567</v>
      </c>
      <c r="G5571" s="109">
        <f t="shared" ca="1" si="95"/>
        <v>0.1734081706454253</v>
      </c>
    </row>
    <row r="5572" spans="2:7" x14ac:dyDescent="0.25">
      <c r="B5572" s="98"/>
      <c r="F5572">
        <v>5568</v>
      </c>
      <c r="G5572" s="109">
        <f t="shared" ca="1" si="95"/>
        <v>5.43497507229826E-2</v>
      </c>
    </row>
    <row r="5573" spans="2:7" x14ac:dyDescent="0.25">
      <c r="B5573" s="98"/>
      <c r="F5573">
        <v>5569</v>
      </c>
      <c r="G5573" s="109">
        <f t="shared" ca="1" si="95"/>
        <v>-3.523995894492836E-2</v>
      </c>
    </row>
    <row r="5574" spans="2:7" x14ac:dyDescent="0.25">
      <c r="B5574" s="98"/>
      <c r="F5574">
        <v>5570</v>
      </c>
      <c r="G5574" s="109">
        <f t="shared" ref="G5574:G5637" ca="1" si="96">_xlfn.NORM.INV(RAND(),$M$5,$M$6)</f>
        <v>4.1932082169970027E-2</v>
      </c>
    </row>
    <row r="5575" spans="2:7" x14ac:dyDescent="0.25">
      <c r="B5575" s="98"/>
      <c r="F5575">
        <v>5571</v>
      </c>
      <c r="G5575" s="109">
        <f t="shared" ca="1" si="96"/>
        <v>0.25710758288800617</v>
      </c>
    </row>
    <row r="5576" spans="2:7" x14ac:dyDescent="0.25">
      <c r="B5576" s="98"/>
      <c r="F5576">
        <v>5572</v>
      </c>
      <c r="G5576" s="109">
        <f t="shared" ca="1" si="96"/>
        <v>0.15613886697772572</v>
      </c>
    </row>
    <row r="5577" spans="2:7" x14ac:dyDescent="0.25">
      <c r="B5577" s="98"/>
      <c r="F5577">
        <v>5573</v>
      </c>
      <c r="G5577" s="109">
        <f t="shared" ca="1" si="96"/>
        <v>-4.1588031654233804E-2</v>
      </c>
    </row>
    <row r="5578" spans="2:7" x14ac:dyDescent="0.25">
      <c r="B5578" s="98"/>
      <c r="F5578">
        <v>5574</v>
      </c>
      <c r="G5578" s="109">
        <f t="shared" ca="1" si="96"/>
        <v>-4.7689406775782581E-2</v>
      </c>
    </row>
    <row r="5579" spans="2:7" x14ac:dyDescent="0.25">
      <c r="B5579" s="98"/>
      <c r="F5579">
        <v>5575</v>
      </c>
      <c r="G5579" s="109">
        <f t="shared" ca="1" si="96"/>
        <v>3.8245538107986345E-2</v>
      </c>
    </row>
    <row r="5580" spans="2:7" x14ac:dyDescent="0.25">
      <c r="B5580" s="98"/>
      <c r="F5580">
        <v>5576</v>
      </c>
      <c r="G5580" s="109">
        <f t="shared" ca="1" si="96"/>
        <v>0.13149116202516509</v>
      </c>
    </row>
    <row r="5581" spans="2:7" x14ac:dyDescent="0.25">
      <c r="B5581" s="98"/>
      <c r="F5581">
        <v>5577</v>
      </c>
      <c r="G5581" s="109">
        <f t="shared" ca="1" si="96"/>
        <v>1.9180984079062151E-2</v>
      </c>
    </row>
    <row r="5582" spans="2:7" x14ac:dyDescent="0.25">
      <c r="B5582" s="98"/>
      <c r="F5582">
        <v>5578</v>
      </c>
      <c r="G5582" s="109">
        <f t="shared" ca="1" si="96"/>
        <v>8.9607269567619663E-2</v>
      </c>
    </row>
    <row r="5583" spans="2:7" x14ac:dyDescent="0.25">
      <c r="B5583" s="98"/>
      <c r="F5583">
        <v>5579</v>
      </c>
      <c r="G5583" s="109">
        <f t="shared" ca="1" si="96"/>
        <v>6.1765182018102896E-3</v>
      </c>
    </row>
    <row r="5584" spans="2:7" x14ac:dyDescent="0.25">
      <c r="B5584" s="98"/>
      <c r="F5584">
        <v>5580</v>
      </c>
      <c r="G5584" s="109">
        <f t="shared" ca="1" si="96"/>
        <v>0.10388600526081401</v>
      </c>
    </row>
    <row r="5585" spans="2:7" x14ac:dyDescent="0.25">
      <c r="B5585" s="98"/>
      <c r="F5585">
        <v>5581</v>
      </c>
      <c r="G5585" s="109">
        <f t="shared" ca="1" si="96"/>
        <v>0.20571824653606546</v>
      </c>
    </row>
    <row r="5586" spans="2:7" x14ac:dyDescent="0.25">
      <c r="B5586" s="98"/>
      <c r="F5586">
        <v>5582</v>
      </c>
      <c r="G5586" s="109">
        <f t="shared" ca="1" si="96"/>
        <v>-0.10201756742151334</v>
      </c>
    </row>
    <row r="5587" spans="2:7" x14ac:dyDescent="0.25">
      <c r="B5587" s="98"/>
      <c r="F5587">
        <v>5583</v>
      </c>
      <c r="G5587" s="109">
        <f t="shared" ca="1" si="96"/>
        <v>6.5529886021392272E-2</v>
      </c>
    </row>
    <row r="5588" spans="2:7" x14ac:dyDescent="0.25">
      <c r="B5588" s="98"/>
      <c r="F5588">
        <v>5584</v>
      </c>
      <c r="G5588" s="109">
        <f t="shared" ca="1" si="96"/>
        <v>-2.7087728803129527E-2</v>
      </c>
    </row>
    <row r="5589" spans="2:7" x14ac:dyDescent="0.25">
      <c r="B5589" s="98"/>
      <c r="F5589">
        <v>5585</v>
      </c>
      <c r="G5589" s="109">
        <f t="shared" ca="1" si="96"/>
        <v>2.9073623370135485E-2</v>
      </c>
    </row>
    <row r="5590" spans="2:7" x14ac:dyDescent="0.25">
      <c r="B5590" s="98"/>
      <c r="F5590">
        <v>5586</v>
      </c>
      <c r="G5590" s="109">
        <f t="shared" ca="1" si="96"/>
        <v>0.12237257329710301</v>
      </c>
    </row>
    <row r="5591" spans="2:7" x14ac:dyDescent="0.25">
      <c r="B5591" s="98"/>
      <c r="F5591">
        <v>5587</v>
      </c>
      <c r="G5591" s="109">
        <f t="shared" ca="1" si="96"/>
        <v>0.13320924570656859</v>
      </c>
    </row>
    <row r="5592" spans="2:7" x14ac:dyDescent="0.25">
      <c r="B5592" s="98"/>
      <c r="F5592">
        <v>5588</v>
      </c>
      <c r="G5592" s="109">
        <f t="shared" ca="1" si="96"/>
        <v>-1.6767964240117832E-2</v>
      </c>
    </row>
    <row r="5593" spans="2:7" x14ac:dyDescent="0.25">
      <c r="B5593" s="98"/>
      <c r="F5593">
        <v>5589</v>
      </c>
      <c r="G5593" s="109">
        <f t="shared" ca="1" si="96"/>
        <v>-5.2983096778195807E-2</v>
      </c>
    </row>
    <row r="5594" spans="2:7" x14ac:dyDescent="0.25">
      <c r="B5594" s="98"/>
      <c r="F5594">
        <v>5590</v>
      </c>
      <c r="G5594" s="109">
        <f t="shared" ca="1" si="96"/>
        <v>0.11346631192260301</v>
      </c>
    </row>
    <row r="5595" spans="2:7" x14ac:dyDescent="0.25">
      <c r="B5595" s="98"/>
      <c r="F5595">
        <v>5591</v>
      </c>
      <c r="G5595" s="109">
        <f t="shared" ca="1" si="96"/>
        <v>6.8742604712099475E-2</v>
      </c>
    </row>
    <row r="5596" spans="2:7" x14ac:dyDescent="0.25">
      <c r="B5596" s="98"/>
      <c r="F5596">
        <v>5592</v>
      </c>
      <c r="G5596" s="109">
        <f t="shared" ca="1" si="96"/>
        <v>0.22736368385082323</v>
      </c>
    </row>
    <row r="5597" spans="2:7" x14ac:dyDescent="0.25">
      <c r="B5597" s="98"/>
      <c r="F5597">
        <v>5593</v>
      </c>
      <c r="G5597" s="109">
        <f t="shared" ca="1" si="96"/>
        <v>0.1127349577285742</v>
      </c>
    </row>
    <row r="5598" spans="2:7" x14ac:dyDescent="0.25">
      <c r="B5598" s="98"/>
      <c r="F5598">
        <v>5594</v>
      </c>
      <c r="G5598" s="109">
        <f t="shared" ca="1" si="96"/>
        <v>0.1513119937209037</v>
      </c>
    </row>
    <row r="5599" spans="2:7" x14ac:dyDescent="0.25">
      <c r="B5599" s="98"/>
      <c r="F5599">
        <v>5595</v>
      </c>
      <c r="G5599" s="109">
        <f t="shared" ca="1" si="96"/>
        <v>3.7803469558528188E-2</v>
      </c>
    </row>
    <row r="5600" spans="2:7" x14ac:dyDescent="0.25">
      <c r="B5600" s="98"/>
      <c r="F5600">
        <v>5596</v>
      </c>
      <c r="G5600" s="109">
        <f t="shared" ca="1" si="96"/>
        <v>-5.3715350682208424E-3</v>
      </c>
    </row>
    <row r="5601" spans="2:7" x14ac:dyDescent="0.25">
      <c r="B5601" s="98"/>
      <c r="F5601">
        <v>5597</v>
      </c>
      <c r="G5601" s="109">
        <f t="shared" ca="1" si="96"/>
        <v>0.2028354898295508</v>
      </c>
    </row>
    <row r="5602" spans="2:7" x14ac:dyDescent="0.25">
      <c r="B5602" s="98"/>
      <c r="F5602">
        <v>5598</v>
      </c>
      <c r="G5602" s="109">
        <f t="shared" ca="1" si="96"/>
        <v>0.19472551627306661</v>
      </c>
    </row>
    <row r="5603" spans="2:7" x14ac:dyDescent="0.25">
      <c r="B5603" s="98"/>
      <c r="F5603">
        <v>5599</v>
      </c>
      <c r="G5603" s="109">
        <f t="shared" ca="1" si="96"/>
        <v>5.7565393564849576E-2</v>
      </c>
    </row>
    <row r="5604" spans="2:7" x14ac:dyDescent="0.25">
      <c r="B5604" s="98"/>
      <c r="F5604">
        <v>5600</v>
      </c>
      <c r="G5604" s="109">
        <f t="shared" ca="1" si="96"/>
        <v>4.6005328244775684E-2</v>
      </c>
    </row>
    <row r="5605" spans="2:7" x14ac:dyDescent="0.25">
      <c r="B5605" s="98"/>
      <c r="F5605">
        <v>5601</v>
      </c>
      <c r="G5605" s="109">
        <f t="shared" ca="1" si="96"/>
        <v>0.14880943882074144</v>
      </c>
    </row>
    <row r="5606" spans="2:7" x14ac:dyDescent="0.25">
      <c r="B5606" s="98"/>
      <c r="F5606">
        <v>5602</v>
      </c>
      <c r="G5606" s="109">
        <f t="shared" ca="1" si="96"/>
        <v>4.8615909736444508E-2</v>
      </c>
    </row>
    <row r="5607" spans="2:7" x14ac:dyDescent="0.25">
      <c r="B5607" s="98"/>
      <c r="F5607">
        <v>5603</v>
      </c>
      <c r="G5607" s="109">
        <f t="shared" ca="1" si="96"/>
        <v>0.11023973524191871</v>
      </c>
    </row>
    <row r="5608" spans="2:7" x14ac:dyDescent="0.25">
      <c r="B5608" s="98"/>
      <c r="F5608">
        <v>5604</v>
      </c>
      <c r="G5608" s="109">
        <f t="shared" ca="1" si="96"/>
        <v>0.34185975852993122</v>
      </c>
    </row>
    <row r="5609" spans="2:7" x14ac:dyDescent="0.25">
      <c r="B5609" s="98"/>
      <c r="F5609">
        <v>5605</v>
      </c>
      <c r="G5609" s="109">
        <f t="shared" ca="1" si="96"/>
        <v>8.9925649308423089E-2</v>
      </c>
    </row>
    <row r="5610" spans="2:7" x14ac:dyDescent="0.25">
      <c r="B5610" s="98"/>
      <c r="F5610">
        <v>5606</v>
      </c>
      <c r="G5610" s="109">
        <f t="shared" ca="1" si="96"/>
        <v>0.11097333708304914</v>
      </c>
    </row>
    <row r="5611" spans="2:7" x14ac:dyDescent="0.25">
      <c r="B5611" s="98"/>
      <c r="F5611">
        <v>5607</v>
      </c>
      <c r="G5611" s="109">
        <f t="shared" ca="1" si="96"/>
        <v>0.1630294283484004</v>
      </c>
    </row>
    <row r="5612" spans="2:7" x14ac:dyDescent="0.25">
      <c r="B5612" s="98"/>
      <c r="F5612">
        <v>5608</v>
      </c>
      <c r="G5612" s="109">
        <f t="shared" ca="1" si="96"/>
        <v>0.15446895204601702</v>
      </c>
    </row>
    <row r="5613" spans="2:7" x14ac:dyDescent="0.25">
      <c r="B5613" s="98"/>
      <c r="F5613">
        <v>5609</v>
      </c>
      <c r="G5613" s="109">
        <f t="shared" ca="1" si="96"/>
        <v>0.30542352058990219</v>
      </c>
    </row>
    <row r="5614" spans="2:7" x14ac:dyDescent="0.25">
      <c r="B5614" s="98"/>
      <c r="F5614">
        <v>5610</v>
      </c>
      <c r="G5614" s="109">
        <f t="shared" ca="1" si="96"/>
        <v>8.6830542447471112E-2</v>
      </c>
    </row>
    <row r="5615" spans="2:7" x14ac:dyDescent="0.25">
      <c r="B5615" s="98"/>
      <c r="F5615">
        <v>5611</v>
      </c>
      <c r="G5615" s="109">
        <f t="shared" ca="1" si="96"/>
        <v>2.3690430420304172E-2</v>
      </c>
    </row>
    <row r="5616" spans="2:7" x14ac:dyDescent="0.25">
      <c r="B5616" s="98"/>
      <c r="F5616">
        <v>5612</v>
      </c>
      <c r="G5616" s="109">
        <f t="shared" ca="1" si="96"/>
        <v>-6.3889700106513958E-2</v>
      </c>
    </row>
    <row r="5617" spans="2:7" x14ac:dyDescent="0.25">
      <c r="B5617" s="98"/>
      <c r="F5617">
        <v>5613</v>
      </c>
      <c r="G5617" s="109">
        <f t="shared" ca="1" si="96"/>
        <v>-8.7647811055898098E-2</v>
      </c>
    </row>
    <row r="5618" spans="2:7" x14ac:dyDescent="0.25">
      <c r="B5618" s="98"/>
      <c r="F5618">
        <v>5614</v>
      </c>
      <c r="G5618" s="109">
        <f t="shared" ca="1" si="96"/>
        <v>9.4336356964292226E-3</v>
      </c>
    </row>
    <row r="5619" spans="2:7" x14ac:dyDescent="0.25">
      <c r="B5619" s="98"/>
      <c r="F5619">
        <v>5615</v>
      </c>
      <c r="G5619" s="109">
        <f t="shared" ca="1" si="96"/>
        <v>0.16080561841512087</v>
      </c>
    </row>
    <row r="5620" spans="2:7" x14ac:dyDescent="0.25">
      <c r="B5620" s="98"/>
      <c r="F5620">
        <v>5616</v>
      </c>
      <c r="G5620" s="109">
        <f t="shared" ca="1" si="96"/>
        <v>-0.10325884290331279</v>
      </c>
    </row>
    <row r="5621" spans="2:7" x14ac:dyDescent="0.25">
      <c r="B5621" s="98"/>
      <c r="F5621">
        <v>5617</v>
      </c>
      <c r="G5621" s="109">
        <f t="shared" ca="1" si="96"/>
        <v>9.9128035533368658E-2</v>
      </c>
    </row>
    <row r="5622" spans="2:7" x14ac:dyDescent="0.25">
      <c r="B5622" s="98"/>
      <c r="F5622">
        <v>5618</v>
      </c>
      <c r="G5622" s="109">
        <f t="shared" ca="1" si="96"/>
        <v>2.6894002097100789E-2</v>
      </c>
    </row>
    <row r="5623" spans="2:7" x14ac:dyDescent="0.25">
      <c r="B5623" s="98"/>
      <c r="F5623">
        <v>5619</v>
      </c>
      <c r="G5623" s="109">
        <f t="shared" ca="1" si="96"/>
        <v>8.4579408529804348E-2</v>
      </c>
    </row>
    <row r="5624" spans="2:7" x14ac:dyDescent="0.25">
      <c r="B5624" s="98"/>
      <c r="F5624">
        <v>5620</v>
      </c>
      <c r="G5624" s="109">
        <f t="shared" ca="1" si="96"/>
        <v>8.8764262824965412E-2</v>
      </c>
    </row>
    <row r="5625" spans="2:7" x14ac:dyDescent="0.25">
      <c r="B5625" s="98"/>
      <c r="F5625">
        <v>5621</v>
      </c>
      <c r="G5625" s="109">
        <f t="shared" ca="1" si="96"/>
        <v>0.22572184218629165</v>
      </c>
    </row>
    <row r="5626" spans="2:7" x14ac:dyDescent="0.25">
      <c r="B5626" s="98"/>
      <c r="F5626">
        <v>5622</v>
      </c>
      <c r="G5626" s="109">
        <f t="shared" ca="1" si="96"/>
        <v>8.3430054971008888E-3</v>
      </c>
    </row>
    <row r="5627" spans="2:7" x14ac:dyDescent="0.25">
      <c r="B5627" s="98"/>
      <c r="F5627">
        <v>5623</v>
      </c>
      <c r="G5627" s="109">
        <f t="shared" ca="1" si="96"/>
        <v>-2.8695252837911744E-2</v>
      </c>
    </row>
    <row r="5628" spans="2:7" x14ac:dyDescent="0.25">
      <c r="B5628" s="98"/>
      <c r="F5628">
        <v>5624</v>
      </c>
      <c r="G5628" s="109">
        <f t="shared" ca="1" si="96"/>
        <v>9.7120830665635441E-2</v>
      </c>
    </row>
    <row r="5629" spans="2:7" x14ac:dyDescent="0.25">
      <c r="B5629" s="98"/>
      <c r="F5629">
        <v>5625</v>
      </c>
      <c r="G5629" s="109">
        <f t="shared" ca="1" si="96"/>
        <v>0.11465653987246181</v>
      </c>
    </row>
    <row r="5630" spans="2:7" x14ac:dyDescent="0.25">
      <c r="B5630" s="98"/>
      <c r="F5630">
        <v>5626</v>
      </c>
      <c r="G5630" s="109">
        <f t="shared" ca="1" si="96"/>
        <v>-3.8153576517441543E-2</v>
      </c>
    </row>
    <row r="5631" spans="2:7" x14ac:dyDescent="0.25">
      <c r="B5631" s="98"/>
      <c r="F5631">
        <v>5627</v>
      </c>
      <c r="G5631" s="109">
        <f t="shared" ca="1" si="96"/>
        <v>-1.1648758719548555E-2</v>
      </c>
    </row>
    <row r="5632" spans="2:7" x14ac:dyDescent="0.25">
      <c r="B5632" s="98"/>
      <c r="F5632">
        <v>5628</v>
      </c>
      <c r="G5632" s="109">
        <f t="shared" ca="1" si="96"/>
        <v>-5.585964336051652E-2</v>
      </c>
    </row>
    <row r="5633" spans="2:7" x14ac:dyDescent="0.25">
      <c r="B5633" s="98"/>
      <c r="F5633">
        <v>5629</v>
      </c>
      <c r="G5633" s="109">
        <f t="shared" ca="1" si="96"/>
        <v>0.1086280861481756</v>
      </c>
    </row>
    <row r="5634" spans="2:7" x14ac:dyDescent="0.25">
      <c r="B5634" s="98"/>
      <c r="F5634">
        <v>5630</v>
      </c>
      <c r="G5634" s="109">
        <f t="shared" ca="1" si="96"/>
        <v>-9.1642425626410243E-2</v>
      </c>
    </row>
    <row r="5635" spans="2:7" x14ac:dyDescent="0.25">
      <c r="B5635" s="98"/>
      <c r="F5635">
        <v>5631</v>
      </c>
      <c r="G5635" s="109">
        <f t="shared" ca="1" si="96"/>
        <v>0.10469627967862041</v>
      </c>
    </row>
    <row r="5636" spans="2:7" x14ac:dyDescent="0.25">
      <c r="B5636" s="98"/>
      <c r="F5636">
        <v>5632</v>
      </c>
      <c r="G5636" s="109">
        <f t="shared" ca="1" si="96"/>
        <v>-0.14245920077209462</v>
      </c>
    </row>
    <row r="5637" spans="2:7" x14ac:dyDescent="0.25">
      <c r="B5637" s="98"/>
      <c r="F5637">
        <v>5633</v>
      </c>
      <c r="G5637" s="109">
        <f t="shared" ca="1" si="96"/>
        <v>-8.8658999766275073E-2</v>
      </c>
    </row>
    <row r="5638" spans="2:7" x14ac:dyDescent="0.25">
      <c r="B5638" s="98"/>
      <c r="F5638">
        <v>5634</v>
      </c>
      <c r="G5638" s="109">
        <f t="shared" ref="G5638:G5701" ca="1" si="97">_xlfn.NORM.INV(RAND(),$M$5,$M$6)</f>
        <v>8.7989523241306544E-2</v>
      </c>
    </row>
    <row r="5639" spans="2:7" x14ac:dyDescent="0.25">
      <c r="B5639" s="98"/>
      <c r="F5639">
        <v>5635</v>
      </c>
      <c r="G5639" s="109">
        <f t="shared" ca="1" si="97"/>
        <v>8.6428675436822852E-3</v>
      </c>
    </row>
    <row r="5640" spans="2:7" x14ac:dyDescent="0.25">
      <c r="B5640" s="98"/>
      <c r="F5640">
        <v>5636</v>
      </c>
      <c r="G5640" s="109">
        <f t="shared" ca="1" si="97"/>
        <v>0.14340837569459852</v>
      </c>
    </row>
    <row r="5641" spans="2:7" x14ac:dyDescent="0.25">
      <c r="B5641" s="98"/>
      <c r="F5641">
        <v>5637</v>
      </c>
      <c r="G5641" s="109">
        <f t="shared" ca="1" si="97"/>
        <v>3.230503166019965E-2</v>
      </c>
    </row>
    <row r="5642" spans="2:7" x14ac:dyDescent="0.25">
      <c r="B5642" s="98"/>
      <c r="F5642">
        <v>5638</v>
      </c>
      <c r="G5642" s="109">
        <f t="shared" ca="1" si="97"/>
        <v>1.4237035323335395E-2</v>
      </c>
    </row>
    <row r="5643" spans="2:7" x14ac:dyDescent="0.25">
      <c r="B5643" s="98"/>
      <c r="F5643">
        <v>5639</v>
      </c>
      <c r="G5643" s="109">
        <f t="shared" ca="1" si="97"/>
        <v>4.6451132647397191E-2</v>
      </c>
    </row>
    <row r="5644" spans="2:7" x14ac:dyDescent="0.25">
      <c r="B5644" s="98"/>
      <c r="F5644">
        <v>5640</v>
      </c>
      <c r="G5644" s="109">
        <f t="shared" ca="1" si="97"/>
        <v>-0.17139050465547401</v>
      </c>
    </row>
    <row r="5645" spans="2:7" x14ac:dyDescent="0.25">
      <c r="B5645" s="98"/>
      <c r="F5645">
        <v>5641</v>
      </c>
      <c r="G5645" s="109">
        <f t="shared" ca="1" si="97"/>
        <v>0.17177831073446526</v>
      </c>
    </row>
    <row r="5646" spans="2:7" x14ac:dyDescent="0.25">
      <c r="B5646" s="98"/>
      <c r="F5646">
        <v>5642</v>
      </c>
      <c r="G5646" s="109">
        <f t="shared" ca="1" si="97"/>
        <v>-7.3585323820695631E-2</v>
      </c>
    </row>
    <row r="5647" spans="2:7" x14ac:dyDescent="0.25">
      <c r="B5647" s="98"/>
      <c r="F5647">
        <v>5643</v>
      </c>
      <c r="G5647" s="109">
        <f t="shared" ca="1" si="97"/>
        <v>6.1259947679831311E-2</v>
      </c>
    </row>
    <row r="5648" spans="2:7" x14ac:dyDescent="0.25">
      <c r="B5648" s="98"/>
      <c r="F5648">
        <v>5644</v>
      </c>
      <c r="G5648" s="109">
        <f t="shared" ca="1" si="97"/>
        <v>9.449470176386171E-2</v>
      </c>
    </row>
    <row r="5649" spans="2:7" x14ac:dyDescent="0.25">
      <c r="B5649" s="98"/>
      <c r="F5649">
        <v>5645</v>
      </c>
      <c r="G5649" s="109">
        <f t="shared" ca="1" si="97"/>
        <v>9.9382797275542931E-2</v>
      </c>
    </row>
    <row r="5650" spans="2:7" x14ac:dyDescent="0.25">
      <c r="B5650" s="98"/>
      <c r="F5650">
        <v>5646</v>
      </c>
      <c r="G5650" s="109">
        <f t="shared" ca="1" si="97"/>
        <v>-3.4732036103144112E-2</v>
      </c>
    </row>
    <row r="5651" spans="2:7" x14ac:dyDescent="0.25">
      <c r="B5651" s="98"/>
      <c r="F5651">
        <v>5647</v>
      </c>
      <c r="G5651" s="109">
        <f t="shared" ca="1" si="97"/>
        <v>0.10679310584362151</v>
      </c>
    </row>
    <row r="5652" spans="2:7" x14ac:dyDescent="0.25">
      <c r="B5652" s="98"/>
      <c r="F5652">
        <v>5648</v>
      </c>
      <c r="G5652" s="109">
        <f t="shared" ca="1" si="97"/>
        <v>0.23784442766866443</v>
      </c>
    </row>
    <row r="5653" spans="2:7" x14ac:dyDescent="0.25">
      <c r="B5653" s="98"/>
      <c r="F5653">
        <v>5649</v>
      </c>
      <c r="G5653" s="109">
        <f t="shared" ca="1" si="97"/>
        <v>-5.2365605311016875E-2</v>
      </c>
    </row>
    <row r="5654" spans="2:7" x14ac:dyDescent="0.25">
      <c r="B5654" s="98"/>
      <c r="F5654">
        <v>5650</v>
      </c>
      <c r="G5654" s="109">
        <f t="shared" ca="1" si="97"/>
        <v>5.4025364555632602E-2</v>
      </c>
    </row>
    <row r="5655" spans="2:7" x14ac:dyDescent="0.25">
      <c r="B5655" s="98"/>
      <c r="F5655">
        <v>5651</v>
      </c>
      <c r="G5655" s="109">
        <f t="shared" ca="1" si="97"/>
        <v>0.14592712447032563</v>
      </c>
    </row>
    <row r="5656" spans="2:7" x14ac:dyDescent="0.25">
      <c r="B5656" s="98"/>
      <c r="F5656">
        <v>5652</v>
      </c>
      <c r="G5656" s="109">
        <f t="shared" ca="1" si="97"/>
        <v>0.17763651172930206</v>
      </c>
    </row>
    <row r="5657" spans="2:7" x14ac:dyDescent="0.25">
      <c r="B5657" s="98"/>
      <c r="F5657">
        <v>5653</v>
      </c>
      <c r="G5657" s="109">
        <f t="shared" ca="1" si="97"/>
        <v>-0.1553478268916953</v>
      </c>
    </row>
    <row r="5658" spans="2:7" x14ac:dyDescent="0.25">
      <c r="B5658" s="98"/>
      <c r="F5658">
        <v>5654</v>
      </c>
      <c r="G5658" s="109">
        <f t="shared" ca="1" si="97"/>
        <v>0.21472934565381113</v>
      </c>
    </row>
    <row r="5659" spans="2:7" x14ac:dyDescent="0.25">
      <c r="B5659" s="98"/>
      <c r="F5659">
        <v>5655</v>
      </c>
      <c r="G5659" s="109">
        <f t="shared" ca="1" si="97"/>
        <v>-2.7597456522617386E-2</v>
      </c>
    </row>
    <row r="5660" spans="2:7" x14ac:dyDescent="0.25">
      <c r="B5660" s="98"/>
      <c r="F5660">
        <v>5656</v>
      </c>
      <c r="G5660" s="109">
        <f t="shared" ca="1" si="97"/>
        <v>-0.12296109627352987</v>
      </c>
    </row>
    <row r="5661" spans="2:7" x14ac:dyDescent="0.25">
      <c r="B5661" s="98"/>
      <c r="F5661">
        <v>5657</v>
      </c>
      <c r="G5661" s="109">
        <f t="shared" ca="1" si="97"/>
        <v>0.10351207099880266</v>
      </c>
    </row>
    <row r="5662" spans="2:7" x14ac:dyDescent="0.25">
      <c r="B5662" s="98"/>
      <c r="F5662">
        <v>5658</v>
      </c>
      <c r="G5662" s="109">
        <f t="shared" ca="1" si="97"/>
        <v>0.16684638798918586</v>
      </c>
    </row>
    <row r="5663" spans="2:7" x14ac:dyDescent="0.25">
      <c r="B5663" s="98"/>
      <c r="F5663">
        <v>5659</v>
      </c>
      <c r="G5663" s="109">
        <f t="shared" ca="1" si="97"/>
        <v>7.2912827713785794E-2</v>
      </c>
    </row>
    <row r="5664" spans="2:7" x14ac:dyDescent="0.25">
      <c r="B5664" s="98"/>
      <c r="F5664">
        <v>5660</v>
      </c>
      <c r="G5664" s="109">
        <f t="shared" ca="1" si="97"/>
        <v>3.171751730457778E-2</v>
      </c>
    </row>
    <row r="5665" spans="2:7" x14ac:dyDescent="0.25">
      <c r="B5665" s="98"/>
      <c r="F5665">
        <v>5661</v>
      </c>
      <c r="G5665" s="109">
        <f t="shared" ca="1" si="97"/>
        <v>3.4616364925638313E-2</v>
      </c>
    </row>
    <row r="5666" spans="2:7" x14ac:dyDescent="0.25">
      <c r="B5666" s="98"/>
      <c r="F5666">
        <v>5662</v>
      </c>
      <c r="G5666" s="109">
        <f t="shared" ca="1" si="97"/>
        <v>-7.3525094414838149E-2</v>
      </c>
    </row>
    <row r="5667" spans="2:7" x14ac:dyDescent="0.25">
      <c r="B5667" s="98"/>
      <c r="F5667">
        <v>5663</v>
      </c>
      <c r="G5667" s="109">
        <f t="shared" ca="1" si="97"/>
        <v>4.3830588896278701E-2</v>
      </c>
    </row>
    <row r="5668" spans="2:7" x14ac:dyDescent="0.25">
      <c r="B5668" s="98"/>
      <c r="F5668">
        <v>5664</v>
      </c>
      <c r="G5668" s="109">
        <f t="shared" ca="1" si="97"/>
        <v>-1.7685883084282011E-4</v>
      </c>
    </row>
    <row r="5669" spans="2:7" x14ac:dyDescent="0.25">
      <c r="B5669" s="98"/>
      <c r="F5669">
        <v>5665</v>
      </c>
      <c r="G5669" s="109">
        <f t="shared" ca="1" si="97"/>
        <v>-2.214911861651607E-2</v>
      </c>
    </row>
    <row r="5670" spans="2:7" x14ac:dyDescent="0.25">
      <c r="B5670" s="98"/>
      <c r="F5670">
        <v>5666</v>
      </c>
      <c r="G5670" s="109">
        <f t="shared" ca="1" si="97"/>
        <v>3.2085358193415327E-2</v>
      </c>
    </row>
    <row r="5671" spans="2:7" x14ac:dyDescent="0.25">
      <c r="B5671" s="98"/>
      <c r="F5671">
        <v>5667</v>
      </c>
      <c r="G5671" s="109">
        <f t="shared" ca="1" si="97"/>
        <v>-0.18356168430731706</v>
      </c>
    </row>
    <row r="5672" spans="2:7" x14ac:dyDescent="0.25">
      <c r="B5672" s="98"/>
      <c r="F5672">
        <v>5668</v>
      </c>
      <c r="G5672" s="109">
        <f t="shared" ca="1" si="97"/>
        <v>-3.7139492549591382E-2</v>
      </c>
    </row>
    <row r="5673" spans="2:7" x14ac:dyDescent="0.25">
      <c r="B5673" s="98"/>
      <c r="F5673">
        <v>5669</v>
      </c>
      <c r="G5673" s="109">
        <f t="shared" ca="1" si="97"/>
        <v>4.3859910963701308E-2</v>
      </c>
    </row>
    <row r="5674" spans="2:7" x14ac:dyDescent="0.25">
      <c r="B5674" s="98"/>
      <c r="F5674">
        <v>5670</v>
      </c>
      <c r="G5674" s="109">
        <f t="shared" ca="1" si="97"/>
        <v>-0.34829733514016303</v>
      </c>
    </row>
    <row r="5675" spans="2:7" x14ac:dyDescent="0.25">
      <c r="B5675" s="98"/>
      <c r="F5675">
        <v>5671</v>
      </c>
      <c r="G5675" s="109">
        <f t="shared" ca="1" si="97"/>
        <v>8.449853412040069E-2</v>
      </c>
    </row>
    <row r="5676" spans="2:7" x14ac:dyDescent="0.25">
      <c r="B5676" s="98"/>
      <c r="F5676">
        <v>5672</v>
      </c>
      <c r="G5676" s="109">
        <f t="shared" ca="1" si="97"/>
        <v>-0.22879267829613648</v>
      </c>
    </row>
    <row r="5677" spans="2:7" x14ac:dyDescent="0.25">
      <c r="B5677" s="98"/>
      <c r="F5677">
        <v>5673</v>
      </c>
      <c r="G5677" s="109">
        <f t="shared" ca="1" si="97"/>
        <v>3.9949083347254714E-2</v>
      </c>
    </row>
    <row r="5678" spans="2:7" x14ac:dyDescent="0.25">
      <c r="B5678" s="98"/>
      <c r="F5678">
        <v>5674</v>
      </c>
      <c r="G5678" s="109">
        <f t="shared" ca="1" si="97"/>
        <v>0.11246482401285265</v>
      </c>
    </row>
    <row r="5679" spans="2:7" x14ac:dyDescent="0.25">
      <c r="B5679" s="98"/>
      <c r="F5679">
        <v>5675</v>
      </c>
      <c r="G5679" s="109">
        <f t="shared" ca="1" si="97"/>
        <v>-4.5736653016808862E-2</v>
      </c>
    </row>
    <row r="5680" spans="2:7" x14ac:dyDescent="0.25">
      <c r="B5680" s="98"/>
      <c r="F5680">
        <v>5676</v>
      </c>
      <c r="G5680" s="109">
        <f t="shared" ca="1" si="97"/>
        <v>0.13129600623932641</v>
      </c>
    </row>
    <row r="5681" spans="2:7" x14ac:dyDescent="0.25">
      <c r="B5681" s="98"/>
      <c r="F5681">
        <v>5677</v>
      </c>
      <c r="G5681" s="109">
        <f t="shared" ca="1" si="97"/>
        <v>7.424981247211862E-2</v>
      </c>
    </row>
    <row r="5682" spans="2:7" x14ac:dyDescent="0.25">
      <c r="B5682" s="98"/>
      <c r="F5682">
        <v>5678</v>
      </c>
      <c r="G5682" s="109">
        <f t="shared" ca="1" si="97"/>
        <v>0.12863277369671403</v>
      </c>
    </row>
    <row r="5683" spans="2:7" x14ac:dyDescent="0.25">
      <c r="B5683" s="98"/>
      <c r="F5683">
        <v>5679</v>
      </c>
      <c r="G5683" s="109">
        <f t="shared" ca="1" si="97"/>
        <v>6.2358436122308229E-2</v>
      </c>
    </row>
    <row r="5684" spans="2:7" x14ac:dyDescent="0.25">
      <c r="B5684" s="98"/>
      <c r="F5684">
        <v>5680</v>
      </c>
      <c r="G5684" s="109">
        <f t="shared" ca="1" si="97"/>
        <v>0.15907056257335098</v>
      </c>
    </row>
    <row r="5685" spans="2:7" x14ac:dyDescent="0.25">
      <c r="B5685" s="98"/>
      <c r="F5685">
        <v>5681</v>
      </c>
      <c r="G5685" s="109">
        <f t="shared" ca="1" si="97"/>
        <v>0.14472368061973984</v>
      </c>
    </row>
    <row r="5686" spans="2:7" x14ac:dyDescent="0.25">
      <c r="B5686" s="98"/>
      <c r="F5686">
        <v>5682</v>
      </c>
      <c r="G5686" s="109">
        <f t="shared" ca="1" si="97"/>
        <v>0.18072508846520186</v>
      </c>
    </row>
    <row r="5687" spans="2:7" x14ac:dyDescent="0.25">
      <c r="B5687" s="98"/>
      <c r="F5687">
        <v>5683</v>
      </c>
      <c r="G5687" s="109">
        <f t="shared" ca="1" si="97"/>
        <v>3.3960154790460995E-2</v>
      </c>
    </row>
    <row r="5688" spans="2:7" x14ac:dyDescent="0.25">
      <c r="B5688" s="98"/>
      <c r="F5688">
        <v>5684</v>
      </c>
      <c r="G5688" s="109">
        <f t="shared" ca="1" si="97"/>
        <v>-4.8049348061203354E-2</v>
      </c>
    </row>
    <row r="5689" spans="2:7" x14ac:dyDescent="0.25">
      <c r="B5689" s="98"/>
      <c r="F5689">
        <v>5685</v>
      </c>
      <c r="G5689" s="109">
        <f t="shared" ca="1" si="97"/>
        <v>0.14472749822713665</v>
      </c>
    </row>
    <row r="5690" spans="2:7" x14ac:dyDescent="0.25">
      <c r="B5690" s="98"/>
      <c r="F5690">
        <v>5686</v>
      </c>
      <c r="G5690" s="109">
        <f t="shared" ca="1" si="97"/>
        <v>8.5122468772291612E-2</v>
      </c>
    </row>
    <row r="5691" spans="2:7" x14ac:dyDescent="0.25">
      <c r="B5691" s="98"/>
      <c r="F5691">
        <v>5687</v>
      </c>
      <c r="G5691" s="109">
        <f t="shared" ca="1" si="97"/>
        <v>9.4736109241749439E-2</v>
      </c>
    </row>
    <row r="5692" spans="2:7" x14ac:dyDescent="0.25">
      <c r="B5692" s="98"/>
      <c r="F5692">
        <v>5688</v>
      </c>
      <c r="G5692" s="109">
        <f t="shared" ca="1" si="97"/>
        <v>-0.10677416728663945</v>
      </c>
    </row>
    <row r="5693" spans="2:7" x14ac:dyDescent="0.25">
      <c r="B5693" s="98"/>
      <c r="F5693">
        <v>5689</v>
      </c>
      <c r="G5693" s="109">
        <f t="shared" ca="1" si="97"/>
        <v>6.833818778458145E-2</v>
      </c>
    </row>
    <row r="5694" spans="2:7" x14ac:dyDescent="0.25">
      <c r="B5694" s="98"/>
      <c r="F5694">
        <v>5690</v>
      </c>
      <c r="G5694" s="109">
        <f t="shared" ca="1" si="97"/>
        <v>6.7885088989009884E-2</v>
      </c>
    </row>
    <row r="5695" spans="2:7" x14ac:dyDescent="0.25">
      <c r="B5695" s="98"/>
      <c r="F5695">
        <v>5691</v>
      </c>
      <c r="G5695" s="109">
        <f t="shared" ca="1" si="97"/>
        <v>0.1200248904961231</v>
      </c>
    </row>
    <row r="5696" spans="2:7" x14ac:dyDescent="0.25">
      <c r="B5696" s="98"/>
      <c r="F5696">
        <v>5692</v>
      </c>
      <c r="G5696" s="109">
        <f t="shared" ca="1" si="97"/>
        <v>-1.0870408740402716E-2</v>
      </c>
    </row>
    <row r="5697" spans="2:7" x14ac:dyDescent="0.25">
      <c r="B5697" s="98"/>
      <c r="F5697">
        <v>5693</v>
      </c>
      <c r="G5697" s="109">
        <f t="shared" ca="1" si="97"/>
        <v>-8.1346515031095745E-4</v>
      </c>
    </row>
    <row r="5698" spans="2:7" x14ac:dyDescent="0.25">
      <c r="B5698" s="98"/>
      <c r="F5698">
        <v>5694</v>
      </c>
      <c r="G5698" s="109">
        <f t="shared" ca="1" si="97"/>
        <v>-1.3308658995544398E-2</v>
      </c>
    </row>
    <row r="5699" spans="2:7" x14ac:dyDescent="0.25">
      <c r="B5699" s="98"/>
      <c r="F5699">
        <v>5695</v>
      </c>
      <c r="G5699" s="109">
        <f t="shared" ca="1" si="97"/>
        <v>-8.7250397869697696E-2</v>
      </c>
    </row>
    <row r="5700" spans="2:7" x14ac:dyDescent="0.25">
      <c r="B5700" s="98"/>
      <c r="F5700">
        <v>5696</v>
      </c>
      <c r="G5700" s="109">
        <f t="shared" ca="1" si="97"/>
        <v>0.21864837271927379</v>
      </c>
    </row>
    <row r="5701" spans="2:7" x14ac:dyDescent="0.25">
      <c r="B5701" s="98"/>
      <c r="F5701">
        <v>5697</v>
      </c>
      <c r="G5701" s="109">
        <f t="shared" ca="1" si="97"/>
        <v>0.12457854682848177</v>
      </c>
    </row>
    <row r="5702" spans="2:7" x14ac:dyDescent="0.25">
      <c r="B5702" s="98"/>
      <c r="F5702">
        <v>5698</v>
      </c>
      <c r="G5702" s="109">
        <f t="shared" ref="G5702:G5765" ca="1" si="98">_xlfn.NORM.INV(RAND(),$M$5,$M$6)</f>
        <v>0.11591188325764551</v>
      </c>
    </row>
    <row r="5703" spans="2:7" x14ac:dyDescent="0.25">
      <c r="B5703" s="98"/>
      <c r="F5703">
        <v>5699</v>
      </c>
      <c r="G5703" s="109">
        <f t="shared" ca="1" si="98"/>
        <v>-2.9419059877789644E-2</v>
      </c>
    </row>
    <row r="5704" spans="2:7" x14ac:dyDescent="0.25">
      <c r="B5704" s="98"/>
      <c r="F5704">
        <v>5700</v>
      </c>
      <c r="G5704" s="109">
        <f t="shared" ca="1" si="98"/>
        <v>-1.9263012633813942E-2</v>
      </c>
    </row>
    <row r="5705" spans="2:7" x14ac:dyDescent="0.25">
      <c r="B5705" s="98"/>
      <c r="F5705">
        <v>5701</v>
      </c>
      <c r="G5705" s="109">
        <f t="shared" ca="1" si="98"/>
        <v>0.16766163657348881</v>
      </c>
    </row>
    <row r="5706" spans="2:7" x14ac:dyDescent="0.25">
      <c r="B5706" s="98"/>
      <c r="F5706">
        <v>5702</v>
      </c>
      <c r="G5706" s="109">
        <f t="shared" ca="1" si="98"/>
        <v>9.2912590152674501E-2</v>
      </c>
    </row>
    <row r="5707" spans="2:7" x14ac:dyDescent="0.25">
      <c r="B5707" s="98"/>
      <c r="F5707">
        <v>5703</v>
      </c>
      <c r="G5707" s="109">
        <f t="shared" ca="1" si="98"/>
        <v>1.966742367698986E-2</v>
      </c>
    </row>
    <row r="5708" spans="2:7" x14ac:dyDescent="0.25">
      <c r="B5708" s="98"/>
      <c r="F5708">
        <v>5704</v>
      </c>
      <c r="G5708" s="109">
        <f t="shared" ca="1" si="98"/>
        <v>-5.8346831057390663E-2</v>
      </c>
    </row>
    <row r="5709" spans="2:7" x14ac:dyDescent="0.25">
      <c r="B5709" s="98"/>
      <c r="F5709">
        <v>5705</v>
      </c>
      <c r="G5709" s="109">
        <f t="shared" ca="1" si="98"/>
        <v>0.20260914878109071</v>
      </c>
    </row>
    <row r="5710" spans="2:7" x14ac:dyDescent="0.25">
      <c r="B5710" s="98"/>
      <c r="F5710">
        <v>5706</v>
      </c>
      <c r="G5710" s="109">
        <f t="shared" ca="1" si="98"/>
        <v>0.21886030712320803</v>
      </c>
    </row>
    <row r="5711" spans="2:7" x14ac:dyDescent="0.25">
      <c r="B5711" s="98"/>
      <c r="F5711">
        <v>5707</v>
      </c>
      <c r="G5711" s="109">
        <f t="shared" ca="1" si="98"/>
        <v>9.7073842302865504E-2</v>
      </c>
    </row>
    <row r="5712" spans="2:7" x14ac:dyDescent="0.25">
      <c r="B5712" s="98"/>
      <c r="F5712">
        <v>5708</v>
      </c>
      <c r="G5712" s="109">
        <f t="shared" ca="1" si="98"/>
        <v>6.4894007421574709E-2</v>
      </c>
    </row>
    <row r="5713" spans="2:7" x14ac:dyDescent="0.25">
      <c r="B5713" s="98"/>
      <c r="F5713">
        <v>5709</v>
      </c>
      <c r="G5713" s="109">
        <f t="shared" ca="1" si="98"/>
        <v>-2.0285559510411125E-2</v>
      </c>
    </row>
    <row r="5714" spans="2:7" x14ac:dyDescent="0.25">
      <c r="B5714" s="98"/>
      <c r="F5714">
        <v>5710</v>
      </c>
      <c r="G5714" s="109">
        <f t="shared" ca="1" si="98"/>
        <v>0.25788365364907218</v>
      </c>
    </row>
    <row r="5715" spans="2:7" x14ac:dyDescent="0.25">
      <c r="B5715" s="98"/>
      <c r="F5715">
        <v>5711</v>
      </c>
      <c r="G5715" s="109">
        <f t="shared" ca="1" si="98"/>
        <v>-6.3615523460169313E-2</v>
      </c>
    </row>
    <row r="5716" spans="2:7" x14ac:dyDescent="0.25">
      <c r="B5716" s="98"/>
      <c r="F5716">
        <v>5712</v>
      </c>
      <c r="G5716" s="109">
        <f t="shared" ca="1" si="98"/>
        <v>-7.5956296431106601E-2</v>
      </c>
    </row>
    <row r="5717" spans="2:7" x14ac:dyDescent="0.25">
      <c r="B5717" s="98"/>
      <c r="F5717">
        <v>5713</v>
      </c>
      <c r="G5717" s="109">
        <f t="shared" ca="1" si="98"/>
        <v>0.12169239504783215</v>
      </c>
    </row>
    <row r="5718" spans="2:7" x14ac:dyDescent="0.25">
      <c r="B5718" s="98"/>
      <c r="F5718">
        <v>5714</v>
      </c>
      <c r="G5718" s="109">
        <f t="shared" ca="1" si="98"/>
        <v>0.11042297048432399</v>
      </c>
    </row>
    <row r="5719" spans="2:7" x14ac:dyDescent="0.25">
      <c r="B5719" s="98"/>
      <c r="F5719">
        <v>5715</v>
      </c>
      <c r="G5719" s="109">
        <f t="shared" ca="1" si="98"/>
        <v>0.26738484797591766</v>
      </c>
    </row>
    <row r="5720" spans="2:7" x14ac:dyDescent="0.25">
      <c r="B5720" s="98"/>
      <c r="F5720">
        <v>5716</v>
      </c>
      <c r="G5720" s="109">
        <f t="shared" ca="1" si="98"/>
        <v>-4.4399381522666134E-3</v>
      </c>
    </row>
    <row r="5721" spans="2:7" x14ac:dyDescent="0.25">
      <c r="B5721" s="98"/>
      <c r="F5721">
        <v>5717</v>
      </c>
      <c r="G5721" s="109">
        <f t="shared" ca="1" si="98"/>
        <v>0.10606092113176671</v>
      </c>
    </row>
    <row r="5722" spans="2:7" x14ac:dyDescent="0.25">
      <c r="B5722" s="98"/>
      <c r="F5722">
        <v>5718</v>
      </c>
      <c r="G5722" s="109">
        <f t="shared" ca="1" si="98"/>
        <v>6.0025143931357335E-2</v>
      </c>
    </row>
    <row r="5723" spans="2:7" x14ac:dyDescent="0.25">
      <c r="B5723" s="98"/>
      <c r="F5723">
        <v>5719</v>
      </c>
      <c r="G5723" s="109">
        <f t="shared" ca="1" si="98"/>
        <v>6.7278601080335912E-3</v>
      </c>
    </row>
    <row r="5724" spans="2:7" x14ac:dyDescent="0.25">
      <c r="B5724" s="98"/>
      <c r="F5724">
        <v>5720</v>
      </c>
      <c r="G5724" s="109">
        <f t="shared" ca="1" si="98"/>
        <v>0.14698709942522159</v>
      </c>
    </row>
    <row r="5725" spans="2:7" x14ac:dyDescent="0.25">
      <c r="B5725" s="98"/>
      <c r="F5725">
        <v>5721</v>
      </c>
      <c r="G5725" s="109">
        <f t="shared" ca="1" si="98"/>
        <v>7.1361953533368466E-2</v>
      </c>
    </row>
    <row r="5726" spans="2:7" x14ac:dyDescent="0.25">
      <c r="B5726" s="98"/>
      <c r="F5726">
        <v>5722</v>
      </c>
      <c r="G5726" s="109">
        <f t="shared" ca="1" si="98"/>
        <v>-0.1842493586339814</v>
      </c>
    </row>
    <row r="5727" spans="2:7" x14ac:dyDescent="0.25">
      <c r="B5727" s="98"/>
      <c r="F5727">
        <v>5723</v>
      </c>
      <c r="G5727" s="109">
        <f t="shared" ca="1" si="98"/>
        <v>-0.13332941055550729</v>
      </c>
    </row>
    <row r="5728" spans="2:7" x14ac:dyDescent="0.25">
      <c r="B5728" s="98"/>
      <c r="F5728">
        <v>5724</v>
      </c>
      <c r="G5728" s="109">
        <f t="shared" ca="1" si="98"/>
        <v>-2.4238958301377456E-2</v>
      </c>
    </row>
    <row r="5729" spans="2:7" x14ac:dyDescent="0.25">
      <c r="B5729" s="98"/>
      <c r="F5729">
        <v>5725</v>
      </c>
      <c r="G5729" s="109">
        <f t="shared" ca="1" si="98"/>
        <v>0.12351974542825392</v>
      </c>
    </row>
    <row r="5730" spans="2:7" x14ac:dyDescent="0.25">
      <c r="B5730" s="98"/>
      <c r="F5730">
        <v>5726</v>
      </c>
      <c r="G5730" s="109">
        <f t="shared" ca="1" si="98"/>
        <v>0.1969047669702414</v>
      </c>
    </row>
    <row r="5731" spans="2:7" x14ac:dyDescent="0.25">
      <c r="B5731" s="98"/>
      <c r="F5731">
        <v>5727</v>
      </c>
      <c r="G5731" s="109">
        <f t="shared" ca="1" si="98"/>
        <v>3.3931268850234168E-2</v>
      </c>
    </row>
    <row r="5732" spans="2:7" x14ac:dyDescent="0.25">
      <c r="B5732" s="98"/>
      <c r="F5732">
        <v>5728</v>
      </c>
      <c r="G5732" s="109">
        <f t="shared" ca="1" si="98"/>
        <v>0.10732835602644661</v>
      </c>
    </row>
    <row r="5733" spans="2:7" x14ac:dyDescent="0.25">
      <c r="B5733" s="98"/>
      <c r="F5733">
        <v>5729</v>
      </c>
      <c r="G5733" s="109">
        <f t="shared" ca="1" si="98"/>
        <v>7.2688926332318063E-2</v>
      </c>
    </row>
    <row r="5734" spans="2:7" x14ac:dyDescent="0.25">
      <c r="B5734" s="98"/>
      <c r="F5734">
        <v>5730</v>
      </c>
      <c r="G5734" s="109">
        <f t="shared" ca="1" si="98"/>
        <v>0.22338320167432202</v>
      </c>
    </row>
    <row r="5735" spans="2:7" x14ac:dyDescent="0.25">
      <c r="B5735" s="98"/>
      <c r="F5735">
        <v>5731</v>
      </c>
      <c r="G5735" s="109">
        <f t="shared" ca="1" si="98"/>
        <v>0.13120168369528179</v>
      </c>
    </row>
    <row r="5736" spans="2:7" x14ac:dyDescent="0.25">
      <c r="B5736" s="98"/>
      <c r="F5736">
        <v>5732</v>
      </c>
      <c r="G5736" s="109">
        <f t="shared" ca="1" si="98"/>
        <v>4.537742203558303E-2</v>
      </c>
    </row>
    <row r="5737" spans="2:7" x14ac:dyDescent="0.25">
      <c r="B5737" s="98"/>
      <c r="F5737">
        <v>5733</v>
      </c>
      <c r="G5737" s="109">
        <f t="shared" ca="1" si="98"/>
        <v>-9.3597840777611338E-2</v>
      </c>
    </row>
    <row r="5738" spans="2:7" x14ac:dyDescent="0.25">
      <c r="B5738" s="98"/>
      <c r="F5738">
        <v>5734</v>
      </c>
      <c r="G5738" s="109">
        <f t="shared" ca="1" si="98"/>
        <v>-8.9841651124068292E-3</v>
      </c>
    </row>
    <row r="5739" spans="2:7" x14ac:dyDescent="0.25">
      <c r="B5739" s="98"/>
      <c r="F5739">
        <v>5735</v>
      </c>
      <c r="G5739" s="109">
        <f t="shared" ca="1" si="98"/>
        <v>-9.2070780971412886E-3</v>
      </c>
    </row>
    <row r="5740" spans="2:7" x14ac:dyDescent="0.25">
      <c r="B5740" s="98"/>
      <c r="F5740">
        <v>5736</v>
      </c>
      <c r="G5740" s="109">
        <f t="shared" ca="1" si="98"/>
        <v>0.1409302837701189</v>
      </c>
    </row>
    <row r="5741" spans="2:7" x14ac:dyDescent="0.25">
      <c r="B5741" s="98"/>
      <c r="F5741">
        <v>5737</v>
      </c>
      <c r="G5741" s="109">
        <f t="shared" ca="1" si="98"/>
        <v>-8.6944956281938976E-2</v>
      </c>
    </row>
    <row r="5742" spans="2:7" x14ac:dyDescent="0.25">
      <c r="B5742" s="98"/>
      <c r="F5742">
        <v>5738</v>
      </c>
      <c r="G5742" s="109">
        <f t="shared" ca="1" si="98"/>
        <v>3.3429436405020524E-2</v>
      </c>
    </row>
    <row r="5743" spans="2:7" x14ac:dyDescent="0.25">
      <c r="B5743" s="98"/>
      <c r="F5743">
        <v>5739</v>
      </c>
      <c r="G5743" s="109">
        <f t="shared" ca="1" si="98"/>
        <v>5.076937407505059E-2</v>
      </c>
    </row>
    <row r="5744" spans="2:7" x14ac:dyDescent="0.25">
      <c r="B5744" s="98"/>
      <c r="F5744">
        <v>5740</v>
      </c>
      <c r="G5744" s="109">
        <f t="shared" ca="1" si="98"/>
        <v>0.19982876710249831</v>
      </c>
    </row>
    <row r="5745" spans="2:7" x14ac:dyDescent="0.25">
      <c r="B5745" s="98"/>
      <c r="F5745">
        <v>5741</v>
      </c>
      <c r="G5745" s="109">
        <f t="shared" ca="1" si="98"/>
        <v>0.1870807300709309</v>
      </c>
    </row>
    <row r="5746" spans="2:7" x14ac:dyDescent="0.25">
      <c r="B5746" s="98"/>
      <c r="F5746">
        <v>5742</v>
      </c>
      <c r="G5746" s="109">
        <f t="shared" ca="1" si="98"/>
        <v>-0.15433356250389413</v>
      </c>
    </row>
    <row r="5747" spans="2:7" x14ac:dyDescent="0.25">
      <c r="B5747" s="98"/>
      <c r="F5747">
        <v>5743</v>
      </c>
      <c r="G5747" s="109">
        <f t="shared" ca="1" si="98"/>
        <v>6.4898709987453285E-2</v>
      </c>
    </row>
    <row r="5748" spans="2:7" x14ac:dyDescent="0.25">
      <c r="B5748" s="98"/>
      <c r="F5748">
        <v>5744</v>
      </c>
      <c r="G5748" s="109">
        <f t="shared" ca="1" si="98"/>
        <v>0.15209202595612234</v>
      </c>
    </row>
    <row r="5749" spans="2:7" x14ac:dyDescent="0.25">
      <c r="B5749" s="98"/>
      <c r="F5749">
        <v>5745</v>
      </c>
      <c r="G5749" s="109">
        <f t="shared" ca="1" si="98"/>
        <v>0.32700375293256828</v>
      </c>
    </row>
    <row r="5750" spans="2:7" x14ac:dyDescent="0.25">
      <c r="B5750" s="98"/>
      <c r="F5750">
        <v>5746</v>
      </c>
      <c r="G5750" s="109">
        <f t="shared" ca="1" si="98"/>
        <v>0.20322638883125516</v>
      </c>
    </row>
    <row r="5751" spans="2:7" x14ac:dyDescent="0.25">
      <c r="B5751" s="98"/>
      <c r="F5751">
        <v>5747</v>
      </c>
      <c r="G5751" s="109">
        <f t="shared" ca="1" si="98"/>
        <v>1.8134639804431415E-2</v>
      </c>
    </row>
    <row r="5752" spans="2:7" x14ac:dyDescent="0.25">
      <c r="B5752" s="98"/>
      <c r="F5752">
        <v>5748</v>
      </c>
      <c r="G5752" s="109">
        <f t="shared" ca="1" si="98"/>
        <v>4.804349569555437E-2</v>
      </c>
    </row>
    <row r="5753" spans="2:7" x14ac:dyDescent="0.25">
      <c r="B5753" s="98"/>
      <c r="F5753">
        <v>5749</v>
      </c>
      <c r="G5753" s="109">
        <f t="shared" ca="1" si="98"/>
        <v>6.8785492019889788E-2</v>
      </c>
    </row>
    <row r="5754" spans="2:7" x14ac:dyDescent="0.25">
      <c r="B5754" s="98"/>
      <c r="F5754">
        <v>5750</v>
      </c>
      <c r="G5754" s="109">
        <f t="shared" ca="1" si="98"/>
        <v>8.5992472305575718E-2</v>
      </c>
    </row>
    <row r="5755" spans="2:7" x14ac:dyDescent="0.25">
      <c r="B5755" s="98"/>
      <c r="F5755">
        <v>5751</v>
      </c>
      <c r="G5755" s="109">
        <f t="shared" ca="1" si="98"/>
        <v>-1.7117204495945004E-3</v>
      </c>
    </row>
    <row r="5756" spans="2:7" x14ac:dyDescent="0.25">
      <c r="B5756" s="98"/>
      <c r="F5756">
        <v>5752</v>
      </c>
      <c r="G5756" s="109">
        <f t="shared" ca="1" si="98"/>
        <v>2.6806099445760925E-2</v>
      </c>
    </row>
    <row r="5757" spans="2:7" x14ac:dyDescent="0.25">
      <c r="B5757" s="98"/>
      <c r="F5757">
        <v>5753</v>
      </c>
      <c r="G5757" s="109">
        <f t="shared" ca="1" si="98"/>
        <v>7.679609820928647E-2</v>
      </c>
    </row>
    <row r="5758" spans="2:7" x14ac:dyDescent="0.25">
      <c r="B5758" s="98"/>
      <c r="F5758">
        <v>5754</v>
      </c>
      <c r="G5758" s="109">
        <f t="shared" ca="1" si="98"/>
        <v>1.1523374724060044E-2</v>
      </c>
    </row>
    <row r="5759" spans="2:7" x14ac:dyDescent="0.25">
      <c r="B5759" s="98"/>
      <c r="F5759">
        <v>5755</v>
      </c>
      <c r="G5759" s="109">
        <f t="shared" ca="1" si="98"/>
        <v>-2.8141100958182869E-2</v>
      </c>
    </row>
    <row r="5760" spans="2:7" x14ac:dyDescent="0.25">
      <c r="B5760" s="98"/>
      <c r="F5760">
        <v>5756</v>
      </c>
      <c r="G5760" s="109">
        <f t="shared" ca="1" si="98"/>
        <v>3.9865599099196625E-2</v>
      </c>
    </row>
    <row r="5761" spans="2:7" x14ac:dyDescent="0.25">
      <c r="B5761" s="98"/>
      <c r="F5761">
        <v>5757</v>
      </c>
      <c r="G5761" s="109">
        <f t="shared" ca="1" si="98"/>
        <v>-3.1505134291766212E-2</v>
      </c>
    </row>
    <row r="5762" spans="2:7" x14ac:dyDescent="0.25">
      <c r="B5762" s="98"/>
      <c r="F5762">
        <v>5758</v>
      </c>
      <c r="G5762" s="109">
        <f t="shared" ca="1" si="98"/>
        <v>0.17434904835703735</v>
      </c>
    </row>
    <row r="5763" spans="2:7" x14ac:dyDescent="0.25">
      <c r="B5763" s="98"/>
      <c r="F5763">
        <v>5759</v>
      </c>
      <c r="G5763" s="109">
        <f t="shared" ca="1" si="98"/>
        <v>0.13112082066688144</v>
      </c>
    </row>
    <row r="5764" spans="2:7" x14ac:dyDescent="0.25">
      <c r="B5764" s="98"/>
      <c r="F5764">
        <v>5760</v>
      </c>
      <c r="G5764" s="109">
        <f t="shared" ca="1" si="98"/>
        <v>-0.16453476347794638</v>
      </c>
    </row>
    <row r="5765" spans="2:7" x14ac:dyDescent="0.25">
      <c r="B5765" s="98"/>
      <c r="F5765">
        <v>5761</v>
      </c>
      <c r="G5765" s="109">
        <f t="shared" ca="1" si="98"/>
        <v>9.4843989187100436E-2</v>
      </c>
    </row>
    <row r="5766" spans="2:7" x14ac:dyDescent="0.25">
      <c r="B5766" s="98"/>
      <c r="F5766">
        <v>5762</v>
      </c>
      <c r="G5766" s="109">
        <f t="shared" ref="G5766:G5829" ca="1" si="99">_xlfn.NORM.INV(RAND(),$M$5,$M$6)</f>
        <v>9.9136869883440837E-2</v>
      </c>
    </row>
    <row r="5767" spans="2:7" x14ac:dyDescent="0.25">
      <c r="B5767" s="98"/>
      <c r="F5767">
        <v>5763</v>
      </c>
      <c r="G5767" s="109">
        <f t="shared" ca="1" si="99"/>
        <v>1.1983680631206972E-2</v>
      </c>
    </row>
    <row r="5768" spans="2:7" x14ac:dyDescent="0.25">
      <c r="B5768" s="98"/>
      <c r="F5768">
        <v>5764</v>
      </c>
      <c r="G5768" s="109">
        <f t="shared" ca="1" si="99"/>
        <v>0.10802803124314238</v>
      </c>
    </row>
    <row r="5769" spans="2:7" x14ac:dyDescent="0.25">
      <c r="B5769" s="98"/>
      <c r="F5769">
        <v>5765</v>
      </c>
      <c r="G5769" s="109">
        <f t="shared" ca="1" si="99"/>
        <v>-0.16451845773046209</v>
      </c>
    </row>
    <row r="5770" spans="2:7" x14ac:dyDescent="0.25">
      <c r="B5770" s="98"/>
      <c r="F5770">
        <v>5766</v>
      </c>
      <c r="G5770" s="109">
        <f t="shared" ca="1" si="99"/>
        <v>9.9956461910868766E-2</v>
      </c>
    </row>
    <row r="5771" spans="2:7" x14ac:dyDescent="0.25">
      <c r="B5771" s="98"/>
      <c r="F5771">
        <v>5767</v>
      </c>
      <c r="G5771" s="109">
        <f t="shared" ca="1" si="99"/>
        <v>1.6630192611019126E-3</v>
      </c>
    </row>
    <row r="5772" spans="2:7" x14ac:dyDescent="0.25">
      <c r="B5772" s="98"/>
      <c r="F5772">
        <v>5768</v>
      </c>
      <c r="G5772" s="109">
        <f t="shared" ca="1" si="99"/>
        <v>0.22365162016428686</v>
      </c>
    </row>
    <row r="5773" spans="2:7" x14ac:dyDescent="0.25">
      <c r="B5773" s="98"/>
      <c r="F5773">
        <v>5769</v>
      </c>
      <c r="G5773" s="109">
        <f t="shared" ca="1" si="99"/>
        <v>9.3718812754129355E-2</v>
      </c>
    </row>
    <row r="5774" spans="2:7" x14ac:dyDescent="0.25">
      <c r="B5774" s="98"/>
      <c r="F5774">
        <v>5770</v>
      </c>
      <c r="G5774" s="109">
        <f t="shared" ca="1" si="99"/>
        <v>6.8300974176035256E-2</v>
      </c>
    </row>
    <row r="5775" spans="2:7" x14ac:dyDescent="0.25">
      <c r="B5775" s="98"/>
      <c r="F5775">
        <v>5771</v>
      </c>
      <c r="G5775" s="109">
        <f t="shared" ca="1" si="99"/>
        <v>-5.2507000590198485E-3</v>
      </c>
    </row>
    <row r="5776" spans="2:7" x14ac:dyDescent="0.25">
      <c r="B5776" s="98"/>
      <c r="F5776">
        <v>5772</v>
      </c>
      <c r="G5776" s="109">
        <f t="shared" ca="1" si="99"/>
        <v>6.6134365227684622E-2</v>
      </c>
    </row>
    <row r="5777" spans="2:7" x14ac:dyDescent="0.25">
      <c r="B5777" s="98"/>
      <c r="F5777">
        <v>5773</v>
      </c>
      <c r="G5777" s="109">
        <f t="shared" ca="1" si="99"/>
        <v>8.2778419705960893E-2</v>
      </c>
    </row>
    <row r="5778" spans="2:7" x14ac:dyDescent="0.25">
      <c r="B5778" s="98"/>
      <c r="F5778">
        <v>5774</v>
      </c>
      <c r="G5778" s="109">
        <f t="shared" ca="1" si="99"/>
        <v>2.7634333148900663E-2</v>
      </c>
    </row>
    <row r="5779" spans="2:7" x14ac:dyDescent="0.25">
      <c r="B5779" s="98"/>
      <c r="F5779">
        <v>5775</v>
      </c>
      <c r="G5779" s="109">
        <f t="shared" ca="1" si="99"/>
        <v>-1.9206674904651472E-2</v>
      </c>
    </row>
    <row r="5780" spans="2:7" x14ac:dyDescent="0.25">
      <c r="B5780" s="98"/>
      <c r="F5780">
        <v>5776</v>
      </c>
      <c r="G5780" s="109">
        <f t="shared" ca="1" si="99"/>
        <v>6.0444525218444761E-2</v>
      </c>
    </row>
    <row r="5781" spans="2:7" x14ac:dyDescent="0.25">
      <c r="B5781" s="98"/>
      <c r="F5781">
        <v>5777</v>
      </c>
      <c r="G5781" s="109">
        <f t="shared" ca="1" si="99"/>
        <v>2.7649906753823561E-3</v>
      </c>
    </row>
    <row r="5782" spans="2:7" x14ac:dyDescent="0.25">
      <c r="B5782" s="98"/>
      <c r="F5782">
        <v>5778</v>
      </c>
      <c r="G5782" s="109">
        <f t="shared" ca="1" si="99"/>
        <v>0.10960253077616593</v>
      </c>
    </row>
    <row r="5783" spans="2:7" x14ac:dyDescent="0.25">
      <c r="B5783" s="98"/>
      <c r="F5783">
        <v>5779</v>
      </c>
      <c r="G5783" s="109">
        <f t="shared" ca="1" si="99"/>
        <v>0.12577421949129686</v>
      </c>
    </row>
    <row r="5784" spans="2:7" x14ac:dyDescent="0.25">
      <c r="B5784" s="98"/>
      <c r="F5784">
        <v>5780</v>
      </c>
      <c r="G5784" s="109">
        <f t="shared" ca="1" si="99"/>
        <v>-1.0691295566650806E-2</v>
      </c>
    </row>
    <row r="5785" spans="2:7" x14ac:dyDescent="0.25">
      <c r="B5785" s="98"/>
      <c r="F5785">
        <v>5781</v>
      </c>
      <c r="G5785" s="109">
        <f t="shared" ca="1" si="99"/>
        <v>-0.14854582400648497</v>
      </c>
    </row>
    <row r="5786" spans="2:7" x14ac:dyDescent="0.25">
      <c r="B5786" s="98"/>
      <c r="F5786">
        <v>5782</v>
      </c>
      <c r="G5786" s="109">
        <f t="shared" ca="1" si="99"/>
        <v>0.22865508537243312</v>
      </c>
    </row>
    <row r="5787" spans="2:7" x14ac:dyDescent="0.25">
      <c r="B5787" s="98"/>
      <c r="F5787">
        <v>5783</v>
      </c>
      <c r="G5787" s="109">
        <f t="shared" ca="1" si="99"/>
        <v>0.13382937154023342</v>
      </c>
    </row>
    <row r="5788" spans="2:7" x14ac:dyDescent="0.25">
      <c r="B5788" s="98"/>
      <c r="F5788">
        <v>5784</v>
      </c>
      <c r="G5788" s="109">
        <f t="shared" ca="1" si="99"/>
        <v>2.9291101850477438E-2</v>
      </c>
    </row>
    <row r="5789" spans="2:7" x14ac:dyDescent="0.25">
      <c r="B5789" s="98"/>
      <c r="F5789">
        <v>5785</v>
      </c>
      <c r="G5789" s="109">
        <f t="shared" ca="1" si="99"/>
        <v>0.27361010921958123</v>
      </c>
    </row>
    <row r="5790" spans="2:7" x14ac:dyDescent="0.25">
      <c r="B5790" s="98"/>
      <c r="F5790">
        <v>5786</v>
      </c>
      <c r="G5790" s="109">
        <f t="shared" ca="1" si="99"/>
        <v>2.6264884411990794E-2</v>
      </c>
    </row>
    <row r="5791" spans="2:7" x14ac:dyDescent="0.25">
      <c r="B5791" s="98"/>
      <c r="F5791">
        <v>5787</v>
      </c>
      <c r="G5791" s="109">
        <f t="shared" ca="1" si="99"/>
        <v>0.17599529909978201</v>
      </c>
    </row>
    <row r="5792" spans="2:7" x14ac:dyDescent="0.25">
      <c r="B5792" s="98"/>
      <c r="F5792">
        <v>5788</v>
      </c>
      <c r="G5792" s="109">
        <f t="shared" ca="1" si="99"/>
        <v>0.11370560220111472</v>
      </c>
    </row>
    <row r="5793" spans="2:7" x14ac:dyDescent="0.25">
      <c r="B5793" s="98"/>
      <c r="F5793">
        <v>5789</v>
      </c>
      <c r="G5793" s="109">
        <f t="shared" ca="1" si="99"/>
        <v>-4.6099833841976412E-2</v>
      </c>
    </row>
    <row r="5794" spans="2:7" x14ac:dyDescent="0.25">
      <c r="B5794" s="98"/>
      <c r="F5794">
        <v>5790</v>
      </c>
      <c r="G5794" s="109">
        <f t="shared" ca="1" si="99"/>
        <v>0.17964700987849636</v>
      </c>
    </row>
    <row r="5795" spans="2:7" x14ac:dyDescent="0.25">
      <c r="B5795" s="98"/>
      <c r="F5795">
        <v>5791</v>
      </c>
      <c r="G5795" s="109">
        <f t="shared" ca="1" si="99"/>
        <v>-0.16001852860818216</v>
      </c>
    </row>
    <row r="5796" spans="2:7" x14ac:dyDescent="0.25">
      <c r="B5796" s="98"/>
      <c r="F5796">
        <v>5792</v>
      </c>
      <c r="G5796" s="109">
        <f t="shared" ca="1" si="99"/>
        <v>-4.3172844808299984E-2</v>
      </c>
    </row>
    <row r="5797" spans="2:7" x14ac:dyDescent="0.25">
      <c r="B5797" s="98"/>
      <c r="F5797">
        <v>5793</v>
      </c>
      <c r="G5797" s="109">
        <f t="shared" ca="1" si="99"/>
        <v>1.1363424806849598E-2</v>
      </c>
    </row>
    <row r="5798" spans="2:7" x14ac:dyDescent="0.25">
      <c r="B5798" s="98"/>
      <c r="F5798">
        <v>5794</v>
      </c>
      <c r="G5798" s="109">
        <f t="shared" ca="1" si="99"/>
        <v>-3.6791049887464788E-2</v>
      </c>
    </row>
    <row r="5799" spans="2:7" x14ac:dyDescent="0.25">
      <c r="B5799" s="98"/>
      <c r="F5799">
        <v>5795</v>
      </c>
      <c r="G5799" s="109">
        <f t="shared" ca="1" si="99"/>
        <v>-1.3829969970724207E-2</v>
      </c>
    </row>
    <row r="5800" spans="2:7" x14ac:dyDescent="0.25">
      <c r="B5800" s="98"/>
      <c r="F5800">
        <v>5796</v>
      </c>
      <c r="G5800" s="109">
        <f t="shared" ca="1" si="99"/>
        <v>4.5239828966887795E-2</v>
      </c>
    </row>
    <row r="5801" spans="2:7" x14ac:dyDescent="0.25">
      <c r="B5801" s="98"/>
      <c r="F5801">
        <v>5797</v>
      </c>
      <c r="G5801" s="109">
        <f t="shared" ca="1" si="99"/>
        <v>8.0285530237060115E-2</v>
      </c>
    </row>
    <row r="5802" spans="2:7" x14ac:dyDescent="0.25">
      <c r="B5802" s="98"/>
      <c r="F5802">
        <v>5798</v>
      </c>
      <c r="G5802" s="109">
        <f t="shared" ca="1" si="99"/>
        <v>3.6299264859780356E-2</v>
      </c>
    </row>
    <row r="5803" spans="2:7" x14ac:dyDescent="0.25">
      <c r="B5803" s="98"/>
      <c r="F5803">
        <v>5799</v>
      </c>
      <c r="G5803" s="109">
        <f t="shared" ca="1" si="99"/>
        <v>1.3584780999078061E-2</v>
      </c>
    </row>
    <row r="5804" spans="2:7" x14ac:dyDescent="0.25">
      <c r="B5804" s="98"/>
      <c r="F5804">
        <v>5800</v>
      </c>
      <c r="G5804" s="109">
        <f t="shared" ca="1" si="99"/>
        <v>0.13961712760679978</v>
      </c>
    </row>
    <row r="5805" spans="2:7" x14ac:dyDescent="0.25">
      <c r="B5805" s="98"/>
      <c r="F5805">
        <v>5801</v>
      </c>
      <c r="G5805" s="109">
        <f t="shared" ca="1" si="99"/>
        <v>-0.14557440782738412</v>
      </c>
    </row>
    <row r="5806" spans="2:7" x14ac:dyDescent="0.25">
      <c r="B5806" s="98"/>
      <c r="F5806">
        <v>5802</v>
      </c>
      <c r="G5806" s="109">
        <f t="shared" ca="1" si="99"/>
        <v>2.6137286547777361E-2</v>
      </c>
    </row>
    <row r="5807" spans="2:7" x14ac:dyDescent="0.25">
      <c r="B5807" s="98"/>
      <c r="F5807">
        <v>5803</v>
      </c>
      <c r="G5807" s="109">
        <f t="shared" ca="1" si="99"/>
        <v>0.10313830765809945</v>
      </c>
    </row>
    <row r="5808" spans="2:7" x14ac:dyDescent="0.25">
      <c r="B5808" s="98"/>
      <c r="F5808">
        <v>5804</v>
      </c>
      <c r="G5808" s="109">
        <f t="shared" ca="1" si="99"/>
        <v>5.0137398196219755E-2</v>
      </c>
    </row>
    <row r="5809" spans="2:7" x14ac:dyDescent="0.25">
      <c r="B5809" s="98"/>
      <c r="F5809">
        <v>5805</v>
      </c>
      <c r="G5809" s="109">
        <f t="shared" ca="1" si="99"/>
        <v>-6.0736496749180441E-2</v>
      </c>
    </row>
    <row r="5810" spans="2:7" x14ac:dyDescent="0.25">
      <c r="B5810" s="98"/>
      <c r="F5810">
        <v>5806</v>
      </c>
      <c r="G5810" s="109">
        <f t="shared" ca="1" si="99"/>
        <v>5.4803508055201094E-2</v>
      </c>
    </row>
    <row r="5811" spans="2:7" x14ac:dyDescent="0.25">
      <c r="B5811" s="98"/>
      <c r="F5811">
        <v>5807</v>
      </c>
      <c r="G5811" s="109">
        <f t="shared" ca="1" si="99"/>
        <v>0.19242882868284555</v>
      </c>
    </row>
    <row r="5812" spans="2:7" x14ac:dyDescent="0.25">
      <c r="B5812" s="98"/>
      <c r="F5812">
        <v>5808</v>
      </c>
      <c r="G5812" s="109">
        <f t="shared" ca="1" si="99"/>
        <v>-7.5618011376286834E-2</v>
      </c>
    </row>
    <row r="5813" spans="2:7" x14ac:dyDescent="0.25">
      <c r="B5813" s="98"/>
      <c r="F5813">
        <v>5809</v>
      </c>
      <c r="G5813" s="109">
        <f t="shared" ca="1" si="99"/>
        <v>1.5133090045956317E-2</v>
      </c>
    </row>
    <row r="5814" spans="2:7" x14ac:dyDescent="0.25">
      <c r="B5814" s="98"/>
      <c r="F5814">
        <v>5810</v>
      </c>
      <c r="G5814" s="109">
        <f t="shared" ca="1" si="99"/>
        <v>-3.9502509487727974E-2</v>
      </c>
    </row>
    <row r="5815" spans="2:7" x14ac:dyDescent="0.25">
      <c r="B5815" s="98"/>
      <c r="F5815">
        <v>5811</v>
      </c>
      <c r="G5815" s="109">
        <f t="shared" ca="1" si="99"/>
        <v>6.3203748114975034E-2</v>
      </c>
    </row>
    <row r="5816" spans="2:7" x14ac:dyDescent="0.25">
      <c r="B5816" s="98"/>
      <c r="F5816">
        <v>5812</v>
      </c>
      <c r="G5816" s="109">
        <f t="shared" ca="1" si="99"/>
        <v>3.3009355935041361E-2</v>
      </c>
    </row>
    <row r="5817" spans="2:7" x14ac:dyDescent="0.25">
      <c r="B5817" s="98"/>
      <c r="F5817">
        <v>5813</v>
      </c>
      <c r="G5817" s="109">
        <f t="shared" ca="1" si="99"/>
        <v>2.6414934535824629E-2</v>
      </c>
    </row>
    <row r="5818" spans="2:7" x14ac:dyDescent="0.25">
      <c r="B5818" s="98"/>
      <c r="F5818">
        <v>5814</v>
      </c>
      <c r="G5818" s="109">
        <f t="shared" ca="1" si="99"/>
        <v>5.0908618118157875E-2</v>
      </c>
    </row>
    <row r="5819" spans="2:7" x14ac:dyDescent="0.25">
      <c r="B5819" s="98"/>
      <c r="F5819">
        <v>5815</v>
      </c>
      <c r="G5819" s="109">
        <f t="shared" ca="1" si="99"/>
        <v>-6.1516606864349538E-3</v>
      </c>
    </row>
    <row r="5820" spans="2:7" x14ac:dyDescent="0.25">
      <c r="B5820" s="98"/>
      <c r="F5820">
        <v>5816</v>
      </c>
      <c r="G5820" s="109">
        <f t="shared" ca="1" si="99"/>
        <v>3.2499976594758256E-2</v>
      </c>
    </row>
    <row r="5821" spans="2:7" x14ac:dyDescent="0.25">
      <c r="B5821" s="98"/>
      <c r="F5821">
        <v>5817</v>
      </c>
      <c r="G5821" s="109">
        <f t="shared" ca="1" si="99"/>
        <v>0.17241276970687736</v>
      </c>
    </row>
    <row r="5822" spans="2:7" x14ac:dyDescent="0.25">
      <c r="B5822" s="98"/>
      <c r="F5822">
        <v>5818</v>
      </c>
      <c r="G5822" s="109">
        <f t="shared" ca="1" si="99"/>
        <v>0.15912302861014518</v>
      </c>
    </row>
    <row r="5823" spans="2:7" x14ac:dyDescent="0.25">
      <c r="B5823" s="98"/>
      <c r="F5823">
        <v>5819</v>
      </c>
      <c r="G5823" s="109">
        <f t="shared" ca="1" si="99"/>
        <v>0.18931757490359125</v>
      </c>
    </row>
    <row r="5824" spans="2:7" x14ac:dyDescent="0.25">
      <c r="B5824" s="98"/>
      <c r="F5824">
        <v>5820</v>
      </c>
      <c r="G5824" s="109">
        <f t="shared" ca="1" si="99"/>
        <v>0.10986604572044835</v>
      </c>
    </row>
    <row r="5825" spans="2:7" x14ac:dyDescent="0.25">
      <c r="B5825" s="98"/>
      <c r="F5825">
        <v>5821</v>
      </c>
      <c r="G5825" s="109">
        <f t="shared" ca="1" si="99"/>
        <v>0.18572572907147894</v>
      </c>
    </row>
    <row r="5826" spans="2:7" x14ac:dyDescent="0.25">
      <c r="B5826" s="98"/>
      <c r="F5826">
        <v>5822</v>
      </c>
      <c r="G5826" s="109">
        <f t="shared" ca="1" si="99"/>
        <v>1.7702530968533102E-2</v>
      </c>
    </row>
    <row r="5827" spans="2:7" x14ac:dyDescent="0.25">
      <c r="B5827" s="98"/>
      <c r="F5827">
        <v>5823</v>
      </c>
      <c r="G5827" s="109">
        <f t="shared" ca="1" si="99"/>
        <v>1.799038791672699E-2</v>
      </c>
    </row>
    <row r="5828" spans="2:7" x14ac:dyDescent="0.25">
      <c r="B5828" s="98"/>
      <c r="F5828">
        <v>5824</v>
      </c>
      <c r="G5828" s="109">
        <f t="shared" ca="1" si="99"/>
        <v>0.12297407300368147</v>
      </c>
    </row>
    <row r="5829" spans="2:7" x14ac:dyDescent="0.25">
      <c r="B5829" s="98"/>
      <c r="F5829">
        <v>5825</v>
      </c>
      <c r="G5829" s="109">
        <f t="shared" ca="1" si="99"/>
        <v>-3.1246805117577256E-2</v>
      </c>
    </row>
    <row r="5830" spans="2:7" x14ac:dyDescent="0.25">
      <c r="B5830" s="98"/>
      <c r="F5830">
        <v>5826</v>
      </c>
      <c r="G5830" s="109">
        <f t="shared" ref="G5830:G5893" ca="1" si="100">_xlfn.NORM.INV(RAND(),$M$5,$M$6)</f>
        <v>0.10599204978236962</v>
      </c>
    </row>
    <row r="5831" spans="2:7" x14ac:dyDescent="0.25">
      <c r="B5831" s="98"/>
      <c r="F5831">
        <v>5827</v>
      </c>
      <c r="G5831" s="109">
        <f t="shared" ca="1" si="100"/>
        <v>0.19926106272574307</v>
      </c>
    </row>
    <row r="5832" spans="2:7" x14ac:dyDescent="0.25">
      <c r="B5832" s="98"/>
      <c r="F5832">
        <v>5828</v>
      </c>
      <c r="G5832" s="109">
        <f t="shared" ca="1" si="100"/>
        <v>0.13178608173833717</v>
      </c>
    </row>
    <row r="5833" spans="2:7" x14ac:dyDescent="0.25">
      <c r="B5833" s="98"/>
      <c r="F5833">
        <v>5829</v>
      </c>
      <c r="G5833" s="109">
        <f t="shared" ca="1" si="100"/>
        <v>0.16489783153990795</v>
      </c>
    </row>
    <row r="5834" spans="2:7" x14ac:dyDescent="0.25">
      <c r="B5834" s="98"/>
      <c r="F5834">
        <v>5830</v>
      </c>
      <c r="G5834" s="109">
        <f t="shared" ca="1" si="100"/>
        <v>-1.3191387906815379E-2</v>
      </c>
    </row>
    <row r="5835" spans="2:7" x14ac:dyDescent="0.25">
      <c r="B5835" s="98"/>
      <c r="F5835">
        <v>5831</v>
      </c>
      <c r="G5835" s="109">
        <f t="shared" ca="1" si="100"/>
        <v>0.16195986438394325</v>
      </c>
    </row>
    <row r="5836" spans="2:7" x14ac:dyDescent="0.25">
      <c r="B5836" s="98"/>
      <c r="F5836">
        <v>5832</v>
      </c>
      <c r="G5836" s="109">
        <f t="shared" ca="1" si="100"/>
        <v>-0.15207421923072462</v>
      </c>
    </row>
    <row r="5837" spans="2:7" x14ac:dyDescent="0.25">
      <c r="B5837" s="98"/>
      <c r="F5837">
        <v>5833</v>
      </c>
      <c r="G5837" s="109">
        <f t="shared" ca="1" si="100"/>
        <v>9.0599597884131355E-2</v>
      </c>
    </row>
    <row r="5838" spans="2:7" x14ac:dyDescent="0.25">
      <c r="B5838" s="98"/>
      <c r="F5838">
        <v>5834</v>
      </c>
      <c r="G5838" s="109">
        <f t="shared" ca="1" si="100"/>
        <v>2.5469908777296678E-2</v>
      </c>
    </row>
    <row r="5839" spans="2:7" x14ac:dyDescent="0.25">
      <c r="B5839" s="98"/>
      <c r="F5839">
        <v>5835</v>
      </c>
      <c r="G5839" s="109">
        <f t="shared" ca="1" si="100"/>
        <v>-6.1680899459021457E-2</v>
      </c>
    </row>
    <row r="5840" spans="2:7" x14ac:dyDescent="0.25">
      <c r="B5840" s="98"/>
      <c r="F5840">
        <v>5836</v>
      </c>
      <c r="G5840" s="109">
        <f t="shared" ca="1" si="100"/>
        <v>-0.11254203206125528</v>
      </c>
    </row>
    <row r="5841" spans="2:7" x14ac:dyDescent="0.25">
      <c r="B5841" s="98"/>
      <c r="F5841">
        <v>5837</v>
      </c>
      <c r="G5841" s="109">
        <f t="shared" ca="1" si="100"/>
        <v>-7.0573461479376848E-2</v>
      </c>
    </row>
    <row r="5842" spans="2:7" x14ac:dyDescent="0.25">
      <c r="B5842" s="98"/>
      <c r="F5842">
        <v>5838</v>
      </c>
      <c r="G5842" s="109">
        <f t="shared" ca="1" si="100"/>
        <v>0.1450779056711492</v>
      </c>
    </row>
    <row r="5843" spans="2:7" x14ac:dyDescent="0.25">
      <c r="B5843" s="98"/>
      <c r="F5843">
        <v>5839</v>
      </c>
      <c r="G5843" s="109">
        <f t="shared" ca="1" si="100"/>
        <v>5.4671591228212767E-2</v>
      </c>
    </row>
    <row r="5844" spans="2:7" x14ac:dyDescent="0.25">
      <c r="B5844" s="98"/>
      <c r="F5844">
        <v>5840</v>
      </c>
      <c r="G5844" s="109">
        <f t="shared" ca="1" si="100"/>
        <v>2.4790920223931992E-2</v>
      </c>
    </row>
    <row r="5845" spans="2:7" x14ac:dyDescent="0.25">
      <c r="B5845" s="98"/>
      <c r="F5845">
        <v>5841</v>
      </c>
      <c r="G5845" s="109">
        <f t="shared" ca="1" si="100"/>
        <v>0.18558038573540747</v>
      </c>
    </row>
    <row r="5846" spans="2:7" x14ac:dyDescent="0.25">
      <c r="B5846" s="98"/>
      <c r="F5846">
        <v>5842</v>
      </c>
      <c r="G5846" s="109">
        <f t="shared" ca="1" si="100"/>
        <v>-0.22788827933606459</v>
      </c>
    </row>
    <row r="5847" spans="2:7" x14ac:dyDescent="0.25">
      <c r="B5847" s="98"/>
      <c r="F5847">
        <v>5843</v>
      </c>
      <c r="G5847" s="109">
        <f t="shared" ca="1" si="100"/>
        <v>0.18561548756872703</v>
      </c>
    </row>
    <row r="5848" spans="2:7" x14ac:dyDescent="0.25">
      <c r="B5848" s="98"/>
      <c r="F5848">
        <v>5844</v>
      </c>
      <c r="G5848" s="109">
        <f t="shared" ca="1" si="100"/>
        <v>9.8387793761634243E-2</v>
      </c>
    </row>
    <row r="5849" spans="2:7" x14ac:dyDescent="0.25">
      <c r="B5849" s="98"/>
      <c r="F5849">
        <v>5845</v>
      </c>
      <c r="G5849" s="109">
        <f t="shared" ca="1" si="100"/>
        <v>9.7480671949454006E-2</v>
      </c>
    </row>
    <row r="5850" spans="2:7" x14ac:dyDescent="0.25">
      <c r="B5850" s="98"/>
      <c r="F5850">
        <v>5846</v>
      </c>
      <c r="G5850" s="109">
        <f t="shared" ca="1" si="100"/>
        <v>1.1135833696991962E-3</v>
      </c>
    </row>
    <row r="5851" spans="2:7" x14ac:dyDescent="0.25">
      <c r="B5851" s="98"/>
      <c r="F5851">
        <v>5847</v>
      </c>
      <c r="G5851" s="109">
        <f t="shared" ca="1" si="100"/>
        <v>-0.12647308251457795</v>
      </c>
    </row>
    <row r="5852" spans="2:7" x14ac:dyDescent="0.25">
      <c r="B5852" s="98"/>
      <c r="F5852">
        <v>5848</v>
      </c>
      <c r="G5852" s="109">
        <f t="shared" ca="1" si="100"/>
        <v>0.10675792303943626</v>
      </c>
    </row>
    <row r="5853" spans="2:7" x14ac:dyDescent="0.25">
      <c r="B5853" s="98"/>
      <c r="F5853">
        <v>5849</v>
      </c>
      <c r="G5853" s="109">
        <f t="shared" ca="1" si="100"/>
        <v>2.579249127018729E-2</v>
      </c>
    </row>
    <row r="5854" spans="2:7" x14ac:dyDescent="0.25">
      <c r="B5854" s="98"/>
      <c r="F5854">
        <v>5850</v>
      </c>
      <c r="G5854" s="109">
        <f t="shared" ca="1" si="100"/>
        <v>0.18226580232138939</v>
      </c>
    </row>
    <row r="5855" spans="2:7" x14ac:dyDescent="0.25">
      <c r="B5855" s="98"/>
      <c r="F5855">
        <v>5851</v>
      </c>
      <c r="G5855" s="109">
        <f t="shared" ca="1" si="100"/>
        <v>-0.16174967068802049</v>
      </c>
    </row>
    <row r="5856" spans="2:7" x14ac:dyDescent="0.25">
      <c r="B5856" s="98"/>
      <c r="F5856">
        <v>5852</v>
      </c>
      <c r="G5856" s="109">
        <f t="shared" ca="1" si="100"/>
        <v>0.19096359684365538</v>
      </c>
    </row>
    <row r="5857" spans="2:7" x14ac:dyDescent="0.25">
      <c r="B5857" s="98"/>
      <c r="F5857">
        <v>5853</v>
      </c>
      <c r="G5857" s="109">
        <f t="shared" ca="1" si="100"/>
        <v>4.5556255214385388E-3</v>
      </c>
    </row>
    <row r="5858" spans="2:7" x14ac:dyDescent="0.25">
      <c r="B5858" s="98"/>
      <c r="F5858">
        <v>5854</v>
      </c>
      <c r="G5858" s="109">
        <f t="shared" ca="1" si="100"/>
        <v>0.11997054966679505</v>
      </c>
    </row>
    <row r="5859" spans="2:7" x14ac:dyDescent="0.25">
      <c r="B5859" s="98"/>
      <c r="F5859">
        <v>5855</v>
      </c>
      <c r="G5859" s="109">
        <f t="shared" ca="1" si="100"/>
        <v>0.21620175175762224</v>
      </c>
    </row>
    <row r="5860" spans="2:7" x14ac:dyDescent="0.25">
      <c r="B5860" s="98"/>
      <c r="F5860">
        <v>5856</v>
      </c>
      <c r="G5860" s="109">
        <f t="shared" ca="1" si="100"/>
        <v>5.0718923217925004E-2</v>
      </c>
    </row>
    <row r="5861" spans="2:7" x14ac:dyDescent="0.25">
      <c r="B5861" s="98"/>
      <c r="F5861">
        <v>5857</v>
      </c>
      <c r="G5861" s="109">
        <f t="shared" ca="1" si="100"/>
        <v>-1.3701748712040204E-3</v>
      </c>
    </row>
    <row r="5862" spans="2:7" x14ac:dyDescent="0.25">
      <c r="B5862" s="98"/>
      <c r="F5862">
        <v>5858</v>
      </c>
      <c r="G5862" s="109">
        <f t="shared" ca="1" si="100"/>
        <v>-0.16395166827428381</v>
      </c>
    </row>
    <row r="5863" spans="2:7" x14ac:dyDescent="0.25">
      <c r="B5863" s="98"/>
      <c r="F5863">
        <v>5859</v>
      </c>
      <c r="G5863" s="109">
        <f t="shared" ca="1" si="100"/>
        <v>0.24667442258630184</v>
      </c>
    </row>
    <row r="5864" spans="2:7" x14ac:dyDescent="0.25">
      <c r="B5864" s="98"/>
      <c r="F5864">
        <v>5860</v>
      </c>
      <c r="G5864" s="109">
        <f t="shared" ca="1" si="100"/>
        <v>-8.2126420652931617E-2</v>
      </c>
    </row>
    <row r="5865" spans="2:7" x14ac:dyDescent="0.25">
      <c r="B5865" s="98"/>
      <c r="F5865">
        <v>5861</v>
      </c>
      <c r="G5865" s="109">
        <f t="shared" ca="1" si="100"/>
        <v>-8.0093407445308087E-3</v>
      </c>
    </row>
    <row r="5866" spans="2:7" x14ac:dyDescent="0.25">
      <c r="B5866" s="98"/>
      <c r="F5866">
        <v>5862</v>
      </c>
      <c r="G5866" s="109">
        <f t="shared" ca="1" si="100"/>
        <v>0.12861710414428035</v>
      </c>
    </row>
    <row r="5867" spans="2:7" x14ac:dyDescent="0.25">
      <c r="B5867" s="98"/>
      <c r="F5867">
        <v>5863</v>
      </c>
      <c r="G5867" s="109">
        <f t="shared" ca="1" si="100"/>
        <v>0.15472952024218892</v>
      </c>
    </row>
    <row r="5868" spans="2:7" x14ac:dyDescent="0.25">
      <c r="B5868" s="98"/>
      <c r="F5868">
        <v>5864</v>
      </c>
      <c r="G5868" s="109">
        <f t="shared" ca="1" si="100"/>
        <v>0.1490507907787601</v>
      </c>
    </row>
    <row r="5869" spans="2:7" x14ac:dyDescent="0.25">
      <c r="B5869" s="98"/>
      <c r="F5869">
        <v>5865</v>
      </c>
      <c r="G5869" s="109">
        <f t="shared" ca="1" si="100"/>
        <v>1.1289693139130391E-2</v>
      </c>
    </row>
    <row r="5870" spans="2:7" x14ac:dyDescent="0.25">
      <c r="B5870" s="98"/>
      <c r="F5870">
        <v>5866</v>
      </c>
      <c r="G5870" s="109">
        <f t="shared" ca="1" si="100"/>
        <v>-9.685451506235003E-2</v>
      </c>
    </row>
    <row r="5871" spans="2:7" x14ac:dyDescent="0.25">
      <c r="B5871" s="98"/>
      <c r="F5871">
        <v>5867</v>
      </c>
      <c r="G5871" s="109">
        <f t="shared" ca="1" si="100"/>
        <v>6.3424589518152108E-2</v>
      </c>
    </row>
    <row r="5872" spans="2:7" x14ac:dyDescent="0.25">
      <c r="B5872" s="98"/>
      <c r="F5872">
        <v>5868</v>
      </c>
      <c r="G5872" s="109">
        <f t="shared" ca="1" si="100"/>
        <v>2.9592166088989874E-2</v>
      </c>
    </row>
    <row r="5873" spans="2:7" x14ac:dyDescent="0.25">
      <c r="B5873" s="98"/>
      <c r="F5873">
        <v>5869</v>
      </c>
      <c r="G5873" s="109">
        <f t="shared" ca="1" si="100"/>
        <v>-7.6122186985963514E-4</v>
      </c>
    </row>
    <row r="5874" spans="2:7" x14ac:dyDescent="0.25">
      <c r="B5874" s="98"/>
      <c r="F5874">
        <v>5870</v>
      </c>
      <c r="G5874" s="109">
        <f t="shared" ca="1" si="100"/>
        <v>0.11123075100864298</v>
      </c>
    </row>
    <row r="5875" spans="2:7" x14ac:dyDescent="0.25">
      <c r="B5875" s="98"/>
      <c r="F5875">
        <v>5871</v>
      </c>
      <c r="G5875" s="109">
        <f t="shared" ca="1" si="100"/>
        <v>-0.11792631167890326</v>
      </c>
    </row>
    <row r="5876" spans="2:7" x14ac:dyDescent="0.25">
      <c r="B5876" s="98"/>
      <c r="F5876">
        <v>5872</v>
      </c>
      <c r="G5876" s="109">
        <f t="shared" ca="1" si="100"/>
        <v>5.9247188811909726E-2</v>
      </c>
    </row>
    <row r="5877" spans="2:7" x14ac:dyDescent="0.25">
      <c r="B5877" s="98"/>
      <c r="F5877">
        <v>5873</v>
      </c>
      <c r="G5877" s="109">
        <f t="shared" ca="1" si="100"/>
        <v>-4.3271806417515143E-2</v>
      </c>
    </row>
    <row r="5878" spans="2:7" x14ac:dyDescent="0.25">
      <c r="B5878" s="98"/>
      <c r="F5878">
        <v>5874</v>
      </c>
      <c r="G5878" s="109">
        <f t="shared" ca="1" si="100"/>
        <v>8.4187981059686112E-2</v>
      </c>
    </row>
    <row r="5879" spans="2:7" x14ac:dyDescent="0.25">
      <c r="B5879" s="98"/>
      <c r="F5879">
        <v>5875</v>
      </c>
      <c r="G5879" s="109">
        <f t="shared" ca="1" si="100"/>
        <v>4.2304802624416549E-2</v>
      </c>
    </row>
    <row r="5880" spans="2:7" x14ac:dyDescent="0.25">
      <c r="B5880" s="98"/>
      <c r="F5880">
        <v>5876</v>
      </c>
      <c r="G5880" s="109">
        <f t="shared" ca="1" si="100"/>
        <v>3.6069200287160132E-2</v>
      </c>
    </row>
    <row r="5881" spans="2:7" x14ac:dyDescent="0.25">
      <c r="B5881" s="98"/>
      <c r="F5881">
        <v>5877</v>
      </c>
      <c r="G5881" s="109">
        <f t="shared" ca="1" si="100"/>
        <v>-9.5891490445894276E-2</v>
      </c>
    </row>
    <row r="5882" spans="2:7" x14ac:dyDescent="0.25">
      <c r="B5882" s="98"/>
      <c r="F5882">
        <v>5878</v>
      </c>
      <c r="G5882" s="109">
        <f t="shared" ca="1" si="100"/>
        <v>0.11762510181716471</v>
      </c>
    </row>
    <row r="5883" spans="2:7" x14ac:dyDescent="0.25">
      <c r="B5883" s="98"/>
      <c r="F5883">
        <v>5879</v>
      </c>
      <c r="G5883" s="109">
        <f t="shared" ca="1" si="100"/>
        <v>-7.7219151171962444E-2</v>
      </c>
    </row>
    <row r="5884" spans="2:7" x14ac:dyDescent="0.25">
      <c r="B5884" s="98"/>
      <c r="F5884">
        <v>5880</v>
      </c>
      <c r="G5884" s="109">
        <f t="shared" ca="1" si="100"/>
        <v>-0.10035055946400749</v>
      </c>
    </row>
    <row r="5885" spans="2:7" x14ac:dyDescent="0.25">
      <c r="B5885" s="98"/>
      <c r="F5885">
        <v>5881</v>
      </c>
      <c r="G5885" s="109">
        <f t="shared" ca="1" si="100"/>
        <v>2.5101108267019372E-2</v>
      </c>
    </row>
    <row r="5886" spans="2:7" x14ac:dyDescent="0.25">
      <c r="B5886" s="98"/>
      <c r="F5886">
        <v>5882</v>
      </c>
      <c r="G5886" s="109">
        <f t="shared" ca="1" si="100"/>
        <v>-0.15847811686700397</v>
      </c>
    </row>
    <row r="5887" spans="2:7" x14ac:dyDescent="0.25">
      <c r="B5887" s="98"/>
      <c r="F5887">
        <v>5883</v>
      </c>
      <c r="G5887" s="109">
        <f t="shared" ca="1" si="100"/>
        <v>9.7716854586445134E-2</v>
      </c>
    </row>
    <row r="5888" spans="2:7" x14ac:dyDescent="0.25">
      <c r="B5888" s="98"/>
      <c r="F5888">
        <v>5884</v>
      </c>
      <c r="G5888" s="109">
        <f t="shared" ca="1" si="100"/>
        <v>9.213832256268395E-2</v>
      </c>
    </row>
    <row r="5889" spans="2:7" x14ac:dyDescent="0.25">
      <c r="B5889" s="98"/>
      <c r="F5889">
        <v>5885</v>
      </c>
      <c r="G5889" s="109">
        <f t="shared" ca="1" si="100"/>
        <v>-0.16148850432984929</v>
      </c>
    </row>
    <row r="5890" spans="2:7" x14ac:dyDescent="0.25">
      <c r="B5890" s="98"/>
      <c r="F5890">
        <v>5886</v>
      </c>
      <c r="G5890" s="109">
        <f t="shared" ca="1" si="100"/>
        <v>5.8984753917798921E-2</v>
      </c>
    </row>
    <row r="5891" spans="2:7" x14ac:dyDescent="0.25">
      <c r="B5891" s="98"/>
      <c r="F5891">
        <v>5887</v>
      </c>
      <c r="G5891" s="109">
        <f t="shared" ca="1" si="100"/>
        <v>1.9409077441337411E-2</v>
      </c>
    </row>
    <row r="5892" spans="2:7" x14ac:dyDescent="0.25">
      <c r="B5892" s="98"/>
      <c r="F5892">
        <v>5888</v>
      </c>
      <c r="G5892" s="109">
        <f t="shared" ca="1" si="100"/>
        <v>-8.6498723538047037E-2</v>
      </c>
    </row>
    <row r="5893" spans="2:7" x14ac:dyDescent="0.25">
      <c r="B5893" s="98"/>
      <c r="F5893">
        <v>5889</v>
      </c>
      <c r="G5893" s="109">
        <f t="shared" ca="1" si="100"/>
        <v>-3.1805968662453707E-2</v>
      </c>
    </row>
    <row r="5894" spans="2:7" x14ac:dyDescent="0.25">
      <c r="B5894" s="98"/>
      <c r="F5894">
        <v>5890</v>
      </c>
      <c r="G5894" s="109">
        <f t="shared" ref="G5894:G5957" ca="1" si="101">_xlfn.NORM.INV(RAND(),$M$5,$M$6)</f>
        <v>7.8528275140095249E-2</v>
      </c>
    </row>
    <row r="5895" spans="2:7" x14ac:dyDescent="0.25">
      <c r="B5895" s="98"/>
      <c r="F5895">
        <v>5891</v>
      </c>
      <c r="G5895" s="109">
        <f t="shared" ca="1" si="101"/>
        <v>-0.13596216534013644</v>
      </c>
    </row>
    <row r="5896" spans="2:7" x14ac:dyDescent="0.25">
      <c r="B5896" s="98"/>
      <c r="F5896">
        <v>5892</v>
      </c>
      <c r="G5896" s="109">
        <f t="shared" ca="1" si="101"/>
        <v>2.8540697430227337E-2</v>
      </c>
    </row>
    <row r="5897" spans="2:7" x14ac:dyDescent="0.25">
      <c r="B5897" s="98"/>
      <c r="F5897">
        <v>5893</v>
      </c>
      <c r="G5897" s="109">
        <f t="shared" ca="1" si="101"/>
        <v>-0.12219032609736245</v>
      </c>
    </row>
    <row r="5898" spans="2:7" x14ac:dyDescent="0.25">
      <c r="B5898" s="98"/>
      <c r="F5898">
        <v>5894</v>
      </c>
      <c r="G5898" s="109">
        <f t="shared" ca="1" si="101"/>
        <v>2.0336344510772781E-2</v>
      </c>
    </row>
    <row r="5899" spans="2:7" x14ac:dyDescent="0.25">
      <c r="B5899" s="98"/>
      <c r="F5899">
        <v>5895</v>
      </c>
      <c r="G5899" s="109">
        <f t="shared" ca="1" si="101"/>
        <v>8.4174647300286592E-2</v>
      </c>
    </row>
    <row r="5900" spans="2:7" x14ac:dyDescent="0.25">
      <c r="B5900" s="98"/>
      <c r="F5900">
        <v>5896</v>
      </c>
      <c r="G5900" s="109">
        <f t="shared" ca="1" si="101"/>
        <v>6.4225983089912508E-3</v>
      </c>
    </row>
    <row r="5901" spans="2:7" x14ac:dyDescent="0.25">
      <c r="B5901" s="98"/>
      <c r="F5901">
        <v>5897</v>
      </c>
      <c r="G5901" s="109">
        <f t="shared" ca="1" si="101"/>
        <v>5.8835398345299592E-2</v>
      </c>
    </row>
    <row r="5902" spans="2:7" x14ac:dyDescent="0.25">
      <c r="B5902" s="98"/>
      <c r="F5902">
        <v>5898</v>
      </c>
      <c r="G5902" s="109">
        <f t="shared" ca="1" si="101"/>
        <v>0.22714444816366375</v>
      </c>
    </row>
    <row r="5903" spans="2:7" x14ac:dyDescent="0.25">
      <c r="B5903" s="98"/>
      <c r="F5903">
        <v>5899</v>
      </c>
      <c r="G5903" s="109">
        <f t="shared" ca="1" si="101"/>
        <v>0.13640260390945971</v>
      </c>
    </row>
    <row r="5904" spans="2:7" x14ac:dyDescent="0.25">
      <c r="B5904" s="98"/>
      <c r="F5904">
        <v>5900</v>
      </c>
      <c r="G5904" s="109">
        <f t="shared" ca="1" si="101"/>
        <v>-0.22016108102143567</v>
      </c>
    </row>
    <row r="5905" spans="2:7" x14ac:dyDescent="0.25">
      <c r="B5905" s="98"/>
      <c r="F5905">
        <v>5901</v>
      </c>
      <c r="G5905" s="109">
        <f t="shared" ca="1" si="101"/>
        <v>7.9541849770991074E-2</v>
      </c>
    </row>
    <row r="5906" spans="2:7" x14ac:dyDescent="0.25">
      <c r="B5906" s="98"/>
      <c r="F5906">
        <v>5902</v>
      </c>
      <c r="G5906" s="109">
        <f t="shared" ca="1" si="101"/>
        <v>-2.5713260120743764E-2</v>
      </c>
    </row>
    <row r="5907" spans="2:7" x14ac:dyDescent="0.25">
      <c r="B5907" s="98"/>
      <c r="F5907">
        <v>5903</v>
      </c>
      <c r="G5907" s="109">
        <f t="shared" ca="1" si="101"/>
        <v>8.818378507606979E-2</v>
      </c>
    </row>
    <row r="5908" spans="2:7" x14ac:dyDescent="0.25">
      <c r="B5908" s="98"/>
      <c r="F5908">
        <v>5904</v>
      </c>
      <c r="G5908" s="109">
        <f t="shared" ca="1" si="101"/>
        <v>0.10093336358713891</v>
      </c>
    </row>
    <row r="5909" spans="2:7" x14ac:dyDescent="0.25">
      <c r="B5909" s="98"/>
      <c r="F5909">
        <v>5905</v>
      </c>
      <c r="G5909" s="109">
        <f t="shared" ca="1" si="101"/>
        <v>0.16708546375153749</v>
      </c>
    </row>
    <row r="5910" spans="2:7" x14ac:dyDescent="0.25">
      <c r="B5910" s="98"/>
      <c r="F5910">
        <v>5906</v>
      </c>
      <c r="G5910" s="109">
        <f t="shared" ca="1" si="101"/>
        <v>1.3188113953132748E-2</v>
      </c>
    </row>
    <row r="5911" spans="2:7" x14ac:dyDescent="0.25">
      <c r="B5911" s="98"/>
      <c r="F5911">
        <v>5907</v>
      </c>
      <c r="G5911" s="109">
        <f t="shared" ca="1" si="101"/>
        <v>1.0771425728943115E-2</v>
      </c>
    </row>
    <row r="5912" spans="2:7" x14ac:dyDescent="0.25">
      <c r="B5912" s="98"/>
      <c r="F5912">
        <v>5908</v>
      </c>
      <c r="G5912" s="109">
        <f t="shared" ca="1" si="101"/>
        <v>1.0708173594764343E-2</v>
      </c>
    </row>
    <row r="5913" spans="2:7" x14ac:dyDescent="0.25">
      <c r="B5913" s="98"/>
      <c r="F5913">
        <v>5909</v>
      </c>
      <c r="G5913" s="109">
        <f t="shared" ca="1" si="101"/>
        <v>0.19522088117765229</v>
      </c>
    </row>
    <row r="5914" spans="2:7" x14ac:dyDescent="0.25">
      <c r="B5914" s="98"/>
      <c r="F5914">
        <v>5910</v>
      </c>
      <c r="G5914" s="109">
        <f t="shared" ca="1" si="101"/>
        <v>9.9220124447629468E-2</v>
      </c>
    </row>
    <row r="5915" spans="2:7" x14ac:dyDescent="0.25">
      <c r="B5915" s="98"/>
      <c r="F5915">
        <v>5911</v>
      </c>
      <c r="G5915" s="109">
        <f t="shared" ca="1" si="101"/>
        <v>3.5952669398042578E-2</v>
      </c>
    </row>
    <row r="5916" spans="2:7" x14ac:dyDescent="0.25">
      <c r="B5916" s="98"/>
      <c r="F5916">
        <v>5912</v>
      </c>
      <c r="G5916" s="109">
        <f t="shared" ca="1" si="101"/>
        <v>0.2056007407027825</v>
      </c>
    </row>
    <row r="5917" spans="2:7" x14ac:dyDescent="0.25">
      <c r="B5917" s="98"/>
      <c r="F5917">
        <v>5913</v>
      </c>
      <c r="G5917" s="109">
        <f t="shared" ca="1" si="101"/>
        <v>5.016228632262567E-2</v>
      </c>
    </row>
    <row r="5918" spans="2:7" x14ac:dyDescent="0.25">
      <c r="B5918" s="98"/>
      <c r="F5918">
        <v>5914</v>
      </c>
      <c r="G5918" s="109">
        <f t="shared" ca="1" si="101"/>
        <v>0.25673561176186477</v>
      </c>
    </row>
    <row r="5919" spans="2:7" x14ac:dyDescent="0.25">
      <c r="B5919" s="98"/>
      <c r="F5919">
        <v>5915</v>
      </c>
      <c r="G5919" s="109">
        <f t="shared" ca="1" si="101"/>
        <v>9.7366655448891629E-2</v>
      </c>
    </row>
    <row r="5920" spans="2:7" x14ac:dyDescent="0.25">
      <c r="B5920" s="98"/>
      <c r="F5920">
        <v>5916</v>
      </c>
      <c r="G5920" s="109">
        <f t="shared" ca="1" si="101"/>
        <v>9.6046161471010166E-2</v>
      </c>
    </row>
    <row r="5921" spans="2:7" x14ac:dyDescent="0.25">
      <c r="B5921" s="98"/>
      <c r="F5921">
        <v>5917</v>
      </c>
      <c r="G5921" s="109">
        <f t="shared" ca="1" si="101"/>
        <v>0.11944841972385366</v>
      </c>
    </row>
    <row r="5922" spans="2:7" x14ac:dyDescent="0.25">
      <c r="B5922" s="98"/>
      <c r="F5922">
        <v>5918</v>
      </c>
      <c r="G5922" s="109">
        <f t="shared" ca="1" si="101"/>
        <v>0.13867794885733231</v>
      </c>
    </row>
    <row r="5923" spans="2:7" x14ac:dyDescent="0.25">
      <c r="B5923" s="98"/>
      <c r="F5923">
        <v>5919</v>
      </c>
      <c r="G5923" s="109">
        <f t="shared" ca="1" si="101"/>
        <v>0.22459969180020628</v>
      </c>
    </row>
    <row r="5924" spans="2:7" x14ac:dyDescent="0.25">
      <c r="B5924" s="98"/>
      <c r="F5924">
        <v>5920</v>
      </c>
      <c r="G5924" s="109">
        <f t="shared" ca="1" si="101"/>
        <v>0.30888675983253783</v>
      </c>
    </row>
    <row r="5925" spans="2:7" x14ac:dyDescent="0.25">
      <c r="B5925" s="98"/>
      <c r="F5925">
        <v>5921</v>
      </c>
      <c r="G5925" s="109">
        <f t="shared" ca="1" si="101"/>
        <v>7.5121603905097867E-2</v>
      </c>
    </row>
    <row r="5926" spans="2:7" x14ac:dyDescent="0.25">
      <c r="B5926" s="98"/>
      <c r="F5926">
        <v>5922</v>
      </c>
      <c r="G5926" s="109">
        <f t="shared" ca="1" si="101"/>
        <v>-7.9357646321587941E-2</v>
      </c>
    </row>
    <row r="5927" spans="2:7" x14ac:dyDescent="0.25">
      <c r="B5927" s="98"/>
      <c r="F5927">
        <v>5923</v>
      </c>
      <c r="G5927" s="109">
        <f t="shared" ca="1" si="101"/>
        <v>-3.067750254506188E-3</v>
      </c>
    </row>
    <row r="5928" spans="2:7" x14ac:dyDescent="0.25">
      <c r="B5928" s="98"/>
      <c r="F5928">
        <v>5924</v>
      </c>
      <c r="G5928" s="109">
        <f t="shared" ca="1" si="101"/>
        <v>0.20565010865941769</v>
      </c>
    </row>
    <row r="5929" spans="2:7" x14ac:dyDescent="0.25">
      <c r="B5929" s="98"/>
      <c r="F5929">
        <v>5925</v>
      </c>
      <c r="G5929" s="109">
        <f t="shared" ca="1" si="101"/>
        <v>0.10666891696854566</v>
      </c>
    </row>
    <row r="5930" spans="2:7" x14ac:dyDescent="0.25">
      <c r="B5930" s="98"/>
      <c r="F5930">
        <v>5926</v>
      </c>
      <c r="G5930" s="109">
        <f t="shared" ca="1" si="101"/>
        <v>-3.8306188737214433E-2</v>
      </c>
    </row>
    <row r="5931" spans="2:7" x14ac:dyDescent="0.25">
      <c r="B5931" s="98"/>
      <c r="F5931">
        <v>5927</v>
      </c>
      <c r="G5931" s="109">
        <f t="shared" ca="1" si="101"/>
        <v>-5.264178891584223E-2</v>
      </c>
    </row>
    <row r="5932" spans="2:7" x14ac:dyDescent="0.25">
      <c r="B5932" s="98"/>
      <c r="F5932">
        <v>5928</v>
      </c>
      <c r="G5932" s="109">
        <f t="shared" ca="1" si="101"/>
        <v>3.7480994197277025E-2</v>
      </c>
    </row>
    <row r="5933" spans="2:7" x14ac:dyDescent="0.25">
      <c r="B5933" s="98"/>
      <c r="F5933">
        <v>5929</v>
      </c>
      <c r="G5933" s="109">
        <f t="shared" ca="1" si="101"/>
        <v>7.3695381625109607E-2</v>
      </c>
    </row>
    <row r="5934" spans="2:7" x14ac:dyDescent="0.25">
      <c r="B5934" s="98"/>
      <c r="F5934">
        <v>5930</v>
      </c>
      <c r="G5934" s="109">
        <f t="shared" ca="1" si="101"/>
        <v>-4.4519489007160934E-2</v>
      </c>
    </row>
    <row r="5935" spans="2:7" x14ac:dyDescent="0.25">
      <c r="B5935" s="98"/>
      <c r="F5935">
        <v>5931</v>
      </c>
      <c r="G5935" s="109">
        <f t="shared" ca="1" si="101"/>
        <v>0.13205032339725481</v>
      </c>
    </row>
    <row r="5936" spans="2:7" x14ac:dyDescent="0.25">
      <c r="B5936" s="98"/>
      <c r="F5936">
        <v>5932</v>
      </c>
      <c r="G5936" s="109">
        <f t="shared" ca="1" si="101"/>
        <v>9.0066218913740156E-3</v>
      </c>
    </row>
    <row r="5937" spans="2:7" x14ac:dyDescent="0.25">
      <c r="B5937" s="98"/>
      <c r="F5937">
        <v>5933</v>
      </c>
      <c r="G5937" s="109">
        <f t="shared" ca="1" si="101"/>
        <v>-2.2695319502484296E-2</v>
      </c>
    </row>
    <row r="5938" spans="2:7" x14ac:dyDescent="0.25">
      <c r="B5938" s="98"/>
      <c r="F5938">
        <v>5934</v>
      </c>
      <c r="G5938" s="109">
        <f t="shared" ca="1" si="101"/>
        <v>-0.15165851162087218</v>
      </c>
    </row>
    <row r="5939" spans="2:7" x14ac:dyDescent="0.25">
      <c r="B5939" s="98"/>
      <c r="F5939">
        <v>5935</v>
      </c>
      <c r="G5939" s="109">
        <f t="shared" ca="1" si="101"/>
        <v>0.14613608753195317</v>
      </c>
    </row>
    <row r="5940" spans="2:7" x14ac:dyDescent="0.25">
      <c r="B5940" s="98"/>
      <c r="F5940">
        <v>5936</v>
      </c>
      <c r="G5940" s="109">
        <f t="shared" ca="1" si="101"/>
        <v>0.12078701280147132</v>
      </c>
    </row>
    <row r="5941" spans="2:7" x14ac:dyDescent="0.25">
      <c r="B5941" s="98"/>
      <c r="F5941">
        <v>5937</v>
      </c>
      <c r="G5941" s="109">
        <f t="shared" ca="1" si="101"/>
        <v>-2.5171830418583202E-2</v>
      </c>
    </row>
    <row r="5942" spans="2:7" x14ac:dyDescent="0.25">
      <c r="B5942" s="98"/>
      <c r="F5942">
        <v>5938</v>
      </c>
      <c r="G5942" s="109">
        <f t="shared" ca="1" si="101"/>
        <v>4.7102799381879189E-2</v>
      </c>
    </row>
    <row r="5943" spans="2:7" x14ac:dyDescent="0.25">
      <c r="B5943" s="98"/>
      <c r="F5943">
        <v>5939</v>
      </c>
      <c r="G5943" s="109">
        <f t="shared" ca="1" si="101"/>
        <v>-6.8231981601291194E-2</v>
      </c>
    </row>
    <row r="5944" spans="2:7" x14ac:dyDescent="0.25">
      <c r="B5944" s="98"/>
      <c r="F5944">
        <v>5940</v>
      </c>
      <c r="G5944" s="109">
        <f t="shared" ca="1" si="101"/>
        <v>-8.4393099629210169E-2</v>
      </c>
    </row>
    <row r="5945" spans="2:7" x14ac:dyDescent="0.25">
      <c r="B5945" s="98"/>
      <c r="F5945">
        <v>5941</v>
      </c>
      <c r="G5945" s="109">
        <f t="shared" ca="1" si="101"/>
        <v>0.29329686293287016</v>
      </c>
    </row>
    <row r="5946" spans="2:7" x14ac:dyDescent="0.25">
      <c r="B5946" s="98"/>
      <c r="F5946">
        <v>5942</v>
      </c>
      <c r="G5946" s="109">
        <f t="shared" ca="1" si="101"/>
        <v>0.12930159174770944</v>
      </c>
    </row>
    <row r="5947" spans="2:7" x14ac:dyDescent="0.25">
      <c r="B5947" s="98"/>
      <c r="F5947">
        <v>5943</v>
      </c>
      <c r="G5947" s="109">
        <f t="shared" ca="1" si="101"/>
        <v>-0.11754492813847421</v>
      </c>
    </row>
    <row r="5948" spans="2:7" x14ac:dyDescent="0.25">
      <c r="B5948" s="98"/>
      <c r="F5948">
        <v>5944</v>
      </c>
      <c r="G5948" s="109">
        <f t="shared" ca="1" si="101"/>
        <v>0.22413213876078547</v>
      </c>
    </row>
    <row r="5949" spans="2:7" x14ac:dyDescent="0.25">
      <c r="B5949" s="98"/>
      <c r="F5949">
        <v>5945</v>
      </c>
      <c r="G5949" s="109">
        <f t="shared" ca="1" si="101"/>
        <v>5.7614897525812808E-2</v>
      </c>
    </row>
    <row r="5950" spans="2:7" x14ac:dyDescent="0.25">
      <c r="B5950" s="98"/>
      <c r="F5950">
        <v>5946</v>
      </c>
      <c r="G5950" s="109">
        <f t="shared" ca="1" si="101"/>
        <v>8.4928355225755439E-2</v>
      </c>
    </row>
    <row r="5951" spans="2:7" x14ac:dyDescent="0.25">
      <c r="B5951" s="98"/>
      <c r="F5951">
        <v>5947</v>
      </c>
      <c r="G5951" s="109">
        <f t="shared" ca="1" si="101"/>
        <v>7.852446733930131E-3</v>
      </c>
    </row>
    <row r="5952" spans="2:7" x14ac:dyDescent="0.25">
      <c r="B5952" s="98"/>
      <c r="F5952">
        <v>5948</v>
      </c>
      <c r="G5952" s="109">
        <f t="shared" ca="1" si="101"/>
        <v>0.14935375368748427</v>
      </c>
    </row>
    <row r="5953" spans="2:7" x14ac:dyDescent="0.25">
      <c r="B5953" s="98"/>
      <c r="F5953">
        <v>5949</v>
      </c>
      <c r="G5953" s="109">
        <f t="shared" ca="1" si="101"/>
        <v>0.17512623090546553</v>
      </c>
    </row>
    <row r="5954" spans="2:7" x14ac:dyDescent="0.25">
      <c r="B5954" s="98"/>
      <c r="F5954">
        <v>5950</v>
      </c>
      <c r="G5954" s="109">
        <f t="shared" ca="1" si="101"/>
        <v>-2.4849079018966352E-2</v>
      </c>
    </row>
    <row r="5955" spans="2:7" x14ac:dyDescent="0.25">
      <c r="B5955" s="98"/>
      <c r="F5955">
        <v>5951</v>
      </c>
      <c r="G5955" s="109">
        <f t="shared" ca="1" si="101"/>
        <v>2.5588395643889639E-2</v>
      </c>
    </row>
    <row r="5956" spans="2:7" x14ac:dyDescent="0.25">
      <c r="B5956" s="98"/>
      <c r="F5956">
        <v>5952</v>
      </c>
      <c r="G5956" s="109">
        <f t="shared" ca="1" si="101"/>
        <v>5.8065013659929998E-2</v>
      </c>
    </row>
    <row r="5957" spans="2:7" x14ac:dyDescent="0.25">
      <c r="B5957" s="98"/>
      <c r="F5957">
        <v>5953</v>
      </c>
      <c r="G5957" s="109">
        <f t="shared" ca="1" si="101"/>
        <v>-7.6673235381138113E-2</v>
      </c>
    </row>
    <row r="5958" spans="2:7" x14ac:dyDescent="0.25">
      <c r="B5958" s="98"/>
      <c r="F5958">
        <v>5954</v>
      </c>
      <c r="G5958" s="109">
        <f t="shared" ref="G5958:G6021" ca="1" si="102">_xlfn.NORM.INV(RAND(),$M$5,$M$6)</f>
        <v>4.2202624031151784E-2</v>
      </c>
    </row>
    <row r="5959" spans="2:7" x14ac:dyDescent="0.25">
      <c r="B5959" s="98"/>
      <c r="F5959">
        <v>5955</v>
      </c>
      <c r="G5959" s="109">
        <f t="shared" ca="1" si="102"/>
        <v>-9.2243907118540344E-2</v>
      </c>
    </row>
    <row r="5960" spans="2:7" x14ac:dyDescent="0.25">
      <c r="B5960" s="98"/>
      <c r="F5960">
        <v>5956</v>
      </c>
      <c r="G5960" s="109">
        <f t="shared" ca="1" si="102"/>
        <v>-2.7003705477566461E-2</v>
      </c>
    </row>
    <row r="5961" spans="2:7" x14ac:dyDescent="0.25">
      <c r="B5961" s="98"/>
      <c r="F5961">
        <v>5957</v>
      </c>
      <c r="G5961" s="109">
        <f t="shared" ca="1" si="102"/>
        <v>2.4773543956560857E-2</v>
      </c>
    </row>
    <row r="5962" spans="2:7" x14ac:dyDescent="0.25">
      <c r="B5962" s="98"/>
      <c r="F5962">
        <v>5958</v>
      </c>
      <c r="G5962" s="109">
        <f t="shared" ca="1" si="102"/>
        <v>0.20262883159765843</v>
      </c>
    </row>
    <row r="5963" spans="2:7" x14ac:dyDescent="0.25">
      <c r="B5963" s="98"/>
      <c r="F5963">
        <v>5959</v>
      </c>
      <c r="G5963" s="109">
        <f t="shared" ca="1" si="102"/>
        <v>0.11116103187184487</v>
      </c>
    </row>
    <row r="5964" spans="2:7" x14ac:dyDescent="0.25">
      <c r="B5964" s="98"/>
      <c r="F5964">
        <v>5960</v>
      </c>
      <c r="G5964" s="109">
        <f t="shared" ca="1" si="102"/>
        <v>3.2267927376468476E-2</v>
      </c>
    </row>
    <row r="5965" spans="2:7" x14ac:dyDescent="0.25">
      <c r="B5965" s="98"/>
      <c r="F5965">
        <v>5961</v>
      </c>
      <c r="G5965" s="109">
        <f t="shared" ca="1" si="102"/>
        <v>0.132276266787414</v>
      </c>
    </row>
    <row r="5966" spans="2:7" x14ac:dyDescent="0.25">
      <c r="B5966" s="98"/>
      <c r="F5966">
        <v>5962</v>
      </c>
      <c r="G5966" s="109">
        <f t="shared" ca="1" si="102"/>
        <v>-0.11686213900091243</v>
      </c>
    </row>
    <row r="5967" spans="2:7" x14ac:dyDescent="0.25">
      <c r="B5967" s="98"/>
      <c r="F5967">
        <v>5963</v>
      </c>
      <c r="G5967" s="109">
        <f t="shared" ca="1" si="102"/>
        <v>-8.3702498350753315E-2</v>
      </c>
    </row>
    <row r="5968" spans="2:7" x14ac:dyDescent="0.25">
      <c r="B5968" s="98"/>
      <c r="F5968">
        <v>5964</v>
      </c>
      <c r="G5968" s="109">
        <f t="shared" ca="1" si="102"/>
        <v>1.8903111262780142E-2</v>
      </c>
    </row>
    <row r="5969" spans="2:7" x14ac:dyDescent="0.25">
      <c r="B5969" s="98"/>
      <c r="F5969">
        <v>5965</v>
      </c>
      <c r="G5969" s="109">
        <f t="shared" ca="1" si="102"/>
        <v>-0.16629829917172073</v>
      </c>
    </row>
    <row r="5970" spans="2:7" x14ac:dyDescent="0.25">
      <c r="B5970" s="98"/>
      <c r="F5970">
        <v>5966</v>
      </c>
      <c r="G5970" s="109">
        <f t="shared" ca="1" si="102"/>
        <v>9.0154047734706144E-2</v>
      </c>
    </row>
    <row r="5971" spans="2:7" x14ac:dyDescent="0.25">
      <c r="B5971" s="98"/>
      <c r="F5971">
        <v>5967</v>
      </c>
      <c r="G5971" s="109">
        <f t="shared" ca="1" si="102"/>
        <v>-0.10736420747198248</v>
      </c>
    </row>
    <row r="5972" spans="2:7" x14ac:dyDescent="0.25">
      <c r="B5972" s="98"/>
      <c r="F5972">
        <v>5968</v>
      </c>
      <c r="G5972" s="109">
        <f t="shared" ca="1" si="102"/>
        <v>-0.11837499847201434</v>
      </c>
    </row>
    <row r="5973" spans="2:7" x14ac:dyDescent="0.25">
      <c r="B5973" s="98"/>
      <c r="F5973">
        <v>5969</v>
      </c>
      <c r="G5973" s="109">
        <f t="shared" ca="1" si="102"/>
        <v>0.12074190161026281</v>
      </c>
    </row>
    <row r="5974" spans="2:7" x14ac:dyDescent="0.25">
      <c r="B5974" s="98"/>
      <c r="F5974">
        <v>5970</v>
      </c>
      <c r="G5974" s="109">
        <f t="shared" ca="1" si="102"/>
        <v>-4.136962031602201E-3</v>
      </c>
    </row>
    <row r="5975" spans="2:7" x14ac:dyDescent="0.25">
      <c r="B5975" s="98"/>
      <c r="F5975">
        <v>5971</v>
      </c>
      <c r="G5975" s="109">
        <f t="shared" ca="1" si="102"/>
        <v>6.1785632193573393E-2</v>
      </c>
    </row>
    <row r="5976" spans="2:7" x14ac:dyDescent="0.25">
      <c r="B5976" s="98"/>
      <c r="F5976">
        <v>5972</v>
      </c>
      <c r="G5976" s="109">
        <f t="shared" ca="1" si="102"/>
        <v>3.3932022127293363E-2</v>
      </c>
    </row>
    <row r="5977" spans="2:7" x14ac:dyDescent="0.25">
      <c r="B5977" s="98"/>
      <c r="F5977">
        <v>5973</v>
      </c>
      <c r="G5977" s="109">
        <f t="shared" ca="1" si="102"/>
        <v>2.4451898965582766E-2</v>
      </c>
    </row>
    <row r="5978" spans="2:7" x14ac:dyDescent="0.25">
      <c r="B5978" s="98"/>
      <c r="F5978">
        <v>5974</v>
      </c>
      <c r="G5978" s="109">
        <f t="shared" ca="1" si="102"/>
        <v>0.13829028602747478</v>
      </c>
    </row>
    <row r="5979" spans="2:7" x14ac:dyDescent="0.25">
      <c r="B5979" s="98"/>
      <c r="F5979">
        <v>5975</v>
      </c>
      <c r="G5979" s="109">
        <f t="shared" ca="1" si="102"/>
        <v>-4.3433757089011829E-2</v>
      </c>
    </row>
    <row r="5980" spans="2:7" x14ac:dyDescent="0.25">
      <c r="B5980" s="98"/>
      <c r="F5980">
        <v>5976</v>
      </c>
      <c r="G5980" s="109">
        <f t="shared" ca="1" si="102"/>
        <v>-9.1030712491610669E-2</v>
      </c>
    </row>
    <row r="5981" spans="2:7" x14ac:dyDescent="0.25">
      <c r="B5981" s="98"/>
      <c r="F5981">
        <v>5977</v>
      </c>
      <c r="G5981" s="109">
        <f t="shared" ca="1" si="102"/>
        <v>-3.0908795020115801E-2</v>
      </c>
    </row>
    <row r="5982" spans="2:7" x14ac:dyDescent="0.25">
      <c r="B5982" s="98"/>
      <c r="F5982">
        <v>5978</v>
      </c>
      <c r="G5982" s="109">
        <f t="shared" ca="1" si="102"/>
        <v>0.21665454244060883</v>
      </c>
    </row>
    <row r="5983" spans="2:7" x14ac:dyDescent="0.25">
      <c r="B5983" s="98"/>
      <c r="F5983">
        <v>5979</v>
      </c>
      <c r="G5983" s="109">
        <f t="shared" ca="1" si="102"/>
        <v>-6.4525666741016369E-2</v>
      </c>
    </row>
    <row r="5984" spans="2:7" x14ac:dyDescent="0.25">
      <c r="B5984" s="98"/>
      <c r="F5984">
        <v>5980</v>
      </c>
      <c r="G5984" s="109">
        <f t="shared" ca="1" si="102"/>
        <v>-8.6114604968002273E-3</v>
      </c>
    </row>
    <row r="5985" spans="2:7" x14ac:dyDescent="0.25">
      <c r="B5985" s="98"/>
      <c r="F5985">
        <v>5981</v>
      </c>
      <c r="G5985" s="109">
        <f t="shared" ca="1" si="102"/>
        <v>9.6881043756543245E-2</v>
      </c>
    </row>
    <row r="5986" spans="2:7" x14ac:dyDescent="0.25">
      <c r="B5986" s="98"/>
      <c r="F5986">
        <v>5982</v>
      </c>
      <c r="G5986" s="109">
        <f t="shared" ca="1" si="102"/>
        <v>-0.15356461480387684</v>
      </c>
    </row>
    <row r="5987" spans="2:7" x14ac:dyDescent="0.25">
      <c r="B5987" s="98"/>
      <c r="F5987">
        <v>5983</v>
      </c>
      <c r="G5987" s="109">
        <f t="shared" ca="1" si="102"/>
        <v>-5.2593639564162714E-2</v>
      </c>
    </row>
    <row r="5988" spans="2:7" x14ac:dyDescent="0.25">
      <c r="B5988" s="98"/>
      <c r="F5988">
        <v>5984</v>
      </c>
      <c r="G5988" s="109">
        <f t="shared" ca="1" si="102"/>
        <v>0.1212995726853538</v>
      </c>
    </row>
    <row r="5989" spans="2:7" x14ac:dyDescent="0.25">
      <c r="B5989" s="98"/>
      <c r="F5989">
        <v>5985</v>
      </c>
      <c r="G5989" s="109">
        <f t="shared" ca="1" si="102"/>
        <v>-0.13800421430296295</v>
      </c>
    </row>
    <row r="5990" spans="2:7" x14ac:dyDescent="0.25">
      <c r="B5990" s="98"/>
      <c r="F5990">
        <v>5986</v>
      </c>
      <c r="G5990" s="109">
        <f t="shared" ca="1" si="102"/>
        <v>0.12552987412048283</v>
      </c>
    </row>
    <row r="5991" spans="2:7" x14ac:dyDescent="0.25">
      <c r="B5991" s="98"/>
      <c r="F5991">
        <v>5987</v>
      </c>
      <c r="G5991" s="109">
        <f t="shared" ca="1" si="102"/>
        <v>-2.9650642735937496E-2</v>
      </c>
    </row>
    <row r="5992" spans="2:7" x14ac:dyDescent="0.25">
      <c r="B5992" s="98"/>
      <c r="F5992">
        <v>5988</v>
      </c>
      <c r="G5992" s="109">
        <f t="shared" ca="1" si="102"/>
        <v>0.12479017472607425</v>
      </c>
    </row>
    <row r="5993" spans="2:7" x14ac:dyDescent="0.25">
      <c r="B5993" s="98"/>
      <c r="F5993">
        <v>5989</v>
      </c>
      <c r="G5993" s="109">
        <f t="shared" ca="1" si="102"/>
        <v>-0.10041964222872417</v>
      </c>
    </row>
    <row r="5994" spans="2:7" x14ac:dyDescent="0.25">
      <c r="B5994" s="98"/>
      <c r="F5994">
        <v>5990</v>
      </c>
      <c r="G5994" s="109">
        <f t="shared" ca="1" si="102"/>
        <v>0.19905562100154939</v>
      </c>
    </row>
    <row r="5995" spans="2:7" x14ac:dyDescent="0.25">
      <c r="B5995" s="98"/>
      <c r="F5995">
        <v>5991</v>
      </c>
      <c r="G5995" s="109">
        <f t="shared" ca="1" si="102"/>
        <v>-1.1124522715220894E-2</v>
      </c>
    </row>
    <row r="5996" spans="2:7" x14ac:dyDescent="0.25">
      <c r="B5996" s="98"/>
      <c r="F5996">
        <v>5992</v>
      </c>
      <c r="G5996" s="109">
        <f t="shared" ca="1" si="102"/>
        <v>2.3996663720817331E-2</v>
      </c>
    </row>
    <row r="5997" spans="2:7" x14ac:dyDescent="0.25">
      <c r="B5997" s="98"/>
      <c r="F5997">
        <v>5993</v>
      </c>
      <c r="G5997" s="109">
        <f t="shared" ca="1" si="102"/>
        <v>-7.8365195976224225E-2</v>
      </c>
    </row>
    <row r="5998" spans="2:7" x14ac:dyDescent="0.25">
      <c r="B5998" s="98"/>
      <c r="F5998">
        <v>5994</v>
      </c>
      <c r="G5998" s="109">
        <f t="shared" ca="1" si="102"/>
        <v>0.15552587722321859</v>
      </c>
    </row>
    <row r="5999" spans="2:7" x14ac:dyDescent="0.25">
      <c r="B5999" s="98"/>
      <c r="F5999">
        <v>5995</v>
      </c>
      <c r="G5999" s="109">
        <f t="shared" ca="1" si="102"/>
        <v>0.14853348051540793</v>
      </c>
    </row>
    <row r="6000" spans="2:7" x14ac:dyDescent="0.25">
      <c r="B6000" s="98"/>
      <c r="F6000">
        <v>5996</v>
      </c>
      <c r="G6000" s="109">
        <f t="shared" ca="1" si="102"/>
        <v>-9.6963566026009876E-2</v>
      </c>
    </row>
    <row r="6001" spans="2:7" x14ac:dyDescent="0.25">
      <c r="B6001" s="98"/>
      <c r="F6001">
        <v>5997</v>
      </c>
      <c r="G6001" s="109">
        <f t="shared" ca="1" si="102"/>
        <v>-1.4493691581212345E-2</v>
      </c>
    </row>
    <row r="6002" spans="2:7" x14ac:dyDescent="0.25">
      <c r="B6002" s="98"/>
      <c r="F6002">
        <v>5998</v>
      </c>
      <c r="G6002" s="109">
        <f t="shared" ca="1" si="102"/>
        <v>-3.8243375743410996E-4</v>
      </c>
    </row>
    <row r="6003" spans="2:7" x14ac:dyDescent="0.25">
      <c r="B6003" s="98"/>
      <c r="F6003">
        <v>5999</v>
      </c>
      <c r="G6003" s="109">
        <f t="shared" ca="1" si="102"/>
        <v>0.19132015194823537</v>
      </c>
    </row>
    <row r="6004" spans="2:7" x14ac:dyDescent="0.25">
      <c r="B6004" s="98"/>
      <c r="F6004">
        <v>6000</v>
      </c>
      <c r="G6004" s="109">
        <f t="shared" ca="1" si="102"/>
        <v>8.2194035056109865E-2</v>
      </c>
    </row>
    <row r="6005" spans="2:7" x14ac:dyDescent="0.25">
      <c r="B6005" s="98"/>
      <c r="F6005">
        <v>6001</v>
      </c>
      <c r="G6005" s="109">
        <f t="shared" ca="1" si="102"/>
        <v>5.5208523188476494E-2</v>
      </c>
    </row>
    <row r="6006" spans="2:7" x14ac:dyDescent="0.25">
      <c r="B6006" s="98"/>
      <c r="F6006">
        <v>6002</v>
      </c>
      <c r="G6006" s="109">
        <f t="shared" ca="1" si="102"/>
        <v>2.6155101864561586E-2</v>
      </c>
    </row>
    <row r="6007" spans="2:7" x14ac:dyDescent="0.25">
      <c r="B6007" s="98"/>
      <c r="F6007">
        <v>6003</v>
      </c>
      <c r="G6007" s="109">
        <f t="shared" ca="1" si="102"/>
        <v>-4.1924279920067573E-2</v>
      </c>
    </row>
    <row r="6008" spans="2:7" x14ac:dyDescent="0.25">
      <c r="B6008" s="98"/>
      <c r="F6008">
        <v>6004</v>
      </c>
      <c r="G6008" s="109">
        <f t="shared" ca="1" si="102"/>
        <v>0.12279231409749791</v>
      </c>
    </row>
    <row r="6009" spans="2:7" x14ac:dyDescent="0.25">
      <c r="B6009" s="98"/>
      <c r="F6009">
        <v>6005</v>
      </c>
      <c r="G6009" s="109">
        <f t="shared" ca="1" si="102"/>
        <v>6.9649318126318999E-2</v>
      </c>
    </row>
    <row r="6010" spans="2:7" x14ac:dyDescent="0.25">
      <c r="B6010" s="98"/>
      <c r="F6010">
        <v>6006</v>
      </c>
      <c r="G6010" s="109">
        <f t="shared" ca="1" si="102"/>
        <v>-6.5796310175356462E-2</v>
      </c>
    </row>
    <row r="6011" spans="2:7" x14ac:dyDescent="0.25">
      <c r="B6011" s="98"/>
      <c r="F6011">
        <v>6007</v>
      </c>
      <c r="G6011" s="109">
        <f t="shared" ca="1" si="102"/>
        <v>4.6972481752595455E-2</v>
      </c>
    </row>
    <row r="6012" spans="2:7" x14ac:dyDescent="0.25">
      <c r="B6012" s="98"/>
      <c r="F6012">
        <v>6008</v>
      </c>
      <c r="G6012" s="109">
        <f t="shared" ca="1" si="102"/>
        <v>4.8410714118346451E-3</v>
      </c>
    </row>
    <row r="6013" spans="2:7" x14ac:dyDescent="0.25">
      <c r="B6013" s="98"/>
      <c r="F6013">
        <v>6009</v>
      </c>
      <c r="G6013" s="109">
        <f t="shared" ca="1" si="102"/>
        <v>1.9759194785247999E-2</v>
      </c>
    </row>
    <row r="6014" spans="2:7" x14ac:dyDescent="0.25">
      <c r="B6014" s="98"/>
      <c r="F6014">
        <v>6010</v>
      </c>
      <c r="G6014" s="109">
        <f t="shared" ca="1" si="102"/>
        <v>0.10016758282694664</v>
      </c>
    </row>
    <row r="6015" spans="2:7" x14ac:dyDescent="0.25">
      <c r="B6015" s="98"/>
      <c r="F6015">
        <v>6011</v>
      </c>
      <c r="G6015" s="109">
        <f t="shared" ca="1" si="102"/>
        <v>0.14927363458971168</v>
      </c>
    </row>
    <row r="6016" spans="2:7" x14ac:dyDescent="0.25">
      <c r="B6016" s="98"/>
      <c r="F6016">
        <v>6012</v>
      </c>
      <c r="G6016" s="109">
        <f t="shared" ca="1" si="102"/>
        <v>0.164835046350535</v>
      </c>
    </row>
    <row r="6017" spans="2:7" x14ac:dyDescent="0.25">
      <c r="B6017" s="98"/>
      <c r="F6017">
        <v>6013</v>
      </c>
      <c r="G6017" s="109">
        <f t="shared" ca="1" si="102"/>
        <v>4.5087872864261525E-2</v>
      </c>
    </row>
    <row r="6018" spans="2:7" x14ac:dyDescent="0.25">
      <c r="B6018" s="98"/>
      <c r="F6018">
        <v>6014</v>
      </c>
      <c r="G6018" s="109">
        <f t="shared" ca="1" si="102"/>
        <v>1.9360903418753649E-2</v>
      </c>
    </row>
    <row r="6019" spans="2:7" x14ac:dyDescent="0.25">
      <c r="B6019" s="98"/>
      <c r="F6019">
        <v>6015</v>
      </c>
      <c r="G6019" s="109">
        <f t="shared" ca="1" si="102"/>
        <v>9.714503674162997E-2</v>
      </c>
    </row>
    <row r="6020" spans="2:7" x14ac:dyDescent="0.25">
      <c r="B6020" s="98"/>
      <c r="F6020">
        <v>6016</v>
      </c>
      <c r="G6020" s="109">
        <f t="shared" ca="1" si="102"/>
        <v>4.4939747529685527E-2</v>
      </c>
    </row>
    <row r="6021" spans="2:7" x14ac:dyDescent="0.25">
      <c r="B6021" s="98"/>
      <c r="F6021">
        <v>6017</v>
      </c>
      <c r="G6021" s="109">
        <f t="shared" ca="1" si="102"/>
        <v>5.7760063887668411E-2</v>
      </c>
    </row>
    <row r="6022" spans="2:7" x14ac:dyDescent="0.25">
      <c r="B6022" s="98"/>
      <c r="F6022">
        <v>6018</v>
      </c>
      <c r="G6022" s="109">
        <f t="shared" ref="G6022:G6085" ca="1" si="103">_xlfn.NORM.INV(RAND(),$M$5,$M$6)</f>
        <v>-3.5813925830991813E-2</v>
      </c>
    </row>
    <row r="6023" spans="2:7" x14ac:dyDescent="0.25">
      <c r="B6023" s="98"/>
      <c r="F6023">
        <v>6019</v>
      </c>
      <c r="G6023" s="109">
        <f t="shared" ca="1" si="103"/>
        <v>8.1563603414661567E-2</v>
      </c>
    </row>
    <row r="6024" spans="2:7" x14ac:dyDescent="0.25">
      <c r="B6024" s="98"/>
      <c r="F6024">
        <v>6020</v>
      </c>
      <c r="G6024" s="109">
        <f t="shared" ca="1" si="103"/>
        <v>0.21405359688086623</v>
      </c>
    </row>
    <row r="6025" spans="2:7" x14ac:dyDescent="0.25">
      <c r="B6025" s="98"/>
      <c r="F6025">
        <v>6021</v>
      </c>
      <c r="G6025" s="109">
        <f t="shared" ca="1" si="103"/>
        <v>4.9468170249740061E-2</v>
      </c>
    </row>
    <row r="6026" spans="2:7" x14ac:dyDescent="0.25">
      <c r="B6026" s="98"/>
      <c r="F6026">
        <v>6022</v>
      </c>
      <c r="G6026" s="109">
        <f t="shared" ca="1" si="103"/>
        <v>0.12721015112386741</v>
      </c>
    </row>
    <row r="6027" spans="2:7" x14ac:dyDescent="0.25">
      <c r="B6027" s="98"/>
      <c r="F6027">
        <v>6023</v>
      </c>
      <c r="G6027" s="109">
        <f t="shared" ca="1" si="103"/>
        <v>0.25245787869367703</v>
      </c>
    </row>
    <row r="6028" spans="2:7" x14ac:dyDescent="0.25">
      <c r="B6028" s="98"/>
      <c r="F6028">
        <v>6024</v>
      </c>
      <c r="G6028" s="109">
        <f t="shared" ca="1" si="103"/>
        <v>8.1765164350043135E-2</v>
      </c>
    </row>
    <row r="6029" spans="2:7" x14ac:dyDescent="0.25">
      <c r="B6029" s="98"/>
      <c r="F6029">
        <v>6025</v>
      </c>
      <c r="G6029" s="109">
        <f t="shared" ca="1" si="103"/>
        <v>2.2777975217603372E-2</v>
      </c>
    </row>
    <row r="6030" spans="2:7" x14ac:dyDescent="0.25">
      <c r="B6030" s="98"/>
      <c r="F6030">
        <v>6026</v>
      </c>
      <c r="G6030" s="109">
        <f t="shared" ca="1" si="103"/>
        <v>-0.16825991115414929</v>
      </c>
    </row>
    <row r="6031" spans="2:7" x14ac:dyDescent="0.25">
      <c r="B6031" s="98"/>
      <c r="F6031">
        <v>6027</v>
      </c>
      <c r="G6031" s="109">
        <f t="shared" ca="1" si="103"/>
        <v>6.5636758894810091E-2</v>
      </c>
    </row>
    <row r="6032" spans="2:7" x14ac:dyDescent="0.25">
      <c r="B6032" s="98"/>
      <c r="F6032">
        <v>6028</v>
      </c>
      <c r="G6032" s="109">
        <f t="shared" ca="1" si="103"/>
        <v>9.532255352162719E-2</v>
      </c>
    </row>
    <row r="6033" spans="2:7" x14ac:dyDescent="0.25">
      <c r="B6033" s="98"/>
      <c r="F6033">
        <v>6029</v>
      </c>
      <c r="G6033" s="109">
        <f t="shared" ca="1" si="103"/>
        <v>-8.2525410319243112E-2</v>
      </c>
    </row>
    <row r="6034" spans="2:7" x14ac:dyDescent="0.25">
      <c r="B6034" s="98"/>
      <c r="F6034">
        <v>6030</v>
      </c>
      <c r="G6034" s="109">
        <f t="shared" ca="1" si="103"/>
        <v>5.6388251241838869E-2</v>
      </c>
    </row>
    <row r="6035" spans="2:7" x14ac:dyDescent="0.25">
      <c r="B6035" s="98"/>
      <c r="F6035">
        <v>6031</v>
      </c>
      <c r="G6035" s="109">
        <f t="shared" ca="1" si="103"/>
        <v>0.10093943389559557</v>
      </c>
    </row>
    <row r="6036" spans="2:7" x14ac:dyDescent="0.25">
      <c r="B6036" s="98"/>
      <c r="F6036">
        <v>6032</v>
      </c>
      <c r="G6036" s="109">
        <f t="shared" ca="1" si="103"/>
        <v>-3.4542258417493948E-2</v>
      </c>
    </row>
    <row r="6037" spans="2:7" x14ac:dyDescent="0.25">
      <c r="B6037" s="98"/>
      <c r="F6037">
        <v>6033</v>
      </c>
      <c r="G6037" s="109">
        <f t="shared" ca="1" si="103"/>
        <v>0.16731350738007272</v>
      </c>
    </row>
    <row r="6038" spans="2:7" x14ac:dyDescent="0.25">
      <c r="B6038" s="98"/>
      <c r="F6038">
        <v>6034</v>
      </c>
      <c r="G6038" s="109">
        <f t="shared" ca="1" si="103"/>
        <v>5.3029878650104056E-2</v>
      </c>
    </row>
    <row r="6039" spans="2:7" x14ac:dyDescent="0.25">
      <c r="B6039" s="98"/>
      <c r="F6039">
        <v>6035</v>
      </c>
      <c r="G6039" s="109">
        <f t="shared" ca="1" si="103"/>
        <v>-1.2143389090905815E-2</v>
      </c>
    </row>
    <row r="6040" spans="2:7" x14ac:dyDescent="0.25">
      <c r="B6040" s="98"/>
      <c r="F6040">
        <v>6036</v>
      </c>
      <c r="G6040" s="109">
        <f t="shared" ca="1" si="103"/>
        <v>1.8192027265683201E-2</v>
      </c>
    </row>
    <row r="6041" spans="2:7" x14ac:dyDescent="0.25">
      <c r="B6041" s="98"/>
      <c r="F6041">
        <v>6037</v>
      </c>
      <c r="G6041" s="109">
        <f t="shared" ca="1" si="103"/>
        <v>5.6330876762064344E-2</v>
      </c>
    </row>
    <row r="6042" spans="2:7" x14ac:dyDescent="0.25">
      <c r="B6042" s="98"/>
      <c r="F6042">
        <v>6038</v>
      </c>
      <c r="G6042" s="109">
        <f t="shared" ca="1" si="103"/>
        <v>-6.1014890135819955E-2</v>
      </c>
    </row>
    <row r="6043" spans="2:7" x14ac:dyDescent="0.25">
      <c r="B6043" s="98"/>
      <c r="F6043">
        <v>6039</v>
      </c>
      <c r="G6043" s="109">
        <f t="shared" ca="1" si="103"/>
        <v>0.10067960388272368</v>
      </c>
    </row>
    <row r="6044" spans="2:7" x14ac:dyDescent="0.25">
      <c r="B6044" s="98"/>
      <c r="F6044">
        <v>6040</v>
      </c>
      <c r="G6044" s="109">
        <f t="shared" ca="1" si="103"/>
        <v>-3.9824521884304243E-2</v>
      </c>
    </row>
    <row r="6045" spans="2:7" x14ac:dyDescent="0.25">
      <c r="B6045" s="98"/>
      <c r="F6045">
        <v>6041</v>
      </c>
      <c r="G6045" s="109">
        <f t="shared" ca="1" si="103"/>
        <v>5.6493029256065322E-2</v>
      </c>
    </row>
    <row r="6046" spans="2:7" x14ac:dyDescent="0.25">
      <c r="B6046" s="98"/>
      <c r="F6046">
        <v>6042</v>
      </c>
      <c r="G6046" s="109">
        <f t="shared" ca="1" si="103"/>
        <v>0.12140878579205432</v>
      </c>
    </row>
    <row r="6047" spans="2:7" x14ac:dyDescent="0.25">
      <c r="B6047" s="98"/>
      <c r="F6047">
        <v>6043</v>
      </c>
      <c r="G6047" s="109">
        <f t="shared" ca="1" si="103"/>
        <v>0.18427508890964955</v>
      </c>
    </row>
    <row r="6048" spans="2:7" x14ac:dyDescent="0.25">
      <c r="B6048" s="98"/>
      <c r="F6048">
        <v>6044</v>
      </c>
      <c r="G6048" s="109">
        <f t="shared" ca="1" si="103"/>
        <v>-7.787280384349192E-3</v>
      </c>
    </row>
    <row r="6049" spans="2:7" x14ac:dyDescent="0.25">
      <c r="B6049" s="98"/>
      <c r="F6049">
        <v>6045</v>
      </c>
      <c r="G6049" s="109">
        <f t="shared" ca="1" si="103"/>
        <v>7.6164698367844674E-2</v>
      </c>
    </row>
    <row r="6050" spans="2:7" x14ac:dyDescent="0.25">
      <c r="B6050" s="98"/>
      <c r="F6050">
        <v>6046</v>
      </c>
      <c r="G6050" s="109">
        <f t="shared" ca="1" si="103"/>
        <v>-9.4734940223461059E-2</v>
      </c>
    </row>
    <row r="6051" spans="2:7" x14ac:dyDescent="0.25">
      <c r="B6051" s="98"/>
      <c r="F6051">
        <v>6047</v>
      </c>
      <c r="G6051" s="109">
        <f t="shared" ca="1" si="103"/>
        <v>0.21308834005717914</v>
      </c>
    </row>
    <row r="6052" spans="2:7" x14ac:dyDescent="0.25">
      <c r="B6052" s="98"/>
      <c r="F6052">
        <v>6048</v>
      </c>
      <c r="G6052" s="109">
        <f t="shared" ca="1" si="103"/>
        <v>0.16620374941744431</v>
      </c>
    </row>
    <row r="6053" spans="2:7" x14ac:dyDescent="0.25">
      <c r="B6053" s="98"/>
      <c r="F6053">
        <v>6049</v>
      </c>
      <c r="G6053" s="109">
        <f t="shared" ca="1" si="103"/>
        <v>-1.2220568434583634E-2</v>
      </c>
    </row>
    <row r="6054" spans="2:7" x14ac:dyDescent="0.25">
      <c r="B6054" s="98"/>
      <c r="F6054">
        <v>6050</v>
      </c>
      <c r="G6054" s="109">
        <f t="shared" ca="1" si="103"/>
        <v>9.9782969323963022E-2</v>
      </c>
    </row>
    <row r="6055" spans="2:7" x14ac:dyDescent="0.25">
      <c r="B6055" s="98"/>
      <c r="F6055">
        <v>6051</v>
      </c>
      <c r="G6055" s="109">
        <f t="shared" ca="1" si="103"/>
        <v>2.9445664788774164E-2</v>
      </c>
    </row>
    <row r="6056" spans="2:7" x14ac:dyDescent="0.25">
      <c r="B6056" s="98"/>
      <c r="F6056">
        <v>6052</v>
      </c>
      <c r="G6056" s="109">
        <f t="shared" ca="1" si="103"/>
        <v>-7.8304645285487362E-2</v>
      </c>
    </row>
    <row r="6057" spans="2:7" x14ac:dyDescent="0.25">
      <c r="B6057" s="98"/>
      <c r="F6057">
        <v>6053</v>
      </c>
      <c r="G6057" s="109">
        <f t="shared" ca="1" si="103"/>
        <v>0.20921064433739073</v>
      </c>
    </row>
    <row r="6058" spans="2:7" x14ac:dyDescent="0.25">
      <c r="B6058" s="98"/>
      <c r="F6058">
        <v>6054</v>
      </c>
      <c r="G6058" s="109">
        <f t="shared" ca="1" si="103"/>
        <v>8.614987790665013E-2</v>
      </c>
    </row>
    <row r="6059" spans="2:7" x14ac:dyDescent="0.25">
      <c r="B6059" s="98"/>
      <c r="F6059">
        <v>6055</v>
      </c>
      <c r="G6059" s="109">
        <f t="shared" ca="1" si="103"/>
        <v>-2.9704968795249587E-2</v>
      </c>
    </row>
    <row r="6060" spans="2:7" x14ac:dyDescent="0.25">
      <c r="B6060" s="98"/>
      <c r="F6060">
        <v>6056</v>
      </c>
      <c r="G6060" s="109">
        <f t="shared" ca="1" si="103"/>
        <v>0.10923222516142189</v>
      </c>
    </row>
    <row r="6061" spans="2:7" x14ac:dyDescent="0.25">
      <c r="B6061" s="98"/>
      <c r="F6061">
        <v>6057</v>
      </c>
      <c r="G6061" s="109">
        <f t="shared" ca="1" si="103"/>
        <v>0.32880294745551675</v>
      </c>
    </row>
    <row r="6062" spans="2:7" x14ac:dyDescent="0.25">
      <c r="B6062" s="98"/>
      <c r="F6062">
        <v>6058</v>
      </c>
      <c r="G6062" s="109">
        <f t="shared" ca="1" si="103"/>
        <v>0.14083824592329341</v>
      </c>
    </row>
    <row r="6063" spans="2:7" x14ac:dyDescent="0.25">
      <c r="B6063" s="98"/>
      <c r="F6063">
        <v>6059</v>
      </c>
      <c r="G6063" s="109">
        <f t="shared" ca="1" si="103"/>
        <v>5.0589552658502887E-2</v>
      </c>
    </row>
    <row r="6064" spans="2:7" x14ac:dyDescent="0.25">
      <c r="B6064" s="98"/>
      <c r="F6064">
        <v>6060</v>
      </c>
      <c r="G6064" s="109">
        <f t="shared" ca="1" si="103"/>
        <v>-3.3751097320039586E-3</v>
      </c>
    </row>
    <row r="6065" spans="2:7" x14ac:dyDescent="0.25">
      <c r="B6065" s="98"/>
      <c r="F6065">
        <v>6061</v>
      </c>
      <c r="G6065" s="109">
        <f t="shared" ca="1" si="103"/>
        <v>5.3180657564091321E-2</v>
      </c>
    </row>
    <row r="6066" spans="2:7" x14ac:dyDescent="0.25">
      <c r="B6066" s="98"/>
      <c r="F6066">
        <v>6062</v>
      </c>
      <c r="G6066" s="109">
        <f t="shared" ca="1" si="103"/>
        <v>0.12928140821227441</v>
      </c>
    </row>
    <row r="6067" spans="2:7" x14ac:dyDescent="0.25">
      <c r="B6067" s="98"/>
      <c r="F6067">
        <v>6063</v>
      </c>
      <c r="G6067" s="109">
        <f t="shared" ca="1" si="103"/>
        <v>8.3777787533550391E-2</v>
      </c>
    </row>
    <row r="6068" spans="2:7" x14ac:dyDescent="0.25">
      <c r="B6068" s="98"/>
      <c r="F6068">
        <v>6064</v>
      </c>
      <c r="G6068" s="109">
        <f t="shared" ca="1" si="103"/>
        <v>0.13655277310961353</v>
      </c>
    </row>
    <row r="6069" spans="2:7" x14ac:dyDescent="0.25">
      <c r="B6069" s="98"/>
      <c r="F6069">
        <v>6065</v>
      </c>
      <c r="G6069" s="109">
        <f t="shared" ca="1" si="103"/>
        <v>-3.6976625002529129E-2</v>
      </c>
    </row>
    <row r="6070" spans="2:7" x14ac:dyDescent="0.25">
      <c r="B6070" s="98"/>
      <c r="F6070">
        <v>6066</v>
      </c>
      <c r="G6070" s="109">
        <f t="shared" ca="1" si="103"/>
        <v>8.9806045400539658E-2</v>
      </c>
    </row>
    <row r="6071" spans="2:7" x14ac:dyDescent="0.25">
      <c r="B6071" s="98"/>
      <c r="F6071">
        <v>6067</v>
      </c>
      <c r="G6071" s="109">
        <f t="shared" ca="1" si="103"/>
        <v>-5.5697186332714005E-2</v>
      </c>
    </row>
    <row r="6072" spans="2:7" x14ac:dyDescent="0.25">
      <c r="B6072" s="98"/>
      <c r="F6072">
        <v>6068</v>
      </c>
      <c r="G6072" s="109">
        <f t="shared" ca="1" si="103"/>
        <v>0.13859169829455084</v>
      </c>
    </row>
    <row r="6073" spans="2:7" x14ac:dyDescent="0.25">
      <c r="B6073" s="98"/>
      <c r="F6073">
        <v>6069</v>
      </c>
      <c r="G6073" s="109">
        <f t="shared" ca="1" si="103"/>
        <v>0.27552606131328738</v>
      </c>
    </row>
    <row r="6074" spans="2:7" x14ac:dyDescent="0.25">
      <c r="B6074" s="98"/>
      <c r="F6074">
        <v>6070</v>
      </c>
      <c r="G6074" s="109">
        <f t="shared" ca="1" si="103"/>
        <v>3.3449774251669825E-2</v>
      </c>
    </row>
    <row r="6075" spans="2:7" x14ac:dyDescent="0.25">
      <c r="B6075" s="98"/>
      <c r="F6075">
        <v>6071</v>
      </c>
      <c r="G6075" s="109">
        <f t="shared" ca="1" si="103"/>
        <v>0.14647456752064608</v>
      </c>
    </row>
    <row r="6076" spans="2:7" x14ac:dyDescent="0.25">
      <c r="B6076" s="98"/>
      <c r="F6076">
        <v>6072</v>
      </c>
      <c r="G6076" s="109">
        <f t="shared" ca="1" si="103"/>
        <v>-5.4050248535079018E-2</v>
      </c>
    </row>
    <row r="6077" spans="2:7" x14ac:dyDescent="0.25">
      <c r="B6077" s="98"/>
      <c r="F6077">
        <v>6073</v>
      </c>
      <c r="G6077" s="109">
        <f t="shared" ca="1" si="103"/>
        <v>6.5502190222292339E-2</v>
      </c>
    </row>
    <row r="6078" spans="2:7" x14ac:dyDescent="0.25">
      <c r="B6078" s="98"/>
      <c r="F6078">
        <v>6074</v>
      </c>
      <c r="G6078" s="109">
        <f t="shared" ca="1" si="103"/>
        <v>0.17048673157032651</v>
      </c>
    </row>
    <row r="6079" spans="2:7" x14ac:dyDescent="0.25">
      <c r="B6079" s="98"/>
      <c r="F6079">
        <v>6075</v>
      </c>
      <c r="G6079" s="109">
        <f t="shared" ca="1" si="103"/>
        <v>0.18477359305077606</v>
      </c>
    </row>
    <row r="6080" spans="2:7" x14ac:dyDescent="0.25">
      <c r="B6080" s="98"/>
      <c r="F6080">
        <v>6076</v>
      </c>
      <c r="G6080" s="109">
        <f t="shared" ca="1" si="103"/>
        <v>-1.515409915567608E-2</v>
      </c>
    </row>
    <row r="6081" spans="2:7" x14ac:dyDescent="0.25">
      <c r="B6081" s="98"/>
      <c r="F6081">
        <v>6077</v>
      </c>
      <c r="G6081" s="109">
        <f t="shared" ca="1" si="103"/>
        <v>0.13794469843928761</v>
      </c>
    </row>
    <row r="6082" spans="2:7" x14ac:dyDescent="0.25">
      <c r="B6082" s="98"/>
      <c r="F6082">
        <v>6078</v>
      </c>
      <c r="G6082" s="109">
        <f t="shared" ca="1" si="103"/>
        <v>0.27952280841182742</v>
      </c>
    </row>
    <row r="6083" spans="2:7" x14ac:dyDescent="0.25">
      <c r="B6083" s="98"/>
      <c r="F6083">
        <v>6079</v>
      </c>
      <c r="G6083" s="109">
        <f t="shared" ca="1" si="103"/>
        <v>-0.13585127481158588</v>
      </c>
    </row>
    <row r="6084" spans="2:7" x14ac:dyDescent="0.25">
      <c r="B6084" s="98"/>
      <c r="F6084">
        <v>6080</v>
      </c>
      <c r="G6084" s="109">
        <f t="shared" ca="1" si="103"/>
        <v>0.14018080221664239</v>
      </c>
    </row>
    <row r="6085" spans="2:7" x14ac:dyDescent="0.25">
      <c r="B6085" s="98"/>
      <c r="F6085">
        <v>6081</v>
      </c>
      <c r="G6085" s="109">
        <f t="shared" ca="1" si="103"/>
        <v>0.14618486653386087</v>
      </c>
    </row>
    <row r="6086" spans="2:7" x14ac:dyDescent="0.25">
      <c r="B6086" s="98"/>
      <c r="F6086">
        <v>6082</v>
      </c>
      <c r="G6086" s="109">
        <f t="shared" ref="G6086:G6149" ca="1" si="104">_xlfn.NORM.INV(RAND(),$M$5,$M$6)</f>
        <v>9.3092503476725083E-2</v>
      </c>
    </row>
    <row r="6087" spans="2:7" x14ac:dyDescent="0.25">
      <c r="B6087" s="98"/>
      <c r="F6087">
        <v>6083</v>
      </c>
      <c r="G6087" s="109">
        <f t="shared" ca="1" si="104"/>
        <v>1.113047397914152E-4</v>
      </c>
    </row>
    <row r="6088" spans="2:7" x14ac:dyDescent="0.25">
      <c r="B6088" s="98"/>
      <c r="F6088">
        <v>6084</v>
      </c>
      <c r="G6088" s="109">
        <f t="shared" ca="1" si="104"/>
        <v>0.17970867805426866</v>
      </c>
    </row>
    <row r="6089" spans="2:7" x14ac:dyDescent="0.25">
      <c r="B6089" s="98"/>
      <c r="F6089">
        <v>6085</v>
      </c>
      <c r="G6089" s="109">
        <f t="shared" ca="1" si="104"/>
        <v>-3.2202714365961879E-2</v>
      </c>
    </row>
    <row r="6090" spans="2:7" x14ac:dyDescent="0.25">
      <c r="B6090" s="98"/>
      <c r="F6090">
        <v>6086</v>
      </c>
      <c r="G6090" s="109">
        <f t="shared" ca="1" si="104"/>
        <v>0.15694943551779264</v>
      </c>
    </row>
    <row r="6091" spans="2:7" x14ac:dyDescent="0.25">
      <c r="B6091" s="98"/>
      <c r="F6091">
        <v>6087</v>
      </c>
      <c r="G6091" s="109">
        <f t="shared" ca="1" si="104"/>
        <v>0.12294602300947771</v>
      </c>
    </row>
    <row r="6092" spans="2:7" x14ac:dyDescent="0.25">
      <c r="B6092" s="98"/>
      <c r="F6092">
        <v>6088</v>
      </c>
      <c r="G6092" s="109">
        <f t="shared" ca="1" si="104"/>
        <v>0.20806927210858089</v>
      </c>
    </row>
    <row r="6093" spans="2:7" x14ac:dyDescent="0.25">
      <c r="B6093" s="98"/>
      <c r="F6093">
        <v>6089</v>
      </c>
      <c r="G6093" s="109">
        <f t="shared" ca="1" si="104"/>
        <v>0.11048392246044529</v>
      </c>
    </row>
    <row r="6094" spans="2:7" x14ac:dyDescent="0.25">
      <c r="B6094" s="98"/>
      <c r="F6094">
        <v>6090</v>
      </c>
      <c r="G6094" s="109">
        <f t="shared" ca="1" si="104"/>
        <v>4.1858739786743898E-2</v>
      </c>
    </row>
    <row r="6095" spans="2:7" x14ac:dyDescent="0.25">
      <c r="B6095" s="98"/>
      <c r="F6095">
        <v>6091</v>
      </c>
      <c r="G6095" s="109">
        <f t="shared" ca="1" si="104"/>
        <v>-6.2863011243736028E-2</v>
      </c>
    </row>
    <row r="6096" spans="2:7" x14ac:dyDescent="0.25">
      <c r="B6096" s="98"/>
      <c r="F6096">
        <v>6092</v>
      </c>
      <c r="G6096" s="109">
        <f t="shared" ca="1" si="104"/>
        <v>0.16629399854881344</v>
      </c>
    </row>
    <row r="6097" spans="2:7" x14ac:dyDescent="0.25">
      <c r="B6097" s="98"/>
      <c r="F6097">
        <v>6093</v>
      </c>
      <c r="G6097" s="109">
        <f t="shared" ca="1" si="104"/>
        <v>6.2878545622778309E-2</v>
      </c>
    </row>
    <row r="6098" spans="2:7" x14ac:dyDescent="0.25">
      <c r="B6098" s="98"/>
      <c r="F6098">
        <v>6094</v>
      </c>
      <c r="G6098" s="109">
        <f t="shared" ca="1" si="104"/>
        <v>7.3416394333794821E-2</v>
      </c>
    </row>
    <row r="6099" spans="2:7" x14ac:dyDescent="0.25">
      <c r="B6099" s="98"/>
      <c r="F6099">
        <v>6095</v>
      </c>
      <c r="G6099" s="109">
        <f t="shared" ca="1" si="104"/>
        <v>0.15721093743697367</v>
      </c>
    </row>
    <row r="6100" spans="2:7" x14ac:dyDescent="0.25">
      <c r="B6100" s="98"/>
      <c r="F6100">
        <v>6096</v>
      </c>
      <c r="G6100" s="109">
        <f t="shared" ca="1" si="104"/>
        <v>0.13147680354604913</v>
      </c>
    </row>
    <row r="6101" spans="2:7" x14ac:dyDescent="0.25">
      <c r="B6101" s="98"/>
      <c r="F6101">
        <v>6097</v>
      </c>
      <c r="G6101" s="109">
        <f t="shared" ca="1" si="104"/>
        <v>0.18160820596216426</v>
      </c>
    </row>
    <row r="6102" spans="2:7" x14ac:dyDescent="0.25">
      <c r="B6102" s="98"/>
      <c r="F6102">
        <v>6098</v>
      </c>
      <c r="G6102" s="109">
        <f t="shared" ca="1" si="104"/>
        <v>0.17745880529304436</v>
      </c>
    </row>
    <row r="6103" spans="2:7" x14ac:dyDescent="0.25">
      <c r="B6103" s="98"/>
      <c r="F6103">
        <v>6099</v>
      </c>
      <c r="G6103" s="109">
        <f t="shared" ca="1" si="104"/>
        <v>-8.407766584925401E-2</v>
      </c>
    </row>
    <row r="6104" spans="2:7" x14ac:dyDescent="0.25">
      <c r="B6104" s="98"/>
      <c r="F6104">
        <v>6100</v>
      </c>
      <c r="G6104" s="109">
        <f t="shared" ca="1" si="104"/>
        <v>1.5433655454343609E-2</v>
      </c>
    </row>
    <row r="6105" spans="2:7" x14ac:dyDescent="0.25">
      <c r="B6105" s="98"/>
      <c r="F6105">
        <v>6101</v>
      </c>
      <c r="G6105" s="109">
        <f t="shared" ca="1" si="104"/>
        <v>0.17336812291260179</v>
      </c>
    </row>
    <row r="6106" spans="2:7" x14ac:dyDescent="0.25">
      <c r="B6106" s="98"/>
      <c r="F6106">
        <v>6102</v>
      </c>
      <c r="G6106" s="109">
        <f t="shared" ca="1" si="104"/>
        <v>-7.4907850464117312E-2</v>
      </c>
    </row>
    <row r="6107" spans="2:7" x14ac:dyDescent="0.25">
      <c r="B6107" s="98"/>
      <c r="F6107">
        <v>6103</v>
      </c>
      <c r="G6107" s="109">
        <f t="shared" ca="1" si="104"/>
        <v>0.25575782822488885</v>
      </c>
    </row>
    <row r="6108" spans="2:7" x14ac:dyDescent="0.25">
      <c r="B6108" s="98"/>
      <c r="F6108">
        <v>6104</v>
      </c>
      <c r="G6108" s="109">
        <f t="shared" ca="1" si="104"/>
        <v>-0.15270196823988169</v>
      </c>
    </row>
    <row r="6109" spans="2:7" x14ac:dyDescent="0.25">
      <c r="B6109" s="98"/>
      <c r="F6109">
        <v>6105</v>
      </c>
      <c r="G6109" s="109">
        <f t="shared" ca="1" si="104"/>
        <v>-8.7916599429759976E-2</v>
      </c>
    </row>
    <row r="6110" spans="2:7" x14ac:dyDescent="0.25">
      <c r="B6110" s="98"/>
      <c r="F6110">
        <v>6106</v>
      </c>
      <c r="G6110" s="109">
        <f t="shared" ca="1" si="104"/>
        <v>-5.463974987735222E-2</v>
      </c>
    </row>
    <row r="6111" spans="2:7" x14ac:dyDescent="0.25">
      <c r="B6111" s="98"/>
      <c r="F6111">
        <v>6107</v>
      </c>
      <c r="G6111" s="109">
        <f t="shared" ca="1" si="104"/>
        <v>9.919840038577675E-2</v>
      </c>
    </row>
    <row r="6112" spans="2:7" x14ac:dyDescent="0.25">
      <c r="B6112" s="98"/>
      <c r="F6112">
        <v>6108</v>
      </c>
      <c r="G6112" s="109">
        <f t="shared" ca="1" si="104"/>
        <v>-0.11952250682724581</v>
      </c>
    </row>
    <row r="6113" spans="2:7" x14ac:dyDescent="0.25">
      <c r="B6113" s="98"/>
      <c r="F6113">
        <v>6109</v>
      </c>
      <c r="G6113" s="109">
        <f t="shared" ca="1" si="104"/>
        <v>3.8750575563832219E-2</v>
      </c>
    </row>
    <row r="6114" spans="2:7" x14ac:dyDescent="0.25">
      <c r="B6114" s="98"/>
      <c r="F6114">
        <v>6110</v>
      </c>
      <c r="G6114" s="109">
        <f t="shared" ca="1" si="104"/>
        <v>0.10730301014619378</v>
      </c>
    </row>
    <row r="6115" spans="2:7" x14ac:dyDescent="0.25">
      <c r="B6115" s="98"/>
      <c r="F6115">
        <v>6111</v>
      </c>
      <c r="G6115" s="109">
        <f t="shared" ca="1" si="104"/>
        <v>8.071557271008746E-2</v>
      </c>
    </row>
    <row r="6116" spans="2:7" x14ac:dyDescent="0.25">
      <c r="B6116" s="98"/>
      <c r="F6116">
        <v>6112</v>
      </c>
      <c r="G6116" s="109">
        <f t="shared" ca="1" si="104"/>
        <v>8.6233025556589391E-2</v>
      </c>
    </row>
    <row r="6117" spans="2:7" x14ac:dyDescent="0.25">
      <c r="B6117" s="98"/>
      <c r="F6117">
        <v>6113</v>
      </c>
      <c r="G6117" s="109">
        <f t="shared" ca="1" si="104"/>
        <v>-4.408249049153852E-2</v>
      </c>
    </row>
    <row r="6118" spans="2:7" x14ac:dyDescent="0.25">
      <c r="B6118" s="98"/>
      <c r="F6118">
        <v>6114</v>
      </c>
      <c r="G6118" s="109">
        <f t="shared" ca="1" si="104"/>
        <v>2.3773222856277046E-2</v>
      </c>
    </row>
    <row r="6119" spans="2:7" x14ac:dyDescent="0.25">
      <c r="B6119" s="98"/>
      <c r="F6119">
        <v>6115</v>
      </c>
      <c r="G6119" s="109">
        <f t="shared" ca="1" si="104"/>
        <v>-4.6608959273747821E-2</v>
      </c>
    </row>
    <row r="6120" spans="2:7" x14ac:dyDescent="0.25">
      <c r="B6120" s="98"/>
      <c r="F6120">
        <v>6116</v>
      </c>
      <c r="G6120" s="109">
        <f t="shared" ca="1" si="104"/>
        <v>3.5029171471239171E-2</v>
      </c>
    </row>
    <row r="6121" spans="2:7" x14ac:dyDescent="0.25">
      <c r="B6121" s="98"/>
      <c r="F6121">
        <v>6117</v>
      </c>
      <c r="G6121" s="109">
        <f t="shared" ca="1" si="104"/>
        <v>5.5713023749348403E-2</v>
      </c>
    </row>
    <row r="6122" spans="2:7" x14ac:dyDescent="0.25">
      <c r="B6122" s="98"/>
      <c r="F6122">
        <v>6118</v>
      </c>
      <c r="G6122" s="109">
        <f t="shared" ca="1" si="104"/>
        <v>0.17914535979528556</v>
      </c>
    </row>
    <row r="6123" spans="2:7" x14ac:dyDescent="0.25">
      <c r="B6123" s="98"/>
      <c r="F6123">
        <v>6119</v>
      </c>
      <c r="G6123" s="109">
        <f t="shared" ca="1" si="104"/>
        <v>5.0789845767662142E-2</v>
      </c>
    </row>
    <row r="6124" spans="2:7" x14ac:dyDescent="0.25">
      <c r="B6124" s="98"/>
      <c r="F6124">
        <v>6120</v>
      </c>
      <c r="G6124" s="109">
        <f t="shared" ca="1" si="104"/>
        <v>-3.9474776629240746E-2</v>
      </c>
    </row>
    <row r="6125" spans="2:7" x14ac:dyDescent="0.25">
      <c r="B6125" s="98"/>
      <c r="F6125">
        <v>6121</v>
      </c>
      <c r="G6125" s="109">
        <f t="shared" ca="1" si="104"/>
        <v>-0.19262602960784003</v>
      </c>
    </row>
    <row r="6126" spans="2:7" x14ac:dyDescent="0.25">
      <c r="B6126" s="98"/>
      <c r="F6126">
        <v>6122</v>
      </c>
      <c r="G6126" s="109">
        <f t="shared" ca="1" si="104"/>
        <v>0.14636517024414541</v>
      </c>
    </row>
    <row r="6127" spans="2:7" x14ac:dyDescent="0.25">
      <c r="B6127" s="98"/>
      <c r="F6127">
        <v>6123</v>
      </c>
      <c r="G6127" s="109">
        <f t="shared" ca="1" si="104"/>
        <v>0.24645137143591073</v>
      </c>
    </row>
    <row r="6128" spans="2:7" x14ac:dyDescent="0.25">
      <c r="B6128" s="98"/>
      <c r="F6128">
        <v>6124</v>
      </c>
      <c r="G6128" s="109">
        <f t="shared" ca="1" si="104"/>
        <v>5.0073732991616146E-2</v>
      </c>
    </row>
    <row r="6129" spans="2:7" x14ac:dyDescent="0.25">
      <c r="B6129" s="98"/>
      <c r="F6129">
        <v>6125</v>
      </c>
      <c r="G6129" s="109">
        <f t="shared" ca="1" si="104"/>
        <v>8.3417544353770093E-2</v>
      </c>
    </row>
    <row r="6130" spans="2:7" x14ac:dyDescent="0.25">
      <c r="B6130" s="98"/>
      <c r="F6130">
        <v>6126</v>
      </c>
      <c r="G6130" s="109">
        <f t="shared" ca="1" si="104"/>
        <v>-7.6473897662054854E-2</v>
      </c>
    </row>
    <row r="6131" spans="2:7" x14ac:dyDescent="0.25">
      <c r="B6131" s="98"/>
      <c r="F6131">
        <v>6127</v>
      </c>
      <c r="G6131" s="109">
        <f t="shared" ca="1" si="104"/>
        <v>-1.8297705349611226E-2</v>
      </c>
    </row>
    <row r="6132" spans="2:7" x14ac:dyDescent="0.25">
      <c r="B6132" s="98"/>
      <c r="F6132">
        <v>6128</v>
      </c>
      <c r="G6132" s="109">
        <f t="shared" ca="1" si="104"/>
        <v>4.8879288838207705E-2</v>
      </c>
    </row>
    <row r="6133" spans="2:7" x14ac:dyDescent="0.25">
      <c r="B6133" s="98"/>
      <c r="F6133">
        <v>6129</v>
      </c>
      <c r="G6133" s="109">
        <f t="shared" ca="1" si="104"/>
        <v>1.4257272386240104E-2</v>
      </c>
    </row>
    <row r="6134" spans="2:7" x14ac:dyDescent="0.25">
      <c r="B6134" s="98"/>
      <c r="F6134">
        <v>6130</v>
      </c>
      <c r="G6134" s="109">
        <f t="shared" ca="1" si="104"/>
        <v>3.0833641454766303E-2</v>
      </c>
    </row>
    <row r="6135" spans="2:7" x14ac:dyDescent="0.25">
      <c r="B6135" s="98"/>
      <c r="F6135">
        <v>6131</v>
      </c>
      <c r="G6135" s="109">
        <f t="shared" ca="1" si="104"/>
        <v>-7.3615248015483012E-3</v>
      </c>
    </row>
    <row r="6136" spans="2:7" x14ac:dyDescent="0.25">
      <c r="B6136" s="98"/>
      <c r="F6136">
        <v>6132</v>
      </c>
      <c r="G6136" s="109">
        <f t="shared" ca="1" si="104"/>
        <v>0.11685463977195003</v>
      </c>
    </row>
    <row r="6137" spans="2:7" x14ac:dyDescent="0.25">
      <c r="B6137" s="98"/>
      <c r="F6137">
        <v>6133</v>
      </c>
      <c r="G6137" s="109">
        <f t="shared" ca="1" si="104"/>
        <v>3.8133999635879941E-2</v>
      </c>
    </row>
    <row r="6138" spans="2:7" x14ac:dyDescent="0.25">
      <c r="B6138" s="98"/>
      <c r="F6138">
        <v>6134</v>
      </c>
      <c r="G6138" s="109">
        <f t="shared" ca="1" si="104"/>
        <v>-1.2857750079595047E-2</v>
      </c>
    </row>
    <row r="6139" spans="2:7" x14ac:dyDescent="0.25">
      <c r="B6139" s="98"/>
      <c r="F6139">
        <v>6135</v>
      </c>
      <c r="G6139" s="109">
        <f t="shared" ca="1" si="104"/>
        <v>-2.2955449549572918E-2</v>
      </c>
    </row>
    <row r="6140" spans="2:7" x14ac:dyDescent="0.25">
      <c r="B6140" s="98"/>
      <c r="F6140">
        <v>6136</v>
      </c>
      <c r="G6140" s="109">
        <f t="shared" ca="1" si="104"/>
        <v>0.25104710675971081</v>
      </c>
    </row>
    <row r="6141" spans="2:7" x14ac:dyDescent="0.25">
      <c r="B6141" s="98"/>
      <c r="F6141">
        <v>6137</v>
      </c>
      <c r="G6141" s="109">
        <f t="shared" ca="1" si="104"/>
        <v>2.5748361940372486E-3</v>
      </c>
    </row>
    <row r="6142" spans="2:7" x14ac:dyDescent="0.25">
      <c r="B6142" s="98"/>
      <c r="F6142">
        <v>6138</v>
      </c>
      <c r="G6142" s="109">
        <f t="shared" ca="1" si="104"/>
        <v>9.1223216114871497E-2</v>
      </c>
    </row>
    <row r="6143" spans="2:7" x14ac:dyDescent="0.25">
      <c r="B6143" s="98"/>
      <c r="F6143">
        <v>6139</v>
      </c>
      <c r="G6143" s="109">
        <f t="shared" ca="1" si="104"/>
        <v>6.8483193717999893E-2</v>
      </c>
    </row>
    <row r="6144" spans="2:7" x14ac:dyDescent="0.25">
      <c r="B6144" s="98"/>
      <c r="F6144">
        <v>6140</v>
      </c>
      <c r="G6144" s="109">
        <f t="shared" ca="1" si="104"/>
        <v>5.7002544157782803E-2</v>
      </c>
    </row>
    <row r="6145" spans="2:7" x14ac:dyDescent="0.25">
      <c r="B6145" s="98"/>
      <c r="F6145">
        <v>6141</v>
      </c>
      <c r="G6145" s="109">
        <f t="shared" ca="1" si="104"/>
        <v>0.19067534894727789</v>
      </c>
    </row>
    <row r="6146" spans="2:7" x14ac:dyDescent="0.25">
      <c r="B6146" s="98"/>
      <c r="F6146">
        <v>6142</v>
      </c>
      <c r="G6146" s="109">
        <f t="shared" ca="1" si="104"/>
        <v>5.6416326071109052E-2</v>
      </c>
    </row>
    <row r="6147" spans="2:7" x14ac:dyDescent="0.25">
      <c r="B6147" s="98"/>
      <c r="F6147">
        <v>6143</v>
      </c>
      <c r="G6147" s="109">
        <f t="shared" ca="1" si="104"/>
        <v>0.12870782416334192</v>
      </c>
    </row>
    <row r="6148" spans="2:7" x14ac:dyDescent="0.25">
      <c r="B6148" s="98"/>
      <c r="F6148">
        <v>6144</v>
      </c>
      <c r="G6148" s="109">
        <f t="shared" ca="1" si="104"/>
        <v>9.5770882384671158E-2</v>
      </c>
    </row>
    <row r="6149" spans="2:7" x14ac:dyDescent="0.25">
      <c r="B6149" s="98"/>
      <c r="F6149">
        <v>6145</v>
      </c>
      <c r="G6149" s="109">
        <f t="shared" ca="1" si="104"/>
        <v>2.446262370639701E-2</v>
      </c>
    </row>
    <row r="6150" spans="2:7" x14ac:dyDescent="0.25">
      <c r="B6150" s="98"/>
      <c r="F6150">
        <v>6146</v>
      </c>
      <c r="G6150" s="109">
        <f t="shared" ref="G6150:G6213" ca="1" si="105">_xlfn.NORM.INV(RAND(),$M$5,$M$6)</f>
        <v>-5.1465851324575873E-2</v>
      </c>
    </row>
    <row r="6151" spans="2:7" x14ac:dyDescent="0.25">
      <c r="B6151" s="98"/>
      <c r="F6151">
        <v>6147</v>
      </c>
      <c r="G6151" s="109">
        <f t="shared" ca="1" si="105"/>
        <v>2.5502913530369813E-2</v>
      </c>
    </row>
    <row r="6152" spans="2:7" x14ac:dyDescent="0.25">
      <c r="B6152" s="98"/>
      <c r="F6152">
        <v>6148</v>
      </c>
      <c r="G6152" s="109">
        <f t="shared" ca="1" si="105"/>
        <v>-3.6730286322749967E-2</v>
      </c>
    </row>
    <row r="6153" spans="2:7" x14ac:dyDescent="0.25">
      <c r="B6153" s="98"/>
      <c r="F6153">
        <v>6149</v>
      </c>
      <c r="G6153" s="109">
        <f t="shared" ca="1" si="105"/>
        <v>0.14292180881735839</v>
      </c>
    </row>
    <row r="6154" spans="2:7" x14ac:dyDescent="0.25">
      <c r="B6154" s="98"/>
      <c r="F6154">
        <v>6150</v>
      </c>
      <c r="G6154" s="109">
        <f t="shared" ca="1" si="105"/>
        <v>4.7298465461227721E-2</v>
      </c>
    </row>
    <row r="6155" spans="2:7" x14ac:dyDescent="0.25">
      <c r="B6155" s="98"/>
      <c r="F6155">
        <v>6151</v>
      </c>
      <c r="G6155" s="109">
        <f t="shared" ca="1" si="105"/>
        <v>0.17963201790515837</v>
      </c>
    </row>
    <row r="6156" spans="2:7" x14ac:dyDescent="0.25">
      <c r="B6156" s="98"/>
      <c r="F6156">
        <v>6152</v>
      </c>
      <c r="G6156" s="109">
        <f t="shared" ca="1" si="105"/>
        <v>0.13392774829954304</v>
      </c>
    </row>
    <row r="6157" spans="2:7" x14ac:dyDescent="0.25">
      <c r="B6157" s="98"/>
      <c r="F6157">
        <v>6153</v>
      </c>
      <c r="G6157" s="109">
        <f t="shared" ca="1" si="105"/>
        <v>0.32179567318614838</v>
      </c>
    </row>
    <row r="6158" spans="2:7" x14ac:dyDescent="0.25">
      <c r="B6158" s="98"/>
      <c r="F6158">
        <v>6154</v>
      </c>
      <c r="G6158" s="109">
        <f t="shared" ca="1" si="105"/>
        <v>0.16025644730583904</v>
      </c>
    </row>
    <row r="6159" spans="2:7" x14ac:dyDescent="0.25">
      <c r="B6159" s="98"/>
      <c r="F6159">
        <v>6155</v>
      </c>
      <c r="G6159" s="109">
        <f t="shared" ca="1" si="105"/>
        <v>-6.1575744604106725E-2</v>
      </c>
    </row>
    <row r="6160" spans="2:7" x14ac:dyDescent="0.25">
      <c r="B6160" s="98"/>
      <c r="F6160">
        <v>6156</v>
      </c>
      <c r="G6160" s="109">
        <f t="shared" ca="1" si="105"/>
        <v>0.16725121011426441</v>
      </c>
    </row>
    <row r="6161" spans="2:7" x14ac:dyDescent="0.25">
      <c r="B6161" s="98"/>
      <c r="F6161">
        <v>6157</v>
      </c>
      <c r="G6161" s="109">
        <f t="shared" ca="1" si="105"/>
        <v>3.3007011133630582E-2</v>
      </c>
    </row>
    <row r="6162" spans="2:7" x14ac:dyDescent="0.25">
      <c r="B6162" s="98"/>
      <c r="F6162">
        <v>6158</v>
      </c>
      <c r="G6162" s="109">
        <f t="shared" ca="1" si="105"/>
        <v>0.19569484820461225</v>
      </c>
    </row>
    <row r="6163" spans="2:7" x14ac:dyDescent="0.25">
      <c r="B6163" s="98"/>
      <c r="F6163">
        <v>6159</v>
      </c>
      <c r="G6163" s="109">
        <f t="shared" ca="1" si="105"/>
        <v>0.12387161388003599</v>
      </c>
    </row>
    <row r="6164" spans="2:7" x14ac:dyDescent="0.25">
      <c r="B6164" s="98"/>
      <c r="F6164">
        <v>6160</v>
      </c>
      <c r="G6164" s="109">
        <f t="shared" ca="1" si="105"/>
        <v>5.3952301253194862E-2</v>
      </c>
    </row>
    <row r="6165" spans="2:7" x14ac:dyDescent="0.25">
      <c r="B6165" s="98"/>
      <c r="F6165">
        <v>6161</v>
      </c>
      <c r="G6165" s="109">
        <f t="shared" ca="1" si="105"/>
        <v>-9.3676180136509982E-2</v>
      </c>
    </row>
    <row r="6166" spans="2:7" x14ac:dyDescent="0.25">
      <c r="B6166" s="98"/>
      <c r="F6166">
        <v>6162</v>
      </c>
      <c r="G6166" s="109">
        <f t="shared" ca="1" si="105"/>
        <v>0.2871450517267819</v>
      </c>
    </row>
    <row r="6167" spans="2:7" x14ac:dyDescent="0.25">
      <c r="B6167" s="98"/>
      <c r="F6167">
        <v>6163</v>
      </c>
      <c r="G6167" s="109">
        <f t="shared" ca="1" si="105"/>
        <v>-8.2117909150024385E-3</v>
      </c>
    </row>
    <row r="6168" spans="2:7" x14ac:dyDescent="0.25">
      <c r="B6168" s="98"/>
      <c r="F6168">
        <v>6164</v>
      </c>
      <c r="G6168" s="109">
        <f t="shared" ca="1" si="105"/>
        <v>0.16109310873688848</v>
      </c>
    </row>
    <row r="6169" spans="2:7" x14ac:dyDescent="0.25">
      <c r="B6169" s="98"/>
      <c r="F6169">
        <v>6165</v>
      </c>
      <c r="G6169" s="109">
        <f t="shared" ca="1" si="105"/>
        <v>0.14949523719677038</v>
      </c>
    </row>
    <row r="6170" spans="2:7" x14ac:dyDescent="0.25">
      <c r="B6170" s="98"/>
      <c r="F6170">
        <v>6166</v>
      </c>
      <c r="G6170" s="109">
        <f t="shared" ca="1" si="105"/>
        <v>0.13480535117655285</v>
      </c>
    </row>
    <row r="6171" spans="2:7" x14ac:dyDescent="0.25">
      <c r="B6171" s="98"/>
      <c r="F6171">
        <v>6167</v>
      </c>
      <c r="G6171" s="109">
        <f t="shared" ca="1" si="105"/>
        <v>3.1926113382084079E-2</v>
      </c>
    </row>
    <row r="6172" spans="2:7" x14ac:dyDescent="0.25">
      <c r="B6172" s="98"/>
      <c r="F6172">
        <v>6168</v>
      </c>
      <c r="G6172" s="109">
        <f t="shared" ca="1" si="105"/>
        <v>-3.7141037123001958E-2</v>
      </c>
    </row>
    <row r="6173" spans="2:7" x14ac:dyDescent="0.25">
      <c r="B6173" s="98"/>
      <c r="F6173">
        <v>6169</v>
      </c>
      <c r="G6173" s="109">
        <f t="shared" ca="1" si="105"/>
        <v>-0.10180036827285242</v>
      </c>
    </row>
    <row r="6174" spans="2:7" x14ac:dyDescent="0.25">
      <c r="B6174" s="98"/>
      <c r="F6174">
        <v>6170</v>
      </c>
      <c r="G6174" s="109">
        <f t="shared" ca="1" si="105"/>
        <v>-0.13086563246136734</v>
      </c>
    </row>
    <row r="6175" spans="2:7" x14ac:dyDescent="0.25">
      <c r="B6175" s="98"/>
      <c r="F6175">
        <v>6171</v>
      </c>
      <c r="G6175" s="109">
        <f t="shared" ca="1" si="105"/>
        <v>6.5239595317047178E-2</v>
      </c>
    </row>
    <row r="6176" spans="2:7" x14ac:dyDescent="0.25">
      <c r="B6176" s="98"/>
      <c r="F6176">
        <v>6172</v>
      </c>
      <c r="G6176" s="109">
        <f t="shared" ca="1" si="105"/>
        <v>0.31722495023763386</v>
      </c>
    </row>
    <row r="6177" spans="2:7" x14ac:dyDescent="0.25">
      <c r="B6177" s="98"/>
      <c r="F6177">
        <v>6173</v>
      </c>
      <c r="G6177" s="109">
        <f t="shared" ca="1" si="105"/>
        <v>-3.8450291557646538E-2</v>
      </c>
    </row>
    <row r="6178" spans="2:7" x14ac:dyDescent="0.25">
      <c r="B6178" s="98"/>
      <c r="F6178">
        <v>6174</v>
      </c>
      <c r="G6178" s="109">
        <f t="shared" ca="1" si="105"/>
        <v>-0.1088354602110508</v>
      </c>
    </row>
    <row r="6179" spans="2:7" x14ac:dyDescent="0.25">
      <c r="B6179" s="98"/>
      <c r="F6179">
        <v>6175</v>
      </c>
      <c r="G6179" s="109">
        <f t="shared" ca="1" si="105"/>
        <v>-6.0555254048584459E-2</v>
      </c>
    </row>
    <row r="6180" spans="2:7" x14ac:dyDescent="0.25">
      <c r="B6180" s="98"/>
      <c r="F6180">
        <v>6176</v>
      </c>
      <c r="G6180" s="109">
        <f t="shared" ca="1" si="105"/>
        <v>8.8290752955748744E-2</v>
      </c>
    </row>
    <row r="6181" spans="2:7" x14ac:dyDescent="0.25">
      <c r="B6181" s="98"/>
      <c r="F6181">
        <v>6177</v>
      </c>
      <c r="G6181" s="109">
        <f t="shared" ca="1" si="105"/>
        <v>0.13481255179662155</v>
      </c>
    </row>
    <row r="6182" spans="2:7" x14ac:dyDescent="0.25">
      <c r="B6182" s="98"/>
      <c r="F6182">
        <v>6178</v>
      </c>
      <c r="G6182" s="109">
        <f t="shared" ca="1" si="105"/>
        <v>3.8059167371255337E-3</v>
      </c>
    </row>
    <row r="6183" spans="2:7" x14ac:dyDescent="0.25">
      <c r="B6183" s="98"/>
      <c r="F6183">
        <v>6179</v>
      </c>
      <c r="G6183" s="109">
        <f t="shared" ca="1" si="105"/>
        <v>2.3170122515976544E-2</v>
      </c>
    </row>
    <row r="6184" spans="2:7" x14ac:dyDescent="0.25">
      <c r="B6184" s="98"/>
      <c r="F6184">
        <v>6180</v>
      </c>
      <c r="G6184" s="109">
        <f t="shared" ca="1" si="105"/>
        <v>-6.4353063204357241E-2</v>
      </c>
    </row>
    <row r="6185" spans="2:7" x14ac:dyDescent="0.25">
      <c r="B6185" s="98"/>
      <c r="F6185">
        <v>6181</v>
      </c>
      <c r="G6185" s="109">
        <f t="shared" ca="1" si="105"/>
        <v>0.11628934968209022</v>
      </c>
    </row>
    <row r="6186" spans="2:7" x14ac:dyDescent="0.25">
      <c r="B6186" s="98"/>
      <c r="F6186">
        <v>6182</v>
      </c>
      <c r="G6186" s="109">
        <f t="shared" ca="1" si="105"/>
        <v>7.0792555421948705E-2</v>
      </c>
    </row>
    <row r="6187" spans="2:7" x14ac:dyDescent="0.25">
      <c r="B6187" s="98"/>
      <c r="F6187">
        <v>6183</v>
      </c>
      <c r="G6187" s="109">
        <f t="shared" ca="1" si="105"/>
        <v>8.7385938484605963E-2</v>
      </c>
    </row>
    <row r="6188" spans="2:7" x14ac:dyDescent="0.25">
      <c r="B6188" s="98"/>
      <c r="F6188">
        <v>6184</v>
      </c>
      <c r="G6188" s="109">
        <f t="shared" ca="1" si="105"/>
        <v>0.18981278580556737</v>
      </c>
    </row>
    <row r="6189" spans="2:7" x14ac:dyDescent="0.25">
      <c r="B6189" s="98"/>
      <c r="F6189">
        <v>6185</v>
      </c>
      <c r="G6189" s="109">
        <f t="shared" ca="1" si="105"/>
        <v>-4.1494000032365128E-3</v>
      </c>
    </row>
    <row r="6190" spans="2:7" x14ac:dyDescent="0.25">
      <c r="B6190" s="98"/>
      <c r="F6190">
        <v>6186</v>
      </c>
      <c r="G6190" s="109">
        <f t="shared" ca="1" si="105"/>
        <v>0.21749838860898063</v>
      </c>
    </row>
    <row r="6191" spans="2:7" x14ac:dyDescent="0.25">
      <c r="B6191" s="98"/>
      <c r="F6191">
        <v>6187</v>
      </c>
      <c r="G6191" s="109">
        <f t="shared" ca="1" si="105"/>
        <v>9.4120328131278144E-2</v>
      </c>
    </row>
    <row r="6192" spans="2:7" x14ac:dyDescent="0.25">
      <c r="B6192" s="98"/>
      <c r="F6192">
        <v>6188</v>
      </c>
      <c r="G6192" s="109">
        <f t="shared" ca="1" si="105"/>
        <v>-7.3686748485974188E-2</v>
      </c>
    </row>
    <row r="6193" spans="2:7" x14ac:dyDescent="0.25">
      <c r="B6193" s="98"/>
      <c r="F6193">
        <v>6189</v>
      </c>
      <c r="G6193" s="109">
        <f t="shared" ca="1" si="105"/>
        <v>0.16814810362849211</v>
      </c>
    </row>
    <row r="6194" spans="2:7" x14ac:dyDescent="0.25">
      <c r="B6194" s="98"/>
      <c r="F6194">
        <v>6190</v>
      </c>
      <c r="G6194" s="109">
        <f t="shared" ca="1" si="105"/>
        <v>2.423350010266119E-3</v>
      </c>
    </row>
    <row r="6195" spans="2:7" x14ac:dyDescent="0.25">
      <c r="B6195" s="98"/>
      <c r="F6195">
        <v>6191</v>
      </c>
      <c r="G6195" s="109">
        <f t="shared" ca="1" si="105"/>
        <v>-0.11360240195462128</v>
      </c>
    </row>
    <row r="6196" spans="2:7" x14ac:dyDescent="0.25">
      <c r="B6196" s="98"/>
      <c r="F6196">
        <v>6192</v>
      </c>
      <c r="G6196" s="109">
        <f t="shared" ca="1" si="105"/>
        <v>5.972052096699957E-2</v>
      </c>
    </row>
    <row r="6197" spans="2:7" x14ac:dyDescent="0.25">
      <c r="B6197" s="98"/>
      <c r="F6197">
        <v>6193</v>
      </c>
      <c r="G6197" s="109">
        <f t="shared" ca="1" si="105"/>
        <v>-3.6632133103651057E-2</v>
      </c>
    </row>
    <row r="6198" spans="2:7" x14ac:dyDescent="0.25">
      <c r="B6198" s="98"/>
      <c r="F6198">
        <v>6194</v>
      </c>
      <c r="G6198" s="109">
        <f t="shared" ca="1" si="105"/>
        <v>2.1528067852317607E-2</v>
      </c>
    </row>
    <row r="6199" spans="2:7" x14ac:dyDescent="0.25">
      <c r="B6199" s="98"/>
      <c r="F6199">
        <v>6195</v>
      </c>
      <c r="G6199" s="109">
        <f t="shared" ca="1" si="105"/>
        <v>0.16290702057118667</v>
      </c>
    </row>
    <row r="6200" spans="2:7" x14ac:dyDescent="0.25">
      <c r="B6200" s="98"/>
      <c r="F6200">
        <v>6196</v>
      </c>
      <c r="G6200" s="109">
        <f t="shared" ca="1" si="105"/>
        <v>6.3673129296651851E-3</v>
      </c>
    </row>
    <row r="6201" spans="2:7" x14ac:dyDescent="0.25">
      <c r="B6201" s="98"/>
      <c r="F6201">
        <v>6197</v>
      </c>
      <c r="G6201" s="109">
        <f t="shared" ca="1" si="105"/>
        <v>-2.3158514193762608E-2</v>
      </c>
    </row>
    <row r="6202" spans="2:7" x14ac:dyDescent="0.25">
      <c r="B6202" s="98"/>
      <c r="F6202">
        <v>6198</v>
      </c>
      <c r="G6202" s="109">
        <f t="shared" ca="1" si="105"/>
        <v>-2.7961611555122765E-2</v>
      </c>
    </row>
    <row r="6203" spans="2:7" x14ac:dyDescent="0.25">
      <c r="B6203" s="98"/>
      <c r="F6203">
        <v>6199</v>
      </c>
      <c r="G6203" s="109">
        <f t="shared" ca="1" si="105"/>
        <v>0.12704590397485044</v>
      </c>
    </row>
    <row r="6204" spans="2:7" x14ac:dyDescent="0.25">
      <c r="B6204" s="98"/>
      <c r="F6204">
        <v>6200</v>
      </c>
      <c r="G6204" s="109">
        <f t="shared" ca="1" si="105"/>
        <v>0.10975123212634669</v>
      </c>
    </row>
    <row r="6205" spans="2:7" x14ac:dyDescent="0.25">
      <c r="B6205" s="98"/>
      <c r="F6205">
        <v>6201</v>
      </c>
      <c r="G6205" s="109">
        <f t="shared" ca="1" si="105"/>
        <v>3.5546076760629729E-2</v>
      </c>
    </row>
    <row r="6206" spans="2:7" x14ac:dyDescent="0.25">
      <c r="B6206" s="98"/>
      <c r="F6206">
        <v>6202</v>
      </c>
      <c r="G6206" s="109">
        <f t="shared" ca="1" si="105"/>
        <v>-7.295486372953075E-2</v>
      </c>
    </row>
    <row r="6207" spans="2:7" x14ac:dyDescent="0.25">
      <c r="B6207" s="98"/>
      <c r="F6207">
        <v>6203</v>
      </c>
      <c r="G6207" s="109">
        <f t="shared" ca="1" si="105"/>
        <v>0.10868617148797304</v>
      </c>
    </row>
    <row r="6208" spans="2:7" x14ac:dyDescent="0.25">
      <c r="B6208" s="98"/>
      <c r="F6208">
        <v>6204</v>
      </c>
      <c r="G6208" s="109">
        <f t="shared" ca="1" si="105"/>
        <v>0.18327527178868058</v>
      </c>
    </row>
    <row r="6209" spans="2:7" x14ac:dyDescent="0.25">
      <c r="B6209" s="98"/>
      <c r="F6209">
        <v>6205</v>
      </c>
      <c r="G6209" s="109">
        <f t="shared" ca="1" si="105"/>
        <v>-9.9491626508407108E-2</v>
      </c>
    </row>
    <row r="6210" spans="2:7" x14ac:dyDescent="0.25">
      <c r="B6210" s="98"/>
      <c r="F6210">
        <v>6206</v>
      </c>
      <c r="G6210" s="109">
        <f t="shared" ca="1" si="105"/>
        <v>2.8189273845653853E-3</v>
      </c>
    </row>
    <row r="6211" spans="2:7" x14ac:dyDescent="0.25">
      <c r="B6211" s="98"/>
      <c r="F6211">
        <v>6207</v>
      </c>
      <c r="G6211" s="109">
        <f t="shared" ca="1" si="105"/>
        <v>4.5820514686054005E-2</v>
      </c>
    </row>
    <row r="6212" spans="2:7" x14ac:dyDescent="0.25">
      <c r="B6212" s="98"/>
      <c r="F6212">
        <v>6208</v>
      </c>
      <c r="G6212" s="109">
        <f t="shared" ca="1" si="105"/>
        <v>-7.7785517548427288E-2</v>
      </c>
    </row>
    <row r="6213" spans="2:7" x14ac:dyDescent="0.25">
      <c r="B6213" s="98"/>
      <c r="F6213">
        <v>6209</v>
      </c>
      <c r="G6213" s="109">
        <f t="shared" ca="1" si="105"/>
        <v>-0.13538981324358101</v>
      </c>
    </row>
    <row r="6214" spans="2:7" x14ac:dyDescent="0.25">
      <c r="B6214" s="98"/>
      <c r="F6214">
        <v>6210</v>
      </c>
      <c r="G6214" s="109">
        <f t="shared" ref="G6214:G6277" ca="1" si="106">_xlfn.NORM.INV(RAND(),$M$5,$M$6)</f>
        <v>-1.5867950484120999E-2</v>
      </c>
    </row>
    <row r="6215" spans="2:7" x14ac:dyDescent="0.25">
      <c r="B6215" s="98"/>
      <c r="F6215">
        <v>6211</v>
      </c>
      <c r="G6215" s="109">
        <f t="shared" ca="1" si="106"/>
        <v>-4.195162407094534E-2</v>
      </c>
    </row>
    <row r="6216" spans="2:7" x14ac:dyDescent="0.25">
      <c r="B6216" s="98"/>
      <c r="F6216">
        <v>6212</v>
      </c>
      <c r="G6216" s="109">
        <f t="shared" ca="1" si="106"/>
        <v>4.0987754564048504E-2</v>
      </c>
    </row>
    <row r="6217" spans="2:7" x14ac:dyDescent="0.25">
      <c r="B6217" s="98"/>
      <c r="F6217">
        <v>6213</v>
      </c>
      <c r="G6217" s="109">
        <f t="shared" ca="1" si="106"/>
        <v>-0.1690668646059364</v>
      </c>
    </row>
    <row r="6218" spans="2:7" x14ac:dyDescent="0.25">
      <c r="B6218" s="98"/>
      <c r="F6218">
        <v>6214</v>
      </c>
      <c r="G6218" s="109">
        <f t="shared" ca="1" si="106"/>
        <v>8.0976187605616465E-2</v>
      </c>
    </row>
    <row r="6219" spans="2:7" x14ac:dyDescent="0.25">
      <c r="B6219" s="98"/>
      <c r="F6219">
        <v>6215</v>
      </c>
      <c r="G6219" s="109">
        <f t="shared" ca="1" si="106"/>
        <v>6.0746595976567896E-2</v>
      </c>
    </row>
    <row r="6220" spans="2:7" x14ac:dyDescent="0.25">
      <c r="B6220" s="98"/>
      <c r="F6220">
        <v>6216</v>
      </c>
      <c r="G6220" s="109">
        <f t="shared" ca="1" si="106"/>
        <v>1.4801181829397873E-2</v>
      </c>
    </row>
    <row r="6221" spans="2:7" x14ac:dyDescent="0.25">
      <c r="B6221" s="98"/>
      <c r="F6221">
        <v>6217</v>
      </c>
      <c r="G6221" s="109">
        <f t="shared" ca="1" si="106"/>
        <v>3.1085677607696007E-2</v>
      </c>
    </row>
    <row r="6222" spans="2:7" x14ac:dyDescent="0.25">
      <c r="B6222" s="98"/>
      <c r="F6222">
        <v>6218</v>
      </c>
      <c r="G6222" s="109">
        <f t="shared" ca="1" si="106"/>
        <v>-0.11045623523956206</v>
      </c>
    </row>
    <row r="6223" spans="2:7" x14ac:dyDescent="0.25">
      <c r="B6223" s="98"/>
      <c r="F6223">
        <v>6219</v>
      </c>
      <c r="G6223" s="109">
        <f t="shared" ca="1" si="106"/>
        <v>5.5205106895002763E-2</v>
      </c>
    </row>
    <row r="6224" spans="2:7" x14ac:dyDescent="0.25">
      <c r="B6224" s="98"/>
      <c r="F6224">
        <v>6220</v>
      </c>
      <c r="G6224" s="109">
        <f t="shared" ca="1" si="106"/>
        <v>-2.2692125006631869E-2</v>
      </c>
    </row>
    <row r="6225" spans="2:7" x14ac:dyDescent="0.25">
      <c r="B6225" s="98"/>
      <c r="F6225">
        <v>6221</v>
      </c>
      <c r="G6225" s="109">
        <f t="shared" ca="1" si="106"/>
        <v>7.7872931233658904E-2</v>
      </c>
    </row>
    <row r="6226" spans="2:7" x14ac:dyDescent="0.25">
      <c r="B6226" s="98"/>
      <c r="F6226">
        <v>6222</v>
      </c>
      <c r="G6226" s="109">
        <f t="shared" ca="1" si="106"/>
        <v>-2.3278870823901537E-2</v>
      </c>
    </row>
    <row r="6227" spans="2:7" x14ac:dyDescent="0.25">
      <c r="B6227" s="98"/>
      <c r="F6227">
        <v>6223</v>
      </c>
      <c r="G6227" s="109">
        <f t="shared" ca="1" si="106"/>
        <v>0.15835961597080897</v>
      </c>
    </row>
    <row r="6228" spans="2:7" x14ac:dyDescent="0.25">
      <c r="B6228" s="98"/>
      <c r="F6228">
        <v>6224</v>
      </c>
      <c r="G6228" s="109">
        <f t="shared" ca="1" si="106"/>
        <v>-1.1200872552861008E-2</v>
      </c>
    </row>
    <row r="6229" spans="2:7" x14ac:dyDescent="0.25">
      <c r="B6229" s="98"/>
      <c r="F6229">
        <v>6225</v>
      </c>
      <c r="G6229" s="109">
        <f t="shared" ca="1" si="106"/>
        <v>-1.1175362980268666E-2</v>
      </c>
    </row>
    <row r="6230" spans="2:7" x14ac:dyDescent="0.25">
      <c r="B6230" s="98"/>
      <c r="F6230">
        <v>6226</v>
      </c>
      <c r="G6230" s="109">
        <f t="shared" ca="1" si="106"/>
        <v>8.3512138539709263E-2</v>
      </c>
    </row>
    <row r="6231" spans="2:7" x14ac:dyDescent="0.25">
      <c r="B6231" s="98"/>
      <c r="F6231">
        <v>6227</v>
      </c>
      <c r="G6231" s="109">
        <f t="shared" ca="1" si="106"/>
        <v>-3.0342398629827724E-2</v>
      </c>
    </row>
    <row r="6232" spans="2:7" x14ac:dyDescent="0.25">
      <c r="B6232" s="98"/>
      <c r="F6232">
        <v>6228</v>
      </c>
      <c r="G6232" s="109">
        <f t="shared" ca="1" si="106"/>
        <v>0.15313166533123848</v>
      </c>
    </row>
    <row r="6233" spans="2:7" x14ac:dyDescent="0.25">
      <c r="B6233" s="98"/>
      <c r="F6233">
        <v>6229</v>
      </c>
      <c r="G6233" s="109">
        <f t="shared" ca="1" si="106"/>
        <v>3.6312282997723891E-2</v>
      </c>
    </row>
    <row r="6234" spans="2:7" x14ac:dyDescent="0.25">
      <c r="B6234" s="98"/>
      <c r="F6234">
        <v>6230</v>
      </c>
      <c r="G6234" s="109">
        <f t="shared" ca="1" si="106"/>
        <v>0.1635886555962649</v>
      </c>
    </row>
    <row r="6235" spans="2:7" x14ac:dyDescent="0.25">
      <c r="B6235" s="98"/>
      <c r="F6235">
        <v>6231</v>
      </c>
      <c r="G6235" s="109">
        <f t="shared" ca="1" si="106"/>
        <v>0.11489942881486444</v>
      </c>
    </row>
    <row r="6236" spans="2:7" x14ac:dyDescent="0.25">
      <c r="B6236" s="98"/>
      <c r="F6236">
        <v>6232</v>
      </c>
      <c r="G6236" s="109">
        <f t="shared" ca="1" si="106"/>
        <v>0.11115100424484786</v>
      </c>
    </row>
    <row r="6237" spans="2:7" x14ac:dyDescent="0.25">
      <c r="B6237" s="98"/>
      <c r="F6237">
        <v>6233</v>
      </c>
      <c r="G6237" s="109">
        <f t="shared" ca="1" si="106"/>
        <v>4.6540337522459362E-2</v>
      </c>
    </row>
    <row r="6238" spans="2:7" x14ac:dyDescent="0.25">
      <c r="B6238" s="98"/>
      <c r="F6238">
        <v>6234</v>
      </c>
      <c r="G6238" s="109">
        <f t="shared" ca="1" si="106"/>
        <v>0.26345682313161162</v>
      </c>
    </row>
    <row r="6239" spans="2:7" x14ac:dyDescent="0.25">
      <c r="B6239" s="98"/>
      <c r="F6239">
        <v>6235</v>
      </c>
      <c r="G6239" s="109">
        <f t="shared" ca="1" si="106"/>
        <v>-6.4889556141336444E-2</v>
      </c>
    </row>
    <row r="6240" spans="2:7" x14ac:dyDescent="0.25">
      <c r="B6240" s="98"/>
      <c r="F6240">
        <v>6236</v>
      </c>
      <c r="G6240" s="109">
        <f t="shared" ca="1" si="106"/>
        <v>7.2419239897459159E-2</v>
      </c>
    </row>
    <row r="6241" spans="2:7" x14ac:dyDescent="0.25">
      <c r="B6241" s="98"/>
      <c r="F6241">
        <v>6237</v>
      </c>
      <c r="G6241" s="109">
        <f t="shared" ca="1" si="106"/>
        <v>0.1309587799720682</v>
      </c>
    </row>
    <row r="6242" spans="2:7" x14ac:dyDescent="0.25">
      <c r="B6242" s="98"/>
      <c r="F6242">
        <v>6238</v>
      </c>
      <c r="G6242" s="109">
        <f t="shared" ca="1" si="106"/>
        <v>-2.517067789910829E-3</v>
      </c>
    </row>
    <row r="6243" spans="2:7" x14ac:dyDescent="0.25">
      <c r="B6243" s="98"/>
      <c r="F6243">
        <v>6239</v>
      </c>
      <c r="G6243" s="109">
        <f t="shared" ca="1" si="106"/>
        <v>4.1199528189424621E-2</v>
      </c>
    </row>
    <row r="6244" spans="2:7" x14ac:dyDescent="0.25">
      <c r="B6244" s="98"/>
      <c r="F6244">
        <v>6240</v>
      </c>
      <c r="G6244" s="109">
        <f t="shared" ca="1" si="106"/>
        <v>-0.13772771710778425</v>
      </c>
    </row>
    <row r="6245" spans="2:7" x14ac:dyDescent="0.25">
      <c r="B6245" s="98"/>
      <c r="F6245">
        <v>6241</v>
      </c>
      <c r="G6245" s="109">
        <f t="shared" ca="1" si="106"/>
        <v>2.654497542004277E-2</v>
      </c>
    </row>
    <row r="6246" spans="2:7" x14ac:dyDescent="0.25">
      <c r="B6246" s="98"/>
      <c r="F6246">
        <v>6242</v>
      </c>
      <c r="G6246" s="109">
        <f t="shared" ca="1" si="106"/>
        <v>2.3728756090003151E-2</v>
      </c>
    </row>
    <row r="6247" spans="2:7" x14ac:dyDescent="0.25">
      <c r="B6247" s="98"/>
      <c r="F6247">
        <v>6243</v>
      </c>
      <c r="G6247" s="109">
        <f t="shared" ca="1" si="106"/>
        <v>4.3990019077547599E-3</v>
      </c>
    </row>
    <row r="6248" spans="2:7" x14ac:dyDescent="0.25">
      <c r="B6248" s="98"/>
      <c r="F6248">
        <v>6244</v>
      </c>
      <c r="G6248" s="109">
        <f t="shared" ca="1" si="106"/>
        <v>0.15157298675207817</v>
      </c>
    </row>
    <row r="6249" spans="2:7" x14ac:dyDescent="0.25">
      <c r="B6249" s="98"/>
      <c r="F6249">
        <v>6245</v>
      </c>
      <c r="G6249" s="109">
        <f t="shared" ca="1" si="106"/>
        <v>-8.3521915704739894E-3</v>
      </c>
    </row>
    <row r="6250" spans="2:7" x14ac:dyDescent="0.25">
      <c r="B6250" s="98"/>
      <c r="F6250">
        <v>6246</v>
      </c>
      <c r="G6250" s="109">
        <f t="shared" ca="1" si="106"/>
        <v>0.11979707649639702</v>
      </c>
    </row>
    <row r="6251" spans="2:7" x14ac:dyDescent="0.25">
      <c r="B6251" s="98"/>
      <c r="F6251">
        <v>6247</v>
      </c>
      <c r="G6251" s="109">
        <f t="shared" ca="1" si="106"/>
        <v>3.8237378578641137E-2</v>
      </c>
    </row>
    <row r="6252" spans="2:7" x14ac:dyDescent="0.25">
      <c r="B6252" s="98"/>
      <c r="F6252">
        <v>6248</v>
      </c>
      <c r="G6252" s="109">
        <f t="shared" ca="1" si="106"/>
        <v>-6.545879553750758E-4</v>
      </c>
    </row>
    <row r="6253" spans="2:7" x14ac:dyDescent="0.25">
      <c r="B6253" s="98"/>
      <c r="F6253">
        <v>6249</v>
      </c>
      <c r="G6253" s="109">
        <f t="shared" ca="1" si="106"/>
        <v>5.019879655693963E-2</v>
      </c>
    </row>
    <row r="6254" spans="2:7" x14ac:dyDescent="0.25">
      <c r="B6254" s="98"/>
      <c r="F6254">
        <v>6250</v>
      </c>
      <c r="G6254" s="109">
        <f t="shared" ca="1" si="106"/>
        <v>8.5233476908106134E-2</v>
      </c>
    </row>
    <row r="6255" spans="2:7" x14ac:dyDescent="0.25">
      <c r="B6255" s="98"/>
      <c r="F6255">
        <v>6251</v>
      </c>
      <c r="G6255" s="109">
        <f t="shared" ca="1" si="106"/>
        <v>-5.9220550250116105E-2</v>
      </c>
    </row>
    <row r="6256" spans="2:7" x14ac:dyDescent="0.25">
      <c r="B6256" s="98"/>
      <c r="F6256">
        <v>6252</v>
      </c>
      <c r="G6256" s="109">
        <f t="shared" ca="1" si="106"/>
        <v>0.22918832194917521</v>
      </c>
    </row>
    <row r="6257" spans="2:7" x14ac:dyDescent="0.25">
      <c r="B6257" s="98"/>
      <c r="F6257">
        <v>6253</v>
      </c>
      <c r="G6257" s="109">
        <f t="shared" ca="1" si="106"/>
        <v>4.1258059669099761E-2</v>
      </c>
    </row>
    <row r="6258" spans="2:7" x14ac:dyDescent="0.25">
      <c r="B6258" s="98"/>
      <c r="F6258">
        <v>6254</v>
      </c>
      <c r="G6258" s="109">
        <f t="shared" ca="1" si="106"/>
        <v>3.078690456869531E-2</v>
      </c>
    </row>
    <row r="6259" spans="2:7" x14ac:dyDescent="0.25">
      <c r="B6259" s="98"/>
      <c r="F6259">
        <v>6255</v>
      </c>
      <c r="G6259" s="109">
        <f t="shared" ca="1" si="106"/>
        <v>0.16734427893653259</v>
      </c>
    </row>
    <row r="6260" spans="2:7" x14ac:dyDescent="0.25">
      <c r="B6260" s="98"/>
      <c r="F6260">
        <v>6256</v>
      </c>
      <c r="G6260" s="109">
        <f t="shared" ca="1" si="106"/>
        <v>0.13456039784467588</v>
      </c>
    </row>
    <row r="6261" spans="2:7" x14ac:dyDescent="0.25">
      <c r="B6261" s="98"/>
      <c r="F6261">
        <v>6257</v>
      </c>
      <c r="G6261" s="109">
        <f t="shared" ca="1" si="106"/>
        <v>4.0927131179977781E-2</v>
      </c>
    </row>
    <row r="6262" spans="2:7" x14ac:dyDescent="0.25">
      <c r="B6262" s="98"/>
      <c r="F6262">
        <v>6258</v>
      </c>
      <c r="G6262" s="109">
        <f t="shared" ca="1" si="106"/>
        <v>7.548085795987762E-2</v>
      </c>
    </row>
    <row r="6263" spans="2:7" x14ac:dyDescent="0.25">
      <c r="B6263" s="98"/>
      <c r="F6263">
        <v>6259</v>
      </c>
      <c r="G6263" s="109">
        <f t="shared" ca="1" si="106"/>
        <v>0.1331863810866353</v>
      </c>
    </row>
    <row r="6264" spans="2:7" x14ac:dyDescent="0.25">
      <c r="B6264" s="98"/>
      <c r="F6264">
        <v>6260</v>
      </c>
      <c r="G6264" s="109">
        <f t="shared" ca="1" si="106"/>
        <v>-1.7953464338881425E-2</v>
      </c>
    </row>
    <row r="6265" spans="2:7" x14ac:dyDescent="0.25">
      <c r="B6265" s="98"/>
      <c r="F6265">
        <v>6261</v>
      </c>
      <c r="G6265" s="109">
        <f t="shared" ca="1" si="106"/>
        <v>-1.5956701489995236E-2</v>
      </c>
    </row>
    <row r="6266" spans="2:7" x14ac:dyDescent="0.25">
      <c r="B6266" s="98"/>
      <c r="F6266">
        <v>6262</v>
      </c>
      <c r="G6266" s="109">
        <f t="shared" ca="1" si="106"/>
        <v>0.13285187087684214</v>
      </c>
    </row>
    <row r="6267" spans="2:7" x14ac:dyDescent="0.25">
      <c r="B6267" s="98"/>
      <c r="F6267">
        <v>6263</v>
      </c>
      <c r="G6267" s="109">
        <f t="shared" ca="1" si="106"/>
        <v>0.13634725596815411</v>
      </c>
    </row>
    <row r="6268" spans="2:7" x14ac:dyDescent="0.25">
      <c r="B6268" s="98"/>
      <c r="F6268">
        <v>6264</v>
      </c>
      <c r="G6268" s="109">
        <f t="shared" ca="1" si="106"/>
        <v>-3.4246110136853802E-2</v>
      </c>
    </row>
    <row r="6269" spans="2:7" x14ac:dyDescent="0.25">
      <c r="B6269" s="98"/>
      <c r="F6269">
        <v>6265</v>
      </c>
      <c r="G6269" s="109">
        <f t="shared" ca="1" si="106"/>
        <v>0.17787539727653257</v>
      </c>
    </row>
    <row r="6270" spans="2:7" x14ac:dyDescent="0.25">
      <c r="B6270" s="98"/>
      <c r="F6270">
        <v>6266</v>
      </c>
      <c r="G6270" s="109">
        <f t="shared" ca="1" si="106"/>
        <v>0.17867262682122764</v>
      </c>
    </row>
    <row r="6271" spans="2:7" x14ac:dyDescent="0.25">
      <c r="B6271" s="98"/>
      <c r="F6271">
        <v>6267</v>
      </c>
      <c r="G6271" s="109">
        <f t="shared" ca="1" si="106"/>
        <v>-5.4246319298558748E-2</v>
      </c>
    </row>
    <row r="6272" spans="2:7" x14ac:dyDescent="0.25">
      <c r="B6272" s="98"/>
      <c r="F6272">
        <v>6268</v>
      </c>
      <c r="G6272" s="109">
        <f t="shared" ca="1" si="106"/>
        <v>-6.8210957836608632E-2</v>
      </c>
    </row>
    <row r="6273" spans="2:7" x14ac:dyDescent="0.25">
      <c r="B6273" s="98"/>
      <c r="F6273">
        <v>6269</v>
      </c>
      <c r="G6273" s="109">
        <f t="shared" ca="1" si="106"/>
        <v>0.21413353234289301</v>
      </c>
    </row>
    <row r="6274" spans="2:7" x14ac:dyDescent="0.25">
      <c r="B6274" s="98"/>
      <c r="F6274">
        <v>6270</v>
      </c>
      <c r="G6274" s="109">
        <f t="shared" ca="1" si="106"/>
        <v>-0.10183027499201334</v>
      </c>
    </row>
    <row r="6275" spans="2:7" x14ac:dyDescent="0.25">
      <c r="B6275" s="98"/>
      <c r="F6275">
        <v>6271</v>
      </c>
      <c r="G6275" s="109">
        <f t="shared" ca="1" si="106"/>
        <v>-2.1795438408929863E-3</v>
      </c>
    </row>
    <row r="6276" spans="2:7" x14ac:dyDescent="0.25">
      <c r="B6276" s="98"/>
      <c r="F6276">
        <v>6272</v>
      </c>
      <c r="G6276" s="109">
        <f t="shared" ca="1" si="106"/>
        <v>0.19301195263392146</v>
      </c>
    </row>
    <row r="6277" spans="2:7" x14ac:dyDescent="0.25">
      <c r="B6277" s="98"/>
      <c r="F6277">
        <v>6273</v>
      </c>
      <c r="G6277" s="109">
        <f t="shared" ca="1" si="106"/>
        <v>0.19886156228397733</v>
      </c>
    </row>
    <row r="6278" spans="2:7" x14ac:dyDescent="0.25">
      <c r="B6278" s="98"/>
      <c r="F6278">
        <v>6274</v>
      </c>
      <c r="G6278" s="109">
        <f t="shared" ref="G6278:G6341" ca="1" si="107">_xlfn.NORM.INV(RAND(),$M$5,$M$6)</f>
        <v>0.13402358215833526</v>
      </c>
    </row>
    <row r="6279" spans="2:7" x14ac:dyDescent="0.25">
      <c r="B6279" s="98"/>
      <c r="F6279">
        <v>6275</v>
      </c>
      <c r="G6279" s="109">
        <f t="shared" ca="1" si="107"/>
        <v>0.12370084289881365</v>
      </c>
    </row>
    <row r="6280" spans="2:7" x14ac:dyDescent="0.25">
      <c r="B6280" s="98"/>
      <c r="F6280">
        <v>6276</v>
      </c>
      <c r="G6280" s="109">
        <f t="shared" ca="1" si="107"/>
        <v>-2.9664790382610801E-2</v>
      </c>
    </row>
    <row r="6281" spans="2:7" x14ac:dyDescent="0.25">
      <c r="B6281" s="98"/>
      <c r="F6281">
        <v>6277</v>
      </c>
      <c r="G6281" s="109">
        <f t="shared" ca="1" si="107"/>
        <v>0.11162033739930614</v>
      </c>
    </row>
    <row r="6282" spans="2:7" x14ac:dyDescent="0.25">
      <c r="B6282" s="98"/>
      <c r="F6282">
        <v>6278</v>
      </c>
      <c r="G6282" s="109">
        <f t="shared" ca="1" si="107"/>
        <v>-2.3672742629623073E-3</v>
      </c>
    </row>
    <row r="6283" spans="2:7" x14ac:dyDescent="0.25">
      <c r="B6283" s="98"/>
      <c r="F6283">
        <v>6279</v>
      </c>
      <c r="G6283" s="109">
        <f t="shared" ca="1" si="107"/>
        <v>0.26283472424410947</v>
      </c>
    </row>
    <row r="6284" spans="2:7" x14ac:dyDescent="0.25">
      <c r="B6284" s="98"/>
      <c r="F6284">
        <v>6280</v>
      </c>
      <c r="G6284" s="109">
        <f t="shared" ca="1" si="107"/>
        <v>-9.8637524641267418E-2</v>
      </c>
    </row>
    <row r="6285" spans="2:7" x14ac:dyDescent="0.25">
      <c r="B6285" s="98"/>
      <c r="F6285">
        <v>6281</v>
      </c>
      <c r="G6285" s="109">
        <f t="shared" ca="1" si="107"/>
        <v>1.1039788507748012E-2</v>
      </c>
    </row>
    <row r="6286" spans="2:7" x14ac:dyDescent="0.25">
      <c r="B6286" s="98"/>
      <c r="F6286">
        <v>6282</v>
      </c>
      <c r="G6286" s="109">
        <f t="shared" ca="1" si="107"/>
        <v>4.0657469661213766E-2</v>
      </c>
    </row>
    <row r="6287" spans="2:7" x14ac:dyDescent="0.25">
      <c r="B6287" s="98"/>
      <c r="F6287">
        <v>6283</v>
      </c>
      <c r="G6287" s="109">
        <f t="shared" ca="1" si="107"/>
        <v>0.17332273905211515</v>
      </c>
    </row>
    <row r="6288" spans="2:7" x14ac:dyDescent="0.25">
      <c r="B6288" s="98"/>
      <c r="F6288">
        <v>6284</v>
      </c>
      <c r="G6288" s="109">
        <f t="shared" ca="1" si="107"/>
        <v>0.18221529003330739</v>
      </c>
    </row>
    <row r="6289" spans="2:7" x14ac:dyDescent="0.25">
      <c r="B6289" s="98"/>
      <c r="F6289">
        <v>6285</v>
      </c>
      <c r="G6289" s="109">
        <f t="shared" ca="1" si="107"/>
        <v>-0.10774173353944098</v>
      </c>
    </row>
    <row r="6290" spans="2:7" x14ac:dyDescent="0.25">
      <c r="B6290" s="98"/>
      <c r="F6290">
        <v>6286</v>
      </c>
      <c r="G6290" s="109">
        <f t="shared" ca="1" si="107"/>
        <v>4.9519507767227702E-2</v>
      </c>
    </row>
    <row r="6291" spans="2:7" x14ac:dyDescent="0.25">
      <c r="B6291" s="98"/>
      <c r="F6291">
        <v>6287</v>
      </c>
      <c r="G6291" s="109">
        <f t="shared" ca="1" si="107"/>
        <v>-2.0703497982225635E-2</v>
      </c>
    </row>
    <row r="6292" spans="2:7" x14ac:dyDescent="0.25">
      <c r="B6292" s="98"/>
      <c r="F6292">
        <v>6288</v>
      </c>
      <c r="G6292" s="109">
        <f t="shared" ca="1" si="107"/>
        <v>9.0269651848981336E-2</v>
      </c>
    </row>
    <row r="6293" spans="2:7" x14ac:dyDescent="0.25">
      <c r="B6293" s="98"/>
      <c r="F6293">
        <v>6289</v>
      </c>
      <c r="G6293" s="109">
        <f t="shared" ca="1" si="107"/>
        <v>8.4291239408827767E-2</v>
      </c>
    </row>
    <row r="6294" spans="2:7" x14ac:dyDescent="0.25">
      <c r="B6294" s="98"/>
      <c r="F6294">
        <v>6290</v>
      </c>
      <c r="G6294" s="109">
        <f t="shared" ca="1" si="107"/>
        <v>0.22059661947129622</v>
      </c>
    </row>
    <row r="6295" spans="2:7" x14ac:dyDescent="0.25">
      <c r="B6295" s="98"/>
      <c r="F6295">
        <v>6291</v>
      </c>
      <c r="G6295" s="109">
        <f t="shared" ca="1" si="107"/>
        <v>5.1912878698659508E-2</v>
      </c>
    </row>
    <row r="6296" spans="2:7" x14ac:dyDescent="0.25">
      <c r="B6296" s="98"/>
      <c r="F6296">
        <v>6292</v>
      </c>
      <c r="G6296" s="109">
        <f t="shared" ca="1" si="107"/>
        <v>7.6241076872126987E-2</v>
      </c>
    </row>
    <row r="6297" spans="2:7" x14ac:dyDescent="0.25">
      <c r="B6297" s="98"/>
      <c r="F6297">
        <v>6293</v>
      </c>
      <c r="G6297" s="109">
        <f t="shared" ca="1" si="107"/>
        <v>0.19516950885564305</v>
      </c>
    </row>
    <row r="6298" spans="2:7" x14ac:dyDescent="0.25">
      <c r="B6298" s="98"/>
      <c r="F6298">
        <v>6294</v>
      </c>
      <c r="G6298" s="109">
        <f t="shared" ca="1" si="107"/>
        <v>0.13206616989404246</v>
      </c>
    </row>
    <row r="6299" spans="2:7" x14ac:dyDescent="0.25">
      <c r="B6299" s="98"/>
      <c r="F6299">
        <v>6295</v>
      </c>
      <c r="G6299" s="109">
        <f t="shared" ca="1" si="107"/>
        <v>0.12033157332114924</v>
      </c>
    </row>
    <row r="6300" spans="2:7" x14ac:dyDescent="0.25">
      <c r="B6300" s="98"/>
      <c r="F6300">
        <v>6296</v>
      </c>
      <c r="G6300" s="109">
        <f t="shared" ca="1" si="107"/>
        <v>-6.1280495607644245E-2</v>
      </c>
    </row>
    <row r="6301" spans="2:7" x14ac:dyDescent="0.25">
      <c r="B6301" s="98"/>
      <c r="F6301">
        <v>6297</v>
      </c>
      <c r="G6301" s="109">
        <f t="shared" ca="1" si="107"/>
        <v>0.14361236623862869</v>
      </c>
    </row>
    <row r="6302" spans="2:7" x14ac:dyDescent="0.25">
      <c r="B6302" s="98"/>
      <c r="F6302">
        <v>6298</v>
      </c>
      <c r="G6302" s="109">
        <f t="shared" ca="1" si="107"/>
        <v>0.179424240406659</v>
      </c>
    </row>
    <row r="6303" spans="2:7" x14ac:dyDescent="0.25">
      <c r="B6303" s="98"/>
      <c r="F6303">
        <v>6299</v>
      </c>
      <c r="G6303" s="109">
        <f t="shared" ca="1" si="107"/>
        <v>-9.186183612147493E-2</v>
      </c>
    </row>
    <row r="6304" spans="2:7" x14ac:dyDescent="0.25">
      <c r="B6304" s="98"/>
      <c r="F6304">
        <v>6300</v>
      </c>
      <c r="G6304" s="109">
        <f t="shared" ca="1" si="107"/>
        <v>3.7289098466640455E-2</v>
      </c>
    </row>
    <row r="6305" spans="2:7" x14ac:dyDescent="0.25">
      <c r="B6305" s="98"/>
      <c r="F6305">
        <v>6301</v>
      </c>
      <c r="G6305" s="109">
        <f t="shared" ca="1" si="107"/>
        <v>3.1732203506674786E-2</v>
      </c>
    </row>
    <row r="6306" spans="2:7" x14ac:dyDescent="0.25">
      <c r="B6306" s="98"/>
      <c r="F6306">
        <v>6302</v>
      </c>
      <c r="G6306" s="109">
        <f t="shared" ca="1" si="107"/>
        <v>7.1960557537924158E-2</v>
      </c>
    </row>
    <row r="6307" spans="2:7" x14ac:dyDescent="0.25">
      <c r="B6307" s="98"/>
      <c r="F6307">
        <v>6303</v>
      </c>
      <c r="G6307" s="109">
        <f t="shared" ca="1" si="107"/>
        <v>-3.9978021431006497E-2</v>
      </c>
    </row>
    <row r="6308" spans="2:7" x14ac:dyDescent="0.25">
      <c r="B6308" s="98"/>
      <c r="F6308">
        <v>6304</v>
      </c>
      <c r="G6308" s="109">
        <f t="shared" ca="1" si="107"/>
        <v>1.9796085207287342E-2</v>
      </c>
    </row>
    <row r="6309" spans="2:7" x14ac:dyDescent="0.25">
      <c r="B6309" s="98"/>
      <c r="F6309">
        <v>6305</v>
      </c>
      <c r="G6309" s="109">
        <f t="shared" ca="1" si="107"/>
        <v>0.19383740015369161</v>
      </c>
    </row>
    <row r="6310" spans="2:7" x14ac:dyDescent="0.25">
      <c r="B6310" s="98"/>
      <c r="F6310">
        <v>6306</v>
      </c>
      <c r="G6310" s="109">
        <f t="shared" ca="1" si="107"/>
        <v>0.14381509863789116</v>
      </c>
    </row>
    <row r="6311" spans="2:7" x14ac:dyDescent="0.25">
      <c r="B6311" s="98"/>
      <c r="F6311">
        <v>6307</v>
      </c>
      <c r="G6311" s="109">
        <f t="shared" ca="1" si="107"/>
        <v>-0.12139746658590923</v>
      </c>
    </row>
    <row r="6312" spans="2:7" x14ac:dyDescent="0.25">
      <c r="B6312" s="98"/>
      <c r="F6312">
        <v>6308</v>
      </c>
      <c r="G6312" s="109">
        <f t="shared" ca="1" si="107"/>
        <v>0.15765241060455251</v>
      </c>
    </row>
    <row r="6313" spans="2:7" x14ac:dyDescent="0.25">
      <c r="B6313" s="98"/>
      <c r="F6313">
        <v>6309</v>
      </c>
      <c r="G6313" s="109">
        <f t="shared" ca="1" si="107"/>
        <v>0.18336036348545454</v>
      </c>
    </row>
    <row r="6314" spans="2:7" x14ac:dyDescent="0.25">
      <c r="B6314" s="98"/>
      <c r="F6314">
        <v>6310</v>
      </c>
      <c r="G6314" s="109">
        <f t="shared" ca="1" si="107"/>
        <v>0.23202747841907062</v>
      </c>
    </row>
    <row r="6315" spans="2:7" x14ac:dyDescent="0.25">
      <c r="B6315" s="98"/>
      <c r="F6315">
        <v>6311</v>
      </c>
      <c r="G6315" s="109">
        <f t="shared" ca="1" si="107"/>
        <v>6.7313862691948154E-2</v>
      </c>
    </row>
    <row r="6316" spans="2:7" x14ac:dyDescent="0.25">
      <c r="B6316" s="98"/>
      <c r="F6316">
        <v>6312</v>
      </c>
      <c r="G6316" s="109">
        <f t="shared" ca="1" si="107"/>
        <v>0.141275869887863</v>
      </c>
    </row>
    <row r="6317" spans="2:7" x14ac:dyDescent="0.25">
      <c r="B6317" s="98"/>
      <c r="F6317">
        <v>6313</v>
      </c>
      <c r="G6317" s="109">
        <f t="shared" ca="1" si="107"/>
        <v>-0.17661584406260539</v>
      </c>
    </row>
    <row r="6318" spans="2:7" x14ac:dyDescent="0.25">
      <c r="B6318" s="98"/>
      <c r="F6318">
        <v>6314</v>
      </c>
      <c r="G6318" s="109">
        <f t="shared" ca="1" si="107"/>
        <v>6.0067111976413429E-2</v>
      </c>
    </row>
    <row r="6319" spans="2:7" x14ac:dyDescent="0.25">
      <c r="B6319" s="98"/>
      <c r="F6319">
        <v>6315</v>
      </c>
      <c r="G6319" s="109">
        <f t="shared" ca="1" si="107"/>
        <v>-7.52032200649808E-2</v>
      </c>
    </row>
    <row r="6320" spans="2:7" x14ac:dyDescent="0.25">
      <c r="B6320" s="98"/>
      <c r="F6320">
        <v>6316</v>
      </c>
      <c r="G6320" s="109">
        <f t="shared" ca="1" si="107"/>
        <v>0.15281475446228915</v>
      </c>
    </row>
    <row r="6321" spans="2:7" x14ac:dyDescent="0.25">
      <c r="B6321" s="98"/>
      <c r="F6321">
        <v>6317</v>
      </c>
      <c r="G6321" s="109">
        <f t="shared" ca="1" si="107"/>
        <v>-1.6930761664424032E-3</v>
      </c>
    </row>
    <row r="6322" spans="2:7" x14ac:dyDescent="0.25">
      <c r="B6322" s="98"/>
      <c r="F6322">
        <v>6318</v>
      </c>
      <c r="G6322" s="109">
        <f t="shared" ca="1" si="107"/>
        <v>-0.11558368819395438</v>
      </c>
    </row>
    <row r="6323" spans="2:7" x14ac:dyDescent="0.25">
      <c r="B6323" s="98"/>
      <c r="F6323">
        <v>6319</v>
      </c>
      <c r="G6323" s="109">
        <f t="shared" ca="1" si="107"/>
        <v>0.12247092627838571</v>
      </c>
    </row>
    <row r="6324" spans="2:7" x14ac:dyDescent="0.25">
      <c r="B6324" s="98"/>
      <c r="F6324">
        <v>6320</v>
      </c>
      <c r="G6324" s="109">
        <f t="shared" ca="1" si="107"/>
        <v>3.5467930471517639E-2</v>
      </c>
    </row>
    <row r="6325" spans="2:7" x14ac:dyDescent="0.25">
      <c r="B6325" s="98"/>
      <c r="F6325">
        <v>6321</v>
      </c>
      <c r="G6325" s="109">
        <f t="shared" ca="1" si="107"/>
        <v>3.3404147452725234E-2</v>
      </c>
    </row>
    <row r="6326" spans="2:7" x14ac:dyDescent="0.25">
      <c r="B6326" s="98"/>
      <c r="F6326">
        <v>6322</v>
      </c>
      <c r="G6326" s="109">
        <f t="shared" ca="1" si="107"/>
        <v>9.9460902302363416E-3</v>
      </c>
    </row>
    <row r="6327" spans="2:7" x14ac:dyDescent="0.25">
      <c r="B6327" s="98"/>
      <c r="F6327">
        <v>6323</v>
      </c>
      <c r="G6327" s="109">
        <f t="shared" ca="1" si="107"/>
        <v>4.1725758897049672E-3</v>
      </c>
    </row>
    <row r="6328" spans="2:7" x14ac:dyDescent="0.25">
      <c r="B6328" s="98"/>
      <c r="F6328">
        <v>6324</v>
      </c>
      <c r="G6328" s="109">
        <f t="shared" ca="1" si="107"/>
        <v>0.19375185028156389</v>
      </c>
    </row>
    <row r="6329" spans="2:7" x14ac:dyDescent="0.25">
      <c r="B6329" s="98"/>
      <c r="F6329">
        <v>6325</v>
      </c>
      <c r="G6329" s="109">
        <f t="shared" ca="1" si="107"/>
        <v>0.11342832503371132</v>
      </c>
    </row>
    <row r="6330" spans="2:7" x14ac:dyDescent="0.25">
      <c r="B6330" s="98"/>
      <c r="F6330">
        <v>6326</v>
      </c>
      <c r="G6330" s="109">
        <f t="shared" ca="1" si="107"/>
        <v>0.10148051347699572</v>
      </c>
    </row>
    <row r="6331" spans="2:7" x14ac:dyDescent="0.25">
      <c r="B6331" s="98"/>
      <c r="F6331">
        <v>6327</v>
      </c>
      <c r="G6331" s="109">
        <f t="shared" ca="1" si="107"/>
        <v>-0.15184188245981461</v>
      </c>
    </row>
    <row r="6332" spans="2:7" x14ac:dyDescent="0.25">
      <c r="B6332" s="98"/>
      <c r="F6332">
        <v>6328</v>
      </c>
      <c r="G6332" s="109">
        <f t="shared" ca="1" si="107"/>
        <v>0.16517123339601592</v>
      </c>
    </row>
    <row r="6333" spans="2:7" x14ac:dyDescent="0.25">
      <c r="B6333" s="98"/>
      <c r="F6333">
        <v>6329</v>
      </c>
      <c r="G6333" s="109">
        <f t="shared" ca="1" si="107"/>
        <v>2.1019893723838473E-2</v>
      </c>
    </row>
    <row r="6334" spans="2:7" x14ac:dyDescent="0.25">
      <c r="B6334" s="98"/>
      <c r="F6334">
        <v>6330</v>
      </c>
      <c r="G6334" s="109">
        <f t="shared" ca="1" si="107"/>
        <v>-7.1459768154455205E-2</v>
      </c>
    </row>
    <row r="6335" spans="2:7" x14ac:dyDescent="0.25">
      <c r="B6335" s="98"/>
      <c r="F6335">
        <v>6331</v>
      </c>
      <c r="G6335" s="109">
        <f t="shared" ca="1" si="107"/>
        <v>-2.9185050325711226E-2</v>
      </c>
    </row>
    <row r="6336" spans="2:7" x14ac:dyDescent="0.25">
      <c r="B6336" s="98"/>
      <c r="F6336">
        <v>6332</v>
      </c>
      <c r="G6336" s="109">
        <f t="shared" ca="1" si="107"/>
        <v>6.5977213388428851E-2</v>
      </c>
    </row>
    <row r="6337" spans="2:7" x14ac:dyDescent="0.25">
      <c r="B6337" s="98"/>
      <c r="F6337">
        <v>6333</v>
      </c>
      <c r="G6337" s="109">
        <f t="shared" ca="1" si="107"/>
        <v>0.10157877964551359</v>
      </c>
    </row>
    <row r="6338" spans="2:7" x14ac:dyDescent="0.25">
      <c r="B6338" s="98"/>
      <c r="F6338">
        <v>6334</v>
      </c>
      <c r="G6338" s="109">
        <f t="shared" ca="1" si="107"/>
        <v>0.189643357031541</v>
      </c>
    </row>
    <row r="6339" spans="2:7" x14ac:dyDescent="0.25">
      <c r="B6339" s="98"/>
      <c r="F6339">
        <v>6335</v>
      </c>
      <c r="G6339" s="109">
        <f t="shared" ca="1" si="107"/>
        <v>-7.8764366455581908E-3</v>
      </c>
    </row>
    <row r="6340" spans="2:7" x14ac:dyDescent="0.25">
      <c r="B6340" s="98"/>
      <c r="F6340">
        <v>6336</v>
      </c>
      <c r="G6340" s="109">
        <f t="shared" ca="1" si="107"/>
        <v>8.1467887606432476E-2</v>
      </c>
    </row>
    <row r="6341" spans="2:7" x14ac:dyDescent="0.25">
      <c r="B6341" s="98"/>
      <c r="F6341">
        <v>6337</v>
      </c>
      <c r="G6341" s="109">
        <f t="shared" ca="1" si="107"/>
        <v>5.5398635464271803E-3</v>
      </c>
    </row>
    <row r="6342" spans="2:7" x14ac:dyDescent="0.25">
      <c r="B6342" s="98"/>
      <c r="F6342">
        <v>6338</v>
      </c>
      <c r="G6342" s="109">
        <f t="shared" ref="G6342:G6405" ca="1" si="108">_xlfn.NORM.INV(RAND(),$M$5,$M$6)</f>
        <v>6.5464215182782143E-2</v>
      </c>
    </row>
    <row r="6343" spans="2:7" x14ac:dyDescent="0.25">
      <c r="B6343" s="98"/>
      <c r="F6343">
        <v>6339</v>
      </c>
      <c r="G6343" s="109">
        <f t="shared" ca="1" si="108"/>
        <v>0.21068899724558171</v>
      </c>
    </row>
    <row r="6344" spans="2:7" x14ac:dyDescent="0.25">
      <c r="B6344" s="98"/>
      <c r="F6344">
        <v>6340</v>
      </c>
      <c r="G6344" s="109">
        <f t="shared" ca="1" si="108"/>
        <v>-9.0880941998180573E-2</v>
      </c>
    </row>
    <row r="6345" spans="2:7" x14ac:dyDescent="0.25">
      <c r="B6345" s="98"/>
      <c r="F6345">
        <v>6341</v>
      </c>
      <c r="G6345" s="109">
        <f t="shared" ca="1" si="108"/>
        <v>0.12059912178280452</v>
      </c>
    </row>
    <row r="6346" spans="2:7" x14ac:dyDescent="0.25">
      <c r="B6346" s="98"/>
      <c r="F6346">
        <v>6342</v>
      </c>
      <c r="G6346" s="109">
        <f t="shared" ca="1" si="108"/>
        <v>3.3476835929167212E-2</v>
      </c>
    </row>
    <row r="6347" spans="2:7" x14ac:dyDescent="0.25">
      <c r="B6347" s="98"/>
      <c r="F6347">
        <v>6343</v>
      </c>
      <c r="G6347" s="109">
        <f t="shared" ca="1" si="108"/>
        <v>7.6470568301959085E-2</v>
      </c>
    </row>
    <row r="6348" spans="2:7" x14ac:dyDescent="0.25">
      <c r="B6348" s="98"/>
      <c r="F6348">
        <v>6344</v>
      </c>
      <c r="G6348" s="109">
        <f t="shared" ca="1" si="108"/>
        <v>-3.3780511596151724E-2</v>
      </c>
    </row>
    <row r="6349" spans="2:7" x14ac:dyDescent="0.25">
      <c r="B6349" s="98"/>
      <c r="F6349">
        <v>6345</v>
      </c>
      <c r="G6349" s="109">
        <f t="shared" ca="1" si="108"/>
        <v>-4.5097209756010087E-2</v>
      </c>
    </row>
    <row r="6350" spans="2:7" x14ac:dyDescent="0.25">
      <c r="B6350" s="98"/>
      <c r="F6350">
        <v>6346</v>
      </c>
      <c r="G6350" s="109">
        <f t="shared" ca="1" si="108"/>
        <v>2.9611862842222121E-2</v>
      </c>
    </row>
    <row r="6351" spans="2:7" x14ac:dyDescent="0.25">
      <c r="B6351" s="98"/>
      <c r="F6351">
        <v>6347</v>
      </c>
      <c r="G6351" s="109">
        <f t="shared" ca="1" si="108"/>
        <v>6.1492411283722875E-2</v>
      </c>
    </row>
    <row r="6352" spans="2:7" x14ac:dyDescent="0.25">
      <c r="B6352" s="98"/>
      <c r="F6352">
        <v>6348</v>
      </c>
      <c r="G6352" s="109">
        <f t="shared" ca="1" si="108"/>
        <v>0.12538039909984514</v>
      </c>
    </row>
    <row r="6353" spans="2:7" x14ac:dyDescent="0.25">
      <c r="B6353" s="98"/>
      <c r="F6353">
        <v>6349</v>
      </c>
      <c r="G6353" s="109">
        <f t="shared" ca="1" si="108"/>
        <v>7.9919404426075091E-2</v>
      </c>
    </row>
    <row r="6354" spans="2:7" x14ac:dyDescent="0.25">
      <c r="B6354" s="98"/>
      <c r="F6354">
        <v>6350</v>
      </c>
      <c r="G6354" s="109">
        <f t="shared" ca="1" si="108"/>
        <v>-1.1033591136277651E-2</v>
      </c>
    </row>
    <row r="6355" spans="2:7" x14ac:dyDescent="0.25">
      <c r="B6355" s="98"/>
      <c r="F6355">
        <v>6351</v>
      </c>
      <c r="G6355" s="109">
        <f t="shared" ca="1" si="108"/>
        <v>9.8461413562379793E-2</v>
      </c>
    </row>
    <row r="6356" spans="2:7" x14ac:dyDescent="0.25">
      <c r="B6356" s="98"/>
      <c r="F6356">
        <v>6352</v>
      </c>
      <c r="G6356" s="109">
        <f t="shared" ca="1" si="108"/>
        <v>0.21158187638774945</v>
      </c>
    </row>
    <row r="6357" spans="2:7" x14ac:dyDescent="0.25">
      <c r="B6357" s="98"/>
      <c r="F6357">
        <v>6353</v>
      </c>
      <c r="G6357" s="109">
        <f t="shared" ca="1" si="108"/>
        <v>3.0037778792552143E-2</v>
      </c>
    </row>
    <row r="6358" spans="2:7" x14ac:dyDescent="0.25">
      <c r="B6358" s="98"/>
      <c r="F6358">
        <v>6354</v>
      </c>
      <c r="G6358" s="109">
        <f t="shared" ca="1" si="108"/>
        <v>0.14069811805770654</v>
      </c>
    </row>
    <row r="6359" spans="2:7" x14ac:dyDescent="0.25">
      <c r="B6359" s="98"/>
      <c r="F6359">
        <v>6355</v>
      </c>
      <c r="G6359" s="109">
        <f t="shared" ca="1" si="108"/>
        <v>0.12868833353517126</v>
      </c>
    </row>
    <row r="6360" spans="2:7" x14ac:dyDescent="0.25">
      <c r="B6360" s="98"/>
      <c r="F6360">
        <v>6356</v>
      </c>
      <c r="G6360" s="109">
        <f t="shared" ca="1" si="108"/>
        <v>-6.6562821448804058E-2</v>
      </c>
    </row>
    <row r="6361" spans="2:7" x14ac:dyDescent="0.25">
      <c r="B6361" s="98"/>
      <c r="F6361">
        <v>6357</v>
      </c>
      <c r="G6361" s="109">
        <f t="shared" ca="1" si="108"/>
        <v>-1.2483887236727116E-2</v>
      </c>
    </row>
    <row r="6362" spans="2:7" x14ac:dyDescent="0.25">
      <c r="B6362" s="98"/>
      <c r="F6362">
        <v>6358</v>
      </c>
      <c r="G6362" s="109">
        <f t="shared" ca="1" si="108"/>
        <v>9.1515596352246056E-3</v>
      </c>
    </row>
    <row r="6363" spans="2:7" x14ac:dyDescent="0.25">
      <c r="B6363" s="98"/>
      <c r="F6363">
        <v>6359</v>
      </c>
      <c r="G6363" s="109">
        <f t="shared" ca="1" si="108"/>
        <v>-5.6192114195754442E-2</v>
      </c>
    </row>
    <row r="6364" spans="2:7" x14ac:dyDescent="0.25">
      <c r="B6364" s="98"/>
      <c r="F6364">
        <v>6360</v>
      </c>
      <c r="G6364" s="109">
        <f t="shared" ca="1" si="108"/>
        <v>-2.7867338031719688E-2</v>
      </c>
    </row>
    <row r="6365" spans="2:7" x14ac:dyDescent="0.25">
      <c r="B6365" s="98"/>
      <c r="F6365">
        <v>6361</v>
      </c>
      <c r="G6365" s="109">
        <f t="shared" ca="1" si="108"/>
        <v>-7.8004140974171063E-2</v>
      </c>
    </row>
    <row r="6366" spans="2:7" x14ac:dyDescent="0.25">
      <c r="B6366" s="98"/>
      <c r="F6366">
        <v>6362</v>
      </c>
      <c r="G6366" s="109">
        <f t="shared" ca="1" si="108"/>
        <v>0.20892690728469504</v>
      </c>
    </row>
    <row r="6367" spans="2:7" x14ac:dyDescent="0.25">
      <c r="B6367" s="98"/>
      <c r="F6367">
        <v>6363</v>
      </c>
      <c r="G6367" s="109">
        <f t="shared" ca="1" si="108"/>
        <v>0.17542715719983998</v>
      </c>
    </row>
    <row r="6368" spans="2:7" x14ac:dyDescent="0.25">
      <c r="B6368" s="98"/>
      <c r="F6368">
        <v>6364</v>
      </c>
      <c r="G6368" s="109">
        <f t="shared" ca="1" si="108"/>
        <v>-8.4975343611977436E-2</v>
      </c>
    </row>
    <row r="6369" spans="2:7" x14ac:dyDescent="0.25">
      <c r="B6369" s="98"/>
      <c r="F6369">
        <v>6365</v>
      </c>
      <c r="G6369" s="109">
        <f t="shared" ca="1" si="108"/>
        <v>-5.3140942197965335E-2</v>
      </c>
    </row>
    <row r="6370" spans="2:7" x14ac:dyDescent="0.25">
      <c r="B6370" s="98"/>
      <c r="F6370">
        <v>6366</v>
      </c>
      <c r="G6370" s="109">
        <f t="shared" ca="1" si="108"/>
        <v>0.10474498710746893</v>
      </c>
    </row>
    <row r="6371" spans="2:7" x14ac:dyDescent="0.25">
      <c r="B6371" s="98"/>
      <c r="F6371">
        <v>6367</v>
      </c>
      <c r="G6371" s="109">
        <f t="shared" ca="1" si="108"/>
        <v>0.20083574366392132</v>
      </c>
    </row>
    <row r="6372" spans="2:7" x14ac:dyDescent="0.25">
      <c r="B6372" s="98"/>
      <c r="F6372">
        <v>6368</v>
      </c>
      <c r="G6372" s="109">
        <f t="shared" ca="1" si="108"/>
        <v>9.744661558060097E-2</v>
      </c>
    </row>
    <row r="6373" spans="2:7" x14ac:dyDescent="0.25">
      <c r="B6373" s="98"/>
      <c r="F6373">
        <v>6369</v>
      </c>
      <c r="G6373" s="109">
        <f t="shared" ca="1" si="108"/>
        <v>9.8481562441592202E-2</v>
      </c>
    </row>
    <row r="6374" spans="2:7" x14ac:dyDescent="0.25">
      <c r="B6374" s="98"/>
      <c r="F6374">
        <v>6370</v>
      </c>
      <c r="G6374" s="109">
        <f t="shared" ca="1" si="108"/>
        <v>-7.2245061656701415E-2</v>
      </c>
    </row>
    <row r="6375" spans="2:7" x14ac:dyDescent="0.25">
      <c r="B6375" s="98"/>
      <c r="F6375">
        <v>6371</v>
      </c>
      <c r="G6375" s="109">
        <f t="shared" ca="1" si="108"/>
        <v>3.5805107582485646E-2</v>
      </c>
    </row>
    <row r="6376" spans="2:7" x14ac:dyDescent="0.25">
      <c r="B6376" s="98"/>
      <c r="F6376">
        <v>6372</v>
      </c>
      <c r="G6376" s="109">
        <f t="shared" ca="1" si="108"/>
        <v>0.1095105685343758</v>
      </c>
    </row>
    <row r="6377" spans="2:7" x14ac:dyDescent="0.25">
      <c r="B6377" s="98"/>
      <c r="F6377">
        <v>6373</v>
      </c>
      <c r="G6377" s="109">
        <f t="shared" ca="1" si="108"/>
        <v>7.1889638239148443E-2</v>
      </c>
    </row>
    <row r="6378" spans="2:7" x14ac:dyDescent="0.25">
      <c r="B6378" s="98"/>
      <c r="F6378">
        <v>6374</v>
      </c>
      <c r="G6378" s="109">
        <f t="shared" ca="1" si="108"/>
        <v>9.6510726504262734E-2</v>
      </c>
    </row>
    <row r="6379" spans="2:7" x14ac:dyDescent="0.25">
      <c r="B6379" s="98"/>
      <c r="F6379">
        <v>6375</v>
      </c>
      <c r="G6379" s="109">
        <f t="shared" ca="1" si="108"/>
        <v>7.1971734062982615E-2</v>
      </c>
    </row>
    <row r="6380" spans="2:7" x14ac:dyDescent="0.25">
      <c r="B6380" s="98"/>
      <c r="F6380">
        <v>6376</v>
      </c>
      <c r="G6380" s="109">
        <f t="shared" ca="1" si="108"/>
        <v>0.12810265449674602</v>
      </c>
    </row>
    <row r="6381" spans="2:7" x14ac:dyDescent="0.25">
      <c r="B6381" s="98"/>
      <c r="F6381">
        <v>6377</v>
      </c>
      <c r="G6381" s="109">
        <f t="shared" ca="1" si="108"/>
        <v>-4.9091977068808912E-3</v>
      </c>
    </row>
    <row r="6382" spans="2:7" x14ac:dyDescent="0.25">
      <c r="B6382" s="98"/>
      <c r="F6382">
        <v>6378</v>
      </c>
      <c r="G6382" s="109">
        <f t="shared" ca="1" si="108"/>
        <v>1.2447321996604949E-3</v>
      </c>
    </row>
    <row r="6383" spans="2:7" x14ac:dyDescent="0.25">
      <c r="B6383" s="98"/>
      <c r="F6383">
        <v>6379</v>
      </c>
      <c r="G6383" s="109">
        <f t="shared" ca="1" si="108"/>
        <v>9.9755031454812168E-2</v>
      </c>
    </row>
    <row r="6384" spans="2:7" x14ac:dyDescent="0.25">
      <c r="B6384" s="98"/>
      <c r="F6384">
        <v>6380</v>
      </c>
      <c r="G6384" s="109">
        <f t="shared" ca="1" si="108"/>
        <v>-0.18684593265399352</v>
      </c>
    </row>
    <row r="6385" spans="2:7" x14ac:dyDescent="0.25">
      <c r="B6385" s="98"/>
      <c r="F6385">
        <v>6381</v>
      </c>
      <c r="G6385" s="109">
        <f t="shared" ca="1" si="108"/>
        <v>-7.8075095372967265E-2</v>
      </c>
    </row>
    <row r="6386" spans="2:7" x14ac:dyDescent="0.25">
      <c r="B6386" s="98"/>
      <c r="F6386">
        <v>6382</v>
      </c>
      <c r="G6386" s="109">
        <f t="shared" ca="1" si="108"/>
        <v>0.10644243997784567</v>
      </c>
    </row>
    <row r="6387" spans="2:7" x14ac:dyDescent="0.25">
      <c r="B6387" s="98"/>
      <c r="F6387">
        <v>6383</v>
      </c>
      <c r="G6387" s="109">
        <f t="shared" ca="1" si="108"/>
        <v>0.2052815792540334</v>
      </c>
    </row>
    <row r="6388" spans="2:7" x14ac:dyDescent="0.25">
      <c r="B6388" s="98"/>
      <c r="F6388">
        <v>6384</v>
      </c>
      <c r="G6388" s="109">
        <f t="shared" ca="1" si="108"/>
        <v>0.12529969684300624</v>
      </c>
    </row>
    <row r="6389" spans="2:7" x14ac:dyDescent="0.25">
      <c r="B6389" s="98"/>
      <c r="F6389">
        <v>6385</v>
      </c>
      <c r="G6389" s="109">
        <f t="shared" ca="1" si="108"/>
        <v>0.15889744509879972</v>
      </c>
    </row>
    <row r="6390" spans="2:7" x14ac:dyDescent="0.25">
      <c r="B6390" s="98"/>
      <c r="F6390">
        <v>6386</v>
      </c>
      <c r="G6390" s="109">
        <f t="shared" ca="1" si="108"/>
        <v>0.18948498730624502</v>
      </c>
    </row>
    <row r="6391" spans="2:7" x14ac:dyDescent="0.25">
      <c r="B6391" s="98"/>
      <c r="F6391">
        <v>6387</v>
      </c>
      <c r="G6391" s="109">
        <f t="shared" ca="1" si="108"/>
        <v>6.2527890654957632E-2</v>
      </c>
    </row>
    <row r="6392" spans="2:7" x14ac:dyDescent="0.25">
      <c r="B6392" s="98"/>
      <c r="F6392">
        <v>6388</v>
      </c>
      <c r="G6392" s="109">
        <f t="shared" ca="1" si="108"/>
        <v>8.4964524987790266E-2</v>
      </c>
    </row>
    <row r="6393" spans="2:7" x14ac:dyDescent="0.25">
      <c r="B6393" s="98"/>
      <c r="F6393">
        <v>6389</v>
      </c>
      <c r="G6393" s="109">
        <f t="shared" ca="1" si="108"/>
        <v>1.9047978267756314E-2</v>
      </c>
    </row>
    <row r="6394" spans="2:7" x14ac:dyDescent="0.25">
      <c r="B6394" s="98"/>
      <c r="F6394">
        <v>6390</v>
      </c>
      <c r="G6394" s="109">
        <f t="shared" ca="1" si="108"/>
        <v>8.3920398005500912E-2</v>
      </c>
    </row>
    <row r="6395" spans="2:7" x14ac:dyDescent="0.25">
      <c r="B6395" s="98"/>
      <c r="F6395">
        <v>6391</v>
      </c>
      <c r="G6395" s="109">
        <f t="shared" ca="1" si="108"/>
        <v>0.1828848261948538</v>
      </c>
    </row>
    <row r="6396" spans="2:7" x14ac:dyDescent="0.25">
      <c r="B6396" s="98"/>
      <c r="F6396">
        <v>6392</v>
      </c>
      <c r="G6396" s="109">
        <f t="shared" ca="1" si="108"/>
        <v>-0.10797118629236151</v>
      </c>
    </row>
    <row r="6397" spans="2:7" x14ac:dyDescent="0.25">
      <c r="B6397" s="98"/>
      <c r="F6397">
        <v>6393</v>
      </c>
      <c r="G6397" s="109">
        <f t="shared" ca="1" si="108"/>
        <v>-0.10635339390358152</v>
      </c>
    </row>
    <row r="6398" spans="2:7" x14ac:dyDescent="0.25">
      <c r="B6398" s="98"/>
      <c r="F6398">
        <v>6394</v>
      </c>
      <c r="G6398" s="109">
        <f t="shared" ca="1" si="108"/>
        <v>-0.10525539330473833</v>
      </c>
    </row>
    <row r="6399" spans="2:7" x14ac:dyDescent="0.25">
      <c r="B6399" s="98"/>
      <c r="F6399">
        <v>6395</v>
      </c>
      <c r="G6399" s="109">
        <f t="shared" ca="1" si="108"/>
        <v>5.2244669917728401E-2</v>
      </c>
    </row>
    <row r="6400" spans="2:7" x14ac:dyDescent="0.25">
      <c r="B6400" s="98"/>
      <c r="F6400">
        <v>6396</v>
      </c>
      <c r="G6400" s="109">
        <f t="shared" ca="1" si="108"/>
        <v>-0.116195766142474</v>
      </c>
    </row>
    <row r="6401" spans="2:7" x14ac:dyDescent="0.25">
      <c r="B6401" s="98"/>
      <c r="F6401">
        <v>6397</v>
      </c>
      <c r="G6401" s="109">
        <f t="shared" ca="1" si="108"/>
        <v>-6.9681931496603636E-2</v>
      </c>
    </row>
    <row r="6402" spans="2:7" x14ac:dyDescent="0.25">
      <c r="B6402" s="98"/>
      <c r="F6402">
        <v>6398</v>
      </c>
      <c r="G6402" s="109">
        <f t="shared" ca="1" si="108"/>
        <v>6.1728789573000306E-3</v>
      </c>
    </row>
    <row r="6403" spans="2:7" x14ac:dyDescent="0.25">
      <c r="B6403" s="98"/>
      <c r="F6403">
        <v>6399</v>
      </c>
      <c r="G6403" s="109">
        <f t="shared" ca="1" si="108"/>
        <v>2.2362463556568297E-2</v>
      </c>
    </row>
    <row r="6404" spans="2:7" x14ac:dyDescent="0.25">
      <c r="B6404" s="98"/>
      <c r="F6404">
        <v>6400</v>
      </c>
      <c r="G6404" s="109">
        <f t="shared" ca="1" si="108"/>
        <v>2.2831947539820471E-2</v>
      </c>
    </row>
    <row r="6405" spans="2:7" x14ac:dyDescent="0.25">
      <c r="B6405" s="98"/>
      <c r="F6405">
        <v>6401</v>
      </c>
      <c r="G6405" s="109">
        <f t="shared" ca="1" si="108"/>
        <v>0.11304486503170207</v>
      </c>
    </row>
    <row r="6406" spans="2:7" x14ac:dyDescent="0.25">
      <c r="B6406" s="98"/>
      <c r="F6406">
        <v>6402</v>
      </c>
      <c r="G6406" s="109">
        <f t="shared" ref="G6406:G6469" ca="1" si="109">_xlfn.NORM.INV(RAND(),$M$5,$M$6)</f>
        <v>9.2151080903886434E-2</v>
      </c>
    </row>
    <row r="6407" spans="2:7" x14ac:dyDescent="0.25">
      <c r="B6407" s="98"/>
      <c r="F6407">
        <v>6403</v>
      </c>
      <c r="G6407" s="109">
        <f t="shared" ca="1" si="109"/>
        <v>2.4744485662305409E-2</v>
      </c>
    </row>
    <row r="6408" spans="2:7" x14ac:dyDescent="0.25">
      <c r="B6408" s="98"/>
      <c r="F6408">
        <v>6404</v>
      </c>
      <c r="G6408" s="109">
        <f t="shared" ca="1" si="109"/>
        <v>-3.1710709861419786E-2</v>
      </c>
    </row>
    <row r="6409" spans="2:7" x14ac:dyDescent="0.25">
      <c r="B6409" s="98"/>
      <c r="F6409">
        <v>6405</v>
      </c>
      <c r="G6409" s="109">
        <f t="shared" ca="1" si="109"/>
        <v>0.15368933595651463</v>
      </c>
    </row>
    <row r="6410" spans="2:7" x14ac:dyDescent="0.25">
      <c r="B6410" s="98"/>
      <c r="F6410">
        <v>6406</v>
      </c>
      <c r="G6410" s="109">
        <f t="shared" ca="1" si="109"/>
        <v>8.2322321672113119E-2</v>
      </c>
    </row>
    <row r="6411" spans="2:7" x14ac:dyDescent="0.25">
      <c r="B6411" s="98"/>
      <c r="F6411">
        <v>6407</v>
      </c>
      <c r="G6411" s="109">
        <f t="shared" ca="1" si="109"/>
        <v>9.1623479361930049E-2</v>
      </c>
    </row>
    <row r="6412" spans="2:7" x14ac:dyDescent="0.25">
      <c r="B6412" s="98"/>
      <c r="F6412">
        <v>6408</v>
      </c>
      <c r="G6412" s="109">
        <f t="shared" ca="1" si="109"/>
        <v>8.9958471502357085E-2</v>
      </c>
    </row>
    <row r="6413" spans="2:7" x14ac:dyDescent="0.25">
      <c r="B6413" s="98"/>
      <c r="F6413">
        <v>6409</v>
      </c>
      <c r="G6413" s="109">
        <f t="shared" ca="1" si="109"/>
        <v>3.6782507181401289E-2</v>
      </c>
    </row>
    <row r="6414" spans="2:7" x14ac:dyDescent="0.25">
      <c r="B6414" s="98"/>
      <c r="F6414">
        <v>6410</v>
      </c>
      <c r="G6414" s="109">
        <f t="shared" ca="1" si="109"/>
        <v>-0.13808666128398744</v>
      </c>
    </row>
    <row r="6415" spans="2:7" x14ac:dyDescent="0.25">
      <c r="B6415" s="98"/>
      <c r="F6415">
        <v>6411</v>
      </c>
      <c r="G6415" s="109">
        <f t="shared" ca="1" si="109"/>
        <v>-6.8846566708082022E-2</v>
      </c>
    </row>
    <row r="6416" spans="2:7" x14ac:dyDescent="0.25">
      <c r="B6416" s="98"/>
      <c r="F6416">
        <v>6412</v>
      </c>
      <c r="G6416" s="109">
        <f t="shared" ca="1" si="109"/>
        <v>0.20545363348819551</v>
      </c>
    </row>
    <row r="6417" spans="2:7" x14ac:dyDescent="0.25">
      <c r="B6417" s="98"/>
      <c r="F6417">
        <v>6413</v>
      </c>
      <c r="G6417" s="109">
        <f t="shared" ca="1" si="109"/>
        <v>2.2178469139453316E-3</v>
      </c>
    </row>
    <row r="6418" spans="2:7" x14ac:dyDescent="0.25">
      <c r="B6418" s="98"/>
      <c r="F6418">
        <v>6414</v>
      </c>
      <c r="G6418" s="109">
        <f t="shared" ca="1" si="109"/>
        <v>-4.5376002144094887E-2</v>
      </c>
    </row>
    <row r="6419" spans="2:7" x14ac:dyDescent="0.25">
      <c r="B6419" s="98"/>
      <c r="F6419">
        <v>6415</v>
      </c>
      <c r="G6419" s="109">
        <f t="shared" ca="1" si="109"/>
        <v>9.6701487035201039E-2</v>
      </c>
    </row>
    <row r="6420" spans="2:7" x14ac:dyDescent="0.25">
      <c r="B6420" s="98"/>
      <c r="F6420">
        <v>6416</v>
      </c>
      <c r="G6420" s="109">
        <f t="shared" ca="1" si="109"/>
        <v>6.6943565291809198E-3</v>
      </c>
    </row>
    <row r="6421" spans="2:7" x14ac:dyDescent="0.25">
      <c r="B6421" s="98"/>
      <c r="F6421">
        <v>6417</v>
      </c>
      <c r="G6421" s="109">
        <f t="shared" ca="1" si="109"/>
        <v>0.12891827347169307</v>
      </c>
    </row>
    <row r="6422" spans="2:7" x14ac:dyDescent="0.25">
      <c r="B6422" s="98"/>
      <c r="F6422">
        <v>6418</v>
      </c>
      <c r="G6422" s="109">
        <f t="shared" ca="1" si="109"/>
        <v>-7.4874344613696575E-2</v>
      </c>
    </row>
    <row r="6423" spans="2:7" x14ac:dyDescent="0.25">
      <c r="B6423" s="98"/>
      <c r="F6423">
        <v>6419</v>
      </c>
      <c r="G6423" s="109">
        <f t="shared" ca="1" si="109"/>
        <v>4.2327485449110677E-2</v>
      </c>
    </row>
    <row r="6424" spans="2:7" x14ac:dyDescent="0.25">
      <c r="B6424" s="98"/>
      <c r="F6424">
        <v>6420</v>
      </c>
      <c r="G6424" s="109">
        <f t="shared" ca="1" si="109"/>
        <v>-0.12381986138983596</v>
      </c>
    </row>
    <row r="6425" spans="2:7" x14ac:dyDescent="0.25">
      <c r="B6425" s="98"/>
      <c r="F6425">
        <v>6421</v>
      </c>
      <c r="G6425" s="109">
        <f t="shared" ca="1" si="109"/>
        <v>0.23741688372162778</v>
      </c>
    </row>
    <row r="6426" spans="2:7" x14ac:dyDescent="0.25">
      <c r="B6426" s="98"/>
      <c r="F6426">
        <v>6422</v>
      </c>
      <c r="G6426" s="109">
        <f t="shared" ca="1" si="109"/>
        <v>0.16312639876458607</v>
      </c>
    </row>
    <row r="6427" spans="2:7" x14ac:dyDescent="0.25">
      <c r="B6427" s="98"/>
      <c r="F6427">
        <v>6423</v>
      </c>
      <c r="G6427" s="109">
        <f t="shared" ca="1" si="109"/>
        <v>0.15416380981924685</v>
      </c>
    </row>
    <row r="6428" spans="2:7" x14ac:dyDescent="0.25">
      <c r="B6428" s="98"/>
      <c r="F6428">
        <v>6424</v>
      </c>
      <c r="G6428" s="109">
        <f t="shared" ca="1" si="109"/>
        <v>2.4366436088379337E-2</v>
      </c>
    </row>
    <row r="6429" spans="2:7" x14ac:dyDescent="0.25">
      <c r="B6429" s="98"/>
      <c r="F6429">
        <v>6425</v>
      </c>
      <c r="G6429" s="109">
        <f t="shared" ca="1" si="109"/>
        <v>-5.5823690247671226E-3</v>
      </c>
    </row>
    <row r="6430" spans="2:7" x14ac:dyDescent="0.25">
      <c r="B6430" s="98"/>
      <c r="F6430">
        <v>6426</v>
      </c>
      <c r="G6430" s="109">
        <f t="shared" ca="1" si="109"/>
        <v>-0.14703978038538718</v>
      </c>
    </row>
    <row r="6431" spans="2:7" x14ac:dyDescent="0.25">
      <c r="B6431" s="98"/>
      <c r="F6431">
        <v>6427</v>
      </c>
      <c r="G6431" s="109">
        <f t="shared" ca="1" si="109"/>
        <v>-9.9033183878727296E-2</v>
      </c>
    </row>
    <row r="6432" spans="2:7" x14ac:dyDescent="0.25">
      <c r="B6432" s="98"/>
      <c r="F6432">
        <v>6428</v>
      </c>
      <c r="G6432" s="109">
        <f t="shared" ca="1" si="109"/>
        <v>0.13244110596083353</v>
      </c>
    </row>
    <row r="6433" spans="2:7" x14ac:dyDescent="0.25">
      <c r="B6433" s="98"/>
      <c r="F6433">
        <v>6429</v>
      </c>
      <c r="G6433" s="109">
        <f t="shared" ca="1" si="109"/>
        <v>0.11646868303039098</v>
      </c>
    </row>
    <row r="6434" spans="2:7" x14ac:dyDescent="0.25">
      <c r="B6434" s="98"/>
      <c r="F6434">
        <v>6430</v>
      </c>
      <c r="G6434" s="109">
        <f t="shared" ca="1" si="109"/>
        <v>1.8510925036048842E-2</v>
      </c>
    </row>
    <row r="6435" spans="2:7" x14ac:dyDescent="0.25">
      <c r="B6435" s="98"/>
      <c r="F6435">
        <v>6431</v>
      </c>
      <c r="G6435" s="109">
        <f t="shared" ca="1" si="109"/>
        <v>4.0968411616969042E-2</v>
      </c>
    </row>
    <row r="6436" spans="2:7" x14ac:dyDescent="0.25">
      <c r="B6436" s="98"/>
      <c r="F6436">
        <v>6432</v>
      </c>
      <c r="G6436" s="109">
        <f t="shared" ca="1" si="109"/>
        <v>0.15126206273725709</v>
      </c>
    </row>
    <row r="6437" spans="2:7" x14ac:dyDescent="0.25">
      <c r="B6437" s="98"/>
      <c r="F6437">
        <v>6433</v>
      </c>
      <c r="G6437" s="109">
        <f t="shared" ca="1" si="109"/>
        <v>8.5802319822570999E-2</v>
      </c>
    </row>
    <row r="6438" spans="2:7" x14ac:dyDescent="0.25">
      <c r="B6438" s="98"/>
      <c r="F6438">
        <v>6434</v>
      </c>
      <c r="G6438" s="109">
        <f t="shared" ca="1" si="109"/>
        <v>6.0735725676734909E-2</v>
      </c>
    </row>
    <row r="6439" spans="2:7" x14ac:dyDescent="0.25">
      <c r="B6439" s="98"/>
      <c r="F6439">
        <v>6435</v>
      </c>
      <c r="G6439" s="109">
        <f t="shared" ca="1" si="109"/>
        <v>6.3642807132837251E-2</v>
      </c>
    </row>
    <row r="6440" spans="2:7" x14ac:dyDescent="0.25">
      <c r="B6440" s="98"/>
      <c r="F6440">
        <v>6436</v>
      </c>
      <c r="G6440" s="109">
        <f t="shared" ca="1" si="109"/>
        <v>-9.6058341337998995E-2</v>
      </c>
    </row>
    <row r="6441" spans="2:7" x14ac:dyDescent="0.25">
      <c r="B6441" s="98"/>
      <c r="F6441">
        <v>6437</v>
      </c>
      <c r="G6441" s="109">
        <f t="shared" ca="1" si="109"/>
        <v>0.28762214090476085</v>
      </c>
    </row>
    <row r="6442" spans="2:7" x14ac:dyDescent="0.25">
      <c r="B6442" s="98"/>
      <c r="F6442">
        <v>6438</v>
      </c>
      <c r="G6442" s="109">
        <f t="shared" ca="1" si="109"/>
        <v>-8.4879136412592579E-2</v>
      </c>
    </row>
    <row r="6443" spans="2:7" x14ac:dyDescent="0.25">
      <c r="B6443" s="98"/>
      <c r="F6443">
        <v>6439</v>
      </c>
      <c r="G6443" s="109">
        <f t="shared" ca="1" si="109"/>
        <v>9.1430311200789455E-2</v>
      </c>
    </row>
    <row r="6444" spans="2:7" x14ac:dyDescent="0.25">
      <c r="B6444" s="98"/>
      <c r="F6444">
        <v>6440</v>
      </c>
      <c r="G6444" s="109">
        <f t="shared" ca="1" si="109"/>
        <v>0.23300935460274536</v>
      </c>
    </row>
    <row r="6445" spans="2:7" x14ac:dyDescent="0.25">
      <c r="B6445" s="98"/>
      <c r="F6445">
        <v>6441</v>
      </c>
      <c r="G6445" s="109">
        <f t="shared" ca="1" si="109"/>
        <v>3.5694103460718454E-2</v>
      </c>
    </row>
    <row r="6446" spans="2:7" x14ac:dyDescent="0.25">
      <c r="B6446" s="98"/>
      <c r="F6446">
        <v>6442</v>
      </c>
      <c r="G6446" s="109">
        <f t="shared" ca="1" si="109"/>
        <v>0.21983589586062496</v>
      </c>
    </row>
    <row r="6447" spans="2:7" x14ac:dyDescent="0.25">
      <c r="B6447" s="98"/>
      <c r="F6447">
        <v>6443</v>
      </c>
      <c r="G6447" s="109">
        <f t="shared" ca="1" si="109"/>
        <v>9.2302308202395877E-2</v>
      </c>
    </row>
    <row r="6448" spans="2:7" x14ac:dyDescent="0.25">
      <c r="B6448" s="98"/>
      <c r="F6448">
        <v>6444</v>
      </c>
      <c r="G6448" s="109">
        <f t="shared" ca="1" si="109"/>
        <v>0.14073034572288232</v>
      </c>
    </row>
    <row r="6449" spans="2:7" x14ac:dyDescent="0.25">
      <c r="B6449" s="98"/>
      <c r="F6449">
        <v>6445</v>
      </c>
      <c r="G6449" s="109">
        <f t="shared" ca="1" si="109"/>
        <v>0.14635838582583069</v>
      </c>
    </row>
    <row r="6450" spans="2:7" x14ac:dyDescent="0.25">
      <c r="B6450" s="98"/>
      <c r="F6450">
        <v>6446</v>
      </c>
      <c r="G6450" s="109">
        <f t="shared" ca="1" si="109"/>
        <v>-1.2094785582580973E-2</v>
      </c>
    </row>
    <row r="6451" spans="2:7" x14ac:dyDescent="0.25">
      <c r="B6451" s="98"/>
      <c r="F6451">
        <v>6447</v>
      </c>
      <c r="G6451" s="109">
        <f t="shared" ca="1" si="109"/>
        <v>-1.1645166827611748E-2</v>
      </c>
    </row>
    <row r="6452" spans="2:7" x14ac:dyDescent="0.25">
      <c r="B6452" s="98"/>
      <c r="F6452">
        <v>6448</v>
      </c>
      <c r="G6452" s="109">
        <f t="shared" ca="1" si="109"/>
        <v>1.4206139098065375E-2</v>
      </c>
    </row>
    <row r="6453" spans="2:7" x14ac:dyDescent="0.25">
      <c r="B6453" s="98"/>
      <c r="F6453">
        <v>6449</v>
      </c>
      <c r="G6453" s="109">
        <f t="shared" ca="1" si="109"/>
        <v>0.12785410495614574</v>
      </c>
    </row>
    <row r="6454" spans="2:7" x14ac:dyDescent="0.25">
      <c r="B6454" s="98"/>
      <c r="F6454">
        <v>6450</v>
      </c>
      <c r="G6454" s="109">
        <f t="shared" ca="1" si="109"/>
        <v>-9.3918274351551354E-2</v>
      </c>
    </row>
    <row r="6455" spans="2:7" x14ac:dyDescent="0.25">
      <c r="B6455" s="98"/>
      <c r="F6455">
        <v>6451</v>
      </c>
      <c r="G6455" s="109">
        <f t="shared" ca="1" si="109"/>
        <v>3.7891070278788831E-2</v>
      </c>
    </row>
    <row r="6456" spans="2:7" x14ac:dyDescent="0.25">
      <c r="B6456" s="98"/>
      <c r="F6456">
        <v>6452</v>
      </c>
      <c r="G6456" s="109">
        <f t="shared" ca="1" si="109"/>
        <v>-2.7104344320915463E-2</v>
      </c>
    </row>
    <row r="6457" spans="2:7" x14ac:dyDescent="0.25">
      <c r="B6457" s="98"/>
      <c r="F6457">
        <v>6453</v>
      </c>
      <c r="G6457" s="109">
        <f t="shared" ca="1" si="109"/>
        <v>-0.14000462578590139</v>
      </c>
    </row>
    <row r="6458" spans="2:7" x14ac:dyDescent="0.25">
      <c r="B6458" s="98"/>
      <c r="F6458">
        <v>6454</v>
      </c>
      <c r="G6458" s="109">
        <f t="shared" ca="1" si="109"/>
        <v>0.16091414223671952</v>
      </c>
    </row>
    <row r="6459" spans="2:7" x14ac:dyDescent="0.25">
      <c r="B6459" s="98"/>
      <c r="F6459">
        <v>6455</v>
      </c>
      <c r="G6459" s="109">
        <f t="shared" ca="1" si="109"/>
        <v>2.4508189615814018E-2</v>
      </c>
    </row>
    <row r="6460" spans="2:7" x14ac:dyDescent="0.25">
      <c r="B6460" s="98"/>
      <c r="F6460">
        <v>6456</v>
      </c>
      <c r="G6460" s="109">
        <f t="shared" ca="1" si="109"/>
        <v>7.1889071663592374E-2</v>
      </c>
    </row>
    <row r="6461" spans="2:7" x14ac:dyDescent="0.25">
      <c r="B6461" s="98"/>
      <c r="F6461">
        <v>6457</v>
      </c>
      <c r="G6461" s="109">
        <f t="shared" ca="1" si="109"/>
        <v>-4.8436378019418788E-3</v>
      </c>
    </row>
    <row r="6462" spans="2:7" x14ac:dyDescent="0.25">
      <c r="B6462" s="98"/>
      <c r="F6462">
        <v>6458</v>
      </c>
      <c r="G6462" s="109">
        <f t="shared" ca="1" si="109"/>
        <v>0.23401785868301545</v>
      </c>
    </row>
    <row r="6463" spans="2:7" x14ac:dyDescent="0.25">
      <c r="B6463" s="98"/>
      <c r="F6463">
        <v>6459</v>
      </c>
      <c r="G6463" s="109">
        <f t="shared" ca="1" si="109"/>
        <v>-0.18158169841437277</v>
      </c>
    </row>
    <row r="6464" spans="2:7" x14ac:dyDescent="0.25">
      <c r="B6464" s="98"/>
      <c r="F6464">
        <v>6460</v>
      </c>
      <c r="G6464" s="109">
        <f t="shared" ca="1" si="109"/>
        <v>0.13962898643739879</v>
      </c>
    </row>
    <row r="6465" spans="2:7" x14ac:dyDescent="0.25">
      <c r="B6465" s="98"/>
      <c r="F6465">
        <v>6461</v>
      </c>
      <c r="G6465" s="109">
        <f t="shared" ca="1" si="109"/>
        <v>-9.014123001723022E-2</v>
      </c>
    </row>
    <row r="6466" spans="2:7" x14ac:dyDescent="0.25">
      <c r="B6466" s="98"/>
      <c r="F6466">
        <v>6462</v>
      </c>
      <c r="G6466" s="109">
        <f t="shared" ca="1" si="109"/>
        <v>0.12581886968411377</v>
      </c>
    </row>
    <row r="6467" spans="2:7" x14ac:dyDescent="0.25">
      <c r="B6467" s="98"/>
      <c r="F6467">
        <v>6463</v>
      </c>
      <c r="G6467" s="109">
        <f t="shared" ca="1" si="109"/>
        <v>-7.3067523564838824E-2</v>
      </c>
    </row>
    <row r="6468" spans="2:7" x14ac:dyDescent="0.25">
      <c r="B6468" s="98"/>
      <c r="F6468">
        <v>6464</v>
      </c>
      <c r="G6468" s="109">
        <f t="shared" ca="1" si="109"/>
        <v>-0.10536173454628979</v>
      </c>
    </row>
    <row r="6469" spans="2:7" x14ac:dyDescent="0.25">
      <c r="B6469" s="98"/>
      <c r="F6469">
        <v>6465</v>
      </c>
      <c r="G6469" s="109">
        <f t="shared" ca="1" si="109"/>
        <v>0.12814800037467552</v>
      </c>
    </row>
    <row r="6470" spans="2:7" x14ac:dyDescent="0.25">
      <c r="B6470" s="98"/>
      <c r="F6470">
        <v>6466</v>
      </c>
      <c r="G6470" s="109">
        <f t="shared" ref="G6470:G6533" ca="1" si="110">_xlfn.NORM.INV(RAND(),$M$5,$M$6)</f>
        <v>-0.16772021782408048</v>
      </c>
    </row>
    <row r="6471" spans="2:7" x14ac:dyDescent="0.25">
      <c r="B6471" s="98"/>
      <c r="F6471">
        <v>6467</v>
      </c>
      <c r="G6471" s="109">
        <f t="shared" ca="1" si="110"/>
        <v>0.10445021643686807</v>
      </c>
    </row>
    <row r="6472" spans="2:7" x14ac:dyDescent="0.25">
      <c r="B6472" s="98"/>
      <c r="F6472">
        <v>6468</v>
      </c>
      <c r="G6472" s="109">
        <f t="shared" ca="1" si="110"/>
        <v>9.9732932991883932E-2</v>
      </c>
    </row>
    <row r="6473" spans="2:7" x14ac:dyDescent="0.25">
      <c r="B6473" s="98"/>
      <c r="F6473">
        <v>6469</v>
      </c>
      <c r="G6473" s="109">
        <f t="shared" ca="1" si="110"/>
        <v>-3.506585561440749E-2</v>
      </c>
    </row>
    <row r="6474" spans="2:7" x14ac:dyDescent="0.25">
      <c r="B6474" s="98"/>
      <c r="F6474">
        <v>6470</v>
      </c>
      <c r="G6474" s="109">
        <f t="shared" ca="1" si="110"/>
        <v>0.1734540141621278</v>
      </c>
    </row>
    <row r="6475" spans="2:7" x14ac:dyDescent="0.25">
      <c r="B6475" s="98"/>
      <c r="F6475">
        <v>6471</v>
      </c>
      <c r="G6475" s="109">
        <f t="shared" ca="1" si="110"/>
        <v>0.1280165989372401</v>
      </c>
    </row>
    <row r="6476" spans="2:7" x14ac:dyDescent="0.25">
      <c r="B6476" s="98"/>
      <c r="F6476">
        <v>6472</v>
      </c>
      <c r="G6476" s="109">
        <f t="shared" ca="1" si="110"/>
        <v>0.12964602303249118</v>
      </c>
    </row>
    <row r="6477" spans="2:7" x14ac:dyDescent="0.25">
      <c r="B6477" s="98"/>
      <c r="F6477">
        <v>6473</v>
      </c>
      <c r="G6477" s="109">
        <f t="shared" ca="1" si="110"/>
        <v>0.12275944062986063</v>
      </c>
    </row>
    <row r="6478" spans="2:7" x14ac:dyDescent="0.25">
      <c r="B6478" s="98"/>
      <c r="F6478">
        <v>6474</v>
      </c>
      <c r="G6478" s="109">
        <f t="shared" ca="1" si="110"/>
        <v>7.5564923189037903E-4</v>
      </c>
    </row>
    <row r="6479" spans="2:7" x14ac:dyDescent="0.25">
      <c r="B6479" s="98"/>
      <c r="F6479">
        <v>6475</v>
      </c>
      <c r="G6479" s="109">
        <f t="shared" ca="1" si="110"/>
        <v>-9.5474091746750742E-2</v>
      </c>
    </row>
    <row r="6480" spans="2:7" x14ac:dyDescent="0.25">
      <c r="B6480" s="98"/>
      <c r="F6480">
        <v>6476</v>
      </c>
      <c r="G6480" s="109">
        <f t="shared" ca="1" si="110"/>
        <v>1.8407272162065957E-2</v>
      </c>
    </row>
    <row r="6481" spans="2:7" x14ac:dyDescent="0.25">
      <c r="B6481" s="98"/>
      <c r="F6481">
        <v>6477</v>
      </c>
      <c r="G6481" s="109">
        <f t="shared" ca="1" si="110"/>
        <v>-0.12502718950251573</v>
      </c>
    </row>
    <row r="6482" spans="2:7" x14ac:dyDescent="0.25">
      <c r="B6482" s="98"/>
      <c r="F6482">
        <v>6478</v>
      </c>
      <c r="G6482" s="109">
        <f t="shared" ca="1" si="110"/>
        <v>0.20031426203374914</v>
      </c>
    </row>
    <row r="6483" spans="2:7" x14ac:dyDescent="0.25">
      <c r="B6483" s="98"/>
      <c r="F6483">
        <v>6479</v>
      </c>
      <c r="G6483" s="109">
        <f t="shared" ca="1" si="110"/>
        <v>-0.10765239188839835</v>
      </c>
    </row>
    <row r="6484" spans="2:7" x14ac:dyDescent="0.25">
      <c r="B6484" s="98"/>
      <c r="F6484">
        <v>6480</v>
      </c>
      <c r="G6484" s="109">
        <f t="shared" ca="1" si="110"/>
        <v>-1.9887279456677939E-2</v>
      </c>
    </row>
    <row r="6485" spans="2:7" x14ac:dyDescent="0.25">
      <c r="B6485" s="98"/>
      <c r="F6485">
        <v>6481</v>
      </c>
      <c r="G6485" s="109">
        <f t="shared" ca="1" si="110"/>
        <v>-1.6266058933586701E-2</v>
      </c>
    </row>
    <row r="6486" spans="2:7" x14ac:dyDescent="0.25">
      <c r="B6486" s="98"/>
      <c r="F6486">
        <v>6482</v>
      </c>
      <c r="G6486" s="109">
        <f t="shared" ca="1" si="110"/>
        <v>9.3118193786337108E-2</v>
      </c>
    </row>
    <row r="6487" spans="2:7" x14ac:dyDescent="0.25">
      <c r="B6487" s="98"/>
      <c r="F6487">
        <v>6483</v>
      </c>
      <c r="G6487" s="109">
        <f t="shared" ca="1" si="110"/>
        <v>0.19185660324013309</v>
      </c>
    </row>
    <row r="6488" spans="2:7" x14ac:dyDescent="0.25">
      <c r="B6488" s="98"/>
      <c r="F6488">
        <v>6484</v>
      </c>
      <c r="G6488" s="109">
        <f t="shared" ca="1" si="110"/>
        <v>-5.3118707491535785E-2</v>
      </c>
    </row>
    <row r="6489" spans="2:7" x14ac:dyDescent="0.25">
      <c r="B6489" s="98"/>
      <c r="F6489">
        <v>6485</v>
      </c>
      <c r="G6489" s="109">
        <f t="shared" ca="1" si="110"/>
        <v>-0.1394426941945755</v>
      </c>
    </row>
    <row r="6490" spans="2:7" x14ac:dyDescent="0.25">
      <c r="B6490" s="98"/>
      <c r="F6490">
        <v>6486</v>
      </c>
      <c r="G6490" s="109">
        <f t="shared" ca="1" si="110"/>
        <v>8.8100887376221931E-2</v>
      </c>
    </row>
    <row r="6491" spans="2:7" x14ac:dyDescent="0.25">
      <c r="B6491" s="98"/>
      <c r="F6491">
        <v>6487</v>
      </c>
      <c r="G6491" s="109">
        <f t="shared" ca="1" si="110"/>
        <v>0.10001614906720488</v>
      </c>
    </row>
    <row r="6492" spans="2:7" x14ac:dyDescent="0.25">
      <c r="B6492" s="98"/>
      <c r="F6492">
        <v>6488</v>
      </c>
      <c r="G6492" s="109">
        <f t="shared" ca="1" si="110"/>
        <v>5.7373537064777845E-2</v>
      </c>
    </row>
    <row r="6493" spans="2:7" x14ac:dyDescent="0.25">
      <c r="B6493" s="98"/>
      <c r="F6493">
        <v>6489</v>
      </c>
      <c r="G6493" s="109">
        <f t="shared" ca="1" si="110"/>
        <v>4.2347627650545373E-2</v>
      </c>
    </row>
    <row r="6494" spans="2:7" x14ac:dyDescent="0.25">
      <c r="B6494" s="98"/>
      <c r="F6494">
        <v>6490</v>
      </c>
      <c r="G6494" s="109">
        <f t="shared" ca="1" si="110"/>
        <v>-0.15006767449806058</v>
      </c>
    </row>
    <row r="6495" spans="2:7" x14ac:dyDescent="0.25">
      <c r="B6495" s="98"/>
      <c r="F6495">
        <v>6491</v>
      </c>
      <c r="G6495" s="109">
        <f t="shared" ca="1" si="110"/>
        <v>-3.6804031521414565E-2</v>
      </c>
    </row>
    <row r="6496" spans="2:7" x14ac:dyDescent="0.25">
      <c r="B6496" s="98"/>
      <c r="F6496">
        <v>6492</v>
      </c>
      <c r="G6496" s="109">
        <f t="shared" ca="1" si="110"/>
        <v>5.3983386181882642E-2</v>
      </c>
    </row>
    <row r="6497" spans="2:7" x14ac:dyDescent="0.25">
      <c r="B6497" s="98"/>
      <c r="F6497">
        <v>6493</v>
      </c>
      <c r="G6497" s="109">
        <f t="shared" ca="1" si="110"/>
        <v>6.4497190191332404E-2</v>
      </c>
    </row>
    <row r="6498" spans="2:7" x14ac:dyDescent="0.25">
      <c r="B6498" s="98"/>
      <c r="F6498">
        <v>6494</v>
      </c>
      <c r="G6498" s="109">
        <f t="shared" ca="1" si="110"/>
        <v>0.12750444187908044</v>
      </c>
    </row>
    <row r="6499" spans="2:7" x14ac:dyDescent="0.25">
      <c r="B6499" s="98"/>
      <c r="F6499">
        <v>6495</v>
      </c>
      <c r="G6499" s="109">
        <f t="shared" ca="1" si="110"/>
        <v>2.8520023618320494E-2</v>
      </c>
    </row>
    <row r="6500" spans="2:7" x14ac:dyDescent="0.25">
      <c r="B6500" s="98"/>
      <c r="F6500">
        <v>6496</v>
      </c>
      <c r="G6500" s="109">
        <f t="shared" ca="1" si="110"/>
        <v>2.3241289161436494E-2</v>
      </c>
    </row>
    <row r="6501" spans="2:7" x14ac:dyDescent="0.25">
      <c r="B6501" s="98"/>
      <c r="F6501">
        <v>6497</v>
      </c>
      <c r="G6501" s="109">
        <f t="shared" ca="1" si="110"/>
        <v>-0.10574089234151192</v>
      </c>
    </row>
    <row r="6502" spans="2:7" x14ac:dyDescent="0.25">
      <c r="B6502" s="98"/>
      <c r="F6502">
        <v>6498</v>
      </c>
      <c r="G6502" s="109">
        <f t="shared" ca="1" si="110"/>
        <v>9.0977069088735679E-2</v>
      </c>
    </row>
    <row r="6503" spans="2:7" x14ac:dyDescent="0.25">
      <c r="B6503" s="98"/>
      <c r="F6503">
        <v>6499</v>
      </c>
      <c r="G6503" s="109">
        <f t="shared" ca="1" si="110"/>
        <v>3.7110471041799362E-2</v>
      </c>
    </row>
    <row r="6504" spans="2:7" x14ac:dyDescent="0.25">
      <c r="B6504" s="98"/>
      <c r="F6504">
        <v>6500</v>
      </c>
      <c r="G6504" s="109">
        <f t="shared" ca="1" si="110"/>
        <v>-1.7169688220074183E-2</v>
      </c>
    </row>
    <row r="6505" spans="2:7" x14ac:dyDescent="0.25">
      <c r="B6505" s="98"/>
      <c r="F6505">
        <v>6501</v>
      </c>
      <c r="G6505" s="109">
        <f t="shared" ca="1" si="110"/>
        <v>-6.5109068008476309E-2</v>
      </c>
    </row>
    <row r="6506" spans="2:7" x14ac:dyDescent="0.25">
      <c r="B6506" s="98"/>
      <c r="F6506">
        <v>6502</v>
      </c>
      <c r="G6506" s="109">
        <f t="shared" ca="1" si="110"/>
        <v>-4.1813335161488371E-2</v>
      </c>
    </row>
    <row r="6507" spans="2:7" x14ac:dyDescent="0.25">
      <c r="B6507" s="98"/>
      <c r="F6507">
        <v>6503</v>
      </c>
      <c r="G6507" s="109">
        <f t="shared" ca="1" si="110"/>
        <v>0.20005722671326953</v>
      </c>
    </row>
    <row r="6508" spans="2:7" x14ac:dyDescent="0.25">
      <c r="B6508" s="98"/>
      <c r="F6508">
        <v>6504</v>
      </c>
      <c r="G6508" s="109">
        <f t="shared" ca="1" si="110"/>
        <v>0.20583465266056056</v>
      </c>
    </row>
    <row r="6509" spans="2:7" x14ac:dyDescent="0.25">
      <c r="B6509" s="98"/>
      <c r="F6509">
        <v>6505</v>
      </c>
      <c r="G6509" s="109">
        <f t="shared" ca="1" si="110"/>
        <v>3.5662907525479563E-2</v>
      </c>
    </row>
    <row r="6510" spans="2:7" x14ac:dyDescent="0.25">
      <c r="B6510" s="98"/>
      <c r="F6510">
        <v>6506</v>
      </c>
      <c r="G6510" s="109">
        <f t="shared" ca="1" si="110"/>
        <v>5.6242481657921589E-2</v>
      </c>
    </row>
    <row r="6511" spans="2:7" x14ac:dyDescent="0.25">
      <c r="B6511" s="98"/>
      <c r="F6511">
        <v>6507</v>
      </c>
      <c r="G6511" s="109">
        <f t="shared" ca="1" si="110"/>
        <v>5.4307053297818847E-2</v>
      </c>
    </row>
    <row r="6512" spans="2:7" x14ac:dyDescent="0.25">
      <c r="B6512" s="98"/>
      <c r="F6512">
        <v>6508</v>
      </c>
      <c r="G6512" s="109">
        <f t="shared" ca="1" si="110"/>
        <v>6.1968743516281552E-3</v>
      </c>
    </row>
    <row r="6513" spans="2:7" x14ac:dyDescent="0.25">
      <c r="B6513" s="98"/>
      <c r="F6513">
        <v>6509</v>
      </c>
      <c r="G6513" s="109">
        <f t="shared" ca="1" si="110"/>
        <v>-0.11224892672109098</v>
      </c>
    </row>
    <row r="6514" spans="2:7" x14ac:dyDescent="0.25">
      <c r="B6514" s="98"/>
      <c r="F6514">
        <v>6510</v>
      </c>
      <c r="G6514" s="109">
        <f t="shared" ca="1" si="110"/>
        <v>-9.6361478491165511E-2</v>
      </c>
    </row>
    <row r="6515" spans="2:7" x14ac:dyDescent="0.25">
      <c r="B6515" s="98"/>
      <c r="F6515">
        <v>6511</v>
      </c>
      <c r="G6515" s="109">
        <f t="shared" ca="1" si="110"/>
        <v>0.21560483174693307</v>
      </c>
    </row>
    <row r="6516" spans="2:7" x14ac:dyDescent="0.25">
      <c r="B6516" s="98"/>
      <c r="F6516">
        <v>6512</v>
      </c>
      <c r="G6516" s="109">
        <f t="shared" ca="1" si="110"/>
        <v>-5.6147424852347319E-2</v>
      </c>
    </row>
    <row r="6517" spans="2:7" x14ac:dyDescent="0.25">
      <c r="B6517" s="98"/>
      <c r="F6517">
        <v>6513</v>
      </c>
      <c r="G6517" s="109">
        <f t="shared" ca="1" si="110"/>
        <v>0.12205201497213768</v>
      </c>
    </row>
    <row r="6518" spans="2:7" x14ac:dyDescent="0.25">
      <c r="B6518" s="98"/>
      <c r="F6518">
        <v>6514</v>
      </c>
      <c r="G6518" s="109">
        <f t="shared" ca="1" si="110"/>
        <v>5.8469984248192691E-2</v>
      </c>
    </row>
    <row r="6519" spans="2:7" x14ac:dyDescent="0.25">
      <c r="B6519" s="98"/>
      <c r="F6519">
        <v>6515</v>
      </c>
      <c r="G6519" s="109">
        <f t="shared" ca="1" si="110"/>
        <v>0.12941837098748582</v>
      </c>
    </row>
    <row r="6520" spans="2:7" x14ac:dyDescent="0.25">
      <c r="B6520" s="98"/>
      <c r="F6520">
        <v>6516</v>
      </c>
      <c r="G6520" s="109">
        <f t="shared" ca="1" si="110"/>
        <v>0.24078451937231882</v>
      </c>
    </row>
    <row r="6521" spans="2:7" x14ac:dyDescent="0.25">
      <c r="B6521" s="98"/>
      <c r="F6521">
        <v>6517</v>
      </c>
      <c r="G6521" s="109">
        <f t="shared" ca="1" si="110"/>
        <v>0.1234876889106363</v>
      </c>
    </row>
    <row r="6522" spans="2:7" x14ac:dyDescent="0.25">
      <c r="B6522" s="98"/>
      <c r="F6522">
        <v>6518</v>
      </c>
      <c r="G6522" s="109">
        <f t="shared" ca="1" si="110"/>
        <v>5.9045079529313135E-2</v>
      </c>
    </row>
    <row r="6523" spans="2:7" x14ac:dyDescent="0.25">
      <c r="B6523" s="98"/>
      <c r="F6523">
        <v>6519</v>
      </c>
      <c r="G6523" s="109">
        <f t="shared" ca="1" si="110"/>
        <v>0.11413114699461256</v>
      </c>
    </row>
    <row r="6524" spans="2:7" x14ac:dyDescent="0.25">
      <c r="B6524" s="98"/>
      <c r="F6524">
        <v>6520</v>
      </c>
      <c r="G6524" s="109">
        <f t="shared" ca="1" si="110"/>
        <v>-7.0396361754315157E-2</v>
      </c>
    </row>
    <row r="6525" spans="2:7" x14ac:dyDescent="0.25">
      <c r="B6525" s="98"/>
      <c r="F6525">
        <v>6521</v>
      </c>
      <c r="G6525" s="109">
        <f t="shared" ca="1" si="110"/>
        <v>0.14677127757029207</v>
      </c>
    </row>
    <row r="6526" spans="2:7" x14ac:dyDescent="0.25">
      <c r="B6526" s="98"/>
      <c r="F6526">
        <v>6522</v>
      </c>
      <c r="G6526" s="109">
        <f t="shared" ca="1" si="110"/>
        <v>-6.6184440672340458E-3</v>
      </c>
    </row>
    <row r="6527" spans="2:7" x14ac:dyDescent="0.25">
      <c r="B6527" s="98"/>
      <c r="F6527">
        <v>6523</v>
      </c>
      <c r="G6527" s="109">
        <f t="shared" ca="1" si="110"/>
        <v>-0.1415288512739733</v>
      </c>
    </row>
    <row r="6528" spans="2:7" x14ac:dyDescent="0.25">
      <c r="B6528" s="98"/>
      <c r="F6528">
        <v>6524</v>
      </c>
      <c r="G6528" s="109">
        <f t="shared" ca="1" si="110"/>
        <v>8.768246790554543E-2</v>
      </c>
    </row>
    <row r="6529" spans="2:7" x14ac:dyDescent="0.25">
      <c r="B6529" s="98"/>
      <c r="F6529">
        <v>6525</v>
      </c>
      <c r="G6529" s="109">
        <f t="shared" ca="1" si="110"/>
        <v>9.4137429068769637E-2</v>
      </c>
    </row>
    <row r="6530" spans="2:7" x14ac:dyDescent="0.25">
      <c r="B6530" s="98"/>
      <c r="F6530">
        <v>6526</v>
      </c>
      <c r="G6530" s="109">
        <f t="shared" ca="1" si="110"/>
        <v>2.9979772280994244E-2</v>
      </c>
    </row>
    <row r="6531" spans="2:7" x14ac:dyDescent="0.25">
      <c r="B6531" s="98"/>
      <c r="F6531">
        <v>6527</v>
      </c>
      <c r="G6531" s="109">
        <f t="shared" ca="1" si="110"/>
        <v>0.2221175152202034</v>
      </c>
    </row>
    <row r="6532" spans="2:7" x14ac:dyDescent="0.25">
      <c r="B6532" s="98"/>
      <c r="F6532">
        <v>6528</v>
      </c>
      <c r="G6532" s="109">
        <f t="shared" ca="1" si="110"/>
        <v>-2.2767421101707555E-2</v>
      </c>
    </row>
    <row r="6533" spans="2:7" x14ac:dyDescent="0.25">
      <c r="B6533" s="98"/>
      <c r="F6533">
        <v>6529</v>
      </c>
      <c r="G6533" s="109">
        <f t="shared" ca="1" si="110"/>
        <v>0.15005018757454902</v>
      </c>
    </row>
    <row r="6534" spans="2:7" x14ac:dyDescent="0.25">
      <c r="B6534" s="98"/>
      <c r="F6534">
        <v>6530</v>
      </c>
      <c r="G6534" s="109">
        <f t="shared" ref="G6534:G6597" ca="1" si="111">_xlfn.NORM.INV(RAND(),$M$5,$M$6)</f>
        <v>-8.2370259720538977E-3</v>
      </c>
    </row>
    <row r="6535" spans="2:7" x14ac:dyDescent="0.25">
      <c r="B6535" s="98"/>
      <c r="F6535">
        <v>6531</v>
      </c>
      <c r="G6535" s="109">
        <f t="shared" ca="1" si="111"/>
        <v>0.13303461448680448</v>
      </c>
    </row>
    <row r="6536" spans="2:7" x14ac:dyDescent="0.25">
      <c r="B6536" s="98"/>
      <c r="F6536">
        <v>6532</v>
      </c>
      <c r="G6536" s="109">
        <f t="shared" ca="1" si="111"/>
        <v>1.7170712936396649E-2</v>
      </c>
    </row>
    <row r="6537" spans="2:7" x14ac:dyDescent="0.25">
      <c r="B6537" s="98"/>
      <c r="F6537">
        <v>6533</v>
      </c>
      <c r="G6537" s="109">
        <f t="shared" ca="1" si="111"/>
        <v>3.128120300735851E-3</v>
      </c>
    </row>
    <row r="6538" spans="2:7" x14ac:dyDescent="0.25">
      <c r="B6538" s="98"/>
      <c r="F6538">
        <v>6534</v>
      </c>
      <c r="G6538" s="109">
        <f t="shared" ca="1" si="111"/>
        <v>7.0526436271300008E-2</v>
      </c>
    </row>
    <row r="6539" spans="2:7" x14ac:dyDescent="0.25">
      <c r="B6539" s="98"/>
      <c r="F6539">
        <v>6535</v>
      </c>
      <c r="G6539" s="109">
        <f t="shared" ca="1" si="111"/>
        <v>8.9525862633644537E-2</v>
      </c>
    </row>
    <row r="6540" spans="2:7" x14ac:dyDescent="0.25">
      <c r="B6540" s="98"/>
      <c r="F6540">
        <v>6536</v>
      </c>
      <c r="G6540" s="109">
        <f t="shared" ca="1" si="111"/>
        <v>3.1330917474852366E-2</v>
      </c>
    </row>
    <row r="6541" spans="2:7" x14ac:dyDescent="0.25">
      <c r="B6541" s="98"/>
      <c r="F6541">
        <v>6537</v>
      </c>
      <c r="G6541" s="109">
        <f t="shared" ca="1" si="111"/>
        <v>-2.7533214195184369E-3</v>
      </c>
    </row>
    <row r="6542" spans="2:7" x14ac:dyDescent="0.25">
      <c r="B6542" s="98"/>
      <c r="F6542">
        <v>6538</v>
      </c>
      <c r="G6542" s="109">
        <f t="shared" ca="1" si="111"/>
        <v>0.15398401309348797</v>
      </c>
    </row>
    <row r="6543" spans="2:7" x14ac:dyDescent="0.25">
      <c r="B6543" s="98"/>
      <c r="F6543">
        <v>6539</v>
      </c>
      <c r="G6543" s="109">
        <f t="shared" ca="1" si="111"/>
        <v>-3.4381217029248665E-2</v>
      </c>
    </row>
    <row r="6544" spans="2:7" x14ac:dyDescent="0.25">
      <c r="B6544" s="98"/>
      <c r="F6544">
        <v>6540</v>
      </c>
      <c r="G6544" s="109">
        <f t="shared" ca="1" si="111"/>
        <v>0.2996804362356954</v>
      </c>
    </row>
    <row r="6545" spans="2:7" x14ac:dyDescent="0.25">
      <c r="B6545" s="98"/>
      <c r="F6545">
        <v>6541</v>
      </c>
      <c r="G6545" s="109">
        <f t="shared" ca="1" si="111"/>
        <v>-1.7650024508188769E-3</v>
      </c>
    </row>
    <row r="6546" spans="2:7" x14ac:dyDescent="0.25">
      <c r="B6546" s="98"/>
      <c r="F6546">
        <v>6542</v>
      </c>
      <c r="G6546" s="109">
        <f t="shared" ca="1" si="111"/>
        <v>-5.7599250530679505E-2</v>
      </c>
    </row>
    <row r="6547" spans="2:7" x14ac:dyDescent="0.25">
      <c r="B6547" s="98"/>
      <c r="F6547">
        <v>6543</v>
      </c>
      <c r="G6547" s="109">
        <f t="shared" ca="1" si="111"/>
        <v>-3.4244367678896617E-2</v>
      </c>
    </row>
    <row r="6548" spans="2:7" x14ac:dyDescent="0.25">
      <c r="B6548" s="98"/>
      <c r="F6548">
        <v>6544</v>
      </c>
      <c r="G6548" s="109">
        <f t="shared" ca="1" si="111"/>
        <v>-1.0860689904622009E-3</v>
      </c>
    </row>
    <row r="6549" spans="2:7" x14ac:dyDescent="0.25">
      <c r="B6549" s="98"/>
      <c r="F6549">
        <v>6545</v>
      </c>
      <c r="G6549" s="109">
        <f t="shared" ca="1" si="111"/>
        <v>0.22054716417611642</v>
      </c>
    </row>
    <row r="6550" spans="2:7" x14ac:dyDescent="0.25">
      <c r="B6550" s="98"/>
      <c r="F6550">
        <v>6546</v>
      </c>
      <c r="G6550" s="109">
        <f t="shared" ca="1" si="111"/>
        <v>0.12156644667511415</v>
      </c>
    </row>
    <row r="6551" spans="2:7" x14ac:dyDescent="0.25">
      <c r="B6551" s="98"/>
      <c r="F6551">
        <v>6547</v>
      </c>
      <c r="G6551" s="109">
        <f t="shared" ca="1" si="111"/>
        <v>-0.1017472721113143</v>
      </c>
    </row>
    <row r="6552" spans="2:7" x14ac:dyDescent="0.25">
      <c r="B6552" s="98"/>
      <c r="F6552">
        <v>6548</v>
      </c>
      <c r="G6552" s="109">
        <f t="shared" ca="1" si="111"/>
        <v>0.23839289919061618</v>
      </c>
    </row>
    <row r="6553" spans="2:7" x14ac:dyDescent="0.25">
      <c r="B6553" s="98"/>
      <c r="F6553">
        <v>6549</v>
      </c>
      <c r="G6553" s="109">
        <f t="shared" ca="1" si="111"/>
        <v>0.19921495322335497</v>
      </c>
    </row>
    <row r="6554" spans="2:7" x14ac:dyDescent="0.25">
      <c r="B6554" s="98"/>
      <c r="F6554">
        <v>6550</v>
      </c>
      <c r="G6554" s="109">
        <f t="shared" ca="1" si="111"/>
        <v>0.16964306305113902</v>
      </c>
    </row>
    <row r="6555" spans="2:7" x14ac:dyDescent="0.25">
      <c r="B6555" s="98"/>
      <c r="F6555">
        <v>6551</v>
      </c>
      <c r="G6555" s="109">
        <f t="shared" ca="1" si="111"/>
        <v>0.12173434857657663</v>
      </c>
    </row>
    <row r="6556" spans="2:7" x14ac:dyDescent="0.25">
      <c r="B6556" s="98"/>
      <c r="F6556">
        <v>6552</v>
      </c>
      <c r="G6556" s="109">
        <f t="shared" ca="1" si="111"/>
        <v>-3.9288681579194032E-2</v>
      </c>
    </row>
    <row r="6557" spans="2:7" x14ac:dyDescent="0.25">
      <c r="B6557" s="98"/>
      <c r="F6557">
        <v>6553</v>
      </c>
      <c r="G6557" s="109">
        <f t="shared" ca="1" si="111"/>
        <v>-4.9050979769555317E-2</v>
      </c>
    </row>
    <row r="6558" spans="2:7" x14ac:dyDescent="0.25">
      <c r="B6558" s="98"/>
      <c r="F6558">
        <v>6554</v>
      </c>
      <c r="G6558" s="109">
        <f t="shared" ca="1" si="111"/>
        <v>0.16261154855310073</v>
      </c>
    </row>
    <row r="6559" spans="2:7" x14ac:dyDescent="0.25">
      <c r="B6559" s="98"/>
      <c r="F6559">
        <v>6555</v>
      </c>
      <c r="G6559" s="109">
        <f t="shared" ca="1" si="111"/>
        <v>-5.7071629148491593E-2</v>
      </c>
    </row>
    <row r="6560" spans="2:7" x14ac:dyDescent="0.25">
      <c r="B6560" s="98"/>
      <c r="F6560">
        <v>6556</v>
      </c>
      <c r="G6560" s="109">
        <f t="shared" ca="1" si="111"/>
        <v>-9.9469265718788932E-3</v>
      </c>
    </row>
    <row r="6561" spans="2:7" x14ac:dyDescent="0.25">
      <c r="B6561" s="98"/>
      <c r="F6561">
        <v>6557</v>
      </c>
      <c r="G6561" s="109">
        <f t="shared" ca="1" si="111"/>
        <v>0.21409923916055329</v>
      </c>
    </row>
    <row r="6562" spans="2:7" x14ac:dyDescent="0.25">
      <c r="B6562" s="98"/>
      <c r="F6562">
        <v>6558</v>
      </c>
      <c r="G6562" s="109">
        <f t="shared" ca="1" si="111"/>
        <v>6.5629148983559218E-2</v>
      </c>
    </row>
    <row r="6563" spans="2:7" x14ac:dyDescent="0.25">
      <c r="B6563" s="98"/>
      <c r="F6563">
        <v>6559</v>
      </c>
      <c r="G6563" s="109">
        <f t="shared" ca="1" si="111"/>
        <v>-1.4108184766480299E-2</v>
      </c>
    </row>
    <row r="6564" spans="2:7" x14ac:dyDescent="0.25">
      <c r="B6564" s="98"/>
      <c r="F6564">
        <v>6560</v>
      </c>
      <c r="G6564" s="109">
        <f t="shared" ca="1" si="111"/>
        <v>-3.0509503655160281E-2</v>
      </c>
    </row>
    <row r="6565" spans="2:7" x14ac:dyDescent="0.25">
      <c r="B6565" s="98"/>
      <c r="F6565">
        <v>6561</v>
      </c>
      <c r="G6565" s="109">
        <f t="shared" ca="1" si="111"/>
        <v>0.22162656300232314</v>
      </c>
    </row>
    <row r="6566" spans="2:7" x14ac:dyDescent="0.25">
      <c r="B6566" s="98"/>
      <c r="F6566">
        <v>6562</v>
      </c>
      <c r="G6566" s="109">
        <f t="shared" ca="1" si="111"/>
        <v>7.3993779960098816E-2</v>
      </c>
    </row>
    <row r="6567" spans="2:7" x14ac:dyDescent="0.25">
      <c r="B6567" s="98"/>
      <c r="F6567">
        <v>6563</v>
      </c>
      <c r="G6567" s="109">
        <f t="shared" ca="1" si="111"/>
        <v>8.116399718720449E-2</v>
      </c>
    </row>
    <row r="6568" spans="2:7" x14ac:dyDescent="0.25">
      <c r="B6568" s="98"/>
      <c r="F6568">
        <v>6564</v>
      </c>
      <c r="G6568" s="109">
        <f t="shared" ca="1" si="111"/>
        <v>6.1397627374141242E-2</v>
      </c>
    </row>
    <row r="6569" spans="2:7" x14ac:dyDescent="0.25">
      <c r="B6569" s="98"/>
      <c r="F6569">
        <v>6565</v>
      </c>
      <c r="G6569" s="109">
        <f t="shared" ca="1" si="111"/>
        <v>0.14058349743262824</v>
      </c>
    </row>
    <row r="6570" spans="2:7" x14ac:dyDescent="0.25">
      <c r="B6570" s="98"/>
      <c r="F6570">
        <v>6566</v>
      </c>
      <c r="G6570" s="109">
        <f t="shared" ca="1" si="111"/>
        <v>-8.1050790510602946E-2</v>
      </c>
    </row>
    <row r="6571" spans="2:7" x14ac:dyDescent="0.25">
      <c r="B6571" s="98"/>
      <c r="F6571">
        <v>6567</v>
      </c>
      <c r="G6571" s="109">
        <f t="shared" ca="1" si="111"/>
        <v>3.2172340304943085E-2</v>
      </c>
    </row>
    <row r="6572" spans="2:7" x14ac:dyDescent="0.25">
      <c r="B6572" s="98"/>
      <c r="F6572">
        <v>6568</v>
      </c>
      <c r="G6572" s="109">
        <f t="shared" ca="1" si="111"/>
        <v>4.5307219867183293E-2</v>
      </c>
    </row>
    <row r="6573" spans="2:7" x14ac:dyDescent="0.25">
      <c r="B6573" s="98"/>
      <c r="F6573">
        <v>6569</v>
      </c>
      <c r="G6573" s="109">
        <f t="shared" ca="1" si="111"/>
        <v>-4.4718064494592438E-2</v>
      </c>
    </row>
    <row r="6574" spans="2:7" x14ac:dyDescent="0.25">
      <c r="B6574" s="98"/>
      <c r="F6574">
        <v>6570</v>
      </c>
      <c r="G6574" s="109">
        <f t="shared" ca="1" si="111"/>
        <v>6.0735598638385846E-2</v>
      </c>
    </row>
    <row r="6575" spans="2:7" x14ac:dyDescent="0.25">
      <c r="B6575" s="98"/>
      <c r="F6575">
        <v>6571</v>
      </c>
      <c r="G6575" s="109">
        <f t="shared" ca="1" si="111"/>
        <v>9.5949829002677567E-2</v>
      </c>
    </row>
    <row r="6576" spans="2:7" x14ac:dyDescent="0.25">
      <c r="B6576" s="98"/>
      <c r="F6576">
        <v>6572</v>
      </c>
      <c r="G6576" s="109">
        <f t="shared" ca="1" si="111"/>
        <v>9.5433453330281803E-2</v>
      </c>
    </row>
    <row r="6577" spans="2:7" x14ac:dyDescent="0.25">
      <c r="B6577" s="98"/>
      <c r="F6577">
        <v>6573</v>
      </c>
      <c r="G6577" s="109">
        <f t="shared" ca="1" si="111"/>
        <v>0.12770573335606605</v>
      </c>
    </row>
    <row r="6578" spans="2:7" x14ac:dyDescent="0.25">
      <c r="B6578" s="98"/>
      <c r="F6578">
        <v>6574</v>
      </c>
      <c r="G6578" s="109">
        <f t="shared" ca="1" si="111"/>
        <v>8.6751031400470344E-2</v>
      </c>
    </row>
    <row r="6579" spans="2:7" x14ac:dyDescent="0.25">
      <c r="B6579" s="98"/>
      <c r="F6579">
        <v>6575</v>
      </c>
      <c r="G6579" s="109">
        <f t="shared" ca="1" si="111"/>
        <v>-2.4934096564865088E-2</v>
      </c>
    </row>
    <row r="6580" spans="2:7" x14ac:dyDescent="0.25">
      <c r="B6580" s="98"/>
      <c r="F6580">
        <v>6576</v>
      </c>
      <c r="G6580" s="109">
        <f t="shared" ca="1" si="111"/>
        <v>-0.19644258134962567</v>
      </c>
    </row>
    <row r="6581" spans="2:7" x14ac:dyDescent="0.25">
      <c r="B6581" s="98"/>
      <c r="F6581">
        <v>6577</v>
      </c>
      <c r="G6581" s="109">
        <f t="shared" ca="1" si="111"/>
        <v>6.1919043906457097E-2</v>
      </c>
    </row>
    <row r="6582" spans="2:7" x14ac:dyDescent="0.25">
      <c r="B6582" s="98"/>
      <c r="F6582">
        <v>6578</v>
      </c>
      <c r="G6582" s="109">
        <f t="shared" ca="1" si="111"/>
        <v>5.1394248653393662E-3</v>
      </c>
    </row>
    <row r="6583" spans="2:7" x14ac:dyDescent="0.25">
      <c r="B6583" s="98"/>
      <c r="F6583">
        <v>6579</v>
      </c>
      <c r="G6583" s="109">
        <f t="shared" ca="1" si="111"/>
        <v>-0.10703127653912535</v>
      </c>
    </row>
    <row r="6584" spans="2:7" x14ac:dyDescent="0.25">
      <c r="B6584" s="98"/>
      <c r="F6584">
        <v>6580</v>
      </c>
      <c r="G6584" s="109">
        <f t="shared" ca="1" si="111"/>
        <v>6.7310080062813415E-2</v>
      </c>
    </row>
    <row r="6585" spans="2:7" x14ac:dyDescent="0.25">
      <c r="B6585" s="98"/>
      <c r="F6585">
        <v>6581</v>
      </c>
      <c r="G6585" s="109">
        <f t="shared" ca="1" si="111"/>
        <v>4.94756838659757E-2</v>
      </c>
    </row>
    <row r="6586" spans="2:7" x14ac:dyDescent="0.25">
      <c r="B6586" s="98"/>
      <c r="F6586">
        <v>6582</v>
      </c>
      <c r="G6586" s="109">
        <f t="shared" ca="1" si="111"/>
        <v>4.6617864988494899E-2</v>
      </c>
    </row>
    <row r="6587" spans="2:7" x14ac:dyDescent="0.25">
      <c r="B6587" s="98"/>
      <c r="F6587">
        <v>6583</v>
      </c>
      <c r="G6587" s="109">
        <f t="shared" ca="1" si="111"/>
        <v>-4.6562288083338843E-2</v>
      </c>
    </row>
    <row r="6588" spans="2:7" x14ac:dyDescent="0.25">
      <c r="B6588" s="98"/>
      <c r="F6588">
        <v>6584</v>
      </c>
      <c r="G6588" s="109">
        <f t="shared" ca="1" si="111"/>
        <v>-1.4342136545805455E-2</v>
      </c>
    </row>
    <row r="6589" spans="2:7" x14ac:dyDescent="0.25">
      <c r="B6589" s="98"/>
      <c r="F6589">
        <v>6585</v>
      </c>
      <c r="G6589" s="109">
        <f t="shared" ca="1" si="111"/>
        <v>1.2382763197271163E-3</v>
      </c>
    </row>
    <row r="6590" spans="2:7" x14ac:dyDescent="0.25">
      <c r="B6590" s="98"/>
      <c r="F6590">
        <v>6586</v>
      </c>
      <c r="G6590" s="109">
        <f t="shared" ca="1" si="111"/>
        <v>3.9799950345678896E-2</v>
      </c>
    </row>
    <row r="6591" spans="2:7" x14ac:dyDescent="0.25">
      <c r="B6591" s="98"/>
      <c r="F6591">
        <v>6587</v>
      </c>
      <c r="G6591" s="109">
        <f t="shared" ca="1" si="111"/>
        <v>-0.13767910861725041</v>
      </c>
    </row>
    <row r="6592" spans="2:7" x14ac:dyDescent="0.25">
      <c r="B6592" s="98"/>
      <c r="F6592">
        <v>6588</v>
      </c>
      <c r="G6592" s="109">
        <f t="shared" ca="1" si="111"/>
        <v>2.3109911450016358E-2</v>
      </c>
    </row>
    <row r="6593" spans="2:7" x14ac:dyDescent="0.25">
      <c r="B6593" s="98"/>
      <c r="F6593">
        <v>6589</v>
      </c>
      <c r="G6593" s="109">
        <f t="shared" ca="1" si="111"/>
        <v>2.5012764323975811E-2</v>
      </c>
    </row>
    <row r="6594" spans="2:7" x14ac:dyDescent="0.25">
      <c r="B6594" s="98"/>
      <c r="F6594">
        <v>6590</v>
      </c>
      <c r="G6594" s="109">
        <f t="shared" ca="1" si="111"/>
        <v>0.1113246148086123</v>
      </c>
    </row>
    <row r="6595" spans="2:7" x14ac:dyDescent="0.25">
      <c r="B6595" s="98"/>
      <c r="F6595">
        <v>6591</v>
      </c>
      <c r="G6595" s="109">
        <f t="shared" ca="1" si="111"/>
        <v>2.7066524642049523E-2</v>
      </c>
    </row>
    <row r="6596" spans="2:7" x14ac:dyDescent="0.25">
      <c r="B6596" s="98"/>
      <c r="F6596">
        <v>6592</v>
      </c>
      <c r="G6596" s="109">
        <f t="shared" ca="1" si="111"/>
        <v>5.831267325746009E-2</v>
      </c>
    </row>
    <row r="6597" spans="2:7" x14ac:dyDescent="0.25">
      <c r="B6597" s="98"/>
      <c r="F6597">
        <v>6593</v>
      </c>
      <c r="G6597" s="109">
        <f t="shared" ca="1" si="111"/>
        <v>7.6734336214428558E-3</v>
      </c>
    </row>
    <row r="6598" spans="2:7" x14ac:dyDescent="0.25">
      <c r="B6598" s="98"/>
      <c r="F6598">
        <v>6594</v>
      </c>
      <c r="G6598" s="109">
        <f t="shared" ref="G6598:G6661" ca="1" si="112">_xlfn.NORM.INV(RAND(),$M$5,$M$6)</f>
        <v>8.4683136017211294E-2</v>
      </c>
    </row>
    <row r="6599" spans="2:7" x14ac:dyDescent="0.25">
      <c r="B6599" s="98"/>
      <c r="F6599">
        <v>6595</v>
      </c>
      <c r="G6599" s="109">
        <f t="shared" ca="1" si="112"/>
        <v>6.1974235735634459E-2</v>
      </c>
    </row>
    <row r="6600" spans="2:7" x14ac:dyDescent="0.25">
      <c r="B6600" s="98"/>
      <c r="F6600">
        <v>6596</v>
      </c>
      <c r="G6600" s="109">
        <f t="shared" ca="1" si="112"/>
        <v>-6.3045330892926674E-2</v>
      </c>
    </row>
    <row r="6601" spans="2:7" x14ac:dyDescent="0.25">
      <c r="B6601" s="98"/>
      <c r="F6601">
        <v>6597</v>
      </c>
      <c r="G6601" s="109">
        <f t="shared" ca="1" si="112"/>
        <v>4.8863867678560796E-2</v>
      </c>
    </row>
    <row r="6602" spans="2:7" x14ac:dyDescent="0.25">
      <c r="B6602" s="98"/>
      <c r="F6602">
        <v>6598</v>
      </c>
      <c r="G6602" s="109">
        <f t="shared" ca="1" si="112"/>
        <v>7.1120149753995596E-3</v>
      </c>
    </row>
    <row r="6603" spans="2:7" x14ac:dyDescent="0.25">
      <c r="B6603" s="98"/>
      <c r="F6603">
        <v>6599</v>
      </c>
      <c r="G6603" s="109">
        <f t="shared" ca="1" si="112"/>
        <v>2.0928770521351395E-2</v>
      </c>
    </row>
    <row r="6604" spans="2:7" x14ac:dyDescent="0.25">
      <c r="B6604" s="98"/>
      <c r="F6604">
        <v>6600</v>
      </c>
      <c r="G6604" s="109">
        <f t="shared" ca="1" si="112"/>
        <v>2.0365705785148767E-2</v>
      </c>
    </row>
    <row r="6605" spans="2:7" x14ac:dyDescent="0.25">
      <c r="B6605" s="98"/>
      <c r="F6605">
        <v>6601</v>
      </c>
      <c r="G6605" s="109">
        <f t="shared" ca="1" si="112"/>
        <v>0.1533512394571408</v>
      </c>
    </row>
    <row r="6606" spans="2:7" x14ac:dyDescent="0.25">
      <c r="B6606" s="98"/>
      <c r="F6606">
        <v>6602</v>
      </c>
      <c r="G6606" s="109">
        <f t="shared" ca="1" si="112"/>
        <v>0.22874050138309793</v>
      </c>
    </row>
    <row r="6607" spans="2:7" x14ac:dyDescent="0.25">
      <c r="B6607" s="98"/>
      <c r="F6607">
        <v>6603</v>
      </c>
      <c r="G6607" s="109">
        <f t="shared" ca="1" si="112"/>
        <v>0.2365688307392923</v>
      </c>
    </row>
    <row r="6608" spans="2:7" x14ac:dyDescent="0.25">
      <c r="B6608" s="98"/>
      <c r="F6608">
        <v>6604</v>
      </c>
      <c r="G6608" s="109">
        <f t="shared" ca="1" si="112"/>
        <v>4.9800971458075508E-2</v>
      </c>
    </row>
    <row r="6609" spans="2:7" x14ac:dyDescent="0.25">
      <c r="B6609" s="98"/>
      <c r="F6609">
        <v>6605</v>
      </c>
      <c r="G6609" s="109">
        <f t="shared" ca="1" si="112"/>
        <v>0.12440165561748645</v>
      </c>
    </row>
    <row r="6610" spans="2:7" x14ac:dyDescent="0.25">
      <c r="B6610" s="98"/>
      <c r="F6610">
        <v>6606</v>
      </c>
      <c r="G6610" s="109">
        <f t="shared" ca="1" si="112"/>
        <v>-0.13552679598087231</v>
      </c>
    </row>
    <row r="6611" spans="2:7" x14ac:dyDescent="0.25">
      <c r="B6611" s="98"/>
      <c r="F6611">
        <v>6607</v>
      </c>
      <c r="G6611" s="109">
        <f t="shared" ca="1" si="112"/>
        <v>7.7543235431306465E-2</v>
      </c>
    </row>
    <row r="6612" spans="2:7" x14ac:dyDescent="0.25">
      <c r="B6612" s="98"/>
      <c r="F6612">
        <v>6608</v>
      </c>
      <c r="G6612" s="109">
        <f t="shared" ca="1" si="112"/>
        <v>3.7645672113158918E-3</v>
      </c>
    </row>
    <row r="6613" spans="2:7" x14ac:dyDescent="0.25">
      <c r="B6613" s="98"/>
      <c r="F6613">
        <v>6609</v>
      </c>
      <c r="G6613" s="109">
        <f t="shared" ca="1" si="112"/>
        <v>4.9323655192228602E-2</v>
      </c>
    </row>
    <row r="6614" spans="2:7" x14ac:dyDescent="0.25">
      <c r="B6614" s="98"/>
      <c r="F6614">
        <v>6610</v>
      </c>
      <c r="G6614" s="109">
        <f t="shared" ca="1" si="112"/>
        <v>-7.5369604102038787E-2</v>
      </c>
    </row>
    <row r="6615" spans="2:7" x14ac:dyDescent="0.25">
      <c r="B6615" s="98"/>
      <c r="F6615">
        <v>6611</v>
      </c>
      <c r="G6615" s="109">
        <f t="shared" ca="1" si="112"/>
        <v>-4.259129347257351E-2</v>
      </c>
    </row>
    <row r="6616" spans="2:7" x14ac:dyDescent="0.25">
      <c r="B6616" s="98"/>
      <c r="F6616">
        <v>6612</v>
      </c>
      <c r="G6616" s="109">
        <f t="shared" ca="1" si="112"/>
        <v>-8.3021843587319552E-2</v>
      </c>
    </row>
    <row r="6617" spans="2:7" x14ac:dyDescent="0.25">
      <c r="B6617" s="98"/>
      <c r="F6617">
        <v>6613</v>
      </c>
      <c r="G6617" s="109">
        <f t="shared" ca="1" si="112"/>
        <v>-7.7330830472973983E-2</v>
      </c>
    </row>
    <row r="6618" spans="2:7" x14ac:dyDescent="0.25">
      <c r="B6618" s="98"/>
      <c r="F6618">
        <v>6614</v>
      </c>
      <c r="G6618" s="109">
        <f t="shared" ca="1" si="112"/>
        <v>0.11649092650156448</v>
      </c>
    </row>
    <row r="6619" spans="2:7" x14ac:dyDescent="0.25">
      <c r="B6619" s="98"/>
      <c r="F6619">
        <v>6615</v>
      </c>
      <c r="G6619" s="109">
        <f t="shared" ca="1" si="112"/>
        <v>0.19508199060226922</v>
      </c>
    </row>
    <row r="6620" spans="2:7" x14ac:dyDescent="0.25">
      <c r="B6620" s="98"/>
      <c r="F6620">
        <v>6616</v>
      </c>
      <c r="G6620" s="109">
        <f t="shared" ca="1" si="112"/>
        <v>0.18971123972538229</v>
      </c>
    </row>
    <row r="6621" spans="2:7" x14ac:dyDescent="0.25">
      <c r="B6621" s="98"/>
      <c r="F6621">
        <v>6617</v>
      </c>
      <c r="G6621" s="109">
        <f t="shared" ca="1" si="112"/>
        <v>-3.0960465613213792E-2</v>
      </c>
    </row>
    <row r="6622" spans="2:7" x14ac:dyDescent="0.25">
      <c r="B6622" s="98"/>
      <c r="F6622">
        <v>6618</v>
      </c>
      <c r="G6622" s="109">
        <f t="shared" ca="1" si="112"/>
        <v>-5.5594456190132147E-2</v>
      </c>
    </row>
    <row r="6623" spans="2:7" x14ac:dyDescent="0.25">
      <c r="B6623" s="98"/>
      <c r="F6623">
        <v>6619</v>
      </c>
      <c r="G6623" s="109">
        <f t="shared" ca="1" si="112"/>
        <v>-8.0630515449617537E-2</v>
      </c>
    </row>
    <row r="6624" spans="2:7" x14ac:dyDescent="0.25">
      <c r="B6624" s="98"/>
      <c r="F6624">
        <v>6620</v>
      </c>
      <c r="G6624" s="109">
        <f t="shared" ca="1" si="112"/>
        <v>6.6874244934385846E-2</v>
      </c>
    </row>
    <row r="6625" spans="2:7" x14ac:dyDescent="0.25">
      <c r="B6625" s="98"/>
      <c r="F6625">
        <v>6621</v>
      </c>
      <c r="G6625" s="109">
        <f t="shared" ca="1" si="112"/>
        <v>2.3710050864020643E-2</v>
      </c>
    </row>
    <row r="6626" spans="2:7" x14ac:dyDescent="0.25">
      <c r="B6626" s="98"/>
      <c r="F6626">
        <v>6622</v>
      </c>
      <c r="G6626" s="109">
        <f t="shared" ca="1" si="112"/>
        <v>1.8509691115455761E-2</v>
      </c>
    </row>
    <row r="6627" spans="2:7" x14ac:dyDescent="0.25">
      <c r="B6627" s="98"/>
      <c r="F6627">
        <v>6623</v>
      </c>
      <c r="G6627" s="109">
        <f t="shared" ca="1" si="112"/>
        <v>-2.0881507177366906E-2</v>
      </c>
    </row>
    <row r="6628" spans="2:7" x14ac:dyDescent="0.25">
      <c r="B6628" s="98"/>
      <c r="F6628">
        <v>6624</v>
      </c>
      <c r="G6628" s="109">
        <f t="shared" ca="1" si="112"/>
        <v>0.12090667203038441</v>
      </c>
    </row>
    <row r="6629" spans="2:7" x14ac:dyDescent="0.25">
      <c r="B6629" s="98"/>
      <c r="F6629">
        <v>6625</v>
      </c>
      <c r="G6629" s="109">
        <f t="shared" ca="1" si="112"/>
        <v>-4.5662403624067815E-2</v>
      </c>
    </row>
    <row r="6630" spans="2:7" x14ac:dyDescent="0.25">
      <c r="B6630" s="98"/>
      <c r="F6630">
        <v>6626</v>
      </c>
      <c r="G6630" s="109">
        <f t="shared" ca="1" si="112"/>
        <v>0.12309395622096175</v>
      </c>
    </row>
    <row r="6631" spans="2:7" x14ac:dyDescent="0.25">
      <c r="B6631" s="98"/>
      <c r="F6631">
        <v>6627</v>
      </c>
      <c r="G6631" s="109">
        <f t="shared" ca="1" si="112"/>
        <v>-0.21914697060717309</v>
      </c>
    </row>
    <row r="6632" spans="2:7" x14ac:dyDescent="0.25">
      <c r="B6632" s="98"/>
      <c r="F6632">
        <v>6628</v>
      </c>
      <c r="G6632" s="109">
        <f t="shared" ca="1" si="112"/>
        <v>5.9435914914350754E-2</v>
      </c>
    </row>
    <row r="6633" spans="2:7" x14ac:dyDescent="0.25">
      <c r="B6633" s="98"/>
      <c r="F6633">
        <v>6629</v>
      </c>
      <c r="G6633" s="109">
        <f t="shared" ca="1" si="112"/>
        <v>-2.085103406699429E-3</v>
      </c>
    </row>
    <row r="6634" spans="2:7" x14ac:dyDescent="0.25">
      <c r="B6634" s="98"/>
      <c r="F6634">
        <v>6630</v>
      </c>
      <c r="G6634" s="109">
        <f t="shared" ca="1" si="112"/>
        <v>0.18305266195408376</v>
      </c>
    </row>
    <row r="6635" spans="2:7" x14ac:dyDescent="0.25">
      <c r="B6635" s="98"/>
      <c r="F6635">
        <v>6631</v>
      </c>
      <c r="G6635" s="109">
        <f t="shared" ca="1" si="112"/>
        <v>2.1187269476874396E-2</v>
      </c>
    </row>
    <row r="6636" spans="2:7" x14ac:dyDescent="0.25">
      <c r="B6636" s="98"/>
      <c r="F6636">
        <v>6632</v>
      </c>
      <c r="G6636" s="109">
        <f t="shared" ca="1" si="112"/>
        <v>-0.17380337716650318</v>
      </c>
    </row>
    <row r="6637" spans="2:7" x14ac:dyDescent="0.25">
      <c r="B6637" s="98"/>
      <c r="F6637">
        <v>6633</v>
      </c>
      <c r="G6637" s="109">
        <f t="shared" ca="1" si="112"/>
        <v>-2.4628516669960632E-2</v>
      </c>
    </row>
    <row r="6638" spans="2:7" x14ac:dyDescent="0.25">
      <c r="B6638" s="98"/>
      <c r="F6638">
        <v>6634</v>
      </c>
      <c r="G6638" s="109">
        <f t="shared" ca="1" si="112"/>
        <v>8.7344326655429197E-3</v>
      </c>
    </row>
    <row r="6639" spans="2:7" x14ac:dyDescent="0.25">
      <c r="B6639" s="98"/>
      <c r="F6639">
        <v>6635</v>
      </c>
      <c r="G6639" s="109">
        <f t="shared" ca="1" si="112"/>
        <v>3.0253505006875903E-2</v>
      </c>
    </row>
    <row r="6640" spans="2:7" x14ac:dyDescent="0.25">
      <c r="B6640" s="98"/>
      <c r="F6640">
        <v>6636</v>
      </c>
      <c r="G6640" s="109">
        <f t="shared" ca="1" si="112"/>
        <v>3.9854436873316204E-3</v>
      </c>
    </row>
    <row r="6641" spans="2:7" x14ac:dyDescent="0.25">
      <c r="B6641" s="98"/>
      <c r="F6641">
        <v>6637</v>
      </c>
      <c r="G6641" s="109">
        <f t="shared" ca="1" si="112"/>
        <v>-1.9272216042868023E-2</v>
      </c>
    </row>
    <row r="6642" spans="2:7" x14ac:dyDescent="0.25">
      <c r="B6642" s="98"/>
      <c r="F6642">
        <v>6638</v>
      </c>
      <c r="G6642" s="109">
        <f t="shared" ca="1" si="112"/>
        <v>-3.5292910482332865E-2</v>
      </c>
    </row>
    <row r="6643" spans="2:7" x14ac:dyDescent="0.25">
      <c r="B6643" s="98"/>
      <c r="F6643">
        <v>6639</v>
      </c>
      <c r="G6643" s="109">
        <f t="shared" ca="1" si="112"/>
        <v>1.2527940155857079E-3</v>
      </c>
    </row>
    <row r="6644" spans="2:7" x14ac:dyDescent="0.25">
      <c r="B6644" s="98"/>
      <c r="F6644">
        <v>6640</v>
      </c>
      <c r="G6644" s="109">
        <f t="shared" ca="1" si="112"/>
        <v>-2.6984359832981641E-2</v>
      </c>
    </row>
    <row r="6645" spans="2:7" x14ac:dyDescent="0.25">
      <c r="B6645" s="98"/>
      <c r="F6645">
        <v>6641</v>
      </c>
      <c r="G6645" s="109">
        <f t="shared" ca="1" si="112"/>
        <v>9.9732106934633968E-2</v>
      </c>
    </row>
    <row r="6646" spans="2:7" x14ac:dyDescent="0.25">
      <c r="B6646" s="98"/>
      <c r="F6646">
        <v>6642</v>
      </c>
      <c r="G6646" s="109">
        <f t="shared" ca="1" si="112"/>
        <v>-1.3100259356755517E-2</v>
      </c>
    </row>
    <row r="6647" spans="2:7" x14ac:dyDescent="0.25">
      <c r="B6647" s="98"/>
      <c r="F6647">
        <v>6643</v>
      </c>
      <c r="G6647" s="109">
        <f t="shared" ca="1" si="112"/>
        <v>0.14103309184419593</v>
      </c>
    </row>
    <row r="6648" spans="2:7" x14ac:dyDescent="0.25">
      <c r="B6648" s="98"/>
      <c r="F6648">
        <v>6644</v>
      </c>
      <c r="G6648" s="109">
        <f t="shared" ca="1" si="112"/>
        <v>6.4197267229626459E-2</v>
      </c>
    </row>
    <row r="6649" spans="2:7" x14ac:dyDescent="0.25">
      <c r="B6649" s="98"/>
      <c r="F6649">
        <v>6645</v>
      </c>
      <c r="G6649" s="109">
        <f t="shared" ca="1" si="112"/>
        <v>1.0163540292774838E-2</v>
      </c>
    </row>
    <row r="6650" spans="2:7" x14ac:dyDescent="0.25">
      <c r="B6650" s="98"/>
      <c r="F6650">
        <v>6646</v>
      </c>
      <c r="G6650" s="109">
        <f t="shared" ca="1" si="112"/>
        <v>0.10631873078697823</v>
      </c>
    </row>
    <row r="6651" spans="2:7" x14ac:dyDescent="0.25">
      <c r="B6651" s="98"/>
      <c r="F6651">
        <v>6647</v>
      </c>
      <c r="G6651" s="109">
        <f t="shared" ca="1" si="112"/>
        <v>8.9298648011104584E-2</v>
      </c>
    </row>
    <row r="6652" spans="2:7" x14ac:dyDescent="0.25">
      <c r="B6652" s="98"/>
      <c r="F6652">
        <v>6648</v>
      </c>
      <c r="G6652" s="109">
        <f t="shared" ca="1" si="112"/>
        <v>-3.1213605022168786E-2</v>
      </c>
    </row>
    <row r="6653" spans="2:7" x14ac:dyDescent="0.25">
      <c r="B6653" s="98"/>
      <c r="F6653">
        <v>6649</v>
      </c>
      <c r="G6653" s="109">
        <f t="shared" ca="1" si="112"/>
        <v>7.9857526833663012E-2</v>
      </c>
    </row>
    <row r="6654" spans="2:7" x14ac:dyDescent="0.25">
      <c r="B6654" s="98"/>
      <c r="F6654">
        <v>6650</v>
      </c>
      <c r="G6654" s="109">
        <f t="shared" ca="1" si="112"/>
        <v>0.17887776040671294</v>
      </c>
    </row>
    <row r="6655" spans="2:7" x14ac:dyDescent="0.25">
      <c r="B6655" s="98"/>
      <c r="F6655">
        <v>6651</v>
      </c>
      <c r="G6655" s="109">
        <f t="shared" ca="1" si="112"/>
        <v>1.1016765630017293E-2</v>
      </c>
    </row>
    <row r="6656" spans="2:7" x14ac:dyDescent="0.25">
      <c r="B6656" s="98"/>
      <c r="F6656">
        <v>6652</v>
      </c>
      <c r="G6656" s="109">
        <f t="shared" ca="1" si="112"/>
        <v>0.11343423303501693</v>
      </c>
    </row>
    <row r="6657" spans="2:7" x14ac:dyDescent="0.25">
      <c r="B6657" s="98"/>
      <c r="F6657">
        <v>6653</v>
      </c>
      <c r="G6657" s="109">
        <f t="shared" ca="1" si="112"/>
        <v>0.12836090053303839</v>
      </c>
    </row>
    <row r="6658" spans="2:7" x14ac:dyDescent="0.25">
      <c r="B6658" s="98"/>
      <c r="F6658">
        <v>6654</v>
      </c>
      <c r="G6658" s="109">
        <f t="shared" ca="1" si="112"/>
        <v>4.9912349740073553E-2</v>
      </c>
    </row>
    <row r="6659" spans="2:7" x14ac:dyDescent="0.25">
      <c r="B6659" s="98"/>
      <c r="F6659">
        <v>6655</v>
      </c>
      <c r="G6659" s="109">
        <f t="shared" ca="1" si="112"/>
        <v>0.27394030024767851</v>
      </c>
    </row>
    <row r="6660" spans="2:7" x14ac:dyDescent="0.25">
      <c r="B6660" s="98"/>
      <c r="F6660">
        <v>6656</v>
      </c>
      <c r="G6660" s="109">
        <f t="shared" ca="1" si="112"/>
        <v>3.4358380355699811E-3</v>
      </c>
    </row>
    <row r="6661" spans="2:7" x14ac:dyDescent="0.25">
      <c r="B6661" s="98"/>
      <c r="F6661">
        <v>6657</v>
      </c>
      <c r="G6661" s="109">
        <f t="shared" ca="1" si="112"/>
        <v>-3.6540542410578122E-2</v>
      </c>
    </row>
    <row r="6662" spans="2:7" x14ac:dyDescent="0.25">
      <c r="B6662" s="98"/>
      <c r="F6662">
        <v>6658</v>
      </c>
      <c r="G6662" s="109">
        <f t="shared" ref="G6662:G6725" ca="1" si="113">_xlfn.NORM.INV(RAND(),$M$5,$M$6)</f>
        <v>8.4669598165387994E-2</v>
      </c>
    </row>
    <row r="6663" spans="2:7" x14ac:dyDescent="0.25">
      <c r="B6663" s="98"/>
      <c r="F6663">
        <v>6659</v>
      </c>
      <c r="G6663" s="109">
        <f t="shared" ca="1" si="113"/>
        <v>0.17875151136164125</v>
      </c>
    </row>
    <row r="6664" spans="2:7" x14ac:dyDescent="0.25">
      <c r="B6664" s="98"/>
      <c r="F6664">
        <v>6660</v>
      </c>
      <c r="G6664" s="109">
        <f t="shared" ca="1" si="113"/>
        <v>3.0624728284724581E-2</v>
      </c>
    </row>
    <row r="6665" spans="2:7" x14ac:dyDescent="0.25">
      <c r="B6665" s="98"/>
      <c r="F6665">
        <v>6661</v>
      </c>
      <c r="G6665" s="109">
        <f t="shared" ca="1" si="113"/>
        <v>0.21937121601035792</v>
      </c>
    </row>
    <row r="6666" spans="2:7" x14ac:dyDescent="0.25">
      <c r="B6666" s="98"/>
      <c r="F6666">
        <v>6662</v>
      </c>
      <c r="G6666" s="109">
        <f t="shared" ca="1" si="113"/>
        <v>4.3000776478148768E-2</v>
      </c>
    </row>
    <row r="6667" spans="2:7" x14ac:dyDescent="0.25">
      <c r="B6667" s="98"/>
      <c r="F6667">
        <v>6663</v>
      </c>
      <c r="G6667" s="109">
        <f t="shared" ca="1" si="113"/>
        <v>8.1740956840276519E-2</v>
      </c>
    </row>
    <row r="6668" spans="2:7" x14ac:dyDescent="0.25">
      <c r="B6668" s="98"/>
      <c r="F6668">
        <v>6664</v>
      </c>
      <c r="G6668" s="109">
        <f t="shared" ca="1" si="113"/>
        <v>-4.2025871914732379E-2</v>
      </c>
    </row>
    <row r="6669" spans="2:7" x14ac:dyDescent="0.25">
      <c r="B6669" s="98"/>
      <c r="F6669">
        <v>6665</v>
      </c>
      <c r="G6669" s="109">
        <f t="shared" ca="1" si="113"/>
        <v>6.4524414609980263E-2</v>
      </c>
    </row>
    <row r="6670" spans="2:7" x14ac:dyDescent="0.25">
      <c r="B6670" s="98"/>
      <c r="F6670">
        <v>6666</v>
      </c>
      <c r="G6670" s="109">
        <f t="shared" ca="1" si="113"/>
        <v>1.2606370164312923E-2</v>
      </c>
    </row>
    <row r="6671" spans="2:7" x14ac:dyDescent="0.25">
      <c r="B6671" s="98"/>
      <c r="F6671">
        <v>6667</v>
      </c>
      <c r="G6671" s="109">
        <f t="shared" ca="1" si="113"/>
        <v>-4.1186001994474197E-2</v>
      </c>
    </row>
    <row r="6672" spans="2:7" x14ac:dyDescent="0.25">
      <c r="B6672" s="98"/>
      <c r="F6672">
        <v>6668</v>
      </c>
      <c r="G6672" s="109">
        <f t="shared" ca="1" si="113"/>
        <v>0.12175155366377428</v>
      </c>
    </row>
    <row r="6673" spans="2:7" x14ac:dyDescent="0.25">
      <c r="B6673" s="98"/>
      <c r="F6673">
        <v>6669</v>
      </c>
      <c r="G6673" s="109">
        <f t="shared" ca="1" si="113"/>
        <v>0.15523524982960718</v>
      </c>
    </row>
    <row r="6674" spans="2:7" x14ac:dyDescent="0.25">
      <c r="B6674" s="98"/>
      <c r="F6674">
        <v>6670</v>
      </c>
      <c r="G6674" s="109">
        <f t="shared" ca="1" si="113"/>
        <v>9.2464368760828836E-3</v>
      </c>
    </row>
    <row r="6675" spans="2:7" x14ac:dyDescent="0.25">
      <c r="B6675" s="98"/>
      <c r="F6675">
        <v>6671</v>
      </c>
      <c r="G6675" s="109">
        <f t="shared" ca="1" si="113"/>
        <v>4.7502782964095464E-3</v>
      </c>
    </row>
    <row r="6676" spans="2:7" x14ac:dyDescent="0.25">
      <c r="B6676" s="98"/>
      <c r="F6676">
        <v>6672</v>
      </c>
      <c r="G6676" s="109">
        <f t="shared" ca="1" si="113"/>
        <v>0.25496281794250752</v>
      </c>
    </row>
    <row r="6677" spans="2:7" x14ac:dyDescent="0.25">
      <c r="B6677" s="98"/>
      <c r="F6677">
        <v>6673</v>
      </c>
      <c r="G6677" s="109">
        <f t="shared" ca="1" si="113"/>
        <v>0.11709107180264183</v>
      </c>
    </row>
    <row r="6678" spans="2:7" x14ac:dyDescent="0.25">
      <c r="B6678" s="98"/>
      <c r="F6678">
        <v>6674</v>
      </c>
      <c r="G6678" s="109">
        <f t="shared" ca="1" si="113"/>
        <v>0.13111905847064598</v>
      </c>
    </row>
    <row r="6679" spans="2:7" x14ac:dyDescent="0.25">
      <c r="B6679" s="98"/>
      <c r="F6679">
        <v>6675</v>
      </c>
      <c r="G6679" s="109">
        <f t="shared" ca="1" si="113"/>
        <v>0.2529681571981181</v>
      </c>
    </row>
    <row r="6680" spans="2:7" x14ac:dyDescent="0.25">
      <c r="B6680" s="98"/>
      <c r="F6680">
        <v>6676</v>
      </c>
      <c r="G6680" s="109">
        <f t="shared" ca="1" si="113"/>
        <v>-8.8557548727722521E-2</v>
      </c>
    </row>
    <row r="6681" spans="2:7" x14ac:dyDescent="0.25">
      <c r="B6681" s="98"/>
      <c r="F6681">
        <v>6677</v>
      </c>
      <c r="G6681" s="109">
        <f t="shared" ca="1" si="113"/>
        <v>0.28151113077369283</v>
      </c>
    </row>
    <row r="6682" spans="2:7" x14ac:dyDescent="0.25">
      <c r="B6682" s="98"/>
      <c r="F6682">
        <v>6678</v>
      </c>
      <c r="G6682" s="109">
        <f t="shared" ca="1" si="113"/>
        <v>-3.6253881593526507E-2</v>
      </c>
    </row>
    <row r="6683" spans="2:7" x14ac:dyDescent="0.25">
      <c r="B6683" s="98"/>
      <c r="F6683">
        <v>6679</v>
      </c>
      <c r="G6683" s="109">
        <f t="shared" ca="1" si="113"/>
        <v>-5.4438526751527508E-2</v>
      </c>
    </row>
    <row r="6684" spans="2:7" x14ac:dyDescent="0.25">
      <c r="B6684" s="98"/>
      <c r="F6684">
        <v>6680</v>
      </c>
      <c r="G6684" s="109">
        <f t="shared" ca="1" si="113"/>
        <v>7.9012300340293301E-2</v>
      </c>
    </row>
    <row r="6685" spans="2:7" x14ac:dyDescent="0.25">
      <c r="B6685" s="98"/>
      <c r="F6685">
        <v>6681</v>
      </c>
      <c r="G6685" s="109">
        <f t="shared" ca="1" si="113"/>
        <v>0.16805056115143033</v>
      </c>
    </row>
    <row r="6686" spans="2:7" x14ac:dyDescent="0.25">
      <c r="B6686" s="98"/>
      <c r="F6686">
        <v>6682</v>
      </c>
      <c r="G6686" s="109">
        <f t="shared" ca="1" si="113"/>
        <v>4.1258356959158235E-2</v>
      </c>
    </row>
    <row r="6687" spans="2:7" x14ac:dyDescent="0.25">
      <c r="B6687" s="98"/>
      <c r="F6687">
        <v>6683</v>
      </c>
      <c r="G6687" s="109">
        <f t="shared" ca="1" si="113"/>
        <v>-0.10377044267048353</v>
      </c>
    </row>
    <row r="6688" spans="2:7" x14ac:dyDescent="0.25">
      <c r="B6688" s="98"/>
      <c r="F6688">
        <v>6684</v>
      </c>
      <c r="G6688" s="109">
        <f t="shared" ca="1" si="113"/>
        <v>-1.195488441731421E-2</v>
      </c>
    </row>
    <row r="6689" spans="2:7" x14ac:dyDescent="0.25">
      <c r="B6689" s="98"/>
      <c r="F6689">
        <v>6685</v>
      </c>
      <c r="G6689" s="109">
        <f t="shared" ca="1" si="113"/>
        <v>-3.6177058857099487E-4</v>
      </c>
    </row>
    <row r="6690" spans="2:7" x14ac:dyDescent="0.25">
      <c r="B6690" s="98"/>
      <c r="F6690">
        <v>6686</v>
      </c>
      <c r="G6690" s="109">
        <f t="shared" ca="1" si="113"/>
        <v>0.10809353169469607</v>
      </c>
    </row>
    <row r="6691" spans="2:7" x14ac:dyDescent="0.25">
      <c r="B6691" s="98"/>
      <c r="F6691">
        <v>6687</v>
      </c>
      <c r="G6691" s="109">
        <f t="shared" ca="1" si="113"/>
        <v>0.10382455908665578</v>
      </c>
    </row>
    <row r="6692" spans="2:7" x14ac:dyDescent="0.25">
      <c r="B6692" s="98"/>
      <c r="F6692">
        <v>6688</v>
      </c>
      <c r="G6692" s="109">
        <f t="shared" ca="1" si="113"/>
        <v>0.11314811832138827</v>
      </c>
    </row>
    <row r="6693" spans="2:7" x14ac:dyDescent="0.25">
      <c r="B6693" s="98"/>
      <c r="F6693">
        <v>6689</v>
      </c>
      <c r="G6693" s="109">
        <f t="shared" ca="1" si="113"/>
        <v>3.4455319818596508E-4</v>
      </c>
    </row>
    <row r="6694" spans="2:7" x14ac:dyDescent="0.25">
      <c r="B6694" s="98"/>
      <c r="F6694">
        <v>6690</v>
      </c>
      <c r="G6694" s="109">
        <f t="shared" ca="1" si="113"/>
        <v>8.3162738614204229E-2</v>
      </c>
    </row>
    <row r="6695" spans="2:7" x14ac:dyDescent="0.25">
      <c r="B6695" s="98"/>
      <c r="F6695">
        <v>6691</v>
      </c>
      <c r="G6695" s="109">
        <f t="shared" ca="1" si="113"/>
        <v>9.0172914681164798E-3</v>
      </c>
    </row>
    <row r="6696" spans="2:7" x14ac:dyDescent="0.25">
      <c r="B6696" s="98"/>
      <c r="F6696">
        <v>6692</v>
      </c>
      <c r="G6696" s="109">
        <f t="shared" ca="1" si="113"/>
        <v>7.438489332168273E-2</v>
      </c>
    </row>
    <row r="6697" spans="2:7" x14ac:dyDescent="0.25">
      <c r="B6697" s="98"/>
      <c r="F6697">
        <v>6693</v>
      </c>
      <c r="G6697" s="109">
        <f t="shared" ca="1" si="113"/>
        <v>-5.5421724628232708E-3</v>
      </c>
    </row>
    <row r="6698" spans="2:7" x14ac:dyDescent="0.25">
      <c r="B6698" s="98"/>
      <c r="F6698">
        <v>6694</v>
      </c>
      <c r="G6698" s="109">
        <f t="shared" ca="1" si="113"/>
        <v>8.612949872972922E-2</v>
      </c>
    </row>
    <row r="6699" spans="2:7" x14ac:dyDescent="0.25">
      <c r="B6699" s="98"/>
      <c r="F6699">
        <v>6695</v>
      </c>
      <c r="G6699" s="109">
        <f t="shared" ca="1" si="113"/>
        <v>-1.5089020222876302E-2</v>
      </c>
    </row>
    <row r="6700" spans="2:7" x14ac:dyDescent="0.25">
      <c r="B6700" s="98"/>
      <c r="F6700">
        <v>6696</v>
      </c>
      <c r="G6700" s="109">
        <f t="shared" ca="1" si="113"/>
        <v>-0.16578969649794667</v>
      </c>
    </row>
    <row r="6701" spans="2:7" x14ac:dyDescent="0.25">
      <c r="B6701" s="98"/>
      <c r="F6701">
        <v>6697</v>
      </c>
      <c r="G6701" s="109">
        <f t="shared" ca="1" si="113"/>
        <v>0.23837005804907702</v>
      </c>
    </row>
    <row r="6702" spans="2:7" x14ac:dyDescent="0.25">
      <c r="B6702" s="98"/>
      <c r="F6702">
        <v>6698</v>
      </c>
      <c r="G6702" s="109">
        <f t="shared" ca="1" si="113"/>
        <v>5.2688885665977306E-2</v>
      </c>
    </row>
    <row r="6703" spans="2:7" x14ac:dyDescent="0.25">
      <c r="B6703" s="98"/>
      <c r="F6703">
        <v>6699</v>
      </c>
      <c r="G6703" s="109">
        <f t="shared" ca="1" si="113"/>
        <v>-4.4657541928643851E-2</v>
      </c>
    </row>
    <row r="6704" spans="2:7" x14ac:dyDescent="0.25">
      <c r="B6704" s="98"/>
      <c r="F6704">
        <v>6700</v>
      </c>
      <c r="G6704" s="109">
        <f t="shared" ca="1" si="113"/>
        <v>0.16660390899756927</v>
      </c>
    </row>
    <row r="6705" spans="2:7" x14ac:dyDescent="0.25">
      <c r="B6705" s="98"/>
      <c r="F6705">
        <v>6701</v>
      </c>
      <c r="G6705" s="109">
        <f t="shared" ca="1" si="113"/>
        <v>7.8818046079602674E-2</v>
      </c>
    </row>
    <row r="6706" spans="2:7" x14ac:dyDescent="0.25">
      <c r="B6706" s="98"/>
      <c r="F6706">
        <v>6702</v>
      </c>
      <c r="G6706" s="109">
        <f t="shared" ca="1" si="113"/>
        <v>0.1197043123963569</v>
      </c>
    </row>
    <row r="6707" spans="2:7" x14ac:dyDescent="0.25">
      <c r="B6707" s="98"/>
      <c r="F6707">
        <v>6703</v>
      </c>
      <c r="G6707" s="109">
        <f t="shared" ca="1" si="113"/>
        <v>3.3482288152233496E-2</v>
      </c>
    </row>
    <row r="6708" spans="2:7" x14ac:dyDescent="0.25">
      <c r="B6708" s="98"/>
      <c r="F6708">
        <v>6704</v>
      </c>
      <c r="G6708" s="109">
        <f t="shared" ca="1" si="113"/>
        <v>3.6685089975138196E-2</v>
      </c>
    </row>
    <row r="6709" spans="2:7" x14ac:dyDescent="0.25">
      <c r="B6709" s="98"/>
      <c r="F6709">
        <v>6705</v>
      </c>
      <c r="G6709" s="109">
        <f t="shared" ca="1" si="113"/>
        <v>0.22583838834050751</v>
      </c>
    </row>
    <row r="6710" spans="2:7" x14ac:dyDescent="0.25">
      <c r="B6710" s="98"/>
      <c r="F6710">
        <v>6706</v>
      </c>
      <c r="G6710" s="109">
        <f t="shared" ca="1" si="113"/>
        <v>2.4902364535287699E-3</v>
      </c>
    </row>
    <row r="6711" spans="2:7" x14ac:dyDescent="0.25">
      <c r="B6711" s="98"/>
      <c r="F6711">
        <v>6707</v>
      </c>
      <c r="G6711" s="109">
        <f t="shared" ca="1" si="113"/>
        <v>6.2139514639698162E-2</v>
      </c>
    </row>
    <row r="6712" spans="2:7" x14ac:dyDescent="0.25">
      <c r="B6712" s="98"/>
      <c r="F6712">
        <v>6708</v>
      </c>
      <c r="G6712" s="109">
        <f t="shared" ca="1" si="113"/>
        <v>0.14619430640932227</v>
      </c>
    </row>
    <row r="6713" spans="2:7" x14ac:dyDescent="0.25">
      <c r="B6713" s="98"/>
      <c r="F6713">
        <v>6709</v>
      </c>
      <c r="G6713" s="109">
        <f t="shared" ca="1" si="113"/>
        <v>7.9601979609377344E-2</v>
      </c>
    </row>
    <row r="6714" spans="2:7" x14ac:dyDescent="0.25">
      <c r="B6714" s="98"/>
      <c r="F6714">
        <v>6710</v>
      </c>
      <c r="G6714" s="109">
        <f t="shared" ca="1" si="113"/>
        <v>4.8017133554940264E-2</v>
      </c>
    </row>
    <row r="6715" spans="2:7" x14ac:dyDescent="0.25">
      <c r="B6715" s="98"/>
      <c r="F6715">
        <v>6711</v>
      </c>
      <c r="G6715" s="109">
        <f t="shared" ca="1" si="113"/>
        <v>3.5135213474593842E-2</v>
      </c>
    </row>
    <row r="6716" spans="2:7" x14ac:dyDescent="0.25">
      <c r="B6716" s="98"/>
      <c r="F6716">
        <v>6712</v>
      </c>
      <c r="G6716" s="109">
        <f t="shared" ca="1" si="113"/>
        <v>0.13545540260187922</v>
      </c>
    </row>
    <row r="6717" spans="2:7" x14ac:dyDescent="0.25">
      <c r="B6717" s="98"/>
      <c r="F6717">
        <v>6713</v>
      </c>
      <c r="G6717" s="109">
        <f t="shared" ca="1" si="113"/>
        <v>4.9344821384172143E-2</v>
      </c>
    </row>
    <row r="6718" spans="2:7" x14ac:dyDescent="0.25">
      <c r="B6718" s="98"/>
      <c r="F6718">
        <v>6714</v>
      </c>
      <c r="G6718" s="109">
        <f t="shared" ca="1" si="113"/>
        <v>0.14409234412546348</v>
      </c>
    </row>
    <row r="6719" spans="2:7" x14ac:dyDescent="0.25">
      <c r="B6719" s="98"/>
      <c r="F6719">
        <v>6715</v>
      </c>
      <c r="G6719" s="109">
        <f t="shared" ca="1" si="113"/>
        <v>-5.0213784902634187E-2</v>
      </c>
    </row>
    <row r="6720" spans="2:7" x14ac:dyDescent="0.25">
      <c r="B6720" s="98"/>
      <c r="F6720">
        <v>6716</v>
      </c>
      <c r="G6720" s="109">
        <f t="shared" ca="1" si="113"/>
        <v>7.2782417823300458E-3</v>
      </c>
    </row>
    <row r="6721" spans="2:7" x14ac:dyDescent="0.25">
      <c r="B6721" s="98"/>
      <c r="F6721">
        <v>6717</v>
      </c>
      <c r="G6721" s="109">
        <f t="shared" ca="1" si="113"/>
        <v>0.33549906149191877</v>
      </c>
    </row>
    <row r="6722" spans="2:7" x14ac:dyDescent="0.25">
      <c r="B6722" s="98"/>
      <c r="F6722">
        <v>6718</v>
      </c>
      <c r="G6722" s="109">
        <f t="shared" ca="1" si="113"/>
        <v>0.29239789040952036</v>
      </c>
    </row>
    <row r="6723" spans="2:7" x14ac:dyDescent="0.25">
      <c r="B6723" s="98"/>
      <c r="F6723">
        <v>6719</v>
      </c>
      <c r="G6723" s="109">
        <f t="shared" ca="1" si="113"/>
        <v>-8.4179369402503271E-2</v>
      </c>
    </row>
    <row r="6724" spans="2:7" x14ac:dyDescent="0.25">
      <c r="B6724" s="98"/>
      <c r="F6724">
        <v>6720</v>
      </c>
      <c r="G6724" s="109">
        <f t="shared" ca="1" si="113"/>
        <v>-6.4280583335632316E-2</v>
      </c>
    </row>
    <row r="6725" spans="2:7" x14ac:dyDescent="0.25">
      <c r="B6725" s="98"/>
      <c r="F6725">
        <v>6721</v>
      </c>
      <c r="G6725" s="109">
        <f t="shared" ca="1" si="113"/>
        <v>2.2185121709392939E-2</v>
      </c>
    </row>
    <row r="6726" spans="2:7" x14ac:dyDescent="0.25">
      <c r="B6726" s="98"/>
      <c r="F6726">
        <v>6722</v>
      </c>
      <c r="G6726" s="109">
        <f t="shared" ref="G6726:G6789" ca="1" si="114">_xlfn.NORM.INV(RAND(),$M$5,$M$6)</f>
        <v>0.11886289646279383</v>
      </c>
    </row>
    <row r="6727" spans="2:7" x14ac:dyDescent="0.25">
      <c r="B6727" s="98"/>
      <c r="F6727">
        <v>6723</v>
      </c>
      <c r="G6727" s="109">
        <f t="shared" ca="1" si="114"/>
        <v>0.2135744951499744</v>
      </c>
    </row>
    <row r="6728" spans="2:7" x14ac:dyDescent="0.25">
      <c r="B6728" s="98"/>
      <c r="F6728">
        <v>6724</v>
      </c>
      <c r="G6728" s="109">
        <f t="shared" ca="1" si="114"/>
        <v>-5.8926356872508745E-3</v>
      </c>
    </row>
    <row r="6729" spans="2:7" x14ac:dyDescent="0.25">
      <c r="B6729" s="98"/>
      <c r="F6729">
        <v>6725</v>
      </c>
      <c r="G6729" s="109">
        <f t="shared" ca="1" si="114"/>
        <v>0.17587982985549799</v>
      </c>
    </row>
    <row r="6730" spans="2:7" x14ac:dyDescent="0.25">
      <c r="B6730" s="98"/>
      <c r="F6730">
        <v>6726</v>
      </c>
      <c r="G6730" s="109">
        <f t="shared" ca="1" si="114"/>
        <v>8.7534327483851038E-2</v>
      </c>
    </row>
    <row r="6731" spans="2:7" x14ac:dyDescent="0.25">
      <c r="B6731" s="98"/>
      <c r="F6731">
        <v>6727</v>
      </c>
      <c r="G6731" s="109">
        <f t="shared" ca="1" si="114"/>
        <v>8.3303370214261624E-2</v>
      </c>
    </row>
    <row r="6732" spans="2:7" x14ac:dyDescent="0.25">
      <c r="B6732" s="98"/>
      <c r="F6732">
        <v>6728</v>
      </c>
      <c r="G6732" s="109">
        <f t="shared" ca="1" si="114"/>
        <v>3.9307557805654793E-2</v>
      </c>
    </row>
    <row r="6733" spans="2:7" x14ac:dyDescent="0.25">
      <c r="B6733" s="98"/>
      <c r="F6733">
        <v>6729</v>
      </c>
      <c r="G6733" s="109">
        <f t="shared" ca="1" si="114"/>
        <v>0.11464299289069782</v>
      </c>
    </row>
    <row r="6734" spans="2:7" x14ac:dyDescent="0.25">
      <c r="B6734" s="98"/>
      <c r="F6734">
        <v>6730</v>
      </c>
      <c r="G6734" s="109">
        <f t="shared" ca="1" si="114"/>
        <v>4.4353925855779255E-2</v>
      </c>
    </row>
    <row r="6735" spans="2:7" x14ac:dyDescent="0.25">
      <c r="B6735" s="98"/>
      <c r="F6735">
        <v>6731</v>
      </c>
      <c r="G6735" s="109">
        <f t="shared" ca="1" si="114"/>
        <v>0.28492064755242724</v>
      </c>
    </row>
    <row r="6736" spans="2:7" x14ac:dyDescent="0.25">
      <c r="B6736" s="98"/>
      <c r="F6736">
        <v>6732</v>
      </c>
      <c r="G6736" s="109">
        <f t="shared" ca="1" si="114"/>
        <v>-4.4565558004965047E-2</v>
      </c>
    </row>
    <row r="6737" spans="2:7" x14ac:dyDescent="0.25">
      <c r="B6737" s="98"/>
      <c r="F6737">
        <v>6733</v>
      </c>
      <c r="G6737" s="109">
        <f t="shared" ca="1" si="114"/>
        <v>-4.59145148681145E-2</v>
      </c>
    </row>
    <row r="6738" spans="2:7" x14ac:dyDescent="0.25">
      <c r="B6738" s="98"/>
      <c r="F6738">
        <v>6734</v>
      </c>
      <c r="G6738" s="109">
        <f t="shared" ca="1" si="114"/>
        <v>-2.3294494969998941E-2</v>
      </c>
    </row>
    <row r="6739" spans="2:7" x14ac:dyDescent="0.25">
      <c r="B6739" s="98"/>
      <c r="F6739">
        <v>6735</v>
      </c>
      <c r="G6739" s="109">
        <f t="shared" ca="1" si="114"/>
        <v>0.13952218978237182</v>
      </c>
    </row>
    <row r="6740" spans="2:7" x14ac:dyDescent="0.25">
      <c r="B6740" s="98"/>
      <c r="F6740">
        <v>6736</v>
      </c>
      <c r="G6740" s="109">
        <f t="shared" ca="1" si="114"/>
        <v>0.1141191605460781</v>
      </c>
    </row>
    <row r="6741" spans="2:7" x14ac:dyDescent="0.25">
      <c r="B6741" s="98"/>
      <c r="F6741">
        <v>6737</v>
      </c>
      <c r="G6741" s="109">
        <f t="shared" ca="1" si="114"/>
        <v>0.1779875257157108</v>
      </c>
    </row>
    <row r="6742" spans="2:7" x14ac:dyDescent="0.25">
      <c r="B6742" s="98"/>
      <c r="F6742">
        <v>6738</v>
      </c>
      <c r="G6742" s="109">
        <f t="shared" ca="1" si="114"/>
        <v>-3.6972448235228633E-3</v>
      </c>
    </row>
    <row r="6743" spans="2:7" x14ac:dyDescent="0.25">
      <c r="B6743" s="98"/>
      <c r="F6743">
        <v>6739</v>
      </c>
      <c r="G6743" s="109">
        <f t="shared" ca="1" si="114"/>
        <v>-9.1940217273929134E-2</v>
      </c>
    </row>
    <row r="6744" spans="2:7" x14ac:dyDescent="0.25">
      <c r="B6744" s="98"/>
      <c r="F6744">
        <v>6740</v>
      </c>
      <c r="G6744" s="109">
        <f t="shared" ca="1" si="114"/>
        <v>0.19175535642697777</v>
      </c>
    </row>
    <row r="6745" spans="2:7" x14ac:dyDescent="0.25">
      <c r="B6745" s="98"/>
      <c r="F6745">
        <v>6741</v>
      </c>
      <c r="G6745" s="109">
        <f t="shared" ca="1" si="114"/>
        <v>0.11302258096943357</v>
      </c>
    </row>
    <row r="6746" spans="2:7" x14ac:dyDescent="0.25">
      <c r="B6746" s="98"/>
      <c r="F6746">
        <v>6742</v>
      </c>
      <c r="G6746" s="109">
        <f t="shared" ca="1" si="114"/>
        <v>0.18956233990363897</v>
      </c>
    </row>
    <row r="6747" spans="2:7" x14ac:dyDescent="0.25">
      <c r="B6747" s="98"/>
      <c r="F6747">
        <v>6743</v>
      </c>
      <c r="G6747" s="109">
        <f t="shared" ca="1" si="114"/>
        <v>0.26393381480306416</v>
      </c>
    </row>
    <row r="6748" spans="2:7" x14ac:dyDescent="0.25">
      <c r="B6748" s="98"/>
      <c r="F6748">
        <v>6744</v>
      </c>
      <c r="G6748" s="109">
        <f t="shared" ca="1" si="114"/>
        <v>-1.7624771336980205E-2</v>
      </c>
    </row>
    <row r="6749" spans="2:7" x14ac:dyDescent="0.25">
      <c r="B6749" s="98"/>
      <c r="F6749">
        <v>6745</v>
      </c>
      <c r="G6749" s="109">
        <f t="shared" ca="1" si="114"/>
        <v>4.4629685188354501E-2</v>
      </c>
    </row>
    <row r="6750" spans="2:7" x14ac:dyDescent="0.25">
      <c r="B6750" s="98"/>
      <c r="F6750">
        <v>6746</v>
      </c>
      <c r="G6750" s="109">
        <f t="shared" ca="1" si="114"/>
        <v>8.538146567271615E-2</v>
      </c>
    </row>
    <row r="6751" spans="2:7" x14ac:dyDescent="0.25">
      <c r="B6751" s="98"/>
      <c r="F6751">
        <v>6747</v>
      </c>
      <c r="G6751" s="109">
        <f t="shared" ca="1" si="114"/>
        <v>0.1010535462313794</v>
      </c>
    </row>
    <row r="6752" spans="2:7" x14ac:dyDescent="0.25">
      <c r="B6752" s="98"/>
      <c r="F6752">
        <v>6748</v>
      </c>
      <c r="G6752" s="109">
        <f t="shared" ca="1" si="114"/>
        <v>3.8321026055820592E-2</v>
      </c>
    </row>
    <row r="6753" spans="2:7" x14ac:dyDescent="0.25">
      <c r="B6753" s="98"/>
      <c r="F6753">
        <v>6749</v>
      </c>
      <c r="G6753" s="109">
        <f t="shared" ca="1" si="114"/>
        <v>-0.10083784277935383</v>
      </c>
    </row>
    <row r="6754" spans="2:7" x14ac:dyDescent="0.25">
      <c r="B6754" s="98"/>
      <c r="F6754">
        <v>6750</v>
      </c>
      <c r="G6754" s="109">
        <f t="shared" ca="1" si="114"/>
        <v>3.2777308937059442E-2</v>
      </c>
    </row>
    <row r="6755" spans="2:7" x14ac:dyDescent="0.25">
      <c r="B6755" s="98"/>
      <c r="F6755">
        <v>6751</v>
      </c>
      <c r="G6755" s="109">
        <f t="shared" ca="1" si="114"/>
        <v>3.9531725196093173E-2</v>
      </c>
    </row>
    <row r="6756" spans="2:7" x14ac:dyDescent="0.25">
      <c r="B6756" s="98"/>
      <c r="F6756">
        <v>6752</v>
      </c>
      <c r="G6756" s="109">
        <f t="shared" ca="1" si="114"/>
        <v>2.2949532293095681E-2</v>
      </c>
    </row>
    <row r="6757" spans="2:7" x14ac:dyDescent="0.25">
      <c r="B6757" s="98"/>
      <c r="F6757">
        <v>6753</v>
      </c>
      <c r="G6757" s="109">
        <f t="shared" ca="1" si="114"/>
        <v>0.16727225245171704</v>
      </c>
    </row>
    <row r="6758" spans="2:7" x14ac:dyDescent="0.25">
      <c r="B6758" s="98"/>
      <c r="F6758">
        <v>6754</v>
      </c>
      <c r="G6758" s="109">
        <f t="shared" ca="1" si="114"/>
        <v>0.22936560878726348</v>
      </c>
    </row>
    <row r="6759" spans="2:7" x14ac:dyDescent="0.25">
      <c r="B6759" s="98"/>
      <c r="F6759">
        <v>6755</v>
      </c>
      <c r="G6759" s="109">
        <f t="shared" ca="1" si="114"/>
        <v>-2.9111831564733903E-2</v>
      </c>
    </row>
    <row r="6760" spans="2:7" x14ac:dyDescent="0.25">
      <c r="B6760" s="98"/>
      <c r="F6760">
        <v>6756</v>
      </c>
      <c r="G6760" s="109">
        <f t="shared" ca="1" si="114"/>
        <v>0.22049276407736579</v>
      </c>
    </row>
    <row r="6761" spans="2:7" x14ac:dyDescent="0.25">
      <c r="B6761" s="98"/>
      <c r="F6761">
        <v>6757</v>
      </c>
      <c r="G6761" s="109">
        <f t="shared" ca="1" si="114"/>
        <v>8.6308453201758922E-2</v>
      </c>
    </row>
    <row r="6762" spans="2:7" x14ac:dyDescent="0.25">
      <c r="B6762" s="98"/>
      <c r="F6762">
        <v>6758</v>
      </c>
      <c r="G6762" s="109">
        <f t="shared" ca="1" si="114"/>
        <v>6.1053638022117385E-2</v>
      </c>
    </row>
    <row r="6763" spans="2:7" x14ac:dyDescent="0.25">
      <c r="B6763" s="98"/>
      <c r="F6763">
        <v>6759</v>
      </c>
      <c r="G6763" s="109">
        <f t="shared" ca="1" si="114"/>
        <v>0.23173814418756522</v>
      </c>
    </row>
    <row r="6764" spans="2:7" x14ac:dyDescent="0.25">
      <c r="B6764" s="98"/>
      <c r="F6764">
        <v>6760</v>
      </c>
      <c r="G6764" s="109">
        <f t="shared" ca="1" si="114"/>
        <v>-1.7366824462326361E-2</v>
      </c>
    </row>
    <row r="6765" spans="2:7" x14ac:dyDescent="0.25">
      <c r="B6765" s="98"/>
      <c r="F6765">
        <v>6761</v>
      </c>
      <c r="G6765" s="109">
        <f t="shared" ca="1" si="114"/>
        <v>-8.8317893175433579E-2</v>
      </c>
    </row>
    <row r="6766" spans="2:7" x14ac:dyDescent="0.25">
      <c r="B6766" s="98"/>
      <c r="F6766">
        <v>6762</v>
      </c>
      <c r="G6766" s="109">
        <f t="shared" ca="1" si="114"/>
        <v>-3.2403453592865908E-2</v>
      </c>
    </row>
    <row r="6767" spans="2:7" x14ac:dyDescent="0.25">
      <c r="B6767" s="98"/>
      <c r="F6767">
        <v>6763</v>
      </c>
      <c r="G6767" s="109">
        <f t="shared" ca="1" si="114"/>
        <v>0.23486886849610944</v>
      </c>
    </row>
    <row r="6768" spans="2:7" x14ac:dyDescent="0.25">
      <c r="B6768" s="98"/>
      <c r="F6768">
        <v>6764</v>
      </c>
      <c r="G6768" s="109">
        <f t="shared" ca="1" si="114"/>
        <v>-5.2533206656481188E-3</v>
      </c>
    </row>
    <row r="6769" spans="2:7" x14ac:dyDescent="0.25">
      <c r="B6769" s="98"/>
      <c r="F6769">
        <v>6765</v>
      </c>
      <c r="G6769" s="109">
        <f t="shared" ca="1" si="114"/>
        <v>2.5878419584601593E-2</v>
      </c>
    </row>
    <row r="6770" spans="2:7" x14ac:dyDescent="0.25">
      <c r="B6770" s="98"/>
      <c r="F6770">
        <v>6766</v>
      </c>
      <c r="G6770" s="109">
        <f t="shared" ca="1" si="114"/>
        <v>4.8674563406881095E-2</v>
      </c>
    </row>
    <row r="6771" spans="2:7" x14ac:dyDescent="0.25">
      <c r="B6771" s="98"/>
      <c r="F6771">
        <v>6767</v>
      </c>
      <c r="G6771" s="109">
        <f t="shared" ca="1" si="114"/>
        <v>0.17493294163696815</v>
      </c>
    </row>
    <row r="6772" spans="2:7" x14ac:dyDescent="0.25">
      <c r="B6772" s="98"/>
      <c r="F6772">
        <v>6768</v>
      </c>
      <c r="G6772" s="109">
        <f t="shared" ca="1" si="114"/>
        <v>-2.7448060134665372E-2</v>
      </c>
    </row>
    <row r="6773" spans="2:7" x14ac:dyDescent="0.25">
      <c r="B6773" s="98"/>
      <c r="F6773">
        <v>6769</v>
      </c>
      <c r="G6773" s="109">
        <f t="shared" ca="1" si="114"/>
        <v>0.14239092989575819</v>
      </c>
    </row>
    <row r="6774" spans="2:7" x14ac:dyDescent="0.25">
      <c r="B6774" s="98"/>
      <c r="F6774">
        <v>6770</v>
      </c>
      <c r="G6774" s="109">
        <f t="shared" ca="1" si="114"/>
        <v>-4.1662682384745797E-2</v>
      </c>
    </row>
    <row r="6775" spans="2:7" x14ac:dyDescent="0.25">
      <c r="B6775" s="98"/>
      <c r="F6775">
        <v>6771</v>
      </c>
      <c r="G6775" s="109">
        <f t="shared" ca="1" si="114"/>
        <v>9.1183710547370483E-2</v>
      </c>
    </row>
    <row r="6776" spans="2:7" x14ac:dyDescent="0.25">
      <c r="B6776" s="98"/>
      <c r="F6776">
        <v>6772</v>
      </c>
      <c r="G6776" s="109">
        <f t="shared" ca="1" si="114"/>
        <v>-1.969703334719175E-2</v>
      </c>
    </row>
    <row r="6777" spans="2:7" x14ac:dyDescent="0.25">
      <c r="B6777" s="98"/>
      <c r="F6777">
        <v>6773</v>
      </c>
      <c r="G6777" s="109">
        <f t="shared" ca="1" si="114"/>
        <v>-9.1066776533003449E-2</v>
      </c>
    </row>
    <row r="6778" spans="2:7" x14ac:dyDescent="0.25">
      <c r="B6778" s="98"/>
      <c r="F6778">
        <v>6774</v>
      </c>
      <c r="G6778" s="109">
        <f t="shared" ca="1" si="114"/>
        <v>-1.1690156683390233E-2</v>
      </c>
    </row>
    <row r="6779" spans="2:7" x14ac:dyDescent="0.25">
      <c r="B6779" s="98"/>
      <c r="F6779">
        <v>6775</v>
      </c>
      <c r="G6779" s="109">
        <f t="shared" ca="1" si="114"/>
        <v>0.1057416112415491</v>
      </c>
    </row>
    <row r="6780" spans="2:7" x14ac:dyDescent="0.25">
      <c r="B6780" s="98"/>
      <c r="F6780">
        <v>6776</v>
      </c>
      <c r="G6780" s="109">
        <f t="shared" ca="1" si="114"/>
        <v>-0.12246795859542754</v>
      </c>
    </row>
    <row r="6781" spans="2:7" x14ac:dyDescent="0.25">
      <c r="B6781" s="98"/>
      <c r="F6781">
        <v>6777</v>
      </c>
      <c r="G6781" s="109">
        <f t="shared" ca="1" si="114"/>
        <v>0.12344899186802219</v>
      </c>
    </row>
    <row r="6782" spans="2:7" x14ac:dyDescent="0.25">
      <c r="B6782" s="98"/>
      <c r="F6782">
        <v>6778</v>
      </c>
      <c r="G6782" s="109">
        <f t="shared" ca="1" si="114"/>
        <v>-1.4757010984091705E-2</v>
      </c>
    </row>
    <row r="6783" spans="2:7" x14ac:dyDescent="0.25">
      <c r="B6783" s="98"/>
      <c r="F6783">
        <v>6779</v>
      </c>
      <c r="G6783" s="109">
        <f t="shared" ca="1" si="114"/>
        <v>6.156682699759726E-3</v>
      </c>
    </row>
    <row r="6784" spans="2:7" x14ac:dyDescent="0.25">
      <c r="B6784" s="98"/>
      <c r="F6784">
        <v>6780</v>
      </c>
      <c r="G6784" s="109">
        <f t="shared" ca="1" si="114"/>
        <v>-4.3137989483217579E-2</v>
      </c>
    </row>
    <row r="6785" spans="2:7" x14ac:dyDescent="0.25">
      <c r="B6785" s="98"/>
      <c r="F6785">
        <v>6781</v>
      </c>
      <c r="G6785" s="109">
        <f t="shared" ca="1" si="114"/>
        <v>-1.3183905353711368E-2</v>
      </c>
    </row>
    <row r="6786" spans="2:7" x14ac:dyDescent="0.25">
      <c r="B6786" s="98"/>
      <c r="F6786">
        <v>6782</v>
      </c>
      <c r="G6786" s="109">
        <f t="shared" ca="1" si="114"/>
        <v>-7.9699586531924785E-2</v>
      </c>
    </row>
    <row r="6787" spans="2:7" x14ac:dyDescent="0.25">
      <c r="B6787" s="98"/>
      <c r="F6787">
        <v>6783</v>
      </c>
      <c r="G6787" s="109">
        <f t="shared" ca="1" si="114"/>
        <v>6.3368595133178302E-2</v>
      </c>
    </row>
    <row r="6788" spans="2:7" x14ac:dyDescent="0.25">
      <c r="B6788" s="98"/>
      <c r="F6788">
        <v>6784</v>
      </c>
      <c r="G6788" s="109">
        <f t="shared" ca="1" si="114"/>
        <v>-0.15682411050250517</v>
      </c>
    </row>
    <row r="6789" spans="2:7" x14ac:dyDescent="0.25">
      <c r="B6789" s="98"/>
      <c r="F6789">
        <v>6785</v>
      </c>
      <c r="G6789" s="109">
        <f t="shared" ca="1" si="114"/>
        <v>-0.14805727272419877</v>
      </c>
    </row>
    <row r="6790" spans="2:7" x14ac:dyDescent="0.25">
      <c r="B6790" s="98"/>
      <c r="F6790">
        <v>6786</v>
      </c>
      <c r="G6790" s="109">
        <f t="shared" ref="G6790:G6853" ca="1" si="115">_xlfn.NORM.INV(RAND(),$M$5,$M$6)</f>
        <v>-2.968856270945619E-2</v>
      </c>
    </row>
    <row r="6791" spans="2:7" x14ac:dyDescent="0.25">
      <c r="B6791" s="98"/>
      <c r="F6791">
        <v>6787</v>
      </c>
      <c r="G6791" s="109">
        <f t="shared" ca="1" si="115"/>
        <v>-0.11145881676762111</v>
      </c>
    </row>
    <row r="6792" spans="2:7" x14ac:dyDescent="0.25">
      <c r="B6792" s="98"/>
      <c r="F6792">
        <v>6788</v>
      </c>
      <c r="G6792" s="109">
        <f t="shared" ca="1" si="115"/>
        <v>-2.2038167839160794E-2</v>
      </c>
    </row>
    <row r="6793" spans="2:7" x14ac:dyDescent="0.25">
      <c r="B6793" s="98"/>
      <c r="F6793">
        <v>6789</v>
      </c>
      <c r="G6793" s="109">
        <f t="shared" ca="1" si="115"/>
        <v>-6.0246647181895721E-2</v>
      </c>
    </row>
    <row r="6794" spans="2:7" x14ac:dyDescent="0.25">
      <c r="B6794" s="98"/>
      <c r="F6794">
        <v>6790</v>
      </c>
      <c r="G6794" s="109">
        <f t="shared" ca="1" si="115"/>
        <v>0.22568995469881814</v>
      </c>
    </row>
    <row r="6795" spans="2:7" x14ac:dyDescent="0.25">
      <c r="B6795" s="98"/>
      <c r="F6795">
        <v>6791</v>
      </c>
      <c r="G6795" s="109">
        <f t="shared" ca="1" si="115"/>
        <v>-7.2590366933208472E-2</v>
      </c>
    </row>
    <row r="6796" spans="2:7" x14ac:dyDescent="0.25">
      <c r="B6796" s="98"/>
      <c r="F6796">
        <v>6792</v>
      </c>
      <c r="G6796" s="109">
        <f t="shared" ca="1" si="115"/>
        <v>-0.20712133821033119</v>
      </c>
    </row>
    <row r="6797" spans="2:7" x14ac:dyDescent="0.25">
      <c r="B6797" s="98"/>
      <c r="F6797">
        <v>6793</v>
      </c>
      <c r="G6797" s="109">
        <f t="shared" ca="1" si="115"/>
        <v>9.7731324546297044E-2</v>
      </c>
    </row>
    <row r="6798" spans="2:7" x14ac:dyDescent="0.25">
      <c r="B6798" s="98"/>
      <c r="F6798">
        <v>6794</v>
      </c>
      <c r="G6798" s="109">
        <f t="shared" ca="1" si="115"/>
        <v>0.21003644925881509</v>
      </c>
    </row>
    <row r="6799" spans="2:7" x14ac:dyDescent="0.25">
      <c r="B6799" s="98"/>
      <c r="F6799">
        <v>6795</v>
      </c>
      <c r="G6799" s="109">
        <f t="shared" ca="1" si="115"/>
        <v>0.13159047116362499</v>
      </c>
    </row>
    <row r="6800" spans="2:7" x14ac:dyDescent="0.25">
      <c r="B6800" s="98"/>
      <c r="F6800">
        <v>6796</v>
      </c>
      <c r="G6800" s="109">
        <f t="shared" ca="1" si="115"/>
        <v>-0.1507959640184256</v>
      </c>
    </row>
    <row r="6801" spans="2:7" x14ac:dyDescent="0.25">
      <c r="B6801" s="98"/>
      <c r="F6801">
        <v>6797</v>
      </c>
      <c r="G6801" s="109">
        <f t="shared" ca="1" si="115"/>
        <v>4.6043947120240729E-2</v>
      </c>
    </row>
    <row r="6802" spans="2:7" x14ac:dyDescent="0.25">
      <c r="B6802" s="98"/>
      <c r="F6802">
        <v>6798</v>
      </c>
      <c r="G6802" s="109">
        <f t="shared" ca="1" si="115"/>
        <v>0.21113709736396269</v>
      </c>
    </row>
    <row r="6803" spans="2:7" x14ac:dyDescent="0.25">
      <c r="B6803" s="98"/>
      <c r="F6803">
        <v>6799</v>
      </c>
      <c r="G6803" s="109">
        <f t="shared" ca="1" si="115"/>
        <v>3.5952299167572511E-2</v>
      </c>
    </row>
    <row r="6804" spans="2:7" x14ac:dyDescent="0.25">
      <c r="B6804" s="98"/>
      <c r="F6804">
        <v>6800</v>
      </c>
      <c r="G6804" s="109">
        <f t="shared" ca="1" si="115"/>
        <v>5.6621424387305899E-2</v>
      </c>
    </row>
    <row r="6805" spans="2:7" x14ac:dyDescent="0.25">
      <c r="B6805" s="98"/>
      <c r="F6805">
        <v>6801</v>
      </c>
      <c r="G6805" s="109">
        <f t="shared" ca="1" si="115"/>
        <v>0.23123938551278211</v>
      </c>
    </row>
    <row r="6806" spans="2:7" x14ac:dyDescent="0.25">
      <c r="B6806" s="98"/>
      <c r="F6806">
        <v>6802</v>
      </c>
      <c r="G6806" s="109">
        <f t="shared" ca="1" si="115"/>
        <v>0.14321255789598364</v>
      </c>
    </row>
    <row r="6807" spans="2:7" x14ac:dyDescent="0.25">
      <c r="B6807" s="98"/>
      <c r="F6807">
        <v>6803</v>
      </c>
      <c r="G6807" s="109">
        <f t="shared" ca="1" si="115"/>
        <v>-2.5142186273504077E-2</v>
      </c>
    </row>
    <row r="6808" spans="2:7" x14ac:dyDescent="0.25">
      <c r="B6808" s="98"/>
      <c r="F6808">
        <v>6804</v>
      </c>
      <c r="G6808" s="109">
        <f t="shared" ca="1" si="115"/>
        <v>5.1975963029108396E-2</v>
      </c>
    </row>
    <row r="6809" spans="2:7" x14ac:dyDescent="0.25">
      <c r="B6809" s="98"/>
      <c r="F6809">
        <v>6805</v>
      </c>
      <c r="G6809" s="109">
        <f t="shared" ca="1" si="115"/>
        <v>-7.9982674374763155E-2</v>
      </c>
    </row>
    <row r="6810" spans="2:7" x14ac:dyDescent="0.25">
      <c r="B6810" s="98"/>
      <c r="F6810">
        <v>6806</v>
      </c>
      <c r="G6810" s="109">
        <f t="shared" ca="1" si="115"/>
        <v>8.852592561761348E-2</v>
      </c>
    </row>
    <row r="6811" spans="2:7" x14ac:dyDescent="0.25">
      <c r="B6811" s="98"/>
      <c r="F6811">
        <v>6807</v>
      </c>
      <c r="G6811" s="109">
        <f t="shared" ca="1" si="115"/>
        <v>-0.16684008733488526</v>
      </c>
    </row>
    <row r="6812" spans="2:7" x14ac:dyDescent="0.25">
      <c r="B6812" s="98"/>
      <c r="F6812">
        <v>6808</v>
      </c>
      <c r="G6812" s="109">
        <f t="shared" ca="1" si="115"/>
        <v>8.9180966540988921E-2</v>
      </c>
    </row>
    <row r="6813" spans="2:7" x14ac:dyDescent="0.25">
      <c r="B6813" s="98"/>
      <c r="F6813">
        <v>6809</v>
      </c>
      <c r="G6813" s="109">
        <f t="shared" ca="1" si="115"/>
        <v>7.7655171629244513E-3</v>
      </c>
    </row>
    <row r="6814" spans="2:7" x14ac:dyDescent="0.25">
      <c r="B6814" s="98"/>
      <c r="F6814">
        <v>6810</v>
      </c>
      <c r="G6814" s="109">
        <f t="shared" ca="1" si="115"/>
        <v>-5.4692993387343042E-2</v>
      </c>
    </row>
    <row r="6815" spans="2:7" x14ac:dyDescent="0.25">
      <c r="B6815" s="98"/>
      <c r="F6815">
        <v>6811</v>
      </c>
      <c r="G6815" s="109">
        <f t="shared" ca="1" si="115"/>
        <v>0.20036989313590081</v>
      </c>
    </row>
    <row r="6816" spans="2:7" x14ac:dyDescent="0.25">
      <c r="B6816" s="98"/>
      <c r="F6816">
        <v>6812</v>
      </c>
      <c r="G6816" s="109">
        <f t="shared" ca="1" si="115"/>
        <v>0.1284526437455944</v>
      </c>
    </row>
    <row r="6817" spans="2:7" x14ac:dyDescent="0.25">
      <c r="B6817" s="98"/>
      <c r="F6817">
        <v>6813</v>
      </c>
      <c r="G6817" s="109">
        <f t="shared" ca="1" si="115"/>
        <v>0.17352357654618372</v>
      </c>
    </row>
    <row r="6818" spans="2:7" x14ac:dyDescent="0.25">
      <c r="B6818" s="98"/>
      <c r="F6818">
        <v>6814</v>
      </c>
      <c r="G6818" s="109">
        <f t="shared" ca="1" si="115"/>
        <v>0.10468418916663164</v>
      </c>
    </row>
    <row r="6819" spans="2:7" x14ac:dyDescent="0.25">
      <c r="B6819" s="98"/>
      <c r="F6819">
        <v>6815</v>
      </c>
      <c r="G6819" s="109">
        <f t="shared" ca="1" si="115"/>
        <v>8.6627735185867846E-2</v>
      </c>
    </row>
    <row r="6820" spans="2:7" x14ac:dyDescent="0.25">
      <c r="B6820" s="98"/>
      <c r="F6820">
        <v>6816</v>
      </c>
      <c r="G6820" s="109">
        <f t="shared" ca="1" si="115"/>
        <v>-4.2478307712137037E-2</v>
      </c>
    </row>
    <row r="6821" spans="2:7" x14ac:dyDescent="0.25">
      <c r="B6821" s="98"/>
      <c r="F6821">
        <v>6817</v>
      </c>
      <c r="G6821" s="109">
        <f t="shared" ca="1" si="115"/>
        <v>4.666000312142371E-5</v>
      </c>
    </row>
    <row r="6822" spans="2:7" x14ac:dyDescent="0.25">
      <c r="B6822" s="98"/>
      <c r="F6822">
        <v>6818</v>
      </c>
      <c r="G6822" s="109">
        <f t="shared" ca="1" si="115"/>
        <v>-0.16165996264195309</v>
      </c>
    </row>
    <row r="6823" spans="2:7" x14ac:dyDescent="0.25">
      <c r="B6823" s="98"/>
      <c r="F6823">
        <v>6819</v>
      </c>
      <c r="G6823" s="109">
        <f t="shared" ca="1" si="115"/>
        <v>0.23352136086327108</v>
      </c>
    </row>
    <row r="6824" spans="2:7" x14ac:dyDescent="0.25">
      <c r="B6824" s="98"/>
      <c r="F6824">
        <v>6820</v>
      </c>
      <c r="G6824" s="109">
        <f t="shared" ca="1" si="115"/>
        <v>-0.11500650751691933</v>
      </c>
    </row>
    <row r="6825" spans="2:7" x14ac:dyDescent="0.25">
      <c r="B6825" s="98"/>
      <c r="F6825">
        <v>6821</v>
      </c>
      <c r="G6825" s="109">
        <f t="shared" ca="1" si="115"/>
        <v>2.4368841968490849E-2</v>
      </c>
    </row>
    <row r="6826" spans="2:7" x14ac:dyDescent="0.25">
      <c r="B6826" s="98"/>
      <c r="F6826">
        <v>6822</v>
      </c>
      <c r="G6826" s="109">
        <f t="shared" ca="1" si="115"/>
        <v>2.3735867672217421E-2</v>
      </c>
    </row>
    <row r="6827" spans="2:7" x14ac:dyDescent="0.25">
      <c r="B6827" s="98"/>
      <c r="F6827">
        <v>6823</v>
      </c>
      <c r="G6827" s="109">
        <f t="shared" ca="1" si="115"/>
        <v>8.5971435932787929E-2</v>
      </c>
    </row>
    <row r="6828" spans="2:7" x14ac:dyDescent="0.25">
      <c r="B6828" s="98"/>
      <c r="F6828">
        <v>6824</v>
      </c>
      <c r="G6828" s="109">
        <f t="shared" ca="1" si="115"/>
        <v>4.3243800896625599E-2</v>
      </c>
    </row>
    <row r="6829" spans="2:7" x14ac:dyDescent="0.25">
      <c r="B6829" s="98"/>
      <c r="F6829">
        <v>6825</v>
      </c>
      <c r="G6829" s="109">
        <f t="shared" ca="1" si="115"/>
        <v>0.14953560899564691</v>
      </c>
    </row>
    <row r="6830" spans="2:7" x14ac:dyDescent="0.25">
      <c r="B6830" s="98"/>
      <c r="F6830">
        <v>6826</v>
      </c>
      <c r="G6830" s="109">
        <f t="shared" ca="1" si="115"/>
        <v>3.4738506642225594E-3</v>
      </c>
    </row>
    <row r="6831" spans="2:7" x14ac:dyDescent="0.25">
      <c r="B6831" s="98"/>
      <c r="F6831">
        <v>6827</v>
      </c>
      <c r="G6831" s="109">
        <f t="shared" ca="1" si="115"/>
        <v>-0.19701651165640727</v>
      </c>
    </row>
    <row r="6832" spans="2:7" x14ac:dyDescent="0.25">
      <c r="B6832" s="98"/>
      <c r="F6832">
        <v>6828</v>
      </c>
      <c r="G6832" s="109">
        <f t="shared" ca="1" si="115"/>
        <v>-0.1752129066511301</v>
      </c>
    </row>
    <row r="6833" spans="2:7" x14ac:dyDescent="0.25">
      <c r="B6833" s="98"/>
      <c r="F6833">
        <v>6829</v>
      </c>
      <c r="G6833" s="109">
        <f t="shared" ca="1" si="115"/>
        <v>6.2438223957040365E-2</v>
      </c>
    </row>
    <row r="6834" spans="2:7" x14ac:dyDescent="0.25">
      <c r="B6834" s="98"/>
      <c r="F6834">
        <v>6830</v>
      </c>
      <c r="G6834" s="109">
        <f t="shared" ca="1" si="115"/>
        <v>0.1491164004824605</v>
      </c>
    </row>
    <row r="6835" spans="2:7" x14ac:dyDescent="0.25">
      <c r="B6835" s="98"/>
      <c r="F6835">
        <v>6831</v>
      </c>
      <c r="G6835" s="109">
        <f t="shared" ca="1" si="115"/>
        <v>0.33381987538244634</v>
      </c>
    </row>
    <row r="6836" spans="2:7" x14ac:dyDescent="0.25">
      <c r="B6836" s="98"/>
      <c r="F6836">
        <v>6832</v>
      </c>
      <c r="G6836" s="109">
        <f t="shared" ca="1" si="115"/>
        <v>5.2151502709496603E-3</v>
      </c>
    </row>
    <row r="6837" spans="2:7" x14ac:dyDescent="0.25">
      <c r="B6837" s="98"/>
      <c r="F6837">
        <v>6833</v>
      </c>
      <c r="G6837" s="109">
        <f t="shared" ca="1" si="115"/>
        <v>-1.9296538002159705E-2</v>
      </c>
    </row>
    <row r="6838" spans="2:7" x14ac:dyDescent="0.25">
      <c r="B6838" s="98"/>
      <c r="F6838">
        <v>6834</v>
      </c>
      <c r="G6838" s="109">
        <f t="shared" ca="1" si="115"/>
        <v>-0.1225763315165959</v>
      </c>
    </row>
    <row r="6839" spans="2:7" x14ac:dyDescent="0.25">
      <c r="B6839" s="98"/>
      <c r="F6839">
        <v>6835</v>
      </c>
      <c r="G6839" s="109">
        <f t="shared" ca="1" si="115"/>
        <v>-1.3627700301454528E-2</v>
      </c>
    </row>
    <row r="6840" spans="2:7" x14ac:dyDescent="0.25">
      <c r="B6840" s="98"/>
      <c r="F6840">
        <v>6836</v>
      </c>
      <c r="G6840" s="109">
        <f t="shared" ca="1" si="115"/>
        <v>0.20471965524985553</v>
      </c>
    </row>
    <row r="6841" spans="2:7" x14ac:dyDescent="0.25">
      <c r="B6841" s="98"/>
      <c r="F6841">
        <v>6837</v>
      </c>
      <c r="G6841" s="109">
        <f t="shared" ca="1" si="115"/>
        <v>-3.0878034704613838E-2</v>
      </c>
    </row>
    <row r="6842" spans="2:7" x14ac:dyDescent="0.25">
      <c r="B6842" s="98"/>
      <c r="F6842">
        <v>6838</v>
      </c>
      <c r="G6842" s="109">
        <f t="shared" ca="1" si="115"/>
        <v>8.2800443468964577E-2</v>
      </c>
    </row>
    <row r="6843" spans="2:7" x14ac:dyDescent="0.25">
      <c r="B6843" s="98"/>
      <c r="F6843">
        <v>6839</v>
      </c>
      <c r="G6843" s="109">
        <f t="shared" ca="1" si="115"/>
        <v>-7.9106826501141883E-2</v>
      </c>
    </row>
    <row r="6844" spans="2:7" x14ac:dyDescent="0.25">
      <c r="B6844" s="98"/>
      <c r="F6844">
        <v>6840</v>
      </c>
      <c r="G6844" s="109">
        <f t="shared" ca="1" si="115"/>
        <v>0.10792640038833434</v>
      </c>
    </row>
    <row r="6845" spans="2:7" x14ac:dyDescent="0.25">
      <c r="B6845" s="98"/>
      <c r="F6845">
        <v>6841</v>
      </c>
      <c r="G6845" s="109">
        <f t="shared" ca="1" si="115"/>
        <v>7.6136102695682023E-2</v>
      </c>
    </row>
    <row r="6846" spans="2:7" x14ac:dyDescent="0.25">
      <c r="B6846" s="98"/>
      <c r="F6846">
        <v>6842</v>
      </c>
      <c r="G6846" s="109">
        <f t="shared" ca="1" si="115"/>
        <v>0.13171354691680565</v>
      </c>
    </row>
    <row r="6847" spans="2:7" x14ac:dyDescent="0.25">
      <c r="B6847" s="98"/>
      <c r="F6847">
        <v>6843</v>
      </c>
      <c r="G6847" s="109">
        <f t="shared" ca="1" si="115"/>
        <v>5.8373663440113174E-2</v>
      </c>
    </row>
    <row r="6848" spans="2:7" x14ac:dyDescent="0.25">
      <c r="B6848" s="98"/>
      <c r="F6848">
        <v>6844</v>
      </c>
      <c r="G6848" s="109">
        <f t="shared" ca="1" si="115"/>
        <v>9.1234707820893976E-2</v>
      </c>
    </row>
    <row r="6849" spans="2:7" x14ac:dyDescent="0.25">
      <c r="B6849" s="98"/>
      <c r="F6849">
        <v>6845</v>
      </c>
      <c r="G6849" s="109">
        <f t="shared" ca="1" si="115"/>
        <v>8.7510076709728171E-3</v>
      </c>
    </row>
    <row r="6850" spans="2:7" x14ac:dyDescent="0.25">
      <c r="B6850" s="98"/>
      <c r="F6850">
        <v>6846</v>
      </c>
      <c r="G6850" s="109">
        <f t="shared" ca="1" si="115"/>
        <v>-4.3093338161388953E-2</v>
      </c>
    </row>
    <row r="6851" spans="2:7" x14ac:dyDescent="0.25">
      <c r="B6851" s="98"/>
      <c r="F6851">
        <v>6847</v>
      </c>
      <c r="G6851" s="109">
        <f t="shared" ca="1" si="115"/>
        <v>-7.0102669720395749E-3</v>
      </c>
    </row>
    <row r="6852" spans="2:7" x14ac:dyDescent="0.25">
      <c r="B6852" s="98"/>
      <c r="F6852">
        <v>6848</v>
      </c>
      <c r="G6852" s="109">
        <f t="shared" ca="1" si="115"/>
        <v>-1.9350035892788664E-4</v>
      </c>
    </row>
    <row r="6853" spans="2:7" x14ac:dyDescent="0.25">
      <c r="B6853" s="98"/>
      <c r="F6853">
        <v>6849</v>
      </c>
      <c r="G6853" s="109">
        <f t="shared" ca="1" si="115"/>
        <v>0.14574175931455707</v>
      </c>
    </row>
    <row r="6854" spans="2:7" x14ac:dyDescent="0.25">
      <c r="B6854" s="98"/>
      <c r="F6854">
        <v>6850</v>
      </c>
      <c r="G6854" s="109">
        <f t="shared" ref="G6854:G6917" ca="1" si="116">_xlfn.NORM.INV(RAND(),$M$5,$M$6)</f>
        <v>6.9118666945664209E-2</v>
      </c>
    </row>
    <row r="6855" spans="2:7" x14ac:dyDescent="0.25">
      <c r="B6855" s="98"/>
      <c r="F6855">
        <v>6851</v>
      </c>
      <c r="G6855" s="109">
        <f t="shared" ca="1" si="116"/>
        <v>-8.4146993239391246E-2</v>
      </c>
    </row>
    <row r="6856" spans="2:7" x14ac:dyDescent="0.25">
      <c r="B6856" s="98"/>
      <c r="F6856">
        <v>6852</v>
      </c>
      <c r="G6856" s="109">
        <f t="shared" ca="1" si="116"/>
        <v>0.22171920237494991</v>
      </c>
    </row>
    <row r="6857" spans="2:7" x14ac:dyDescent="0.25">
      <c r="B6857" s="98"/>
      <c r="F6857">
        <v>6853</v>
      </c>
      <c r="G6857" s="109">
        <f t="shared" ca="1" si="116"/>
        <v>7.3418421213495316E-2</v>
      </c>
    </row>
    <row r="6858" spans="2:7" x14ac:dyDescent="0.25">
      <c r="B6858" s="98"/>
      <c r="F6858">
        <v>6854</v>
      </c>
      <c r="G6858" s="109">
        <f t="shared" ca="1" si="116"/>
        <v>6.6074322789410903E-2</v>
      </c>
    </row>
    <row r="6859" spans="2:7" x14ac:dyDescent="0.25">
      <c r="B6859" s="98"/>
      <c r="F6859">
        <v>6855</v>
      </c>
      <c r="G6859" s="109">
        <f t="shared" ca="1" si="116"/>
        <v>0.15436667890117661</v>
      </c>
    </row>
    <row r="6860" spans="2:7" x14ac:dyDescent="0.25">
      <c r="B6860" s="98"/>
      <c r="F6860">
        <v>6856</v>
      </c>
      <c r="G6860" s="109">
        <f t="shared" ca="1" si="116"/>
        <v>-2.4429958082482536E-2</v>
      </c>
    </row>
    <row r="6861" spans="2:7" x14ac:dyDescent="0.25">
      <c r="B6861" s="98"/>
      <c r="F6861">
        <v>6857</v>
      </c>
      <c r="G6861" s="109">
        <f t="shared" ca="1" si="116"/>
        <v>3.9372388083579367E-2</v>
      </c>
    </row>
    <row r="6862" spans="2:7" x14ac:dyDescent="0.25">
      <c r="B6862" s="98"/>
      <c r="F6862">
        <v>6858</v>
      </c>
      <c r="G6862" s="109">
        <f t="shared" ca="1" si="116"/>
        <v>9.7745251348279008E-2</v>
      </c>
    </row>
    <row r="6863" spans="2:7" x14ac:dyDescent="0.25">
      <c r="B6863" s="98"/>
      <c r="F6863">
        <v>6859</v>
      </c>
      <c r="G6863" s="109">
        <f t="shared" ca="1" si="116"/>
        <v>7.051395173881328E-3</v>
      </c>
    </row>
    <row r="6864" spans="2:7" x14ac:dyDescent="0.25">
      <c r="B6864" s="98"/>
      <c r="F6864">
        <v>6860</v>
      </c>
      <c r="G6864" s="109">
        <f t="shared" ca="1" si="116"/>
        <v>-2.574429698892737E-2</v>
      </c>
    </row>
    <row r="6865" spans="2:7" x14ac:dyDescent="0.25">
      <c r="B6865" s="98"/>
      <c r="F6865">
        <v>6861</v>
      </c>
      <c r="G6865" s="109">
        <f t="shared" ca="1" si="116"/>
        <v>0.1084453796705972</v>
      </c>
    </row>
    <row r="6866" spans="2:7" x14ac:dyDescent="0.25">
      <c r="B6866" s="98"/>
      <c r="F6866">
        <v>6862</v>
      </c>
      <c r="G6866" s="109">
        <f t="shared" ca="1" si="116"/>
        <v>3.7539948973605727E-2</v>
      </c>
    </row>
    <row r="6867" spans="2:7" x14ac:dyDescent="0.25">
      <c r="B6867" s="98"/>
      <c r="F6867">
        <v>6863</v>
      </c>
      <c r="G6867" s="109">
        <f t="shared" ca="1" si="116"/>
        <v>-0.1434278077756565</v>
      </c>
    </row>
    <row r="6868" spans="2:7" x14ac:dyDescent="0.25">
      <c r="B6868" s="98"/>
      <c r="F6868">
        <v>6864</v>
      </c>
      <c r="G6868" s="109">
        <f t="shared" ca="1" si="116"/>
        <v>0.11595750758660463</v>
      </c>
    </row>
    <row r="6869" spans="2:7" x14ac:dyDescent="0.25">
      <c r="B6869" s="98"/>
      <c r="F6869">
        <v>6865</v>
      </c>
      <c r="G6869" s="109">
        <f t="shared" ca="1" si="116"/>
        <v>0.14324133618963708</v>
      </c>
    </row>
    <row r="6870" spans="2:7" x14ac:dyDescent="0.25">
      <c r="B6870" s="98"/>
      <c r="F6870">
        <v>6866</v>
      </c>
      <c r="G6870" s="109">
        <f t="shared" ca="1" si="116"/>
        <v>3.3269043754257828E-2</v>
      </c>
    </row>
    <row r="6871" spans="2:7" x14ac:dyDescent="0.25">
      <c r="B6871" s="98"/>
      <c r="F6871">
        <v>6867</v>
      </c>
      <c r="G6871" s="109">
        <f t="shared" ca="1" si="116"/>
        <v>-0.1058312361995349</v>
      </c>
    </row>
    <row r="6872" spans="2:7" x14ac:dyDescent="0.25">
      <c r="B6872" s="98"/>
      <c r="F6872">
        <v>6868</v>
      </c>
      <c r="G6872" s="109">
        <f t="shared" ca="1" si="116"/>
        <v>0.10703231641767662</v>
      </c>
    </row>
    <row r="6873" spans="2:7" x14ac:dyDescent="0.25">
      <c r="B6873" s="98"/>
      <c r="F6873">
        <v>6869</v>
      </c>
      <c r="G6873" s="109">
        <f t="shared" ca="1" si="116"/>
        <v>0.23774097804851918</v>
      </c>
    </row>
    <row r="6874" spans="2:7" x14ac:dyDescent="0.25">
      <c r="B6874" s="98"/>
      <c r="F6874">
        <v>6870</v>
      </c>
      <c r="G6874" s="109">
        <f t="shared" ca="1" si="116"/>
        <v>-7.3558667840641884E-2</v>
      </c>
    </row>
    <row r="6875" spans="2:7" x14ac:dyDescent="0.25">
      <c r="B6875" s="98"/>
      <c r="F6875">
        <v>6871</v>
      </c>
      <c r="G6875" s="109">
        <f t="shared" ca="1" si="116"/>
        <v>2.9283426337307943E-2</v>
      </c>
    </row>
    <row r="6876" spans="2:7" x14ac:dyDescent="0.25">
      <c r="B6876" s="98"/>
      <c r="F6876">
        <v>6872</v>
      </c>
      <c r="G6876" s="109">
        <f t="shared" ca="1" si="116"/>
        <v>0.11873032171690789</v>
      </c>
    </row>
    <row r="6877" spans="2:7" x14ac:dyDescent="0.25">
      <c r="B6877" s="98"/>
      <c r="F6877">
        <v>6873</v>
      </c>
      <c r="G6877" s="109">
        <f t="shared" ca="1" si="116"/>
        <v>0.15521863891719467</v>
      </c>
    </row>
    <row r="6878" spans="2:7" x14ac:dyDescent="0.25">
      <c r="B6878" s="98"/>
      <c r="F6878">
        <v>6874</v>
      </c>
      <c r="G6878" s="109">
        <f t="shared" ca="1" si="116"/>
        <v>0.13422688943531036</v>
      </c>
    </row>
    <row r="6879" spans="2:7" x14ac:dyDescent="0.25">
      <c r="B6879" s="98"/>
      <c r="F6879">
        <v>6875</v>
      </c>
      <c r="G6879" s="109">
        <f t="shared" ca="1" si="116"/>
        <v>-1.6138316970380394E-2</v>
      </c>
    </row>
    <row r="6880" spans="2:7" x14ac:dyDescent="0.25">
      <c r="B6880" s="98"/>
      <c r="F6880">
        <v>6876</v>
      </c>
      <c r="G6880" s="109">
        <f t="shared" ca="1" si="116"/>
        <v>-1.9333181944399896E-2</v>
      </c>
    </row>
    <row r="6881" spans="2:7" x14ac:dyDescent="0.25">
      <c r="B6881" s="98"/>
      <c r="F6881">
        <v>6877</v>
      </c>
      <c r="G6881" s="109">
        <f t="shared" ca="1" si="116"/>
        <v>-1.7987031082309687E-2</v>
      </c>
    </row>
    <row r="6882" spans="2:7" x14ac:dyDescent="0.25">
      <c r="B6882" s="98"/>
      <c r="F6882">
        <v>6878</v>
      </c>
      <c r="G6882" s="109">
        <f t="shared" ca="1" si="116"/>
        <v>-3.3411384293285523E-2</v>
      </c>
    </row>
    <row r="6883" spans="2:7" x14ac:dyDescent="0.25">
      <c r="B6883" s="98"/>
      <c r="F6883">
        <v>6879</v>
      </c>
      <c r="G6883" s="109">
        <f t="shared" ca="1" si="116"/>
        <v>0.10549008955666903</v>
      </c>
    </row>
    <row r="6884" spans="2:7" x14ac:dyDescent="0.25">
      <c r="B6884" s="98"/>
      <c r="F6884">
        <v>6880</v>
      </c>
      <c r="G6884" s="109">
        <f t="shared" ca="1" si="116"/>
        <v>-1.8671005451418171E-3</v>
      </c>
    </row>
    <row r="6885" spans="2:7" x14ac:dyDescent="0.25">
      <c r="B6885" s="98"/>
      <c r="F6885">
        <v>6881</v>
      </c>
      <c r="G6885" s="109">
        <f t="shared" ca="1" si="116"/>
        <v>0.16724293479093277</v>
      </c>
    </row>
    <row r="6886" spans="2:7" x14ac:dyDescent="0.25">
      <c r="B6886" s="98"/>
      <c r="F6886">
        <v>6882</v>
      </c>
      <c r="G6886" s="109">
        <f t="shared" ca="1" si="116"/>
        <v>-4.312367558128917E-2</v>
      </c>
    </row>
    <row r="6887" spans="2:7" x14ac:dyDescent="0.25">
      <c r="B6887" s="98"/>
      <c r="F6887">
        <v>6883</v>
      </c>
      <c r="G6887" s="109">
        <f t="shared" ca="1" si="116"/>
        <v>5.8945017561315885E-2</v>
      </c>
    </row>
    <row r="6888" spans="2:7" x14ac:dyDescent="0.25">
      <c r="B6888" s="98"/>
      <c r="F6888">
        <v>6884</v>
      </c>
      <c r="G6888" s="109">
        <f t="shared" ca="1" si="116"/>
        <v>-1.1485790216989471E-2</v>
      </c>
    </row>
    <row r="6889" spans="2:7" x14ac:dyDescent="0.25">
      <c r="B6889" s="98"/>
      <c r="F6889">
        <v>6885</v>
      </c>
      <c r="G6889" s="109">
        <f t="shared" ca="1" si="116"/>
        <v>-0.13063904668219578</v>
      </c>
    </row>
    <row r="6890" spans="2:7" x14ac:dyDescent="0.25">
      <c r="B6890" s="98"/>
      <c r="F6890">
        <v>6886</v>
      </c>
      <c r="G6890" s="109">
        <f t="shared" ca="1" si="116"/>
        <v>0.21304323283309851</v>
      </c>
    </row>
    <row r="6891" spans="2:7" x14ac:dyDescent="0.25">
      <c r="B6891" s="98"/>
      <c r="F6891">
        <v>6887</v>
      </c>
      <c r="G6891" s="109">
        <f t="shared" ca="1" si="116"/>
        <v>2.0346174338268293E-2</v>
      </c>
    </row>
    <row r="6892" spans="2:7" x14ac:dyDescent="0.25">
      <c r="B6892" s="98"/>
      <c r="F6892">
        <v>6888</v>
      </c>
      <c r="G6892" s="109">
        <f t="shared" ca="1" si="116"/>
        <v>3.3269303106451764E-2</v>
      </c>
    </row>
    <row r="6893" spans="2:7" x14ac:dyDescent="0.25">
      <c r="B6893" s="98"/>
      <c r="F6893">
        <v>6889</v>
      </c>
      <c r="G6893" s="109">
        <f t="shared" ca="1" si="116"/>
        <v>6.2255741362060413E-2</v>
      </c>
    </row>
    <row r="6894" spans="2:7" x14ac:dyDescent="0.25">
      <c r="B6894" s="98"/>
      <c r="F6894">
        <v>6890</v>
      </c>
      <c r="G6894" s="109">
        <f t="shared" ca="1" si="116"/>
        <v>9.9177863185606577E-2</v>
      </c>
    </row>
    <row r="6895" spans="2:7" x14ac:dyDescent="0.25">
      <c r="B6895" s="98"/>
      <c r="F6895">
        <v>6891</v>
      </c>
      <c r="G6895" s="109">
        <f t="shared" ca="1" si="116"/>
        <v>9.7271796196481186E-2</v>
      </c>
    </row>
    <row r="6896" spans="2:7" x14ac:dyDescent="0.25">
      <c r="B6896" s="98"/>
      <c r="F6896">
        <v>6892</v>
      </c>
      <c r="G6896" s="109">
        <f t="shared" ca="1" si="116"/>
        <v>1.991720945876756E-2</v>
      </c>
    </row>
    <row r="6897" spans="2:7" x14ac:dyDescent="0.25">
      <c r="B6897" s="98"/>
      <c r="F6897">
        <v>6893</v>
      </c>
      <c r="G6897" s="109">
        <f t="shared" ca="1" si="116"/>
        <v>-0.17217665231419732</v>
      </c>
    </row>
    <row r="6898" spans="2:7" x14ac:dyDescent="0.25">
      <c r="B6898" s="98"/>
      <c r="F6898">
        <v>6894</v>
      </c>
      <c r="G6898" s="109">
        <f t="shared" ca="1" si="116"/>
        <v>3.0676168342736725E-2</v>
      </c>
    </row>
    <row r="6899" spans="2:7" x14ac:dyDescent="0.25">
      <c r="B6899" s="98"/>
      <c r="F6899">
        <v>6895</v>
      </c>
      <c r="G6899" s="109">
        <f t="shared" ca="1" si="116"/>
        <v>0.13958074494249684</v>
      </c>
    </row>
    <row r="6900" spans="2:7" x14ac:dyDescent="0.25">
      <c r="B6900" s="98"/>
      <c r="F6900">
        <v>6896</v>
      </c>
      <c r="G6900" s="109">
        <f t="shared" ca="1" si="116"/>
        <v>0.14576438219123583</v>
      </c>
    </row>
    <row r="6901" spans="2:7" x14ac:dyDescent="0.25">
      <c r="B6901" s="98"/>
      <c r="F6901">
        <v>6897</v>
      </c>
      <c r="G6901" s="109">
        <f t="shared" ca="1" si="116"/>
        <v>0.21369187942739382</v>
      </c>
    </row>
    <row r="6902" spans="2:7" x14ac:dyDescent="0.25">
      <c r="B6902" s="98"/>
      <c r="F6902">
        <v>6898</v>
      </c>
      <c r="G6902" s="109">
        <f t="shared" ca="1" si="116"/>
        <v>0.10723260325180989</v>
      </c>
    </row>
    <row r="6903" spans="2:7" x14ac:dyDescent="0.25">
      <c r="B6903" s="98"/>
      <c r="F6903">
        <v>6899</v>
      </c>
      <c r="G6903" s="109">
        <f t="shared" ca="1" si="116"/>
        <v>1.3382997423946191E-3</v>
      </c>
    </row>
    <row r="6904" spans="2:7" x14ac:dyDescent="0.25">
      <c r="B6904" s="98"/>
      <c r="F6904">
        <v>6900</v>
      </c>
      <c r="G6904" s="109">
        <f t="shared" ca="1" si="116"/>
        <v>4.364858587713509E-2</v>
      </c>
    </row>
    <row r="6905" spans="2:7" x14ac:dyDescent="0.25">
      <c r="B6905" s="98"/>
      <c r="F6905">
        <v>6901</v>
      </c>
      <c r="G6905" s="109">
        <f t="shared" ca="1" si="116"/>
        <v>-0.1203677577345489</v>
      </c>
    </row>
    <row r="6906" spans="2:7" x14ac:dyDescent="0.25">
      <c r="B6906" s="98"/>
      <c r="F6906">
        <v>6902</v>
      </c>
      <c r="G6906" s="109">
        <f t="shared" ca="1" si="116"/>
        <v>6.4125880912867389E-3</v>
      </c>
    </row>
    <row r="6907" spans="2:7" x14ac:dyDescent="0.25">
      <c r="B6907" s="98"/>
      <c r="F6907">
        <v>6903</v>
      </c>
      <c r="G6907" s="109">
        <f t="shared" ca="1" si="116"/>
        <v>0.11583992693444874</v>
      </c>
    </row>
    <row r="6908" spans="2:7" x14ac:dyDescent="0.25">
      <c r="B6908" s="98"/>
      <c r="F6908">
        <v>6904</v>
      </c>
      <c r="G6908" s="109">
        <f t="shared" ca="1" si="116"/>
        <v>-3.7045357050239938E-2</v>
      </c>
    </row>
    <row r="6909" spans="2:7" x14ac:dyDescent="0.25">
      <c r="B6909" s="98"/>
      <c r="F6909">
        <v>6905</v>
      </c>
      <c r="G6909" s="109">
        <f t="shared" ca="1" si="116"/>
        <v>0.29435980572092157</v>
      </c>
    </row>
    <row r="6910" spans="2:7" x14ac:dyDescent="0.25">
      <c r="B6910" s="98"/>
      <c r="F6910">
        <v>6906</v>
      </c>
      <c r="G6910" s="109">
        <f t="shared" ca="1" si="116"/>
        <v>7.9757045143170613E-2</v>
      </c>
    </row>
    <row r="6911" spans="2:7" x14ac:dyDescent="0.25">
      <c r="B6911" s="98"/>
      <c r="F6911">
        <v>6907</v>
      </c>
      <c r="G6911" s="109">
        <f t="shared" ca="1" si="116"/>
        <v>0.13146238991227771</v>
      </c>
    </row>
    <row r="6912" spans="2:7" x14ac:dyDescent="0.25">
      <c r="B6912" s="98"/>
      <c r="F6912">
        <v>6908</v>
      </c>
      <c r="G6912" s="109">
        <f t="shared" ca="1" si="116"/>
        <v>2.3756590695433247E-2</v>
      </c>
    </row>
    <row r="6913" spans="2:7" x14ac:dyDescent="0.25">
      <c r="B6913" s="98"/>
      <c r="F6913">
        <v>6909</v>
      </c>
      <c r="G6913" s="109">
        <f t="shared" ca="1" si="116"/>
        <v>7.3220670552452322E-2</v>
      </c>
    </row>
    <row r="6914" spans="2:7" x14ac:dyDescent="0.25">
      <c r="B6914" s="98"/>
      <c r="F6914">
        <v>6910</v>
      </c>
      <c r="G6914" s="109">
        <f t="shared" ca="1" si="116"/>
        <v>-9.5744959999312665E-2</v>
      </c>
    </row>
    <row r="6915" spans="2:7" x14ac:dyDescent="0.25">
      <c r="B6915" s="98"/>
      <c r="F6915">
        <v>6911</v>
      </c>
      <c r="G6915" s="109">
        <f t="shared" ca="1" si="116"/>
        <v>4.1631541506127502E-2</v>
      </c>
    </row>
    <row r="6916" spans="2:7" x14ac:dyDescent="0.25">
      <c r="B6916" s="98"/>
      <c r="F6916">
        <v>6912</v>
      </c>
      <c r="G6916" s="109">
        <f t="shared" ca="1" si="116"/>
        <v>0.17817965688421356</v>
      </c>
    </row>
    <row r="6917" spans="2:7" x14ac:dyDescent="0.25">
      <c r="B6917" s="98"/>
      <c r="F6917">
        <v>6913</v>
      </c>
      <c r="G6917" s="109">
        <f t="shared" ca="1" si="116"/>
        <v>-0.21487815957241779</v>
      </c>
    </row>
    <row r="6918" spans="2:7" x14ac:dyDescent="0.25">
      <c r="B6918" s="98"/>
      <c r="F6918">
        <v>6914</v>
      </c>
      <c r="G6918" s="109">
        <f t="shared" ref="G6918:G6981" ca="1" si="117">_xlfn.NORM.INV(RAND(),$M$5,$M$6)</f>
        <v>0.14751145289215306</v>
      </c>
    </row>
    <row r="6919" spans="2:7" x14ac:dyDescent="0.25">
      <c r="B6919" s="98"/>
      <c r="F6919">
        <v>6915</v>
      </c>
      <c r="G6919" s="109">
        <f t="shared" ca="1" si="117"/>
        <v>3.5619989718392912E-2</v>
      </c>
    </row>
    <row r="6920" spans="2:7" x14ac:dyDescent="0.25">
      <c r="B6920" s="98"/>
      <c r="F6920">
        <v>6916</v>
      </c>
      <c r="G6920" s="109">
        <f t="shared" ca="1" si="117"/>
        <v>1.314679277419388E-2</v>
      </c>
    </row>
    <row r="6921" spans="2:7" x14ac:dyDescent="0.25">
      <c r="B6921" s="98"/>
      <c r="F6921">
        <v>6917</v>
      </c>
      <c r="G6921" s="109">
        <f t="shared" ca="1" si="117"/>
        <v>0.13531323552631086</v>
      </c>
    </row>
    <row r="6922" spans="2:7" x14ac:dyDescent="0.25">
      <c r="B6922" s="98"/>
      <c r="F6922">
        <v>6918</v>
      </c>
      <c r="G6922" s="109">
        <f t="shared" ca="1" si="117"/>
        <v>0.16185741616790522</v>
      </c>
    </row>
    <row r="6923" spans="2:7" x14ac:dyDescent="0.25">
      <c r="B6923" s="98"/>
      <c r="F6923">
        <v>6919</v>
      </c>
      <c r="G6923" s="109">
        <f t="shared" ca="1" si="117"/>
        <v>-2.1310142075716645E-2</v>
      </c>
    </row>
    <row r="6924" spans="2:7" x14ac:dyDescent="0.25">
      <c r="B6924" s="98"/>
      <c r="F6924">
        <v>6920</v>
      </c>
      <c r="G6924" s="109">
        <f t="shared" ca="1" si="117"/>
        <v>-2.2105634830968127E-2</v>
      </c>
    </row>
    <row r="6925" spans="2:7" x14ac:dyDescent="0.25">
      <c r="B6925" s="98"/>
      <c r="F6925">
        <v>6921</v>
      </c>
      <c r="G6925" s="109">
        <f t="shared" ca="1" si="117"/>
        <v>1.3808238564044055E-2</v>
      </c>
    </row>
    <row r="6926" spans="2:7" x14ac:dyDescent="0.25">
      <c r="B6926" s="98"/>
      <c r="F6926">
        <v>6922</v>
      </c>
      <c r="G6926" s="109">
        <f t="shared" ca="1" si="117"/>
        <v>0.15786195063199754</v>
      </c>
    </row>
    <row r="6927" spans="2:7" x14ac:dyDescent="0.25">
      <c r="B6927" s="98"/>
      <c r="F6927">
        <v>6923</v>
      </c>
      <c r="G6927" s="109">
        <f t="shared" ca="1" si="117"/>
        <v>0.10533310227530987</v>
      </c>
    </row>
    <row r="6928" spans="2:7" x14ac:dyDescent="0.25">
      <c r="B6928" s="98"/>
      <c r="F6928">
        <v>6924</v>
      </c>
      <c r="G6928" s="109">
        <f t="shared" ca="1" si="117"/>
        <v>2.7143073038580375E-2</v>
      </c>
    </row>
    <row r="6929" spans="2:7" x14ac:dyDescent="0.25">
      <c r="B6929" s="98"/>
      <c r="F6929">
        <v>6925</v>
      </c>
      <c r="G6929" s="109">
        <f t="shared" ca="1" si="117"/>
        <v>6.146592295504695E-2</v>
      </c>
    </row>
    <row r="6930" spans="2:7" x14ac:dyDescent="0.25">
      <c r="B6930" s="98"/>
      <c r="F6930">
        <v>6926</v>
      </c>
      <c r="G6930" s="109">
        <f t="shared" ca="1" si="117"/>
        <v>0.22398496597971246</v>
      </c>
    </row>
    <row r="6931" spans="2:7" x14ac:dyDescent="0.25">
      <c r="B6931" s="98"/>
      <c r="F6931">
        <v>6927</v>
      </c>
      <c r="G6931" s="109">
        <f t="shared" ca="1" si="117"/>
        <v>-0.15036489464958247</v>
      </c>
    </row>
    <row r="6932" spans="2:7" x14ac:dyDescent="0.25">
      <c r="B6932" s="98"/>
      <c r="F6932">
        <v>6928</v>
      </c>
      <c r="G6932" s="109">
        <f t="shared" ca="1" si="117"/>
        <v>-5.5461357523779314E-2</v>
      </c>
    </row>
    <row r="6933" spans="2:7" x14ac:dyDescent="0.25">
      <c r="B6933" s="98"/>
      <c r="F6933">
        <v>6929</v>
      </c>
      <c r="G6933" s="109">
        <f t="shared" ca="1" si="117"/>
        <v>0.1277028583503024</v>
      </c>
    </row>
    <row r="6934" spans="2:7" x14ac:dyDescent="0.25">
      <c r="B6934" s="98"/>
      <c r="F6934">
        <v>6930</v>
      </c>
      <c r="G6934" s="109">
        <f t="shared" ca="1" si="117"/>
        <v>-0.14450979775207767</v>
      </c>
    </row>
    <row r="6935" spans="2:7" x14ac:dyDescent="0.25">
      <c r="B6935" s="98"/>
      <c r="F6935">
        <v>6931</v>
      </c>
      <c r="G6935" s="109">
        <f t="shared" ca="1" si="117"/>
        <v>-1.7969818873992224E-2</v>
      </c>
    </row>
    <row r="6936" spans="2:7" x14ac:dyDescent="0.25">
      <c r="B6936" s="98"/>
      <c r="F6936">
        <v>6932</v>
      </c>
      <c r="G6936" s="109">
        <f t="shared" ca="1" si="117"/>
        <v>-8.4423050704170652E-2</v>
      </c>
    </row>
    <row r="6937" spans="2:7" x14ac:dyDescent="0.25">
      <c r="B6937" s="98"/>
      <c r="F6937">
        <v>6933</v>
      </c>
      <c r="G6937" s="109">
        <f t="shared" ca="1" si="117"/>
        <v>-1.9377745623841897E-2</v>
      </c>
    </row>
    <row r="6938" spans="2:7" x14ac:dyDescent="0.25">
      <c r="B6938" s="98"/>
      <c r="F6938">
        <v>6934</v>
      </c>
      <c r="G6938" s="109">
        <f t="shared" ca="1" si="117"/>
        <v>-1.8867941618372769E-3</v>
      </c>
    </row>
    <row r="6939" spans="2:7" x14ac:dyDescent="0.25">
      <c r="B6939" s="98"/>
      <c r="F6939">
        <v>6935</v>
      </c>
      <c r="G6939" s="109">
        <f t="shared" ca="1" si="117"/>
        <v>2.0944217014827182E-2</v>
      </c>
    </row>
    <row r="6940" spans="2:7" x14ac:dyDescent="0.25">
      <c r="B6940" s="98"/>
      <c r="F6940">
        <v>6936</v>
      </c>
      <c r="G6940" s="109">
        <f t="shared" ca="1" si="117"/>
        <v>-5.5663009269033392E-2</v>
      </c>
    </row>
    <row r="6941" spans="2:7" x14ac:dyDescent="0.25">
      <c r="B6941" s="98"/>
      <c r="F6941">
        <v>6937</v>
      </c>
      <c r="G6941" s="109">
        <f t="shared" ca="1" si="117"/>
        <v>0.12751307452578284</v>
      </c>
    </row>
    <row r="6942" spans="2:7" x14ac:dyDescent="0.25">
      <c r="B6942" s="98"/>
      <c r="F6942">
        <v>6938</v>
      </c>
      <c r="G6942" s="109">
        <f t="shared" ca="1" si="117"/>
        <v>-7.3829220534735521E-3</v>
      </c>
    </row>
    <row r="6943" spans="2:7" x14ac:dyDescent="0.25">
      <c r="B6943" s="98"/>
      <c r="F6943">
        <v>6939</v>
      </c>
      <c r="G6943" s="109">
        <f t="shared" ca="1" si="117"/>
        <v>-2.5171682392554504E-2</v>
      </c>
    </row>
    <row r="6944" spans="2:7" x14ac:dyDescent="0.25">
      <c r="B6944" s="98"/>
      <c r="F6944">
        <v>6940</v>
      </c>
      <c r="G6944" s="109">
        <f t="shared" ca="1" si="117"/>
        <v>2.753294287999215E-2</v>
      </c>
    </row>
    <row r="6945" spans="2:7" x14ac:dyDescent="0.25">
      <c r="B6945" s="98"/>
      <c r="F6945">
        <v>6941</v>
      </c>
      <c r="G6945" s="109">
        <f t="shared" ca="1" si="117"/>
        <v>-2.5423457157472726E-2</v>
      </c>
    </row>
    <row r="6946" spans="2:7" x14ac:dyDescent="0.25">
      <c r="B6946" s="98"/>
      <c r="F6946">
        <v>6942</v>
      </c>
      <c r="G6946" s="109">
        <f t="shared" ca="1" si="117"/>
        <v>0.11751570802521367</v>
      </c>
    </row>
    <row r="6947" spans="2:7" x14ac:dyDescent="0.25">
      <c r="B6947" s="98"/>
      <c r="F6947">
        <v>6943</v>
      </c>
      <c r="G6947" s="109">
        <f t="shared" ca="1" si="117"/>
        <v>0.16758447923852016</v>
      </c>
    </row>
    <row r="6948" spans="2:7" x14ac:dyDescent="0.25">
      <c r="B6948" s="98"/>
      <c r="F6948">
        <v>6944</v>
      </c>
      <c r="G6948" s="109">
        <f t="shared" ca="1" si="117"/>
        <v>0.1553575821182894</v>
      </c>
    </row>
    <row r="6949" spans="2:7" x14ac:dyDescent="0.25">
      <c r="B6949" s="98"/>
      <c r="F6949">
        <v>6945</v>
      </c>
      <c r="G6949" s="109">
        <f t="shared" ca="1" si="117"/>
        <v>0.12518824794603958</v>
      </c>
    </row>
    <row r="6950" spans="2:7" x14ac:dyDescent="0.25">
      <c r="B6950" s="98"/>
      <c r="F6950">
        <v>6946</v>
      </c>
      <c r="G6950" s="109">
        <f t="shared" ca="1" si="117"/>
        <v>0.11941681871399272</v>
      </c>
    </row>
    <row r="6951" spans="2:7" x14ac:dyDescent="0.25">
      <c r="B6951" s="98"/>
      <c r="F6951">
        <v>6947</v>
      </c>
      <c r="G6951" s="109">
        <f t="shared" ca="1" si="117"/>
        <v>-9.893312733278907E-2</v>
      </c>
    </row>
    <row r="6952" spans="2:7" x14ac:dyDescent="0.25">
      <c r="B6952" s="98"/>
      <c r="F6952">
        <v>6948</v>
      </c>
      <c r="G6952" s="109">
        <f t="shared" ca="1" si="117"/>
        <v>5.1683590871766841E-2</v>
      </c>
    </row>
    <row r="6953" spans="2:7" x14ac:dyDescent="0.25">
      <c r="B6953" s="98"/>
      <c r="F6953">
        <v>6949</v>
      </c>
      <c r="G6953" s="109">
        <f t="shared" ca="1" si="117"/>
        <v>-9.0466355155939635E-2</v>
      </c>
    </row>
    <row r="6954" spans="2:7" x14ac:dyDescent="0.25">
      <c r="B6954" s="98"/>
      <c r="F6954">
        <v>6950</v>
      </c>
      <c r="G6954" s="109">
        <f t="shared" ca="1" si="117"/>
        <v>-6.7576486609448927E-2</v>
      </c>
    </row>
    <row r="6955" spans="2:7" x14ac:dyDescent="0.25">
      <c r="B6955" s="98"/>
      <c r="F6955">
        <v>6951</v>
      </c>
      <c r="G6955" s="109">
        <f t="shared" ca="1" si="117"/>
        <v>-6.3331766419483029E-2</v>
      </c>
    </row>
    <row r="6956" spans="2:7" x14ac:dyDescent="0.25">
      <c r="B6956" s="98"/>
      <c r="F6956">
        <v>6952</v>
      </c>
      <c r="G6956" s="109">
        <f t="shared" ca="1" si="117"/>
        <v>0.13108100298795589</v>
      </c>
    </row>
    <row r="6957" spans="2:7" x14ac:dyDescent="0.25">
      <c r="B6957" s="98"/>
      <c r="F6957">
        <v>6953</v>
      </c>
      <c r="G6957" s="109">
        <f t="shared" ca="1" si="117"/>
        <v>-6.816017227290054E-2</v>
      </c>
    </row>
    <row r="6958" spans="2:7" x14ac:dyDescent="0.25">
      <c r="B6958" s="98"/>
      <c r="F6958">
        <v>6954</v>
      </c>
      <c r="G6958" s="109">
        <f t="shared" ca="1" si="117"/>
        <v>-9.6184959187704991E-2</v>
      </c>
    </row>
    <row r="6959" spans="2:7" x14ac:dyDescent="0.25">
      <c r="B6959" s="98"/>
      <c r="F6959">
        <v>6955</v>
      </c>
      <c r="G6959" s="109">
        <f t="shared" ca="1" si="117"/>
        <v>0.13960477468585455</v>
      </c>
    </row>
    <row r="6960" spans="2:7" x14ac:dyDescent="0.25">
      <c r="B6960" s="98"/>
      <c r="F6960">
        <v>6956</v>
      </c>
      <c r="G6960" s="109">
        <f t="shared" ca="1" si="117"/>
        <v>2.4184330944483374E-2</v>
      </c>
    </row>
    <row r="6961" spans="2:7" x14ac:dyDescent="0.25">
      <c r="B6961" s="98"/>
      <c r="F6961">
        <v>6957</v>
      </c>
      <c r="G6961" s="109">
        <f t="shared" ca="1" si="117"/>
        <v>0.13416413598289284</v>
      </c>
    </row>
    <row r="6962" spans="2:7" x14ac:dyDescent="0.25">
      <c r="B6962" s="98"/>
      <c r="F6962">
        <v>6958</v>
      </c>
      <c r="G6962" s="109">
        <f t="shared" ca="1" si="117"/>
        <v>7.6580667615932782E-2</v>
      </c>
    </row>
    <row r="6963" spans="2:7" x14ac:dyDescent="0.25">
      <c r="B6963" s="98"/>
      <c r="F6963">
        <v>6959</v>
      </c>
      <c r="G6963" s="109">
        <f t="shared" ca="1" si="117"/>
        <v>-7.5417957048404885E-2</v>
      </c>
    </row>
    <row r="6964" spans="2:7" x14ac:dyDescent="0.25">
      <c r="B6964" s="98"/>
      <c r="F6964">
        <v>6960</v>
      </c>
      <c r="G6964" s="109">
        <f t="shared" ca="1" si="117"/>
        <v>0.12446398609992432</v>
      </c>
    </row>
    <row r="6965" spans="2:7" x14ac:dyDescent="0.25">
      <c r="B6965" s="98"/>
      <c r="F6965">
        <v>6961</v>
      </c>
      <c r="G6965" s="109">
        <f t="shared" ca="1" si="117"/>
        <v>-9.0304609396426774E-2</v>
      </c>
    </row>
    <row r="6966" spans="2:7" x14ac:dyDescent="0.25">
      <c r="B6966" s="98"/>
      <c r="F6966">
        <v>6962</v>
      </c>
      <c r="G6966" s="109">
        <f t="shared" ca="1" si="117"/>
        <v>0.11481375480191562</v>
      </c>
    </row>
    <row r="6967" spans="2:7" x14ac:dyDescent="0.25">
      <c r="B6967" s="98"/>
      <c r="F6967">
        <v>6963</v>
      </c>
      <c r="G6967" s="109">
        <f t="shared" ca="1" si="117"/>
        <v>0.15783006887201073</v>
      </c>
    </row>
    <row r="6968" spans="2:7" x14ac:dyDescent="0.25">
      <c r="B6968" s="98"/>
      <c r="F6968">
        <v>6964</v>
      </c>
      <c r="G6968" s="109">
        <f t="shared" ca="1" si="117"/>
        <v>3.4784555912183018E-2</v>
      </c>
    </row>
    <row r="6969" spans="2:7" x14ac:dyDescent="0.25">
      <c r="B6969" s="98"/>
      <c r="F6969">
        <v>6965</v>
      </c>
      <c r="G6969" s="109">
        <f t="shared" ca="1" si="117"/>
        <v>3.3903040878350901E-2</v>
      </c>
    </row>
    <row r="6970" spans="2:7" x14ac:dyDescent="0.25">
      <c r="B6970" s="98"/>
      <c r="F6970">
        <v>6966</v>
      </c>
      <c r="G6970" s="109">
        <f t="shared" ca="1" si="117"/>
        <v>-0.12904761822567368</v>
      </c>
    </row>
    <row r="6971" spans="2:7" x14ac:dyDescent="0.25">
      <c r="B6971" s="98"/>
      <c r="F6971">
        <v>6967</v>
      </c>
      <c r="G6971" s="109">
        <f t="shared" ca="1" si="117"/>
        <v>-0.19692465361952238</v>
      </c>
    </row>
    <row r="6972" spans="2:7" x14ac:dyDescent="0.25">
      <c r="B6972" s="98"/>
      <c r="F6972">
        <v>6968</v>
      </c>
      <c r="G6972" s="109">
        <f t="shared" ca="1" si="117"/>
        <v>7.1848292104114045E-2</v>
      </c>
    </row>
    <row r="6973" spans="2:7" x14ac:dyDescent="0.25">
      <c r="B6973" s="98"/>
      <c r="F6973">
        <v>6969</v>
      </c>
      <c r="G6973" s="109">
        <f t="shared" ca="1" si="117"/>
        <v>9.1503769024024184E-3</v>
      </c>
    </row>
    <row r="6974" spans="2:7" x14ac:dyDescent="0.25">
      <c r="B6974" s="98"/>
      <c r="F6974">
        <v>6970</v>
      </c>
      <c r="G6974" s="109">
        <f t="shared" ca="1" si="117"/>
        <v>-1.2460967912768711E-2</v>
      </c>
    </row>
    <row r="6975" spans="2:7" x14ac:dyDescent="0.25">
      <c r="B6975" s="98"/>
      <c r="F6975">
        <v>6971</v>
      </c>
      <c r="G6975" s="109">
        <f t="shared" ca="1" si="117"/>
        <v>0.15642265145907885</v>
      </c>
    </row>
    <row r="6976" spans="2:7" x14ac:dyDescent="0.25">
      <c r="B6976" s="98"/>
      <c r="F6976">
        <v>6972</v>
      </c>
      <c r="G6976" s="109">
        <f t="shared" ca="1" si="117"/>
        <v>8.3877483635513228E-2</v>
      </c>
    </row>
    <row r="6977" spans="2:7" x14ac:dyDescent="0.25">
      <c r="B6977" s="98"/>
      <c r="F6977">
        <v>6973</v>
      </c>
      <c r="G6977" s="109">
        <f t="shared" ca="1" si="117"/>
        <v>-0.19891303174054048</v>
      </c>
    </row>
    <row r="6978" spans="2:7" x14ac:dyDescent="0.25">
      <c r="B6978" s="98"/>
      <c r="F6978">
        <v>6974</v>
      </c>
      <c r="G6978" s="109">
        <f t="shared" ca="1" si="117"/>
        <v>0.22737992842177152</v>
      </c>
    </row>
    <row r="6979" spans="2:7" x14ac:dyDescent="0.25">
      <c r="B6979" s="98"/>
      <c r="F6979">
        <v>6975</v>
      </c>
      <c r="G6979" s="109">
        <f t="shared" ca="1" si="117"/>
        <v>0.15055771661263115</v>
      </c>
    </row>
    <row r="6980" spans="2:7" x14ac:dyDescent="0.25">
      <c r="B6980" s="98"/>
      <c r="F6980">
        <v>6976</v>
      </c>
      <c r="G6980" s="109">
        <f t="shared" ca="1" si="117"/>
        <v>-0.15989594699146803</v>
      </c>
    </row>
    <row r="6981" spans="2:7" x14ac:dyDescent="0.25">
      <c r="B6981" s="98"/>
      <c r="F6981">
        <v>6977</v>
      </c>
      <c r="G6981" s="109">
        <f t="shared" ca="1" si="117"/>
        <v>-0.11028814605492639</v>
      </c>
    </row>
    <row r="6982" spans="2:7" x14ac:dyDescent="0.25">
      <c r="B6982" s="98"/>
      <c r="F6982">
        <v>6978</v>
      </c>
      <c r="G6982" s="109">
        <f t="shared" ref="G6982:G7045" ca="1" si="118">_xlfn.NORM.INV(RAND(),$M$5,$M$6)</f>
        <v>0.16930124582417239</v>
      </c>
    </row>
    <row r="6983" spans="2:7" x14ac:dyDescent="0.25">
      <c r="B6983" s="98"/>
      <c r="F6983">
        <v>6979</v>
      </c>
      <c r="G6983" s="109">
        <f t="shared" ca="1" si="118"/>
        <v>0.18028067004918585</v>
      </c>
    </row>
    <row r="6984" spans="2:7" x14ac:dyDescent="0.25">
      <c r="B6984" s="98"/>
      <c r="F6984">
        <v>6980</v>
      </c>
      <c r="G6984" s="109">
        <f t="shared" ca="1" si="118"/>
        <v>0.20140447884337731</v>
      </c>
    </row>
    <row r="6985" spans="2:7" x14ac:dyDescent="0.25">
      <c r="B6985" s="98"/>
      <c r="F6985">
        <v>6981</v>
      </c>
      <c r="G6985" s="109">
        <f t="shared" ca="1" si="118"/>
        <v>0.12418949387142278</v>
      </c>
    </row>
    <row r="6986" spans="2:7" x14ac:dyDescent="0.25">
      <c r="B6986" s="98"/>
      <c r="F6986">
        <v>6982</v>
      </c>
      <c r="G6986" s="109">
        <f t="shared" ca="1" si="118"/>
        <v>0.22188634016188674</v>
      </c>
    </row>
    <row r="6987" spans="2:7" x14ac:dyDescent="0.25">
      <c r="B6987" s="98"/>
      <c r="F6987">
        <v>6983</v>
      </c>
      <c r="G6987" s="109">
        <f t="shared" ca="1" si="118"/>
        <v>0.15833490719834059</v>
      </c>
    </row>
    <row r="6988" spans="2:7" x14ac:dyDescent="0.25">
      <c r="B6988" s="98"/>
      <c r="F6988">
        <v>6984</v>
      </c>
      <c r="G6988" s="109">
        <f t="shared" ca="1" si="118"/>
        <v>-7.8553119686055828E-2</v>
      </c>
    </row>
    <row r="6989" spans="2:7" x14ac:dyDescent="0.25">
      <c r="B6989" s="98"/>
      <c r="F6989">
        <v>6985</v>
      </c>
      <c r="G6989" s="109">
        <f t="shared" ca="1" si="118"/>
        <v>0.10760101183842155</v>
      </c>
    </row>
    <row r="6990" spans="2:7" x14ac:dyDescent="0.25">
      <c r="B6990" s="98"/>
      <c r="F6990">
        <v>6986</v>
      </c>
      <c r="G6990" s="109">
        <f t="shared" ca="1" si="118"/>
        <v>9.4545535998035085E-2</v>
      </c>
    </row>
    <row r="6991" spans="2:7" x14ac:dyDescent="0.25">
      <c r="B6991" s="98"/>
      <c r="F6991">
        <v>6987</v>
      </c>
      <c r="G6991" s="109">
        <f t="shared" ca="1" si="118"/>
        <v>2.0596390625895963E-2</v>
      </c>
    </row>
    <row r="6992" spans="2:7" x14ac:dyDescent="0.25">
      <c r="B6992" s="98"/>
      <c r="F6992">
        <v>6988</v>
      </c>
      <c r="G6992" s="109">
        <f t="shared" ca="1" si="118"/>
        <v>-2.5889329437612463E-2</v>
      </c>
    </row>
    <row r="6993" spans="2:7" x14ac:dyDescent="0.25">
      <c r="B6993" s="98"/>
      <c r="F6993">
        <v>6989</v>
      </c>
      <c r="G6993" s="109">
        <f t="shared" ca="1" si="118"/>
        <v>9.4098119103669803E-3</v>
      </c>
    </row>
    <row r="6994" spans="2:7" x14ac:dyDescent="0.25">
      <c r="B6994" s="98"/>
      <c r="F6994">
        <v>6990</v>
      </c>
      <c r="G6994" s="109">
        <f t="shared" ca="1" si="118"/>
        <v>-4.6233075852180477E-2</v>
      </c>
    </row>
    <row r="6995" spans="2:7" x14ac:dyDescent="0.25">
      <c r="B6995" s="98"/>
      <c r="F6995">
        <v>6991</v>
      </c>
      <c r="G6995" s="109">
        <f t="shared" ca="1" si="118"/>
        <v>-9.8085481087869505E-2</v>
      </c>
    </row>
    <row r="6996" spans="2:7" x14ac:dyDescent="0.25">
      <c r="B6996" s="98"/>
      <c r="F6996">
        <v>6992</v>
      </c>
      <c r="G6996" s="109">
        <f t="shared" ca="1" si="118"/>
        <v>-0.11654928385411804</v>
      </c>
    </row>
    <row r="6997" spans="2:7" x14ac:dyDescent="0.25">
      <c r="B6997" s="98"/>
      <c r="F6997">
        <v>6993</v>
      </c>
      <c r="G6997" s="109">
        <f t="shared" ca="1" si="118"/>
        <v>-4.0865951045310211E-2</v>
      </c>
    </row>
    <row r="6998" spans="2:7" x14ac:dyDescent="0.25">
      <c r="B6998" s="98"/>
      <c r="F6998">
        <v>6994</v>
      </c>
      <c r="G6998" s="109">
        <f t="shared" ca="1" si="118"/>
        <v>0.27814179587932258</v>
      </c>
    </row>
    <row r="6999" spans="2:7" x14ac:dyDescent="0.25">
      <c r="B6999" s="98"/>
      <c r="F6999">
        <v>6995</v>
      </c>
      <c r="G6999" s="109">
        <f t="shared" ca="1" si="118"/>
        <v>0.11910983514092588</v>
      </c>
    </row>
    <row r="7000" spans="2:7" x14ac:dyDescent="0.25">
      <c r="B7000" s="98"/>
      <c r="F7000">
        <v>6996</v>
      </c>
      <c r="G7000" s="109">
        <f t="shared" ca="1" si="118"/>
        <v>-5.4429765172213776E-2</v>
      </c>
    </row>
    <row r="7001" spans="2:7" x14ac:dyDescent="0.25">
      <c r="B7001" s="98"/>
      <c r="F7001">
        <v>6997</v>
      </c>
      <c r="G7001" s="109">
        <f t="shared" ca="1" si="118"/>
        <v>8.951477885448246E-2</v>
      </c>
    </row>
    <row r="7002" spans="2:7" x14ac:dyDescent="0.25">
      <c r="B7002" s="98"/>
      <c r="F7002">
        <v>6998</v>
      </c>
      <c r="G7002" s="109">
        <f t="shared" ca="1" si="118"/>
        <v>7.4073488106695118E-3</v>
      </c>
    </row>
    <row r="7003" spans="2:7" x14ac:dyDescent="0.25">
      <c r="B7003" s="98"/>
      <c r="F7003">
        <v>6999</v>
      </c>
      <c r="G7003" s="109">
        <f t="shared" ca="1" si="118"/>
        <v>-0.12037071967581318</v>
      </c>
    </row>
    <row r="7004" spans="2:7" x14ac:dyDescent="0.25">
      <c r="B7004" s="98"/>
      <c r="F7004">
        <v>7000</v>
      </c>
      <c r="G7004" s="109">
        <f t="shared" ca="1" si="118"/>
        <v>0.14676485403362766</v>
      </c>
    </row>
    <row r="7005" spans="2:7" x14ac:dyDescent="0.25">
      <c r="B7005" s="98"/>
      <c r="F7005">
        <v>7001</v>
      </c>
      <c r="G7005" s="109">
        <f t="shared" ca="1" si="118"/>
        <v>-0.11772964967521761</v>
      </c>
    </row>
    <row r="7006" spans="2:7" x14ac:dyDescent="0.25">
      <c r="B7006" s="98"/>
      <c r="F7006">
        <v>7002</v>
      </c>
      <c r="G7006" s="109">
        <f t="shared" ca="1" si="118"/>
        <v>0.14452820409845396</v>
      </c>
    </row>
    <row r="7007" spans="2:7" x14ac:dyDescent="0.25">
      <c r="B7007" s="98"/>
      <c r="F7007">
        <v>7003</v>
      </c>
      <c r="G7007" s="109">
        <f t="shared" ca="1" si="118"/>
        <v>0.10725975591925481</v>
      </c>
    </row>
    <row r="7008" spans="2:7" x14ac:dyDescent="0.25">
      <c r="B7008" s="98"/>
      <c r="F7008">
        <v>7004</v>
      </c>
      <c r="G7008" s="109">
        <f t="shared" ca="1" si="118"/>
        <v>-2.8515268659581053E-2</v>
      </c>
    </row>
    <row r="7009" spans="2:7" x14ac:dyDescent="0.25">
      <c r="B7009" s="98"/>
      <c r="F7009">
        <v>7005</v>
      </c>
      <c r="G7009" s="109">
        <f t="shared" ca="1" si="118"/>
        <v>8.9042429738406592E-2</v>
      </c>
    </row>
    <row r="7010" spans="2:7" x14ac:dyDescent="0.25">
      <c r="B7010" s="98"/>
      <c r="F7010">
        <v>7006</v>
      </c>
      <c r="G7010" s="109">
        <f t="shared" ca="1" si="118"/>
        <v>0.10448402391000633</v>
      </c>
    </row>
    <row r="7011" spans="2:7" x14ac:dyDescent="0.25">
      <c r="B7011" s="98"/>
      <c r="F7011">
        <v>7007</v>
      </c>
      <c r="G7011" s="109">
        <f t="shared" ca="1" si="118"/>
        <v>9.2757252674827359E-3</v>
      </c>
    </row>
    <row r="7012" spans="2:7" x14ac:dyDescent="0.25">
      <c r="B7012" s="98"/>
      <c r="F7012">
        <v>7008</v>
      </c>
      <c r="G7012" s="109">
        <f t="shared" ca="1" si="118"/>
        <v>0.14601952412566377</v>
      </c>
    </row>
    <row r="7013" spans="2:7" x14ac:dyDescent="0.25">
      <c r="B7013" s="98"/>
      <c r="F7013">
        <v>7009</v>
      </c>
      <c r="G7013" s="109">
        <f t="shared" ca="1" si="118"/>
        <v>-5.6170961836514668E-2</v>
      </c>
    </row>
    <row r="7014" spans="2:7" x14ac:dyDescent="0.25">
      <c r="B7014" s="98"/>
      <c r="F7014">
        <v>7010</v>
      </c>
      <c r="G7014" s="109">
        <f t="shared" ca="1" si="118"/>
        <v>0.1052059597692067</v>
      </c>
    </row>
    <row r="7015" spans="2:7" x14ac:dyDescent="0.25">
      <c r="B7015" s="98"/>
      <c r="F7015">
        <v>7011</v>
      </c>
      <c r="G7015" s="109">
        <f t="shared" ca="1" si="118"/>
        <v>0.20615611623813868</v>
      </c>
    </row>
    <row r="7016" spans="2:7" x14ac:dyDescent="0.25">
      <c r="B7016" s="98"/>
      <c r="F7016">
        <v>7012</v>
      </c>
      <c r="G7016" s="109">
        <f t="shared" ca="1" si="118"/>
        <v>0.11196528740007645</v>
      </c>
    </row>
    <row r="7017" spans="2:7" x14ac:dyDescent="0.25">
      <c r="B7017" s="98"/>
      <c r="F7017">
        <v>7013</v>
      </c>
      <c r="G7017" s="109">
        <f t="shared" ca="1" si="118"/>
        <v>2.5789981888897195E-2</v>
      </c>
    </row>
    <row r="7018" spans="2:7" x14ac:dyDescent="0.25">
      <c r="B7018" s="98"/>
      <c r="F7018">
        <v>7014</v>
      </c>
      <c r="G7018" s="109">
        <f t="shared" ca="1" si="118"/>
        <v>0.14179583455383782</v>
      </c>
    </row>
    <row r="7019" spans="2:7" x14ac:dyDescent="0.25">
      <c r="B7019" s="98"/>
      <c r="F7019">
        <v>7015</v>
      </c>
      <c r="G7019" s="109">
        <f t="shared" ca="1" si="118"/>
        <v>7.1801828846995236E-2</v>
      </c>
    </row>
    <row r="7020" spans="2:7" x14ac:dyDescent="0.25">
      <c r="B7020" s="98"/>
      <c r="F7020">
        <v>7016</v>
      </c>
      <c r="G7020" s="109">
        <f t="shared" ca="1" si="118"/>
        <v>2.5233324245395653E-2</v>
      </c>
    </row>
    <row r="7021" spans="2:7" x14ac:dyDescent="0.25">
      <c r="B7021" s="98"/>
      <c r="F7021">
        <v>7017</v>
      </c>
      <c r="G7021" s="109">
        <f t="shared" ca="1" si="118"/>
        <v>-2.3678080285684924E-2</v>
      </c>
    </row>
    <row r="7022" spans="2:7" x14ac:dyDescent="0.25">
      <c r="B7022" s="98"/>
      <c r="F7022">
        <v>7018</v>
      </c>
      <c r="G7022" s="109">
        <f t="shared" ca="1" si="118"/>
        <v>9.4829949752766873E-2</v>
      </c>
    </row>
    <row r="7023" spans="2:7" x14ac:dyDescent="0.25">
      <c r="B7023" s="98"/>
      <c r="F7023">
        <v>7019</v>
      </c>
      <c r="G7023" s="109">
        <f t="shared" ca="1" si="118"/>
        <v>-0.1565776163678706</v>
      </c>
    </row>
    <row r="7024" spans="2:7" x14ac:dyDescent="0.25">
      <c r="B7024" s="98"/>
      <c r="F7024">
        <v>7020</v>
      </c>
      <c r="G7024" s="109">
        <f t="shared" ca="1" si="118"/>
        <v>8.6569076165854103E-2</v>
      </c>
    </row>
    <row r="7025" spans="2:7" x14ac:dyDescent="0.25">
      <c r="B7025" s="98"/>
      <c r="F7025">
        <v>7021</v>
      </c>
      <c r="G7025" s="109">
        <f t="shared" ca="1" si="118"/>
        <v>-6.8349832658005372E-2</v>
      </c>
    </row>
    <row r="7026" spans="2:7" x14ac:dyDescent="0.25">
      <c r="B7026" s="98"/>
      <c r="F7026">
        <v>7022</v>
      </c>
      <c r="G7026" s="109">
        <f t="shared" ca="1" si="118"/>
        <v>3.7663471003845449E-2</v>
      </c>
    </row>
    <row r="7027" spans="2:7" x14ac:dyDescent="0.25">
      <c r="B7027" s="98"/>
      <c r="F7027">
        <v>7023</v>
      </c>
      <c r="G7027" s="109">
        <f t="shared" ca="1" si="118"/>
        <v>0.10131937895053809</v>
      </c>
    </row>
    <row r="7028" spans="2:7" x14ac:dyDescent="0.25">
      <c r="B7028" s="98"/>
      <c r="F7028">
        <v>7024</v>
      </c>
      <c r="G7028" s="109">
        <f t="shared" ca="1" si="118"/>
        <v>0.21158523616686981</v>
      </c>
    </row>
    <row r="7029" spans="2:7" x14ac:dyDescent="0.25">
      <c r="B7029" s="98"/>
      <c r="F7029">
        <v>7025</v>
      </c>
      <c r="G7029" s="109">
        <f t="shared" ca="1" si="118"/>
        <v>0.10305480473713118</v>
      </c>
    </row>
    <row r="7030" spans="2:7" x14ac:dyDescent="0.25">
      <c r="B7030" s="98"/>
      <c r="F7030">
        <v>7026</v>
      </c>
      <c r="G7030" s="109">
        <f t="shared" ca="1" si="118"/>
        <v>1.2685452864346386E-2</v>
      </c>
    </row>
    <row r="7031" spans="2:7" x14ac:dyDescent="0.25">
      <c r="B7031" s="98"/>
      <c r="F7031">
        <v>7027</v>
      </c>
      <c r="G7031" s="109">
        <f t="shared" ca="1" si="118"/>
        <v>4.0249224053230614E-2</v>
      </c>
    </row>
    <row r="7032" spans="2:7" x14ac:dyDescent="0.25">
      <c r="B7032" s="98"/>
      <c r="F7032">
        <v>7028</v>
      </c>
      <c r="G7032" s="109">
        <f t="shared" ca="1" si="118"/>
        <v>0.19896851110068786</v>
      </c>
    </row>
    <row r="7033" spans="2:7" x14ac:dyDescent="0.25">
      <c r="B7033" s="98"/>
      <c r="F7033">
        <v>7029</v>
      </c>
      <c r="G7033" s="109">
        <f t="shared" ca="1" si="118"/>
        <v>8.5817613701083817E-3</v>
      </c>
    </row>
    <row r="7034" spans="2:7" x14ac:dyDescent="0.25">
      <c r="B7034" s="98"/>
      <c r="F7034">
        <v>7030</v>
      </c>
      <c r="G7034" s="109">
        <f t="shared" ca="1" si="118"/>
        <v>-5.9910491454797987E-2</v>
      </c>
    </row>
    <row r="7035" spans="2:7" x14ac:dyDescent="0.25">
      <c r="B7035" s="98"/>
      <c r="F7035">
        <v>7031</v>
      </c>
      <c r="G7035" s="109">
        <f t="shared" ca="1" si="118"/>
        <v>0.12397625870447535</v>
      </c>
    </row>
    <row r="7036" spans="2:7" x14ac:dyDescent="0.25">
      <c r="B7036" s="98"/>
      <c r="F7036">
        <v>7032</v>
      </c>
      <c r="G7036" s="109">
        <f t="shared" ca="1" si="118"/>
        <v>1.0743164116925094E-2</v>
      </c>
    </row>
    <row r="7037" spans="2:7" x14ac:dyDescent="0.25">
      <c r="B7037" s="98"/>
      <c r="F7037">
        <v>7033</v>
      </c>
      <c r="G7037" s="109">
        <f t="shared" ca="1" si="118"/>
        <v>2.1262251491135795E-2</v>
      </c>
    </row>
    <row r="7038" spans="2:7" x14ac:dyDescent="0.25">
      <c r="B7038" s="98"/>
      <c r="F7038">
        <v>7034</v>
      </c>
      <c r="G7038" s="109">
        <f t="shared" ca="1" si="118"/>
        <v>7.5547201599584779E-2</v>
      </c>
    </row>
    <row r="7039" spans="2:7" x14ac:dyDescent="0.25">
      <c r="B7039" s="98"/>
      <c r="F7039">
        <v>7035</v>
      </c>
      <c r="G7039" s="109">
        <f t="shared" ca="1" si="118"/>
        <v>0.14793884270994345</v>
      </c>
    </row>
    <row r="7040" spans="2:7" x14ac:dyDescent="0.25">
      <c r="B7040" s="98"/>
      <c r="F7040">
        <v>7036</v>
      </c>
      <c r="G7040" s="109">
        <f t="shared" ca="1" si="118"/>
        <v>0.27894642663222396</v>
      </c>
    </row>
    <row r="7041" spans="2:7" x14ac:dyDescent="0.25">
      <c r="B7041" s="98"/>
      <c r="F7041">
        <v>7037</v>
      </c>
      <c r="G7041" s="109">
        <f t="shared" ca="1" si="118"/>
        <v>0.1434594846177219</v>
      </c>
    </row>
    <row r="7042" spans="2:7" x14ac:dyDescent="0.25">
      <c r="B7042" s="98"/>
      <c r="F7042">
        <v>7038</v>
      </c>
      <c r="G7042" s="109">
        <f t="shared" ca="1" si="118"/>
        <v>1.4907188052215692E-2</v>
      </c>
    </row>
    <row r="7043" spans="2:7" x14ac:dyDescent="0.25">
      <c r="B7043" s="98"/>
      <c r="F7043">
        <v>7039</v>
      </c>
      <c r="G7043" s="109">
        <f t="shared" ca="1" si="118"/>
        <v>0.24174404641261082</v>
      </c>
    </row>
    <row r="7044" spans="2:7" x14ac:dyDescent="0.25">
      <c r="B7044" s="98"/>
      <c r="F7044">
        <v>7040</v>
      </c>
      <c r="G7044" s="109">
        <f t="shared" ca="1" si="118"/>
        <v>2.6891518423338489E-2</v>
      </c>
    </row>
    <row r="7045" spans="2:7" x14ac:dyDescent="0.25">
      <c r="B7045" s="98"/>
      <c r="F7045">
        <v>7041</v>
      </c>
      <c r="G7045" s="109">
        <f t="shared" ca="1" si="118"/>
        <v>0.11490739876628857</v>
      </c>
    </row>
    <row r="7046" spans="2:7" x14ac:dyDescent="0.25">
      <c r="B7046" s="98"/>
      <c r="F7046">
        <v>7042</v>
      </c>
      <c r="G7046" s="109">
        <f t="shared" ref="G7046:G7109" ca="1" si="119">_xlfn.NORM.INV(RAND(),$M$5,$M$6)</f>
        <v>9.0152007386561622E-2</v>
      </c>
    </row>
    <row r="7047" spans="2:7" x14ac:dyDescent="0.25">
      <c r="B7047" s="98"/>
      <c r="F7047">
        <v>7043</v>
      </c>
      <c r="G7047" s="109">
        <f t="shared" ca="1" si="119"/>
        <v>-0.16872158314903429</v>
      </c>
    </row>
    <row r="7048" spans="2:7" x14ac:dyDescent="0.25">
      <c r="B7048" s="98"/>
      <c r="F7048">
        <v>7044</v>
      </c>
      <c r="G7048" s="109">
        <f t="shared" ca="1" si="119"/>
        <v>-2.7689906018494026E-3</v>
      </c>
    </row>
    <row r="7049" spans="2:7" x14ac:dyDescent="0.25">
      <c r="B7049" s="98"/>
      <c r="F7049">
        <v>7045</v>
      </c>
      <c r="G7049" s="109">
        <f t="shared" ca="1" si="119"/>
        <v>0.23917065992668024</v>
      </c>
    </row>
    <row r="7050" spans="2:7" x14ac:dyDescent="0.25">
      <c r="B7050" s="98"/>
      <c r="F7050">
        <v>7046</v>
      </c>
      <c r="G7050" s="109">
        <f t="shared" ca="1" si="119"/>
        <v>0.13550429311831752</v>
      </c>
    </row>
    <row r="7051" spans="2:7" x14ac:dyDescent="0.25">
      <c r="B7051" s="98"/>
      <c r="F7051">
        <v>7047</v>
      </c>
      <c r="G7051" s="109">
        <f t="shared" ca="1" si="119"/>
        <v>-4.5462316309083775E-2</v>
      </c>
    </row>
    <row r="7052" spans="2:7" x14ac:dyDescent="0.25">
      <c r="B7052" s="98"/>
      <c r="F7052">
        <v>7048</v>
      </c>
      <c r="G7052" s="109">
        <f t="shared" ca="1" si="119"/>
        <v>1.2944507218391701E-2</v>
      </c>
    </row>
    <row r="7053" spans="2:7" x14ac:dyDescent="0.25">
      <c r="B7053" s="98"/>
      <c r="F7053">
        <v>7049</v>
      </c>
      <c r="G7053" s="109">
        <f t="shared" ca="1" si="119"/>
        <v>1.0822659992427111E-2</v>
      </c>
    </row>
    <row r="7054" spans="2:7" x14ac:dyDescent="0.25">
      <c r="B7054" s="98"/>
      <c r="F7054">
        <v>7050</v>
      </c>
      <c r="G7054" s="109">
        <f t="shared" ca="1" si="119"/>
        <v>3.4508416140333835E-2</v>
      </c>
    </row>
    <row r="7055" spans="2:7" x14ac:dyDescent="0.25">
      <c r="B7055" s="98"/>
      <c r="F7055">
        <v>7051</v>
      </c>
      <c r="G7055" s="109">
        <f t="shared" ca="1" si="119"/>
        <v>-0.13664080013124136</v>
      </c>
    </row>
    <row r="7056" spans="2:7" x14ac:dyDescent="0.25">
      <c r="B7056" s="98"/>
      <c r="F7056">
        <v>7052</v>
      </c>
      <c r="G7056" s="109">
        <f t="shared" ca="1" si="119"/>
        <v>-9.8688390250032496E-2</v>
      </c>
    </row>
    <row r="7057" spans="2:7" x14ac:dyDescent="0.25">
      <c r="B7057" s="98"/>
      <c r="F7057">
        <v>7053</v>
      </c>
      <c r="G7057" s="109">
        <f t="shared" ca="1" si="119"/>
        <v>-5.9026055266910682E-2</v>
      </c>
    </row>
    <row r="7058" spans="2:7" x14ac:dyDescent="0.25">
      <c r="B7058" s="98"/>
      <c r="F7058">
        <v>7054</v>
      </c>
      <c r="G7058" s="109">
        <f t="shared" ca="1" si="119"/>
        <v>2.8944520552001633E-2</v>
      </c>
    </row>
    <row r="7059" spans="2:7" x14ac:dyDescent="0.25">
      <c r="B7059" s="98"/>
      <c r="F7059">
        <v>7055</v>
      </c>
      <c r="G7059" s="109">
        <f t="shared" ca="1" si="119"/>
        <v>1.3264432061231124E-2</v>
      </c>
    </row>
    <row r="7060" spans="2:7" x14ac:dyDescent="0.25">
      <c r="B7060" s="98"/>
      <c r="F7060">
        <v>7056</v>
      </c>
      <c r="G7060" s="109">
        <f t="shared" ca="1" si="119"/>
        <v>0.31868974651777887</v>
      </c>
    </row>
    <row r="7061" spans="2:7" x14ac:dyDescent="0.25">
      <c r="B7061" s="98"/>
      <c r="F7061">
        <v>7057</v>
      </c>
      <c r="G7061" s="109">
        <f t="shared" ca="1" si="119"/>
        <v>0.11331949979890908</v>
      </c>
    </row>
    <row r="7062" spans="2:7" x14ac:dyDescent="0.25">
      <c r="B7062" s="98"/>
      <c r="F7062">
        <v>7058</v>
      </c>
      <c r="G7062" s="109">
        <f t="shared" ca="1" si="119"/>
        <v>7.4422381084399386E-2</v>
      </c>
    </row>
    <row r="7063" spans="2:7" x14ac:dyDescent="0.25">
      <c r="B7063" s="98"/>
      <c r="F7063">
        <v>7059</v>
      </c>
      <c r="G7063" s="109">
        <f t="shared" ca="1" si="119"/>
        <v>-1.7624011121150723E-2</v>
      </c>
    </row>
    <row r="7064" spans="2:7" x14ac:dyDescent="0.25">
      <c r="B7064" s="98"/>
      <c r="F7064">
        <v>7060</v>
      </c>
      <c r="G7064" s="109">
        <f t="shared" ca="1" si="119"/>
        <v>0.14720993407131222</v>
      </c>
    </row>
    <row r="7065" spans="2:7" x14ac:dyDescent="0.25">
      <c r="B7065" s="98"/>
      <c r="F7065">
        <v>7061</v>
      </c>
      <c r="G7065" s="109">
        <f t="shared" ca="1" si="119"/>
        <v>-4.3210242952127872E-2</v>
      </c>
    </row>
    <row r="7066" spans="2:7" x14ac:dyDescent="0.25">
      <c r="B7066" s="98"/>
      <c r="F7066">
        <v>7062</v>
      </c>
      <c r="G7066" s="109">
        <f t="shared" ca="1" si="119"/>
        <v>0.18124828416032451</v>
      </c>
    </row>
    <row r="7067" spans="2:7" x14ac:dyDescent="0.25">
      <c r="B7067" s="98"/>
      <c r="F7067">
        <v>7063</v>
      </c>
      <c r="G7067" s="109">
        <f t="shared" ca="1" si="119"/>
        <v>-1.4339093564318978E-2</v>
      </c>
    </row>
    <row r="7068" spans="2:7" x14ac:dyDescent="0.25">
      <c r="B7068" s="98"/>
      <c r="F7068">
        <v>7064</v>
      </c>
      <c r="G7068" s="109">
        <f t="shared" ca="1" si="119"/>
        <v>3.9605820314007043E-2</v>
      </c>
    </row>
    <row r="7069" spans="2:7" x14ac:dyDescent="0.25">
      <c r="B7069" s="98"/>
      <c r="F7069">
        <v>7065</v>
      </c>
      <c r="G7069" s="109">
        <f t="shared" ca="1" si="119"/>
        <v>1.6777690204905927E-2</v>
      </c>
    </row>
    <row r="7070" spans="2:7" x14ac:dyDescent="0.25">
      <c r="B7070" s="98"/>
      <c r="F7070">
        <v>7066</v>
      </c>
      <c r="G7070" s="109">
        <f t="shared" ca="1" si="119"/>
        <v>0.10726325495687711</v>
      </c>
    </row>
    <row r="7071" spans="2:7" x14ac:dyDescent="0.25">
      <c r="B7071" s="98"/>
      <c r="F7071">
        <v>7067</v>
      </c>
      <c r="G7071" s="109">
        <f t="shared" ca="1" si="119"/>
        <v>3.3058160806021232E-2</v>
      </c>
    </row>
    <row r="7072" spans="2:7" x14ac:dyDescent="0.25">
      <c r="B7072" s="98"/>
      <c r="F7072">
        <v>7068</v>
      </c>
      <c r="G7072" s="109">
        <f t="shared" ca="1" si="119"/>
        <v>-0.14489348265448992</v>
      </c>
    </row>
    <row r="7073" spans="2:7" x14ac:dyDescent="0.25">
      <c r="B7073" s="98"/>
      <c r="F7073">
        <v>7069</v>
      </c>
      <c r="G7073" s="109">
        <f t="shared" ca="1" si="119"/>
        <v>3.1819437050474526E-2</v>
      </c>
    </row>
    <row r="7074" spans="2:7" x14ac:dyDescent="0.25">
      <c r="B7074" s="98"/>
      <c r="F7074">
        <v>7070</v>
      </c>
      <c r="G7074" s="109">
        <f t="shared" ca="1" si="119"/>
        <v>1.7210966880355148E-2</v>
      </c>
    </row>
    <row r="7075" spans="2:7" x14ac:dyDescent="0.25">
      <c r="B7075" s="98"/>
      <c r="F7075">
        <v>7071</v>
      </c>
      <c r="G7075" s="109">
        <f t="shared" ca="1" si="119"/>
        <v>-4.0452214808304382E-2</v>
      </c>
    </row>
    <row r="7076" spans="2:7" x14ac:dyDescent="0.25">
      <c r="B7076" s="98"/>
      <c r="F7076">
        <v>7072</v>
      </c>
      <c r="G7076" s="109">
        <f t="shared" ca="1" si="119"/>
        <v>-2.4779772128267957E-2</v>
      </c>
    </row>
    <row r="7077" spans="2:7" x14ac:dyDescent="0.25">
      <c r="B7077" s="98"/>
      <c r="F7077">
        <v>7073</v>
      </c>
      <c r="G7077" s="109">
        <f t="shared" ca="1" si="119"/>
        <v>-6.5790514099780442E-2</v>
      </c>
    </row>
    <row r="7078" spans="2:7" x14ac:dyDescent="0.25">
      <c r="B7078" s="98"/>
      <c r="F7078">
        <v>7074</v>
      </c>
      <c r="G7078" s="109">
        <f t="shared" ca="1" si="119"/>
        <v>6.4330005442019889E-2</v>
      </c>
    </row>
    <row r="7079" spans="2:7" x14ac:dyDescent="0.25">
      <c r="B7079" s="98"/>
      <c r="F7079">
        <v>7075</v>
      </c>
      <c r="G7079" s="109">
        <f t="shared" ca="1" si="119"/>
        <v>-0.13972319631600283</v>
      </c>
    </row>
    <row r="7080" spans="2:7" x14ac:dyDescent="0.25">
      <c r="B7080" s="98"/>
      <c r="F7080">
        <v>7076</v>
      </c>
      <c r="G7080" s="109">
        <f t="shared" ca="1" si="119"/>
        <v>0.19920490506964511</v>
      </c>
    </row>
    <row r="7081" spans="2:7" x14ac:dyDescent="0.25">
      <c r="B7081" s="98"/>
      <c r="F7081">
        <v>7077</v>
      </c>
      <c r="G7081" s="109">
        <f t="shared" ca="1" si="119"/>
        <v>0.16727576304636577</v>
      </c>
    </row>
    <row r="7082" spans="2:7" x14ac:dyDescent="0.25">
      <c r="B7082" s="98"/>
      <c r="F7082">
        <v>7078</v>
      </c>
      <c r="G7082" s="109">
        <f t="shared" ca="1" si="119"/>
        <v>2.8419721383339286E-2</v>
      </c>
    </row>
    <row r="7083" spans="2:7" x14ac:dyDescent="0.25">
      <c r="B7083" s="98"/>
      <c r="F7083">
        <v>7079</v>
      </c>
      <c r="G7083" s="109">
        <f t="shared" ca="1" si="119"/>
        <v>6.3298353883413316E-2</v>
      </c>
    </row>
    <row r="7084" spans="2:7" x14ac:dyDescent="0.25">
      <c r="B7084" s="98"/>
      <c r="F7084">
        <v>7080</v>
      </c>
      <c r="G7084" s="109">
        <f t="shared" ca="1" si="119"/>
        <v>1.3373519094231588E-2</v>
      </c>
    </row>
    <row r="7085" spans="2:7" x14ac:dyDescent="0.25">
      <c r="B7085" s="98"/>
      <c r="F7085">
        <v>7081</v>
      </c>
      <c r="G7085" s="109">
        <f t="shared" ca="1" si="119"/>
        <v>-0.1468744884383526</v>
      </c>
    </row>
    <row r="7086" spans="2:7" x14ac:dyDescent="0.25">
      <c r="B7086" s="98"/>
      <c r="F7086">
        <v>7082</v>
      </c>
      <c r="G7086" s="109">
        <f t="shared" ca="1" si="119"/>
        <v>8.9085340364483678E-3</v>
      </c>
    </row>
    <row r="7087" spans="2:7" x14ac:dyDescent="0.25">
      <c r="B7087" s="98"/>
      <c r="F7087">
        <v>7083</v>
      </c>
      <c r="G7087" s="109">
        <f t="shared" ca="1" si="119"/>
        <v>-3.3121087212764522E-2</v>
      </c>
    </row>
    <row r="7088" spans="2:7" x14ac:dyDescent="0.25">
      <c r="B7088" s="98"/>
      <c r="F7088">
        <v>7084</v>
      </c>
      <c r="G7088" s="109">
        <f t="shared" ca="1" si="119"/>
        <v>3.6999399195185002E-2</v>
      </c>
    </row>
    <row r="7089" spans="2:7" x14ac:dyDescent="0.25">
      <c r="B7089" s="98"/>
      <c r="F7089">
        <v>7085</v>
      </c>
      <c r="G7089" s="109">
        <f t="shared" ca="1" si="119"/>
        <v>4.5931148393444775E-2</v>
      </c>
    </row>
    <row r="7090" spans="2:7" x14ac:dyDescent="0.25">
      <c r="B7090" s="98"/>
      <c r="F7090">
        <v>7086</v>
      </c>
      <c r="G7090" s="109">
        <f t="shared" ca="1" si="119"/>
        <v>-1.5395646038674327E-2</v>
      </c>
    </row>
    <row r="7091" spans="2:7" x14ac:dyDescent="0.25">
      <c r="B7091" s="98"/>
      <c r="F7091">
        <v>7087</v>
      </c>
      <c r="G7091" s="109">
        <f t="shared" ca="1" si="119"/>
        <v>0.18286196408250205</v>
      </c>
    </row>
    <row r="7092" spans="2:7" x14ac:dyDescent="0.25">
      <c r="B7092" s="98"/>
      <c r="F7092">
        <v>7088</v>
      </c>
      <c r="G7092" s="109">
        <f t="shared" ca="1" si="119"/>
        <v>0.13898148417430767</v>
      </c>
    </row>
    <row r="7093" spans="2:7" x14ac:dyDescent="0.25">
      <c r="B7093" s="98"/>
      <c r="F7093">
        <v>7089</v>
      </c>
      <c r="G7093" s="109">
        <f t="shared" ca="1" si="119"/>
        <v>0.15277332598718785</v>
      </c>
    </row>
    <row r="7094" spans="2:7" x14ac:dyDescent="0.25">
      <c r="B7094" s="98"/>
      <c r="F7094">
        <v>7090</v>
      </c>
      <c r="G7094" s="109">
        <f t="shared" ca="1" si="119"/>
        <v>0.12364573847598039</v>
      </c>
    </row>
    <row r="7095" spans="2:7" x14ac:dyDescent="0.25">
      <c r="B7095" s="98"/>
      <c r="F7095">
        <v>7091</v>
      </c>
      <c r="G7095" s="109">
        <f t="shared" ca="1" si="119"/>
        <v>2.9655828938744879E-2</v>
      </c>
    </row>
    <row r="7096" spans="2:7" x14ac:dyDescent="0.25">
      <c r="B7096" s="98"/>
      <c r="F7096">
        <v>7092</v>
      </c>
      <c r="G7096" s="109">
        <f t="shared" ca="1" si="119"/>
        <v>2.5226881444242868E-2</v>
      </c>
    </row>
    <row r="7097" spans="2:7" x14ac:dyDescent="0.25">
      <c r="B7097" s="98"/>
      <c r="F7097">
        <v>7093</v>
      </c>
      <c r="G7097" s="109">
        <f t="shared" ca="1" si="119"/>
        <v>-1.821904237309506E-2</v>
      </c>
    </row>
    <row r="7098" spans="2:7" x14ac:dyDescent="0.25">
      <c r="B7098" s="98"/>
      <c r="F7098">
        <v>7094</v>
      </c>
      <c r="G7098" s="109">
        <f t="shared" ca="1" si="119"/>
        <v>-8.27813699786413E-4</v>
      </c>
    </row>
    <row r="7099" spans="2:7" x14ac:dyDescent="0.25">
      <c r="B7099" s="98"/>
      <c r="F7099">
        <v>7095</v>
      </c>
      <c r="G7099" s="109">
        <f t="shared" ca="1" si="119"/>
        <v>5.8758073856823162E-2</v>
      </c>
    </row>
    <row r="7100" spans="2:7" x14ac:dyDescent="0.25">
      <c r="B7100" s="98"/>
      <c r="F7100">
        <v>7096</v>
      </c>
      <c r="G7100" s="109">
        <f t="shared" ca="1" si="119"/>
        <v>7.9144503334830155E-3</v>
      </c>
    </row>
    <row r="7101" spans="2:7" x14ac:dyDescent="0.25">
      <c r="B7101" s="98"/>
      <c r="F7101">
        <v>7097</v>
      </c>
      <c r="G7101" s="109">
        <f t="shared" ca="1" si="119"/>
        <v>8.6367427052332052E-2</v>
      </c>
    </row>
    <row r="7102" spans="2:7" x14ac:dyDescent="0.25">
      <c r="B7102" s="98"/>
      <c r="F7102">
        <v>7098</v>
      </c>
      <c r="G7102" s="109">
        <f t="shared" ca="1" si="119"/>
        <v>-6.5002178180257275E-2</v>
      </c>
    </row>
    <row r="7103" spans="2:7" x14ac:dyDescent="0.25">
      <c r="B7103" s="98"/>
      <c r="F7103">
        <v>7099</v>
      </c>
      <c r="G7103" s="109">
        <f t="shared" ca="1" si="119"/>
        <v>7.5276112977677112E-2</v>
      </c>
    </row>
    <row r="7104" spans="2:7" x14ac:dyDescent="0.25">
      <c r="B7104" s="98"/>
      <c r="F7104">
        <v>7100</v>
      </c>
      <c r="G7104" s="109">
        <f t="shared" ca="1" si="119"/>
        <v>-0.23199868243942867</v>
      </c>
    </row>
    <row r="7105" spans="2:7" x14ac:dyDescent="0.25">
      <c r="B7105" s="98"/>
      <c r="F7105">
        <v>7101</v>
      </c>
      <c r="G7105" s="109">
        <f t="shared" ca="1" si="119"/>
        <v>8.3677558117812065E-2</v>
      </c>
    </row>
    <row r="7106" spans="2:7" x14ac:dyDescent="0.25">
      <c r="B7106" s="98"/>
      <c r="F7106">
        <v>7102</v>
      </c>
      <c r="G7106" s="109">
        <f t="shared" ca="1" si="119"/>
        <v>1.8011171960739921E-2</v>
      </c>
    </row>
    <row r="7107" spans="2:7" x14ac:dyDescent="0.25">
      <c r="B7107" s="98"/>
      <c r="F7107">
        <v>7103</v>
      </c>
      <c r="G7107" s="109">
        <f t="shared" ca="1" si="119"/>
        <v>1.3030371260214516E-2</v>
      </c>
    </row>
    <row r="7108" spans="2:7" x14ac:dyDescent="0.25">
      <c r="B7108" s="98"/>
      <c r="F7108">
        <v>7104</v>
      </c>
      <c r="G7108" s="109">
        <f t="shared" ca="1" si="119"/>
        <v>-1.1289565269653898E-2</v>
      </c>
    </row>
    <row r="7109" spans="2:7" x14ac:dyDescent="0.25">
      <c r="B7109" s="98"/>
      <c r="F7109">
        <v>7105</v>
      </c>
      <c r="G7109" s="109">
        <f t="shared" ca="1" si="119"/>
        <v>-0.13159109484445386</v>
      </c>
    </row>
    <row r="7110" spans="2:7" x14ac:dyDescent="0.25">
      <c r="B7110" s="98"/>
      <c r="F7110">
        <v>7106</v>
      </c>
      <c r="G7110" s="109">
        <f t="shared" ref="G7110:G7173" ca="1" si="120">_xlfn.NORM.INV(RAND(),$M$5,$M$6)</f>
        <v>3.7100541052112468E-2</v>
      </c>
    </row>
    <row r="7111" spans="2:7" x14ac:dyDescent="0.25">
      <c r="B7111" s="98"/>
      <c r="F7111">
        <v>7107</v>
      </c>
      <c r="G7111" s="109">
        <f t="shared" ca="1" si="120"/>
        <v>-1.3726236868073963E-2</v>
      </c>
    </row>
    <row r="7112" spans="2:7" x14ac:dyDescent="0.25">
      <c r="B7112" s="98"/>
      <c r="F7112">
        <v>7108</v>
      </c>
      <c r="G7112" s="109">
        <f t="shared" ca="1" si="120"/>
        <v>4.4576962369800681E-2</v>
      </c>
    </row>
    <row r="7113" spans="2:7" x14ac:dyDescent="0.25">
      <c r="B7113" s="98"/>
      <c r="F7113">
        <v>7109</v>
      </c>
      <c r="G7113" s="109">
        <f t="shared" ca="1" si="120"/>
        <v>2.5070919833026614E-2</v>
      </c>
    </row>
    <row r="7114" spans="2:7" x14ac:dyDescent="0.25">
      <c r="B7114" s="98"/>
      <c r="F7114">
        <v>7110</v>
      </c>
      <c r="G7114" s="109">
        <f t="shared" ca="1" si="120"/>
        <v>-0.11755418119417428</v>
      </c>
    </row>
    <row r="7115" spans="2:7" x14ac:dyDescent="0.25">
      <c r="B7115" s="98"/>
      <c r="F7115">
        <v>7111</v>
      </c>
      <c r="G7115" s="109">
        <f t="shared" ca="1" si="120"/>
        <v>4.5848745604286249E-2</v>
      </c>
    </row>
    <row r="7116" spans="2:7" x14ac:dyDescent="0.25">
      <c r="B7116" s="98"/>
      <c r="F7116">
        <v>7112</v>
      </c>
      <c r="G7116" s="109">
        <f t="shared" ca="1" si="120"/>
        <v>0.10454791608200054</v>
      </c>
    </row>
    <row r="7117" spans="2:7" x14ac:dyDescent="0.25">
      <c r="B7117" s="98"/>
      <c r="F7117">
        <v>7113</v>
      </c>
      <c r="G7117" s="109">
        <f t="shared" ca="1" si="120"/>
        <v>0.16665443984508921</v>
      </c>
    </row>
    <row r="7118" spans="2:7" x14ac:dyDescent="0.25">
      <c r="B7118" s="98"/>
      <c r="F7118">
        <v>7114</v>
      </c>
      <c r="G7118" s="109">
        <f t="shared" ca="1" si="120"/>
        <v>0.12933659380054316</v>
      </c>
    </row>
    <row r="7119" spans="2:7" x14ac:dyDescent="0.25">
      <c r="B7119" s="98"/>
      <c r="F7119">
        <v>7115</v>
      </c>
      <c r="G7119" s="109">
        <f t="shared" ca="1" si="120"/>
        <v>2.57005168276223E-2</v>
      </c>
    </row>
    <row r="7120" spans="2:7" x14ac:dyDescent="0.25">
      <c r="B7120" s="98"/>
      <c r="F7120">
        <v>7116</v>
      </c>
      <c r="G7120" s="109">
        <f t="shared" ca="1" si="120"/>
        <v>0.31881977051557603</v>
      </c>
    </row>
    <row r="7121" spans="2:7" x14ac:dyDescent="0.25">
      <c r="B7121" s="98"/>
      <c r="F7121">
        <v>7117</v>
      </c>
      <c r="G7121" s="109">
        <f t="shared" ca="1" si="120"/>
        <v>9.3182600671059101E-2</v>
      </c>
    </row>
    <row r="7122" spans="2:7" x14ac:dyDescent="0.25">
      <c r="B7122" s="98"/>
      <c r="F7122">
        <v>7118</v>
      </c>
      <c r="G7122" s="109">
        <f t="shared" ca="1" si="120"/>
        <v>3.3562362407585977E-2</v>
      </c>
    </row>
    <row r="7123" spans="2:7" x14ac:dyDescent="0.25">
      <c r="B7123" s="98"/>
      <c r="F7123">
        <v>7119</v>
      </c>
      <c r="G7123" s="109">
        <f t="shared" ca="1" si="120"/>
        <v>9.108381894100305E-2</v>
      </c>
    </row>
    <row r="7124" spans="2:7" x14ac:dyDescent="0.25">
      <c r="B7124" s="98"/>
      <c r="F7124">
        <v>7120</v>
      </c>
      <c r="G7124" s="109">
        <f t="shared" ca="1" si="120"/>
        <v>-2.0646001823435331E-2</v>
      </c>
    </row>
    <row r="7125" spans="2:7" x14ac:dyDescent="0.25">
      <c r="B7125" s="98"/>
      <c r="F7125">
        <v>7121</v>
      </c>
      <c r="G7125" s="109">
        <f t="shared" ca="1" si="120"/>
        <v>5.1810095943421286E-2</v>
      </c>
    </row>
    <row r="7126" spans="2:7" x14ac:dyDescent="0.25">
      <c r="B7126" s="98"/>
      <c r="F7126">
        <v>7122</v>
      </c>
      <c r="G7126" s="109">
        <f t="shared" ca="1" si="120"/>
        <v>-5.3582518277192209E-2</v>
      </c>
    </row>
    <row r="7127" spans="2:7" x14ac:dyDescent="0.25">
      <c r="B7127" s="98"/>
      <c r="F7127">
        <v>7123</v>
      </c>
      <c r="G7127" s="109">
        <f t="shared" ca="1" si="120"/>
        <v>-2.2271327234545876E-2</v>
      </c>
    </row>
    <row r="7128" spans="2:7" x14ac:dyDescent="0.25">
      <c r="B7128" s="98"/>
      <c r="F7128">
        <v>7124</v>
      </c>
      <c r="G7128" s="109">
        <f t="shared" ca="1" si="120"/>
        <v>-3.672181600390359E-3</v>
      </c>
    </row>
    <row r="7129" spans="2:7" x14ac:dyDescent="0.25">
      <c r="B7129" s="98"/>
      <c r="F7129">
        <v>7125</v>
      </c>
      <c r="G7129" s="109">
        <f t="shared" ca="1" si="120"/>
        <v>-0.11214561822758297</v>
      </c>
    </row>
    <row r="7130" spans="2:7" x14ac:dyDescent="0.25">
      <c r="B7130" s="98"/>
      <c r="F7130">
        <v>7126</v>
      </c>
      <c r="G7130" s="109">
        <f t="shared" ca="1" si="120"/>
        <v>3.0115488574687294E-2</v>
      </c>
    </row>
    <row r="7131" spans="2:7" x14ac:dyDescent="0.25">
      <c r="B7131" s="98"/>
      <c r="F7131">
        <v>7127</v>
      </c>
      <c r="G7131" s="109">
        <f t="shared" ca="1" si="120"/>
        <v>9.2976587302265074E-2</v>
      </c>
    </row>
    <row r="7132" spans="2:7" x14ac:dyDescent="0.25">
      <c r="B7132" s="98"/>
      <c r="F7132">
        <v>7128</v>
      </c>
      <c r="G7132" s="109">
        <f t="shared" ca="1" si="120"/>
        <v>-0.13769503170325154</v>
      </c>
    </row>
    <row r="7133" spans="2:7" x14ac:dyDescent="0.25">
      <c r="B7133" s="98"/>
      <c r="F7133">
        <v>7129</v>
      </c>
      <c r="G7133" s="109">
        <f t="shared" ca="1" si="120"/>
        <v>7.0008978249017528E-2</v>
      </c>
    </row>
    <row r="7134" spans="2:7" x14ac:dyDescent="0.25">
      <c r="B7134" s="98"/>
      <c r="F7134">
        <v>7130</v>
      </c>
      <c r="G7134" s="109">
        <f t="shared" ca="1" si="120"/>
        <v>-3.374512305656148E-2</v>
      </c>
    </row>
    <row r="7135" spans="2:7" x14ac:dyDescent="0.25">
      <c r="B7135" s="98"/>
      <c r="F7135">
        <v>7131</v>
      </c>
      <c r="G7135" s="109">
        <f t="shared" ca="1" si="120"/>
        <v>-0.12691601024320326</v>
      </c>
    </row>
    <row r="7136" spans="2:7" x14ac:dyDescent="0.25">
      <c r="B7136" s="98"/>
      <c r="F7136">
        <v>7132</v>
      </c>
      <c r="G7136" s="109">
        <f t="shared" ca="1" si="120"/>
        <v>0.10058846631198559</v>
      </c>
    </row>
    <row r="7137" spans="2:7" x14ac:dyDescent="0.25">
      <c r="B7137" s="98"/>
      <c r="F7137">
        <v>7133</v>
      </c>
      <c r="G7137" s="109">
        <f t="shared" ca="1" si="120"/>
        <v>9.4616057820730876E-2</v>
      </c>
    </row>
    <row r="7138" spans="2:7" x14ac:dyDescent="0.25">
      <c r="B7138" s="98"/>
      <c r="F7138">
        <v>7134</v>
      </c>
      <c r="G7138" s="109">
        <f t="shared" ca="1" si="120"/>
        <v>3.2080877107073087E-2</v>
      </c>
    </row>
    <row r="7139" spans="2:7" x14ac:dyDescent="0.25">
      <c r="B7139" s="98"/>
      <c r="F7139">
        <v>7135</v>
      </c>
      <c r="G7139" s="109">
        <f t="shared" ca="1" si="120"/>
        <v>-2.6737364869630825E-2</v>
      </c>
    </row>
    <row r="7140" spans="2:7" x14ac:dyDescent="0.25">
      <c r="B7140" s="98"/>
      <c r="F7140">
        <v>7136</v>
      </c>
      <c r="G7140" s="109">
        <f t="shared" ca="1" si="120"/>
        <v>-6.2718565529577691E-2</v>
      </c>
    </row>
    <row r="7141" spans="2:7" x14ac:dyDescent="0.25">
      <c r="B7141" s="98"/>
      <c r="F7141">
        <v>7137</v>
      </c>
      <c r="G7141" s="109">
        <f t="shared" ca="1" si="120"/>
        <v>-1.4939362068288942E-2</v>
      </c>
    </row>
    <row r="7142" spans="2:7" x14ac:dyDescent="0.25">
      <c r="B7142" s="98"/>
      <c r="F7142">
        <v>7138</v>
      </c>
      <c r="G7142" s="109">
        <f t="shared" ca="1" si="120"/>
        <v>-1.5583861812791588E-2</v>
      </c>
    </row>
    <row r="7143" spans="2:7" x14ac:dyDescent="0.25">
      <c r="B7143" s="98"/>
      <c r="F7143">
        <v>7139</v>
      </c>
      <c r="G7143" s="109">
        <f t="shared" ca="1" si="120"/>
        <v>7.4286730850488716E-2</v>
      </c>
    </row>
    <row r="7144" spans="2:7" x14ac:dyDescent="0.25">
      <c r="B7144" s="98"/>
      <c r="F7144">
        <v>7140</v>
      </c>
      <c r="G7144" s="109">
        <f t="shared" ca="1" si="120"/>
        <v>8.1673940975186293E-2</v>
      </c>
    </row>
    <row r="7145" spans="2:7" x14ac:dyDescent="0.25">
      <c r="B7145" s="98"/>
      <c r="F7145">
        <v>7141</v>
      </c>
      <c r="G7145" s="109">
        <f t="shared" ca="1" si="120"/>
        <v>-2.9266793417685052E-2</v>
      </c>
    </row>
    <row r="7146" spans="2:7" x14ac:dyDescent="0.25">
      <c r="B7146" s="98"/>
      <c r="F7146">
        <v>7142</v>
      </c>
      <c r="G7146" s="109">
        <f t="shared" ca="1" si="120"/>
        <v>0.11714955776593823</v>
      </c>
    </row>
    <row r="7147" spans="2:7" x14ac:dyDescent="0.25">
      <c r="B7147" s="98"/>
      <c r="F7147">
        <v>7143</v>
      </c>
      <c r="G7147" s="109">
        <f t="shared" ca="1" si="120"/>
        <v>-4.2842306201724079E-2</v>
      </c>
    </row>
    <row r="7148" spans="2:7" x14ac:dyDescent="0.25">
      <c r="B7148" s="98"/>
      <c r="F7148">
        <v>7144</v>
      </c>
      <c r="G7148" s="109">
        <f t="shared" ca="1" si="120"/>
        <v>-6.5044373047448686E-2</v>
      </c>
    </row>
    <row r="7149" spans="2:7" x14ac:dyDescent="0.25">
      <c r="B7149" s="98"/>
      <c r="F7149">
        <v>7145</v>
      </c>
      <c r="G7149" s="109">
        <f t="shared" ca="1" si="120"/>
        <v>8.0442217916059836E-2</v>
      </c>
    </row>
    <row r="7150" spans="2:7" x14ac:dyDescent="0.25">
      <c r="B7150" s="98"/>
      <c r="F7150">
        <v>7146</v>
      </c>
      <c r="G7150" s="109">
        <f t="shared" ca="1" si="120"/>
        <v>0.13808543204644974</v>
      </c>
    </row>
    <row r="7151" spans="2:7" x14ac:dyDescent="0.25">
      <c r="B7151" s="98"/>
      <c r="F7151">
        <v>7147</v>
      </c>
      <c r="G7151" s="109">
        <f t="shared" ca="1" si="120"/>
        <v>-2.0626022387529738E-2</v>
      </c>
    </row>
    <row r="7152" spans="2:7" x14ac:dyDescent="0.25">
      <c r="B7152" s="98"/>
      <c r="F7152">
        <v>7148</v>
      </c>
      <c r="G7152" s="109">
        <f t="shared" ca="1" si="120"/>
        <v>-0.14436404817305354</v>
      </c>
    </row>
    <row r="7153" spans="2:7" x14ac:dyDescent="0.25">
      <c r="B7153" s="98"/>
      <c r="F7153">
        <v>7149</v>
      </c>
      <c r="G7153" s="109">
        <f t="shared" ca="1" si="120"/>
        <v>0.21028184765672642</v>
      </c>
    </row>
    <row r="7154" spans="2:7" x14ac:dyDescent="0.25">
      <c r="B7154" s="98"/>
      <c r="F7154">
        <v>7150</v>
      </c>
      <c r="G7154" s="109">
        <f t="shared" ca="1" si="120"/>
        <v>0.23745414256336073</v>
      </c>
    </row>
    <row r="7155" spans="2:7" x14ac:dyDescent="0.25">
      <c r="B7155" s="98"/>
      <c r="F7155">
        <v>7151</v>
      </c>
      <c r="G7155" s="109">
        <f t="shared" ca="1" si="120"/>
        <v>9.2435582343257314E-2</v>
      </c>
    </row>
    <row r="7156" spans="2:7" x14ac:dyDescent="0.25">
      <c r="B7156" s="98"/>
      <c r="F7156">
        <v>7152</v>
      </c>
      <c r="G7156" s="109">
        <f t="shared" ca="1" si="120"/>
        <v>6.114250479909409E-2</v>
      </c>
    </row>
    <row r="7157" spans="2:7" x14ac:dyDescent="0.25">
      <c r="B7157" s="98"/>
      <c r="F7157">
        <v>7153</v>
      </c>
      <c r="G7157" s="109">
        <f t="shared" ca="1" si="120"/>
        <v>-1.4502675713172181E-2</v>
      </c>
    </row>
    <row r="7158" spans="2:7" x14ac:dyDescent="0.25">
      <c r="B7158" s="98"/>
      <c r="F7158">
        <v>7154</v>
      </c>
      <c r="G7158" s="109">
        <f t="shared" ca="1" si="120"/>
        <v>8.5203943385898165E-3</v>
      </c>
    </row>
    <row r="7159" spans="2:7" x14ac:dyDescent="0.25">
      <c r="B7159" s="98"/>
      <c r="F7159">
        <v>7155</v>
      </c>
      <c r="G7159" s="109">
        <f t="shared" ca="1" si="120"/>
        <v>-0.21518059740331685</v>
      </c>
    </row>
    <row r="7160" spans="2:7" x14ac:dyDescent="0.25">
      <c r="B7160" s="98"/>
      <c r="F7160">
        <v>7156</v>
      </c>
      <c r="G7160" s="109">
        <f t="shared" ca="1" si="120"/>
        <v>0.16545841170100728</v>
      </c>
    </row>
    <row r="7161" spans="2:7" x14ac:dyDescent="0.25">
      <c r="B7161" s="98"/>
      <c r="F7161">
        <v>7157</v>
      </c>
      <c r="G7161" s="109">
        <f t="shared" ca="1" si="120"/>
        <v>-7.5737793809774759E-2</v>
      </c>
    </row>
    <row r="7162" spans="2:7" x14ac:dyDescent="0.25">
      <c r="B7162" s="98"/>
      <c r="F7162">
        <v>7158</v>
      </c>
      <c r="G7162" s="109">
        <f t="shared" ca="1" si="120"/>
        <v>0.13562012722549341</v>
      </c>
    </row>
    <row r="7163" spans="2:7" x14ac:dyDescent="0.25">
      <c r="B7163" s="98"/>
      <c r="F7163">
        <v>7159</v>
      </c>
      <c r="G7163" s="109">
        <f t="shared" ca="1" si="120"/>
        <v>0.21238501028083517</v>
      </c>
    </row>
    <row r="7164" spans="2:7" x14ac:dyDescent="0.25">
      <c r="B7164" s="98"/>
      <c r="F7164">
        <v>7160</v>
      </c>
      <c r="G7164" s="109">
        <f t="shared" ca="1" si="120"/>
        <v>-6.733570379407007E-2</v>
      </c>
    </row>
    <row r="7165" spans="2:7" x14ac:dyDescent="0.25">
      <c r="B7165" s="98"/>
      <c r="F7165">
        <v>7161</v>
      </c>
      <c r="G7165" s="109">
        <f t="shared" ca="1" si="120"/>
        <v>4.3845478623799936E-2</v>
      </c>
    </row>
    <row r="7166" spans="2:7" x14ac:dyDescent="0.25">
      <c r="B7166" s="98"/>
      <c r="F7166">
        <v>7162</v>
      </c>
      <c r="G7166" s="109">
        <f t="shared" ca="1" si="120"/>
        <v>-5.4040584960719965E-2</v>
      </c>
    </row>
    <row r="7167" spans="2:7" x14ac:dyDescent="0.25">
      <c r="B7167" s="98"/>
      <c r="F7167">
        <v>7163</v>
      </c>
      <c r="G7167" s="109">
        <f t="shared" ca="1" si="120"/>
        <v>-7.3255443394500838E-2</v>
      </c>
    </row>
    <row r="7168" spans="2:7" x14ac:dyDescent="0.25">
      <c r="B7168" s="98"/>
      <c r="F7168">
        <v>7164</v>
      </c>
      <c r="G7168" s="109">
        <f t="shared" ca="1" si="120"/>
        <v>-0.13302245263258972</v>
      </c>
    </row>
    <row r="7169" spans="2:7" x14ac:dyDescent="0.25">
      <c r="B7169" s="98"/>
      <c r="F7169">
        <v>7165</v>
      </c>
      <c r="G7169" s="109">
        <f t="shared" ca="1" si="120"/>
        <v>0.12805367300444398</v>
      </c>
    </row>
    <row r="7170" spans="2:7" x14ac:dyDescent="0.25">
      <c r="B7170" s="98"/>
      <c r="F7170">
        <v>7166</v>
      </c>
      <c r="G7170" s="109">
        <f t="shared" ca="1" si="120"/>
        <v>4.1163387971462781E-2</v>
      </c>
    </row>
    <row r="7171" spans="2:7" x14ac:dyDescent="0.25">
      <c r="B7171" s="98"/>
      <c r="F7171">
        <v>7167</v>
      </c>
      <c r="G7171" s="109">
        <f t="shared" ca="1" si="120"/>
        <v>-8.9759737292952044E-2</v>
      </c>
    </row>
    <row r="7172" spans="2:7" x14ac:dyDescent="0.25">
      <c r="B7172" s="98"/>
      <c r="F7172">
        <v>7168</v>
      </c>
      <c r="G7172" s="109">
        <f t="shared" ca="1" si="120"/>
        <v>0.16674211648797257</v>
      </c>
    </row>
    <row r="7173" spans="2:7" x14ac:dyDescent="0.25">
      <c r="B7173" s="98"/>
      <c r="F7173">
        <v>7169</v>
      </c>
      <c r="G7173" s="109">
        <f t="shared" ca="1" si="120"/>
        <v>6.2089014061867398E-2</v>
      </c>
    </row>
    <row r="7174" spans="2:7" x14ac:dyDescent="0.25">
      <c r="B7174" s="98"/>
      <c r="F7174">
        <v>7170</v>
      </c>
      <c r="G7174" s="109">
        <f t="shared" ref="G7174:G7237" ca="1" si="121">_xlfn.NORM.INV(RAND(),$M$5,$M$6)</f>
        <v>0.15786616207696119</v>
      </c>
    </row>
    <row r="7175" spans="2:7" x14ac:dyDescent="0.25">
      <c r="B7175" s="98"/>
      <c r="F7175">
        <v>7171</v>
      </c>
      <c r="G7175" s="109">
        <f t="shared" ca="1" si="121"/>
        <v>0.23972787028514181</v>
      </c>
    </row>
    <row r="7176" spans="2:7" x14ac:dyDescent="0.25">
      <c r="B7176" s="98"/>
      <c r="F7176">
        <v>7172</v>
      </c>
      <c r="G7176" s="109">
        <f t="shared" ca="1" si="121"/>
        <v>7.6630654915456856E-2</v>
      </c>
    </row>
    <row r="7177" spans="2:7" x14ac:dyDescent="0.25">
      <c r="B7177" s="98"/>
      <c r="F7177">
        <v>7173</v>
      </c>
      <c r="G7177" s="109">
        <f t="shared" ca="1" si="121"/>
        <v>0.12874894958707303</v>
      </c>
    </row>
    <row r="7178" spans="2:7" x14ac:dyDescent="0.25">
      <c r="B7178" s="98"/>
      <c r="F7178">
        <v>7174</v>
      </c>
      <c r="G7178" s="109">
        <f t="shared" ca="1" si="121"/>
        <v>-0.1475582459750206</v>
      </c>
    </row>
    <row r="7179" spans="2:7" x14ac:dyDescent="0.25">
      <c r="B7179" s="98"/>
      <c r="F7179">
        <v>7175</v>
      </c>
      <c r="G7179" s="109">
        <f t="shared" ca="1" si="121"/>
        <v>-1.9922606896073114E-2</v>
      </c>
    </row>
    <row r="7180" spans="2:7" x14ac:dyDescent="0.25">
      <c r="B7180" s="98"/>
      <c r="F7180">
        <v>7176</v>
      </c>
      <c r="G7180" s="109">
        <f t="shared" ca="1" si="121"/>
        <v>0.21961102058619564</v>
      </c>
    </row>
    <row r="7181" spans="2:7" x14ac:dyDescent="0.25">
      <c r="B7181" s="98"/>
      <c r="F7181">
        <v>7177</v>
      </c>
      <c r="G7181" s="109">
        <f t="shared" ca="1" si="121"/>
        <v>0.15588265379130248</v>
      </c>
    </row>
    <row r="7182" spans="2:7" x14ac:dyDescent="0.25">
      <c r="B7182" s="98"/>
      <c r="F7182">
        <v>7178</v>
      </c>
      <c r="G7182" s="109">
        <f t="shared" ca="1" si="121"/>
        <v>0.11506459973099741</v>
      </c>
    </row>
    <row r="7183" spans="2:7" x14ac:dyDescent="0.25">
      <c r="B7183" s="98"/>
      <c r="F7183">
        <v>7179</v>
      </c>
      <c r="G7183" s="109">
        <f t="shared" ca="1" si="121"/>
        <v>0.13018521682520812</v>
      </c>
    </row>
    <row r="7184" spans="2:7" x14ac:dyDescent="0.25">
      <c r="B7184" s="98"/>
      <c r="F7184">
        <v>7180</v>
      </c>
      <c r="G7184" s="109">
        <f t="shared" ca="1" si="121"/>
        <v>5.0340732846626206E-2</v>
      </c>
    </row>
    <row r="7185" spans="2:7" x14ac:dyDescent="0.25">
      <c r="B7185" s="98"/>
      <c r="F7185">
        <v>7181</v>
      </c>
      <c r="G7185" s="109">
        <f t="shared" ca="1" si="121"/>
        <v>0.13857612848054796</v>
      </c>
    </row>
    <row r="7186" spans="2:7" x14ac:dyDescent="0.25">
      <c r="B7186" s="98"/>
      <c r="F7186">
        <v>7182</v>
      </c>
      <c r="G7186" s="109">
        <f t="shared" ca="1" si="121"/>
        <v>0.13888351872014421</v>
      </c>
    </row>
    <row r="7187" spans="2:7" x14ac:dyDescent="0.25">
      <c r="B7187" s="98"/>
      <c r="F7187">
        <v>7183</v>
      </c>
      <c r="G7187" s="109">
        <f t="shared" ca="1" si="121"/>
        <v>-3.8626595112208492E-2</v>
      </c>
    </row>
    <row r="7188" spans="2:7" x14ac:dyDescent="0.25">
      <c r="B7188" s="98"/>
      <c r="F7188">
        <v>7184</v>
      </c>
      <c r="G7188" s="109">
        <f t="shared" ca="1" si="121"/>
        <v>5.9572617724129008E-2</v>
      </c>
    </row>
    <row r="7189" spans="2:7" x14ac:dyDescent="0.25">
      <c r="B7189" s="98"/>
      <c r="F7189">
        <v>7185</v>
      </c>
      <c r="G7189" s="109">
        <f t="shared" ca="1" si="121"/>
        <v>5.37933170332454E-2</v>
      </c>
    </row>
    <row r="7190" spans="2:7" x14ac:dyDescent="0.25">
      <c r="B7190" s="98"/>
      <c r="F7190">
        <v>7186</v>
      </c>
      <c r="G7190" s="109">
        <f t="shared" ca="1" si="121"/>
        <v>-6.7293971977071737E-2</v>
      </c>
    </row>
    <row r="7191" spans="2:7" x14ac:dyDescent="0.25">
      <c r="B7191" s="98"/>
      <c r="F7191">
        <v>7187</v>
      </c>
      <c r="G7191" s="109">
        <f t="shared" ca="1" si="121"/>
        <v>-0.24961141784974072</v>
      </c>
    </row>
    <row r="7192" spans="2:7" x14ac:dyDescent="0.25">
      <c r="B7192" s="98"/>
      <c r="F7192">
        <v>7188</v>
      </c>
      <c r="G7192" s="109">
        <f t="shared" ca="1" si="121"/>
        <v>3.5309866624024577E-2</v>
      </c>
    </row>
    <row r="7193" spans="2:7" x14ac:dyDescent="0.25">
      <c r="B7193" s="98"/>
      <c r="F7193">
        <v>7189</v>
      </c>
      <c r="G7193" s="109">
        <f t="shared" ca="1" si="121"/>
        <v>0.22605168305245432</v>
      </c>
    </row>
    <row r="7194" spans="2:7" x14ac:dyDescent="0.25">
      <c r="B7194" s="98"/>
      <c r="F7194">
        <v>7190</v>
      </c>
      <c r="G7194" s="109">
        <f t="shared" ca="1" si="121"/>
        <v>7.9585266280373851E-2</v>
      </c>
    </row>
    <row r="7195" spans="2:7" x14ac:dyDescent="0.25">
      <c r="B7195" s="98"/>
      <c r="F7195">
        <v>7191</v>
      </c>
      <c r="G7195" s="109">
        <f t="shared" ca="1" si="121"/>
        <v>-7.8977032540155326E-2</v>
      </c>
    </row>
    <row r="7196" spans="2:7" x14ac:dyDescent="0.25">
      <c r="B7196" s="98"/>
      <c r="F7196">
        <v>7192</v>
      </c>
      <c r="G7196" s="109">
        <f t="shared" ca="1" si="121"/>
        <v>7.1484664786661989E-2</v>
      </c>
    </row>
    <row r="7197" spans="2:7" x14ac:dyDescent="0.25">
      <c r="B7197" s="98"/>
      <c r="F7197">
        <v>7193</v>
      </c>
      <c r="G7197" s="109">
        <f t="shared" ca="1" si="121"/>
        <v>4.3116711294725926E-2</v>
      </c>
    </row>
    <row r="7198" spans="2:7" x14ac:dyDescent="0.25">
      <c r="B7198" s="98"/>
      <c r="F7198">
        <v>7194</v>
      </c>
      <c r="G7198" s="109">
        <f t="shared" ca="1" si="121"/>
        <v>0.17232329456771261</v>
      </c>
    </row>
    <row r="7199" spans="2:7" x14ac:dyDescent="0.25">
      <c r="B7199" s="98"/>
      <c r="F7199">
        <v>7195</v>
      </c>
      <c r="G7199" s="109">
        <f t="shared" ca="1" si="121"/>
        <v>6.6381976032886661E-2</v>
      </c>
    </row>
    <row r="7200" spans="2:7" x14ac:dyDescent="0.25">
      <c r="B7200" s="98"/>
      <c r="F7200">
        <v>7196</v>
      </c>
      <c r="G7200" s="109">
        <f t="shared" ca="1" si="121"/>
        <v>-1.0326286237988598E-2</v>
      </c>
    </row>
    <row r="7201" spans="2:7" x14ac:dyDescent="0.25">
      <c r="B7201" s="98"/>
      <c r="F7201">
        <v>7197</v>
      </c>
      <c r="G7201" s="109">
        <f t="shared" ca="1" si="121"/>
        <v>8.5450412559074707E-2</v>
      </c>
    </row>
    <row r="7202" spans="2:7" x14ac:dyDescent="0.25">
      <c r="B7202" s="98"/>
      <c r="F7202">
        <v>7198</v>
      </c>
      <c r="G7202" s="109">
        <f t="shared" ca="1" si="121"/>
        <v>-1.6091615536066653E-2</v>
      </c>
    </row>
    <row r="7203" spans="2:7" x14ac:dyDescent="0.25">
      <c r="B7203" s="98"/>
      <c r="F7203">
        <v>7199</v>
      </c>
      <c r="G7203" s="109">
        <f t="shared" ca="1" si="121"/>
        <v>-3.6861214259647251E-2</v>
      </c>
    </row>
    <row r="7204" spans="2:7" x14ac:dyDescent="0.25">
      <c r="B7204" s="98"/>
      <c r="F7204">
        <v>7200</v>
      </c>
      <c r="G7204" s="109">
        <f t="shared" ca="1" si="121"/>
        <v>3.0459455030578102E-2</v>
      </c>
    </row>
    <row r="7205" spans="2:7" x14ac:dyDescent="0.25">
      <c r="B7205" s="98"/>
      <c r="F7205">
        <v>7201</v>
      </c>
      <c r="G7205" s="109">
        <f t="shared" ca="1" si="121"/>
        <v>6.0085371820963934E-2</v>
      </c>
    </row>
    <row r="7206" spans="2:7" x14ac:dyDescent="0.25">
      <c r="B7206" s="98"/>
      <c r="F7206">
        <v>7202</v>
      </c>
      <c r="G7206" s="109">
        <f t="shared" ca="1" si="121"/>
        <v>5.6892790872805285E-3</v>
      </c>
    </row>
    <row r="7207" spans="2:7" x14ac:dyDescent="0.25">
      <c r="B7207" s="98"/>
      <c r="F7207">
        <v>7203</v>
      </c>
      <c r="G7207" s="109">
        <f t="shared" ca="1" si="121"/>
        <v>0.11522993069488258</v>
      </c>
    </row>
    <row r="7208" spans="2:7" x14ac:dyDescent="0.25">
      <c r="B7208" s="98"/>
      <c r="F7208">
        <v>7204</v>
      </c>
      <c r="G7208" s="109">
        <f t="shared" ca="1" si="121"/>
        <v>7.6845338203201913E-2</v>
      </c>
    </row>
    <row r="7209" spans="2:7" x14ac:dyDescent="0.25">
      <c r="B7209" s="98"/>
      <c r="F7209">
        <v>7205</v>
      </c>
      <c r="G7209" s="109">
        <f t="shared" ca="1" si="121"/>
        <v>-6.6824537309146531E-2</v>
      </c>
    </row>
    <row r="7210" spans="2:7" x14ac:dyDescent="0.25">
      <c r="B7210" s="98"/>
      <c r="F7210">
        <v>7206</v>
      </c>
      <c r="G7210" s="109">
        <f t="shared" ca="1" si="121"/>
        <v>4.0755461664828657E-2</v>
      </c>
    </row>
    <row r="7211" spans="2:7" x14ac:dyDescent="0.25">
      <c r="B7211" s="98"/>
      <c r="F7211">
        <v>7207</v>
      </c>
      <c r="G7211" s="109">
        <f t="shared" ca="1" si="121"/>
        <v>5.8326702686935197E-2</v>
      </c>
    </row>
    <row r="7212" spans="2:7" x14ac:dyDescent="0.25">
      <c r="B7212" s="98"/>
      <c r="F7212">
        <v>7208</v>
      </c>
      <c r="G7212" s="109">
        <f t="shared" ca="1" si="121"/>
        <v>-1.104844010247618E-2</v>
      </c>
    </row>
    <row r="7213" spans="2:7" x14ac:dyDescent="0.25">
      <c r="B7213" s="98"/>
      <c r="F7213">
        <v>7209</v>
      </c>
      <c r="G7213" s="109">
        <f t="shared" ca="1" si="121"/>
        <v>1.3168355728413496E-2</v>
      </c>
    </row>
    <row r="7214" spans="2:7" x14ac:dyDescent="0.25">
      <c r="B7214" s="98"/>
      <c r="F7214">
        <v>7210</v>
      </c>
      <c r="G7214" s="109">
        <f t="shared" ca="1" si="121"/>
        <v>0.20970257869629733</v>
      </c>
    </row>
    <row r="7215" spans="2:7" x14ac:dyDescent="0.25">
      <c r="B7215" s="98"/>
      <c r="F7215">
        <v>7211</v>
      </c>
      <c r="G7215" s="109">
        <f t="shared" ca="1" si="121"/>
        <v>6.1878140698834044E-2</v>
      </c>
    </row>
    <row r="7216" spans="2:7" x14ac:dyDescent="0.25">
      <c r="B7216" s="98"/>
      <c r="F7216">
        <v>7212</v>
      </c>
      <c r="G7216" s="109">
        <f t="shared" ca="1" si="121"/>
        <v>1.0775912023711511E-2</v>
      </c>
    </row>
    <row r="7217" spans="2:7" x14ac:dyDescent="0.25">
      <c r="B7217" s="98"/>
      <c r="F7217">
        <v>7213</v>
      </c>
      <c r="G7217" s="109">
        <f t="shared" ca="1" si="121"/>
        <v>-4.8884015829991398E-2</v>
      </c>
    </row>
    <row r="7218" spans="2:7" x14ac:dyDescent="0.25">
      <c r="B7218" s="98"/>
      <c r="F7218">
        <v>7214</v>
      </c>
      <c r="G7218" s="109">
        <f t="shared" ca="1" si="121"/>
        <v>-0.14846494228287638</v>
      </c>
    </row>
    <row r="7219" spans="2:7" x14ac:dyDescent="0.25">
      <c r="B7219" s="98"/>
      <c r="F7219">
        <v>7215</v>
      </c>
      <c r="G7219" s="109">
        <f t="shared" ca="1" si="121"/>
        <v>5.1367208199694897E-2</v>
      </c>
    </row>
    <row r="7220" spans="2:7" x14ac:dyDescent="0.25">
      <c r="B7220" s="98"/>
      <c r="F7220">
        <v>7216</v>
      </c>
      <c r="G7220" s="109">
        <f t="shared" ca="1" si="121"/>
        <v>0.27547817079377135</v>
      </c>
    </row>
    <row r="7221" spans="2:7" x14ac:dyDescent="0.25">
      <c r="B7221" s="98"/>
      <c r="F7221">
        <v>7217</v>
      </c>
      <c r="G7221" s="109">
        <f t="shared" ca="1" si="121"/>
        <v>0.33381880779297768</v>
      </c>
    </row>
    <row r="7222" spans="2:7" x14ac:dyDescent="0.25">
      <c r="B7222" s="98"/>
      <c r="F7222">
        <v>7218</v>
      </c>
      <c r="G7222" s="109">
        <f t="shared" ca="1" si="121"/>
        <v>-3.0975754623628476E-2</v>
      </c>
    </row>
    <row r="7223" spans="2:7" x14ac:dyDescent="0.25">
      <c r="B7223" s="98"/>
      <c r="F7223">
        <v>7219</v>
      </c>
      <c r="G7223" s="109">
        <f t="shared" ca="1" si="121"/>
        <v>5.7295577258860149E-2</v>
      </c>
    </row>
    <row r="7224" spans="2:7" x14ac:dyDescent="0.25">
      <c r="B7224" s="98"/>
      <c r="F7224">
        <v>7220</v>
      </c>
      <c r="G7224" s="109">
        <f t="shared" ca="1" si="121"/>
        <v>7.3853387766461706E-2</v>
      </c>
    </row>
    <row r="7225" spans="2:7" x14ac:dyDescent="0.25">
      <c r="B7225" s="98"/>
      <c r="F7225">
        <v>7221</v>
      </c>
      <c r="G7225" s="109">
        <f t="shared" ca="1" si="121"/>
        <v>-0.1038244605853552</v>
      </c>
    </row>
    <row r="7226" spans="2:7" x14ac:dyDescent="0.25">
      <c r="B7226" s="98"/>
      <c r="F7226">
        <v>7222</v>
      </c>
      <c r="G7226" s="109">
        <f t="shared" ca="1" si="121"/>
        <v>7.4429217852283749E-2</v>
      </c>
    </row>
    <row r="7227" spans="2:7" x14ac:dyDescent="0.25">
      <c r="B7227" s="98"/>
      <c r="F7227">
        <v>7223</v>
      </c>
      <c r="G7227" s="109">
        <f t="shared" ca="1" si="121"/>
        <v>0.14243475423307336</v>
      </c>
    </row>
    <row r="7228" spans="2:7" x14ac:dyDescent="0.25">
      <c r="B7228" s="98"/>
      <c r="F7228">
        <v>7224</v>
      </c>
      <c r="G7228" s="109">
        <f t="shared" ca="1" si="121"/>
        <v>0.13107894312546944</v>
      </c>
    </row>
    <row r="7229" spans="2:7" x14ac:dyDescent="0.25">
      <c r="B7229" s="98"/>
      <c r="F7229">
        <v>7225</v>
      </c>
      <c r="G7229" s="109">
        <f t="shared" ca="1" si="121"/>
        <v>0.13026579419351209</v>
      </c>
    </row>
    <row r="7230" spans="2:7" x14ac:dyDescent="0.25">
      <c r="B7230" s="98"/>
      <c r="F7230">
        <v>7226</v>
      </c>
      <c r="G7230" s="109">
        <f t="shared" ca="1" si="121"/>
        <v>0.11982719490546891</v>
      </c>
    </row>
    <row r="7231" spans="2:7" x14ac:dyDescent="0.25">
      <c r="B7231" s="98"/>
      <c r="F7231">
        <v>7227</v>
      </c>
      <c r="G7231" s="109">
        <f t="shared" ca="1" si="121"/>
        <v>5.9191924398212657E-2</v>
      </c>
    </row>
    <row r="7232" spans="2:7" x14ac:dyDescent="0.25">
      <c r="B7232" s="98"/>
      <c r="F7232">
        <v>7228</v>
      </c>
      <c r="G7232" s="109">
        <f t="shared" ca="1" si="121"/>
        <v>5.4335288510986311E-2</v>
      </c>
    </row>
    <row r="7233" spans="2:7" x14ac:dyDescent="0.25">
      <c r="B7233" s="98"/>
      <c r="F7233">
        <v>7229</v>
      </c>
      <c r="G7233" s="109">
        <f t="shared" ca="1" si="121"/>
        <v>-1.1796163755899695E-2</v>
      </c>
    </row>
    <row r="7234" spans="2:7" x14ac:dyDescent="0.25">
      <c r="B7234" s="98"/>
      <c r="F7234">
        <v>7230</v>
      </c>
      <c r="G7234" s="109">
        <f t="shared" ca="1" si="121"/>
        <v>7.2886714813621384E-2</v>
      </c>
    </row>
    <row r="7235" spans="2:7" x14ac:dyDescent="0.25">
      <c r="B7235" s="98"/>
      <c r="F7235">
        <v>7231</v>
      </c>
      <c r="G7235" s="109">
        <f t="shared" ca="1" si="121"/>
        <v>-9.9766270628088585E-2</v>
      </c>
    </row>
    <row r="7236" spans="2:7" x14ac:dyDescent="0.25">
      <c r="B7236" s="98"/>
      <c r="F7236">
        <v>7232</v>
      </c>
      <c r="G7236" s="109">
        <f t="shared" ca="1" si="121"/>
        <v>0.13453267735366836</v>
      </c>
    </row>
    <row r="7237" spans="2:7" x14ac:dyDescent="0.25">
      <c r="B7237" s="98"/>
      <c r="F7237">
        <v>7233</v>
      </c>
      <c r="G7237" s="109">
        <f t="shared" ca="1" si="121"/>
        <v>2.1378783071639915E-2</v>
      </c>
    </row>
    <row r="7238" spans="2:7" x14ac:dyDescent="0.25">
      <c r="B7238" s="98"/>
      <c r="F7238">
        <v>7234</v>
      </c>
      <c r="G7238" s="109">
        <f t="shared" ref="G7238:G7301" ca="1" si="122">_xlfn.NORM.INV(RAND(),$M$5,$M$6)</f>
        <v>-4.586490833587227E-2</v>
      </c>
    </row>
    <row r="7239" spans="2:7" x14ac:dyDescent="0.25">
      <c r="B7239" s="98"/>
      <c r="F7239">
        <v>7235</v>
      </c>
      <c r="G7239" s="109">
        <f t="shared" ca="1" si="122"/>
        <v>-5.5209172517431321E-2</v>
      </c>
    </row>
    <row r="7240" spans="2:7" x14ac:dyDescent="0.25">
      <c r="B7240" s="98"/>
      <c r="F7240">
        <v>7236</v>
      </c>
      <c r="G7240" s="109">
        <f t="shared" ca="1" si="122"/>
        <v>-1.792507760057116E-2</v>
      </c>
    </row>
    <row r="7241" spans="2:7" x14ac:dyDescent="0.25">
      <c r="B7241" s="98"/>
      <c r="F7241">
        <v>7237</v>
      </c>
      <c r="G7241" s="109">
        <f t="shared" ca="1" si="122"/>
        <v>-6.1968888267784558E-3</v>
      </c>
    </row>
    <row r="7242" spans="2:7" x14ac:dyDescent="0.25">
      <c r="B7242" s="98"/>
      <c r="F7242">
        <v>7238</v>
      </c>
      <c r="G7242" s="109">
        <f t="shared" ca="1" si="122"/>
        <v>0.16744120040808066</v>
      </c>
    </row>
    <row r="7243" spans="2:7" x14ac:dyDescent="0.25">
      <c r="B7243" s="98"/>
      <c r="F7243">
        <v>7239</v>
      </c>
      <c r="G7243" s="109">
        <f t="shared" ca="1" si="122"/>
        <v>-0.13415468092069432</v>
      </c>
    </row>
    <row r="7244" spans="2:7" x14ac:dyDescent="0.25">
      <c r="B7244" s="98"/>
      <c r="F7244">
        <v>7240</v>
      </c>
      <c r="G7244" s="109">
        <f t="shared" ca="1" si="122"/>
        <v>0.21616876589643591</v>
      </c>
    </row>
    <row r="7245" spans="2:7" x14ac:dyDescent="0.25">
      <c r="B7245" s="98"/>
      <c r="F7245">
        <v>7241</v>
      </c>
      <c r="G7245" s="109">
        <f t="shared" ca="1" si="122"/>
        <v>0.1652739990379655</v>
      </c>
    </row>
    <row r="7246" spans="2:7" x14ac:dyDescent="0.25">
      <c r="B7246" s="98"/>
      <c r="F7246">
        <v>7242</v>
      </c>
      <c r="G7246" s="109">
        <f t="shared" ca="1" si="122"/>
        <v>3.5684241033421174E-2</v>
      </c>
    </row>
    <row r="7247" spans="2:7" x14ac:dyDescent="0.25">
      <c r="B7247" s="98"/>
      <c r="F7247">
        <v>7243</v>
      </c>
      <c r="G7247" s="109">
        <f t="shared" ca="1" si="122"/>
        <v>0.30379946894069998</v>
      </c>
    </row>
    <row r="7248" spans="2:7" x14ac:dyDescent="0.25">
      <c r="B7248" s="98"/>
      <c r="F7248">
        <v>7244</v>
      </c>
      <c r="G7248" s="109">
        <f t="shared" ca="1" si="122"/>
        <v>0.22928487660123159</v>
      </c>
    </row>
    <row r="7249" spans="2:7" x14ac:dyDescent="0.25">
      <c r="B7249" s="98"/>
      <c r="F7249">
        <v>7245</v>
      </c>
      <c r="G7249" s="109">
        <f t="shared" ca="1" si="122"/>
        <v>4.0046660480262786E-2</v>
      </c>
    </row>
    <row r="7250" spans="2:7" x14ac:dyDescent="0.25">
      <c r="B7250" s="98"/>
      <c r="F7250">
        <v>7246</v>
      </c>
      <c r="G7250" s="109">
        <f t="shared" ca="1" si="122"/>
        <v>9.9391838043672381E-2</v>
      </c>
    </row>
    <row r="7251" spans="2:7" x14ac:dyDescent="0.25">
      <c r="B7251" s="98"/>
      <c r="F7251">
        <v>7247</v>
      </c>
      <c r="G7251" s="109">
        <f t="shared" ca="1" si="122"/>
        <v>0.19126748477301658</v>
      </c>
    </row>
    <row r="7252" spans="2:7" x14ac:dyDescent="0.25">
      <c r="B7252" s="98"/>
      <c r="F7252">
        <v>7248</v>
      </c>
      <c r="G7252" s="109">
        <f t="shared" ca="1" si="122"/>
        <v>-1.2731661132120049E-2</v>
      </c>
    </row>
    <row r="7253" spans="2:7" x14ac:dyDescent="0.25">
      <c r="B7253" s="98"/>
      <c r="F7253">
        <v>7249</v>
      </c>
      <c r="G7253" s="109">
        <f t="shared" ca="1" si="122"/>
        <v>0.2446021401219457</v>
      </c>
    </row>
    <row r="7254" spans="2:7" x14ac:dyDescent="0.25">
      <c r="B7254" s="98"/>
      <c r="F7254">
        <v>7250</v>
      </c>
      <c r="G7254" s="109">
        <f t="shared" ca="1" si="122"/>
        <v>-5.4530725602290137E-2</v>
      </c>
    </row>
    <row r="7255" spans="2:7" x14ac:dyDescent="0.25">
      <c r="B7255" s="98"/>
      <c r="F7255">
        <v>7251</v>
      </c>
      <c r="G7255" s="109">
        <f t="shared" ca="1" si="122"/>
        <v>2.1615632177057607E-2</v>
      </c>
    </row>
    <row r="7256" spans="2:7" x14ac:dyDescent="0.25">
      <c r="B7256" s="98"/>
      <c r="F7256">
        <v>7252</v>
      </c>
      <c r="G7256" s="109">
        <f t="shared" ca="1" si="122"/>
        <v>0.12597183446460597</v>
      </c>
    </row>
    <row r="7257" spans="2:7" x14ac:dyDescent="0.25">
      <c r="B7257" s="98"/>
      <c r="F7257">
        <v>7253</v>
      </c>
      <c r="G7257" s="109">
        <f t="shared" ca="1" si="122"/>
        <v>-1.0218652349591739E-4</v>
      </c>
    </row>
    <row r="7258" spans="2:7" x14ac:dyDescent="0.25">
      <c r="B7258" s="98"/>
      <c r="F7258">
        <v>7254</v>
      </c>
      <c r="G7258" s="109">
        <f t="shared" ca="1" si="122"/>
        <v>3.665800858824237E-2</v>
      </c>
    </row>
    <row r="7259" spans="2:7" x14ac:dyDescent="0.25">
      <c r="B7259" s="98"/>
      <c r="F7259">
        <v>7255</v>
      </c>
      <c r="G7259" s="109">
        <f t="shared" ca="1" si="122"/>
        <v>-0.22462060519438998</v>
      </c>
    </row>
    <row r="7260" spans="2:7" x14ac:dyDescent="0.25">
      <c r="B7260" s="98"/>
      <c r="F7260">
        <v>7256</v>
      </c>
      <c r="G7260" s="109">
        <f t="shared" ca="1" si="122"/>
        <v>0.13055256438452478</v>
      </c>
    </row>
    <row r="7261" spans="2:7" x14ac:dyDescent="0.25">
      <c r="B7261" s="98"/>
      <c r="F7261">
        <v>7257</v>
      </c>
      <c r="G7261" s="109">
        <f t="shared" ca="1" si="122"/>
        <v>3.7776100575560731E-2</v>
      </c>
    </row>
    <row r="7262" spans="2:7" x14ac:dyDescent="0.25">
      <c r="B7262" s="98"/>
      <c r="F7262">
        <v>7258</v>
      </c>
      <c r="G7262" s="109">
        <f t="shared" ca="1" si="122"/>
        <v>7.2752677953322964E-2</v>
      </c>
    </row>
    <row r="7263" spans="2:7" x14ac:dyDescent="0.25">
      <c r="B7263" s="98"/>
      <c r="F7263">
        <v>7259</v>
      </c>
      <c r="G7263" s="109">
        <f t="shared" ca="1" si="122"/>
        <v>-1.4640803335774437E-2</v>
      </c>
    </row>
    <row r="7264" spans="2:7" x14ac:dyDescent="0.25">
      <c r="B7264" s="98"/>
      <c r="F7264">
        <v>7260</v>
      </c>
      <c r="G7264" s="109">
        <f t="shared" ca="1" si="122"/>
        <v>6.3939033325671968E-2</v>
      </c>
    </row>
    <row r="7265" spans="2:7" x14ac:dyDescent="0.25">
      <c r="B7265" s="98"/>
      <c r="F7265">
        <v>7261</v>
      </c>
      <c r="G7265" s="109">
        <f t="shared" ca="1" si="122"/>
        <v>-1.0876340366365311E-3</v>
      </c>
    </row>
    <row r="7266" spans="2:7" x14ac:dyDescent="0.25">
      <c r="B7266" s="98"/>
      <c r="F7266">
        <v>7262</v>
      </c>
      <c r="G7266" s="109">
        <f t="shared" ca="1" si="122"/>
        <v>0.10619629342243189</v>
      </c>
    </row>
    <row r="7267" spans="2:7" x14ac:dyDescent="0.25">
      <c r="B7267" s="98"/>
      <c r="F7267">
        <v>7263</v>
      </c>
      <c r="G7267" s="109">
        <f t="shared" ca="1" si="122"/>
        <v>0.16464418970676414</v>
      </c>
    </row>
    <row r="7268" spans="2:7" x14ac:dyDescent="0.25">
      <c r="B7268" s="98"/>
      <c r="F7268">
        <v>7264</v>
      </c>
      <c r="G7268" s="109">
        <f t="shared" ca="1" si="122"/>
        <v>-0.14370468735236896</v>
      </c>
    </row>
    <row r="7269" spans="2:7" x14ac:dyDescent="0.25">
      <c r="B7269" s="98"/>
      <c r="F7269">
        <v>7265</v>
      </c>
      <c r="G7269" s="109">
        <f t="shared" ca="1" si="122"/>
        <v>6.6816243856847923E-2</v>
      </c>
    </row>
    <row r="7270" spans="2:7" x14ac:dyDescent="0.25">
      <c r="B7270" s="98"/>
      <c r="F7270">
        <v>7266</v>
      </c>
      <c r="G7270" s="109">
        <f t="shared" ca="1" si="122"/>
        <v>9.8863290510155619E-2</v>
      </c>
    </row>
    <row r="7271" spans="2:7" x14ac:dyDescent="0.25">
      <c r="B7271" s="98"/>
      <c r="F7271">
        <v>7267</v>
      </c>
      <c r="G7271" s="109">
        <f t="shared" ca="1" si="122"/>
        <v>4.9534893176380372E-2</v>
      </c>
    </row>
    <row r="7272" spans="2:7" x14ac:dyDescent="0.25">
      <c r="B7272" s="98"/>
      <c r="F7272">
        <v>7268</v>
      </c>
      <c r="G7272" s="109">
        <f t="shared" ca="1" si="122"/>
        <v>-6.0562884046509238E-2</v>
      </c>
    </row>
    <row r="7273" spans="2:7" x14ac:dyDescent="0.25">
      <c r="B7273" s="98"/>
      <c r="F7273">
        <v>7269</v>
      </c>
      <c r="G7273" s="109">
        <f t="shared" ca="1" si="122"/>
        <v>7.5900745938526665E-2</v>
      </c>
    </row>
    <row r="7274" spans="2:7" x14ac:dyDescent="0.25">
      <c r="B7274" s="98"/>
      <c r="F7274">
        <v>7270</v>
      </c>
      <c r="G7274" s="109">
        <f t="shared" ca="1" si="122"/>
        <v>8.6628764153088011E-2</v>
      </c>
    </row>
    <row r="7275" spans="2:7" x14ac:dyDescent="0.25">
      <c r="B7275" s="98"/>
      <c r="F7275">
        <v>7271</v>
      </c>
      <c r="G7275" s="109">
        <f t="shared" ca="1" si="122"/>
        <v>0.10401289786325378</v>
      </c>
    </row>
    <row r="7276" spans="2:7" x14ac:dyDescent="0.25">
      <c r="B7276" s="98"/>
      <c r="F7276">
        <v>7272</v>
      </c>
      <c r="G7276" s="109">
        <f t="shared" ca="1" si="122"/>
        <v>0.17274399621587228</v>
      </c>
    </row>
    <row r="7277" spans="2:7" x14ac:dyDescent="0.25">
      <c r="B7277" s="98"/>
      <c r="F7277">
        <v>7273</v>
      </c>
      <c r="G7277" s="109">
        <f t="shared" ca="1" si="122"/>
        <v>-0.23909673662130637</v>
      </c>
    </row>
    <row r="7278" spans="2:7" x14ac:dyDescent="0.25">
      <c r="B7278" s="98"/>
      <c r="F7278">
        <v>7274</v>
      </c>
      <c r="G7278" s="109">
        <f t="shared" ca="1" si="122"/>
        <v>7.6823821222368652E-2</v>
      </c>
    </row>
    <row r="7279" spans="2:7" x14ac:dyDescent="0.25">
      <c r="B7279" s="98"/>
      <c r="F7279">
        <v>7275</v>
      </c>
      <c r="G7279" s="109">
        <f t="shared" ca="1" si="122"/>
        <v>-4.0675401495819927E-2</v>
      </c>
    </row>
    <row r="7280" spans="2:7" x14ac:dyDescent="0.25">
      <c r="B7280" s="98"/>
      <c r="F7280">
        <v>7276</v>
      </c>
      <c r="G7280" s="109">
        <f t="shared" ca="1" si="122"/>
        <v>-8.5809624680187643E-2</v>
      </c>
    </row>
    <row r="7281" spans="2:7" x14ac:dyDescent="0.25">
      <c r="B7281" s="98"/>
      <c r="F7281">
        <v>7277</v>
      </c>
      <c r="G7281" s="109">
        <f t="shared" ca="1" si="122"/>
        <v>9.1374922201549552E-2</v>
      </c>
    </row>
    <row r="7282" spans="2:7" x14ac:dyDescent="0.25">
      <c r="B7282" s="98"/>
      <c r="F7282">
        <v>7278</v>
      </c>
      <c r="G7282" s="109">
        <f t="shared" ca="1" si="122"/>
        <v>0.15136045901768491</v>
      </c>
    </row>
    <row r="7283" spans="2:7" x14ac:dyDescent="0.25">
      <c r="B7283" s="98"/>
      <c r="F7283">
        <v>7279</v>
      </c>
      <c r="G7283" s="109">
        <f t="shared" ca="1" si="122"/>
        <v>-0.24720892824678914</v>
      </c>
    </row>
    <row r="7284" spans="2:7" x14ac:dyDescent="0.25">
      <c r="B7284" s="98"/>
      <c r="F7284">
        <v>7280</v>
      </c>
      <c r="G7284" s="109">
        <f t="shared" ca="1" si="122"/>
        <v>6.5556040006542637E-2</v>
      </c>
    </row>
    <row r="7285" spans="2:7" x14ac:dyDescent="0.25">
      <c r="B7285" s="98"/>
      <c r="F7285">
        <v>7281</v>
      </c>
      <c r="G7285" s="109">
        <f t="shared" ca="1" si="122"/>
        <v>9.1305749779413858E-2</v>
      </c>
    </row>
    <row r="7286" spans="2:7" x14ac:dyDescent="0.25">
      <c r="B7286" s="98"/>
      <c r="F7286">
        <v>7282</v>
      </c>
      <c r="G7286" s="109">
        <f t="shared" ca="1" si="122"/>
        <v>0.1595055132737791</v>
      </c>
    </row>
    <row r="7287" spans="2:7" x14ac:dyDescent="0.25">
      <c r="B7287" s="98"/>
      <c r="F7287">
        <v>7283</v>
      </c>
      <c r="G7287" s="109">
        <f t="shared" ca="1" si="122"/>
        <v>0.10584030695670875</v>
      </c>
    </row>
    <row r="7288" spans="2:7" x14ac:dyDescent="0.25">
      <c r="B7288" s="98"/>
      <c r="F7288">
        <v>7284</v>
      </c>
      <c r="G7288" s="109">
        <f t="shared" ca="1" si="122"/>
        <v>0.20618102995957993</v>
      </c>
    </row>
    <row r="7289" spans="2:7" x14ac:dyDescent="0.25">
      <c r="B7289" s="98"/>
      <c r="F7289">
        <v>7285</v>
      </c>
      <c r="G7289" s="109">
        <f t="shared" ca="1" si="122"/>
        <v>0.24340659458704794</v>
      </c>
    </row>
    <row r="7290" spans="2:7" x14ac:dyDescent="0.25">
      <c r="B7290" s="98"/>
      <c r="F7290">
        <v>7286</v>
      </c>
      <c r="G7290" s="109">
        <f t="shared" ca="1" si="122"/>
        <v>0.14789815746790433</v>
      </c>
    </row>
    <row r="7291" spans="2:7" x14ac:dyDescent="0.25">
      <c r="B7291" s="98"/>
      <c r="F7291">
        <v>7287</v>
      </c>
      <c r="G7291" s="109">
        <f t="shared" ca="1" si="122"/>
        <v>-6.5969418689885193E-2</v>
      </c>
    </row>
    <row r="7292" spans="2:7" x14ac:dyDescent="0.25">
      <c r="B7292" s="98"/>
      <c r="F7292">
        <v>7288</v>
      </c>
      <c r="G7292" s="109">
        <f t="shared" ca="1" si="122"/>
        <v>5.3969370333084743E-2</v>
      </c>
    </row>
    <row r="7293" spans="2:7" x14ac:dyDescent="0.25">
      <c r="B7293" s="98"/>
      <c r="F7293">
        <v>7289</v>
      </c>
      <c r="G7293" s="109">
        <f t="shared" ca="1" si="122"/>
        <v>0.15744127130392288</v>
      </c>
    </row>
    <row r="7294" spans="2:7" x14ac:dyDescent="0.25">
      <c r="B7294" s="98"/>
      <c r="F7294">
        <v>7290</v>
      </c>
      <c r="G7294" s="109">
        <f t="shared" ca="1" si="122"/>
        <v>-2.4234000149784066E-3</v>
      </c>
    </row>
    <row r="7295" spans="2:7" x14ac:dyDescent="0.25">
      <c r="B7295" s="98"/>
      <c r="F7295">
        <v>7291</v>
      </c>
      <c r="G7295" s="109">
        <f t="shared" ca="1" si="122"/>
        <v>0.11820919311456654</v>
      </c>
    </row>
    <row r="7296" spans="2:7" x14ac:dyDescent="0.25">
      <c r="B7296" s="98"/>
      <c r="F7296">
        <v>7292</v>
      </c>
      <c r="G7296" s="109">
        <f t="shared" ca="1" si="122"/>
        <v>0.14191530846386169</v>
      </c>
    </row>
    <row r="7297" spans="2:7" x14ac:dyDescent="0.25">
      <c r="B7297" s="98"/>
      <c r="F7297">
        <v>7293</v>
      </c>
      <c r="G7297" s="109">
        <f t="shared" ca="1" si="122"/>
        <v>-2.2810971015832016E-2</v>
      </c>
    </row>
    <row r="7298" spans="2:7" x14ac:dyDescent="0.25">
      <c r="B7298" s="98"/>
      <c r="F7298">
        <v>7294</v>
      </c>
      <c r="G7298" s="109">
        <f t="shared" ca="1" si="122"/>
        <v>5.181370504131496E-2</v>
      </c>
    </row>
    <row r="7299" spans="2:7" x14ac:dyDescent="0.25">
      <c r="B7299" s="98"/>
      <c r="F7299">
        <v>7295</v>
      </c>
      <c r="G7299" s="109">
        <f t="shared" ca="1" si="122"/>
        <v>0.2630802797892175</v>
      </c>
    </row>
    <row r="7300" spans="2:7" x14ac:dyDescent="0.25">
      <c r="B7300" s="98"/>
      <c r="F7300">
        <v>7296</v>
      </c>
      <c r="G7300" s="109">
        <f t="shared" ca="1" si="122"/>
        <v>0.11577679172526045</v>
      </c>
    </row>
    <row r="7301" spans="2:7" x14ac:dyDescent="0.25">
      <c r="B7301" s="98"/>
      <c r="F7301">
        <v>7297</v>
      </c>
      <c r="G7301" s="109">
        <f t="shared" ca="1" si="122"/>
        <v>3.2066449649848311E-2</v>
      </c>
    </row>
    <row r="7302" spans="2:7" x14ac:dyDescent="0.25">
      <c r="B7302" s="98"/>
      <c r="F7302">
        <v>7298</v>
      </c>
      <c r="G7302" s="109">
        <f t="shared" ref="G7302:G7365" ca="1" si="123">_xlfn.NORM.INV(RAND(),$M$5,$M$6)</f>
        <v>0.11285066041972547</v>
      </c>
    </row>
    <row r="7303" spans="2:7" x14ac:dyDescent="0.25">
      <c r="B7303" s="98"/>
      <c r="F7303">
        <v>7299</v>
      </c>
      <c r="G7303" s="109">
        <f t="shared" ca="1" si="123"/>
        <v>0.10024570962346384</v>
      </c>
    </row>
    <row r="7304" spans="2:7" x14ac:dyDescent="0.25">
      <c r="B7304" s="98"/>
      <c r="F7304">
        <v>7300</v>
      </c>
      <c r="G7304" s="109">
        <f t="shared" ca="1" si="123"/>
        <v>0.14325066058139943</v>
      </c>
    </row>
    <row r="7305" spans="2:7" x14ac:dyDescent="0.25">
      <c r="B7305" s="98"/>
      <c r="F7305">
        <v>7301</v>
      </c>
      <c r="G7305" s="109">
        <f t="shared" ca="1" si="123"/>
        <v>-0.10041634065788026</v>
      </c>
    </row>
    <row r="7306" spans="2:7" x14ac:dyDescent="0.25">
      <c r="B7306" s="98"/>
      <c r="F7306">
        <v>7302</v>
      </c>
      <c r="G7306" s="109">
        <f t="shared" ca="1" si="123"/>
        <v>7.5087313102894362E-2</v>
      </c>
    </row>
    <row r="7307" spans="2:7" x14ac:dyDescent="0.25">
      <c r="B7307" s="98"/>
      <c r="F7307">
        <v>7303</v>
      </c>
      <c r="G7307" s="109">
        <f t="shared" ca="1" si="123"/>
        <v>0.1818006457702056</v>
      </c>
    </row>
    <row r="7308" spans="2:7" x14ac:dyDescent="0.25">
      <c r="B7308" s="98"/>
      <c r="F7308">
        <v>7304</v>
      </c>
      <c r="G7308" s="109">
        <f t="shared" ca="1" si="123"/>
        <v>0.23338720540578822</v>
      </c>
    </row>
    <row r="7309" spans="2:7" x14ac:dyDescent="0.25">
      <c r="B7309" s="98"/>
      <c r="F7309">
        <v>7305</v>
      </c>
      <c r="G7309" s="109">
        <f t="shared" ca="1" si="123"/>
        <v>0.10141294137019262</v>
      </c>
    </row>
    <row r="7310" spans="2:7" x14ac:dyDescent="0.25">
      <c r="B7310" s="98"/>
      <c r="F7310">
        <v>7306</v>
      </c>
      <c r="G7310" s="109">
        <f t="shared" ca="1" si="123"/>
        <v>6.2593147874865945E-2</v>
      </c>
    </row>
    <row r="7311" spans="2:7" x14ac:dyDescent="0.25">
      <c r="B7311" s="98"/>
      <c r="F7311">
        <v>7307</v>
      </c>
      <c r="G7311" s="109">
        <f t="shared" ca="1" si="123"/>
        <v>-4.799331775056824E-2</v>
      </c>
    </row>
    <row r="7312" spans="2:7" x14ac:dyDescent="0.25">
      <c r="B7312" s="98"/>
      <c r="F7312">
        <v>7308</v>
      </c>
      <c r="G7312" s="109">
        <f t="shared" ca="1" si="123"/>
        <v>-6.2744632804546271E-2</v>
      </c>
    </row>
    <row r="7313" spans="2:7" x14ac:dyDescent="0.25">
      <c r="B7313" s="98"/>
      <c r="F7313">
        <v>7309</v>
      </c>
      <c r="G7313" s="109">
        <f t="shared" ca="1" si="123"/>
        <v>0.13147455491069382</v>
      </c>
    </row>
    <row r="7314" spans="2:7" x14ac:dyDescent="0.25">
      <c r="B7314" s="98"/>
      <c r="F7314">
        <v>7310</v>
      </c>
      <c r="G7314" s="109">
        <f t="shared" ca="1" si="123"/>
        <v>4.8690439328537331E-2</v>
      </c>
    </row>
    <row r="7315" spans="2:7" x14ac:dyDescent="0.25">
      <c r="B7315" s="98"/>
      <c r="F7315">
        <v>7311</v>
      </c>
      <c r="G7315" s="109">
        <f t="shared" ca="1" si="123"/>
        <v>-7.1690627823354294E-2</v>
      </c>
    </row>
    <row r="7316" spans="2:7" x14ac:dyDescent="0.25">
      <c r="B7316" s="98"/>
      <c r="F7316">
        <v>7312</v>
      </c>
      <c r="G7316" s="109">
        <f t="shared" ca="1" si="123"/>
        <v>0.10975168807058479</v>
      </c>
    </row>
    <row r="7317" spans="2:7" x14ac:dyDescent="0.25">
      <c r="B7317" s="98"/>
      <c r="F7317">
        <v>7313</v>
      </c>
      <c r="G7317" s="109">
        <f t="shared" ca="1" si="123"/>
        <v>6.2853524711269981E-2</v>
      </c>
    </row>
    <row r="7318" spans="2:7" x14ac:dyDescent="0.25">
      <c r="B7318" s="98"/>
      <c r="F7318">
        <v>7314</v>
      </c>
      <c r="G7318" s="109">
        <f t="shared" ca="1" si="123"/>
        <v>6.190154134488883E-2</v>
      </c>
    </row>
    <row r="7319" spans="2:7" x14ac:dyDescent="0.25">
      <c r="B7319" s="98"/>
      <c r="F7319">
        <v>7315</v>
      </c>
      <c r="G7319" s="109">
        <f t="shared" ca="1" si="123"/>
        <v>-0.13504945023672082</v>
      </c>
    </row>
    <row r="7320" spans="2:7" x14ac:dyDescent="0.25">
      <c r="B7320" s="98"/>
      <c r="F7320">
        <v>7316</v>
      </c>
      <c r="G7320" s="109">
        <f t="shared" ca="1" si="123"/>
        <v>-4.2082206039602651E-2</v>
      </c>
    </row>
    <row r="7321" spans="2:7" x14ac:dyDescent="0.25">
      <c r="B7321" s="98"/>
      <c r="F7321">
        <v>7317</v>
      </c>
      <c r="G7321" s="109">
        <f t="shared" ca="1" si="123"/>
        <v>-2.2648059094526579E-2</v>
      </c>
    </row>
    <row r="7322" spans="2:7" x14ac:dyDescent="0.25">
      <c r="B7322" s="98"/>
      <c r="F7322">
        <v>7318</v>
      </c>
      <c r="G7322" s="109">
        <f t="shared" ca="1" si="123"/>
        <v>7.694791421659003E-2</v>
      </c>
    </row>
    <row r="7323" spans="2:7" x14ac:dyDescent="0.25">
      <c r="B7323" s="98"/>
      <c r="F7323">
        <v>7319</v>
      </c>
      <c r="G7323" s="109">
        <f t="shared" ca="1" si="123"/>
        <v>-0.10264412807613017</v>
      </c>
    </row>
    <row r="7324" spans="2:7" x14ac:dyDescent="0.25">
      <c r="B7324" s="98"/>
      <c r="F7324">
        <v>7320</v>
      </c>
      <c r="G7324" s="109">
        <f t="shared" ca="1" si="123"/>
        <v>0.13085815436263667</v>
      </c>
    </row>
    <row r="7325" spans="2:7" x14ac:dyDescent="0.25">
      <c r="B7325" s="98"/>
      <c r="F7325">
        <v>7321</v>
      </c>
      <c r="G7325" s="109">
        <f t="shared" ca="1" si="123"/>
        <v>0.21383710274947548</v>
      </c>
    </row>
    <row r="7326" spans="2:7" x14ac:dyDescent="0.25">
      <c r="B7326" s="98"/>
      <c r="F7326">
        <v>7322</v>
      </c>
      <c r="G7326" s="109">
        <f t="shared" ca="1" si="123"/>
        <v>-2.7851621204650193E-2</v>
      </c>
    </row>
    <row r="7327" spans="2:7" x14ac:dyDescent="0.25">
      <c r="B7327" s="98"/>
      <c r="F7327">
        <v>7323</v>
      </c>
      <c r="G7327" s="109">
        <f t="shared" ca="1" si="123"/>
        <v>0.10747524921554434</v>
      </c>
    </row>
    <row r="7328" spans="2:7" x14ac:dyDescent="0.25">
      <c r="B7328" s="98"/>
      <c r="F7328">
        <v>7324</v>
      </c>
      <c r="G7328" s="109">
        <f t="shared" ca="1" si="123"/>
        <v>2.3536508643455509E-2</v>
      </c>
    </row>
    <row r="7329" spans="2:7" x14ac:dyDescent="0.25">
      <c r="B7329" s="98"/>
      <c r="F7329">
        <v>7325</v>
      </c>
      <c r="G7329" s="109">
        <f t="shared" ca="1" si="123"/>
        <v>0.13395061479823442</v>
      </c>
    </row>
    <row r="7330" spans="2:7" x14ac:dyDescent="0.25">
      <c r="B7330" s="98"/>
      <c r="F7330">
        <v>7326</v>
      </c>
      <c r="G7330" s="109">
        <f t="shared" ca="1" si="123"/>
        <v>-5.1031735138016385E-2</v>
      </c>
    </row>
    <row r="7331" spans="2:7" x14ac:dyDescent="0.25">
      <c r="B7331" s="98"/>
      <c r="F7331">
        <v>7327</v>
      </c>
      <c r="G7331" s="109">
        <f t="shared" ca="1" si="123"/>
        <v>1.4555506044800076E-3</v>
      </c>
    </row>
    <row r="7332" spans="2:7" x14ac:dyDescent="0.25">
      <c r="B7332" s="98"/>
      <c r="F7332">
        <v>7328</v>
      </c>
      <c r="G7332" s="109">
        <f t="shared" ca="1" si="123"/>
        <v>-2.7695729039422273E-2</v>
      </c>
    </row>
    <row r="7333" spans="2:7" x14ac:dyDescent="0.25">
      <c r="B7333" s="98"/>
      <c r="F7333">
        <v>7329</v>
      </c>
      <c r="G7333" s="109">
        <f t="shared" ca="1" si="123"/>
        <v>4.8276190601434649E-3</v>
      </c>
    </row>
    <row r="7334" spans="2:7" x14ac:dyDescent="0.25">
      <c r="B7334" s="98"/>
      <c r="F7334">
        <v>7330</v>
      </c>
      <c r="G7334" s="109">
        <f t="shared" ca="1" si="123"/>
        <v>6.5860470073812849E-2</v>
      </c>
    </row>
    <row r="7335" spans="2:7" x14ac:dyDescent="0.25">
      <c r="B7335" s="98"/>
      <c r="F7335">
        <v>7331</v>
      </c>
      <c r="G7335" s="109">
        <f t="shared" ca="1" si="123"/>
        <v>0.13034035119837792</v>
      </c>
    </row>
    <row r="7336" spans="2:7" x14ac:dyDescent="0.25">
      <c r="B7336" s="98"/>
      <c r="F7336">
        <v>7332</v>
      </c>
      <c r="G7336" s="109">
        <f t="shared" ca="1" si="123"/>
        <v>-0.10914519168634683</v>
      </c>
    </row>
    <row r="7337" spans="2:7" x14ac:dyDescent="0.25">
      <c r="B7337" s="98"/>
      <c r="F7337">
        <v>7333</v>
      </c>
      <c r="G7337" s="109">
        <f t="shared" ca="1" si="123"/>
        <v>0.11756647942284096</v>
      </c>
    </row>
    <row r="7338" spans="2:7" x14ac:dyDescent="0.25">
      <c r="B7338" s="98"/>
      <c r="F7338">
        <v>7334</v>
      </c>
      <c r="G7338" s="109">
        <f t="shared" ca="1" si="123"/>
        <v>0.20367454960718406</v>
      </c>
    </row>
    <row r="7339" spans="2:7" x14ac:dyDescent="0.25">
      <c r="B7339" s="98"/>
      <c r="F7339">
        <v>7335</v>
      </c>
      <c r="G7339" s="109">
        <f t="shared" ca="1" si="123"/>
        <v>-2.7628163739415096E-2</v>
      </c>
    </row>
    <row r="7340" spans="2:7" x14ac:dyDescent="0.25">
      <c r="B7340" s="98"/>
      <c r="F7340">
        <v>7336</v>
      </c>
      <c r="G7340" s="109">
        <f t="shared" ca="1" si="123"/>
        <v>5.4932343970836225E-2</v>
      </c>
    </row>
    <row r="7341" spans="2:7" x14ac:dyDescent="0.25">
      <c r="B7341" s="98"/>
      <c r="F7341">
        <v>7337</v>
      </c>
      <c r="G7341" s="109">
        <f t="shared" ca="1" si="123"/>
        <v>2.5658970866892193E-2</v>
      </c>
    </row>
    <row r="7342" spans="2:7" x14ac:dyDescent="0.25">
      <c r="B7342" s="98"/>
      <c r="F7342">
        <v>7338</v>
      </c>
      <c r="G7342" s="109">
        <f t="shared" ca="1" si="123"/>
        <v>7.7576290790265179E-2</v>
      </c>
    </row>
    <row r="7343" spans="2:7" x14ac:dyDescent="0.25">
      <c r="B7343" s="98"/>
      <c r="F7343">
        <v>7339</v>
      </c>
      <c r="G7343" s="109">
        <f t="shared" ca="1" si="123"/>
        <v>0.11261041522692125</v>
      </c>
    </row>
    <row r="7344" spans="2:7" x14ac:dyDescent="0.25">
      <c r="B7344" s="98"/>
      <c r="F7344">
        <v>7340</v>
      </c>
      <c r="G7344" s="109">
        <f t="shared" ca="1" si="123"/>
        <v>-2.504434444097911E-3</v>
      </c>
    </row>
    <row r="7345" spans="2:7" x14ac:dyDescent="0.25">
      <c r="B7345" s="98"/>
      <c r="F7345">
        <v>7341</v>
      </c>
      <c r="G7345" s="109">
        <f t="shared" ca="1" si="123"/>
        <v>3.2622613534026207E-2</v>
      </c>
    </row>
    <row r="7346" spans="2:7" x14ac:dyDescent="0.25">
      <c r="B7346" s="98"/>
      <c r="F7346">
        <v>7342</v>
      </c>
      <c r="G7346" s="109">
        <f t="shared" ca="1" si="123"/>
        <v>0.14262392011359615</v>
      </c>
    </row>
    <row r="7347" spans="2:7" x14ac:dyDescent="0.25">
      <c r="B7347" s="98"/>
      <c r="F7347">
        <v>7343</v>
      </c>
      <c r="G7347" s="109">
        <f t="shared" ca="1" si="123"/>
        <v>5.8308248119212723E-2</v>
      </c>
    </row>
    <row r="7348" spans="2:7" x14ac:dyDescent="0.25">
      <c r="B7348" s="98"/>
      <c r="F7348">
        <v>7344</v>
      </c>
      <c r="G7348" s="109">
        <f t="shared" ca="1" si="123"/>
        <v>-5.1076043204239641E-2</v>
      </c>
    </row>
    <row r="7349" spans="2:7" x14ac:dyDescent="0.25">
      <c r="B7349" s="98"/>
      <c r="F7349">
        <v>7345</v>
      </c>
      <c r="G7349" s="109">
        <f t="shared" ca="1" si="123"/>
        <v>0.25002281826765499</v>
      </c>
    </row>
    <row r="7350" spans="2:7" x14ac:dyDescent="0.25">
      <c r="B7350" s="98"/>
      <c r="F7350">
        <v>7346</v>
      </c>
      <c r="G7350" s="109">
        <f t="shared" ca="1" si="123"/>
        <v>2.0923983914015624E-2</v>
      </c>
    </row>
    <row r="7351" spans="2:7" x14ac:dyDescent="0.25">
      <c r="B7351" s="98"/>
      <c r="F7351">
        <v>7347</v>
      </c>
      <c r="G7351" s="109">
        <f t="shared" ca="1" si="123"/>
        <v>5.7482501687105253E-2</v>
      </c>
    </row>
    <row r="7352" spans="2:7" x14ac:dyDescent="0.25">
      <c r="B7352" s="98"/>
      <c r="F7352">
        <v>7348</v>
      </c>
      <c r="G7352" s="109">
        <f t="shared" ca="1" si="123"/>
        <v>3.3727314701539265E-2</v>
      </c>
    </row>
    <row r="7353" spans="2:7" x14ac:dyDescent="0.25">
      <c r="B7353" s="98"/>
      <c r="F7353">
        <v>7349</v>
      </c>
      <c r="G7353" s="109">
        <f t="shared" ca="1" si="123"/>
        <v>-2.6062490043348152E-2</v>
      </c>
    </row>
    <row r="7354" spans="2:7" x14ac:dyDescent="0.25">
      <c r="B7354" s="98"/>
      <c r="F7354">
        <v>7350</v>
      </c>
      <c r="G7354" s="109">
        <f t="shared" ca="1" si="123"/>
        <v>-0.21087547956197028</v>
      </c>
    </row>
    <row r="7355" spans="2:7" x14ac:dyDescent="0.25">
      <c r="B7355" s="98"/>
      <c r="F7355">
        <v>7351</v>
      </c>
      <c r="G7355" s="109">
        <f t="shared" ca="1" si="123"/>
        <v>-7.3162466970309731E-2</v>
      </c>
    </row>
    <row r="7356" spans="2:7" x14ac:dyDescent="0.25">
      <c r="B7356" s="98"/>
      <c r="F7356">
        <v>7352</v>
      </c>
      <c r="G7356" s="109">
        <f t="shared" ca="1" si="123"/>
        <v>9.2644138071920595E-2</v>
      </c>
    </row>
    <row r="7357" spans="2:7" x14ac:dyDescent="0.25">
      <c r="B7357" s="98"/>
      <c r="F7357">
        <v>7353</v>
      </c>
      <c r="G7357" s="109">
        <f t="shared" ca="1" si="123"/>
        <v>0.11697464093481558</v>
      </c>
    </row>
    <row r="7358" spans="2:7" x14ac:dyDescent="0.25">
      <c r="B7358" s="98"/>
      <c r="F7358">
        <v>7354</v>
      </c>
      <c r="G7358" s="109">
        <f t="shared" ca="1" si="123"/>
        <v>7.0340651330608614E-2</v>
      </c>
    </row>
    <row r="7359" spans="2:7" x14ac:dyDescent="0.25">
      <c r="B7359" s="98"/>
      <c r="F7359">
        <v>7355</v>
      </c>
      <c r="G7359" s="109">
        <f t="shared" ca="1" si="123"/>
        <v>-8.8913814958170009E-2</v>
      </c>
    </row>
    <row r="7360" spans="2:7" x14ac:dyDescent="0.25">
      <c r="B7360" s="98"/>
      <c r="F7360">
        <v>7356</v>
      </c>
      <c r="G7360" s="109">
        <f t="shared" ca="1" si="123"/>
        <v>4.8104228925859235E-2</v>
      </c>
    </row>
    <row r="7361" spans="2:7" x14ac:dyDescent="0.25">
      <c r="B7361" s="98"/>
      <c r="F7361">
        <v>7357</v>
      </c>
      <c r="G7361" s="109">
        <f t="shared" ca="1" si="123"/>
        <v>-8.496264295775241E-3</v>
      </c>
    </row>
    <row r="7362" spans="2:7" x14ac:dyDescent="0.25">
      <c r="B7362" s="98"/>
      <c r="F7362">
        <v>7358</v>
      </c>
      <c r="G7362" s="109">
        <f t="shared" ca="1" si="123"/>
        <v>0.15122079864833482</v>
      </c>
    </row>
    <row r="7363" spans="2:7" x14ac:dyDescent="0.25">
      <c r="B7363" s="98"/>
      <c r="F7363">
        <v>7359</v>
      </c>
      <c r="G7363" s="109">
        <f t="shared" ca="1" si="123"/>
        <v>3.5324307177278663E-2</v>
      </c>
    </row>
    <row r="7364" spans="2:7" x14ac:dyDescent="0.25">
      <c r="B7364" s="98"/>
      <c r="F7364">
        <v>7360</v>
      </c>
      <c r="G7364" s="109">
        <f t="shared" ca="1" si="123"/>
        <v>5.9223720970181803E-3</v>
      </c>
    </row>
    <row r="7365" spans="2:7" x14ac:dyDescent="0.25">
      <c r="B7365" s="98"/>
      <c r="F7365">
        <v>7361</v>
      </c>
      <c r="G7365" s="109">
        <f t="shared" ca="1" si="123"/>
        <v>-1.6155771407268524E-2</v>
      </c>
    </row>
    <row r="7366" spans="2:7" x14ac:dyDescent="0.25">
      <c r="B7366" s="98"/>
      <c r="F7366">
        <v>7362</v>
      </c>
      <c r="G7366" s="109">
        <f t="shared" ref="G7366:G7429" ca="1" si="124">_xlfn.NORM.INV(RAND(),$M$5,$M$6)</f>
        <v>0.13646627845062231</v>
      </c>
    </row>
    <row r="7367" spans="2:7" x14ac:dyDescent="0.25">
      <c r="B7367" s="98"/>
      <c r="F7367">
        <v>7363</v>
      </c>
      <c r="G7367" s="109">
        <f t="shared" ca="1" si="124"/>
        <v>1.2143794346421155E-2</v>
      </c>
    </row>
    <row r="7368" spans="2:7" x14ac:dyDescent="0.25">
      <c r="B7368" s="98"/>
      <c r="F7368">
        <v>7364</v>
      </c>
      <c r="G7368" s="109">
        <f t="shared" ca="1" si="124"/>
        <v>-0.18939491926845264</v>
      </c>
    </row>
    <row r="7369" spans="2:7" x14ac:dyDescent="0.25">
      <c r="B7369" s="98"/>
      <c r="F7369">
        <v>7365</v>
      </c>
      <c r="G7369" s="109">
        <f t="shared" ca="1" si="124"/>
        <v>-1.6851986817278321E-2</v>
      </c>
    </row>
    <row r="7370" spans="2:7" x14ac:dyDescent="0.25">
      <c r="B7370" s="98"/>
      <c r="F7370">
        <v>7366</v>
      </c>
      <c r="G7370" s="109">
        <f t="shared" ca="1" si="124"/>
        <v>-0.13354452783618848</v>
      </c>
    </row>
    <row r="7371" spans="2:7" x14ac:dyDescent="0.25">
      <c r="B7371" s="98"/>
      <c r="F7371">
        <v>7367</v>
      </c>
      <c r="G7371" s="109">
        <f t="shared" ca="1" si="124"/>
        <v>-0.20635657169614713</v>
      </c>
    </row>
    <row r="7372" spans="2:7" x14ac:dyDescent="0.25">
      <c r="B7372" s="98"/>
      <c r="F7372">
        <v>7368</v>
      </c>
      <c r="G7372" s="109">
        <f t="shared" ca="1" si="124"/>
        <v>-9.313528185189214E-2</v>
      </c>
    </row>
    <row r="7373" spans="2:7" x14ac:dyDescent="0.25">
      <c r="B7373" s="98"/>
      <c r="F7373">
        <v>7369</v>
      </c>
      <c r="G7373" s="109">
        <f t="shared" ca="1" si="124"/>
        <v>4.1794010622836227E-2</v>
      </c>
    </row>
    <row r="7374" spans="2:7" x14ac:dyDescent="0.25">
      <c r="B7374" s="98"/>
      <c r="F7374">
        <v>7370</v>
      </c>
      <c r="G7374" s="109">
        <f t="shared" ca="1" si="124"/>
        <v>-7.0478610401625189E-2</v>
      </c>
    </row>
    <row r="7375" spans="2:7" x14ac:dyDescent="0.25">
      <c r="B7375" s="98"/>
      <c r="F7375">
        <v>7371</v>
      </c>
      <c r="G7375" s="109">
        <f t="shared" ca="1" si="124"/>
        <v>0.11861629894221888</v>
      </c>
    </row>
    <row r="7376" spans="2:7" x14ac:dyDescent="0.25">
      <c r="B7376" s="98"/>
      <c r="F7376">
        <v>7372</v>
      </c>
      <c r="G7376" s="109">
        <f t="shared" ca="1" si="124"/>
        <v>0.15853125360440423</v>
      </c>
    </row>
    <row r="7377" spans="2:7" x14ac:dyDescent="0.25">
      <c r="B7377" s="98"/>
      <c r="F7377">
        <v>7373</v>
      </c>
      <c r="G7377" s="109">
        <f t="shared" ca="1" si="124"/>
        <v>-9.4762958660656579E-2</v>
      </c>
    </row>
    <row r="7378" spans="2:7" x14ac:dyDescent="0.25">
      <c r="B7378" s="98"/>
      <c r="F7378">
        <v>7374</v>
      </c>
      <c r="G7378" s="109">
        <f t="shared" ca="1" si="124"/>
        <v>0.11710178511900454</v>
      </c>
    </row>
    <row r="7379" spans="2:7" x14ac:dyDescent="0.25">
      <c r="B7379" s="98"/>
      <c r="F7379">
        <v>7375</v>
      </c>
      <c r="G7379" s="109">
        <f t="shared" ca="1" si="124"/>
        <v>0.15181994669506915</v>
      </c>
    </row>
    <row r="7380" spans="2:7" x14ac:dyDescent="0.25">
      <c r="B7380" s="98"/>
      <c r="F7380">
        <v>7376</v>
      </c>
      <c r="G7380" s="109">
        <f t="shared" ca="1" si="124"/>
        <v>-8.1021010205090629E-2</v>
      </c>
    </row>
    <row r="7381" spans="2:7" x14ac:dyDescent="0.25">
      <c r="B7381" s="98"/>
      <c r="F7381">
        <v>7377</v>
      </c>
      <c r="G7381" s="109">
        <f t="shared" ca="1" si="124"/>
        <v>-1.7581613827869269E-2</v>
      </c>
    </row>
    <row r="7382" spans="2:7" x14ac:dyDescent="0.25">
      <c r="B7382" s="98"/>
      <c r="F7382">
        <v>7378</v>
      </c>
      <c r="G7382" s="109">
        <f t="shared" ca="1" si="124"/>
        <v>7.7780234642130866E-2</v>
      </c>
    </row>
    <row r="7383" spans="2:7" x14ac:dyDescent="0.25">
      <c r="B7383" s="98"/>
      <c r="F7383">
        <v>7379</v>
      </c>
      <c r="G7383" s="109">
        <f t="shared" ca="1" si="124"/>
        <v>7.3361197296710173E-2</v>
      </c>
    </row>
    <row r="7384" spans="2:7" x14ac:dyDescent="0.25">
      <c r="B7384" s="98"/>
      <c r="F7384">
        <v>7380</v>
      </c>
      <c r="G7384" s="109">
        <f t="shared" ca="1" si="124"/>
        <v>4.0558959505048321E-2</v>
      </c>
    </row>
    <row r="7385" spans="2:7" x14ac:dyDescent="0.25">
      <c r="B7385" s="98"/>
      <c r="F7385">
        <v>7381</v>
      </c>
      <c r="G7385" s="109">
        <f t="shared" ca="1" si="124"/>
        <v>6.9382159745739011E-2</v>
      </c>
    </row>
    <row r="7386" spans="2:7" x14ac:dyDescent="0.25">
      <c r="B7386" s="98"/>
      <c r="F7386">
        <v>7382</v>
      </c>
      <c r="G7386" s="109">
        <f t="shared" ca="1" si="124"/>
        <v>0.20753744832496229</v>
      </c>
    </row>
    <row r="7387" spans="2:7" x14ac:dyDescent="0.25">
      <c r="B7387" s="98"/>
      <c r="F7387">
        <v>7383</v>
      </c>
      <c r="G7387" s="109">
        <f t="shared" ca="1" si="124"/>
        <v>6.5584888065428185E-2</v>
      </c>
    </row>
    <row r="7388" spans="2:7" x14ac:dyDescent="0.25">
      <c r="B7388" s="98"/>
      <c r="F7388">
        <v>7384</v>
      </c>
      <c r="G7388" s="109">
        <f t="shared" ca="1" si="124"/>
        <v>0.14373309229100761</v>
      </c>
    </row>
    <row r="7389" spans="2:7" x14ac:dyDescent="0.25">
      <c r="B7389" s="98"/>
      <c r="F7389">
        <v>7385</v>
      </c>
      <c r="G7389" s="109">
        <f t="shared" ca="1" si="124"/>
        <v>9.9171338943739307E-2</v>
      </c>
    </row>
    <row r="7390" spans="2:7" x14ac:dyDescent="0.25">
      <c r="B7390" s="98"/>
      <c r="F7390">
        <v>7386</v>
      </c>
      <c r="G7390" s="109">
        <f t="shared" ca="1" si="124"/>
        <v>0.29121276060619761</v>
      </c>
    </row>
    <row r="7391" spans="2:7" x14ac:dyDescent="0.25">
      <c r="B7391" s="98"/>
      <c r="F7391">
        <v>7387</v>
      </c>
      <c r="G7391" s="109">
        <f t="shared" ca="1" si="124"/>
        <v>-4.4908336941443708E-2</v>
      </c>
    </row>
    <row r="7392" spans="2:7" x14ac:dyDescent="0.25">
      <c r="B7392" s="98"/>
      <c r="F7392">
        <v>7388</v>
      </c>
      <c r="G7392" s="109">
        <f t="shared" ca="1" si="124"/>
        <v>0.17350104174395808</v>
      </c>
    </row>
    <row r="7393" spans="2:7" x14ac:dyDescent="0.25">
      <c r="B7393" s="98"/>
      <c r="F7393">
        <v>7389</v>
      </c>
      <c r="G7393" s="109">
        <f t="shared" ca="1" si="124"/>
        <v>0.1129545577594044</v>
      </c>
    </row>
    <row r="7394" spans="2:7" x14ac:dyDescent="0.25">
      <c r="B7394" s="98"/>
      <c r="F7394">
        <v>7390</v>
      </c>
      <c r="G7394" s="109">
        <f t="shared" ca="1" si="124"/>
        <v>0.26240455659656414</v>
      </c>
    </row>
    <row r="7395" spans="2:7" x14ac:dyDescent="0.25">
      <c r="B7395" s="98"/>
      <c r="F7395">
        <v>7391</v>
      </c>
      <c r="G7395" s="109">
        <f t="shared" ca="1" si="124"/>
        <v>3.4897812198399658E-2</v>
      </c>
    </row>
    <row r="7396" spans="2:7" x14ac:dyDescent="0.25">
      <c r="B7396" s="98"/>
      <c r="F7396">
        <v>7392</v>
      </c>
      <c r="G7396" s="109">
        <f t="shared" ca="1" si="124"/>
        <v>-4.5124622160278682E-2</v>
      </c>
    </row>
    <row r="7397" spans="2:7" x14ac:dyDescent="0.25">
      <c r="B7397" s="98"/>
      <c r="F7397">
        <v>7393</v>
      </c>
      <c r="G7397" s="109">
        <f t="shared" ca="1" si="124"/>
        <v>0.12374247936876577</v>
      </c>
    </row>
    <row r="7398" spans="2:7" x14ac:dyDescent="0.25">
      <c r="B7398" s="98"/>
      <c r="F7398">
        <v>7394</v>
      </c>
      <c r="G7398" s="109">
        <f t="shared" ca="1" si="124"/>
        <v>-1.7633277560932109E-4</v>
      </c>
    </row>
    <row r="7399" spans="2:7" x14ac:dyDescent="0.25">
      <c r="B7399" s="98"/>
      <c r="F7399">
        <v>7395</v>
      </c>
      <c r="G7399" s="109">
        <f t="shared" ca="1" si="124"/>
        <v>9.1413893978436564E-2</v>
      </c>
    </row>
    <row r="7400" spans="2:7" x14ac:dyDescent="0.25">
      <c r="B7400" s="98"/>
      <c r="F7400">
        <v>7396</v>
      </c>
      <c r="G7400" s="109">
        <f t="shared" ca="1" si="124"/>
        <v>0.21204031314449756</v>
      </c>
    </row>
    <row r="7401" spans="2:7" x14ac:dyDescent="0.25">
      <c r="B7401" s="98"/>
      <c r="F7401">
        <v>7397</v>
      </c>
      <c r="G7401" s="109">
        <f t="shared" ca="1" si="124"/>
        <v>0.14355162368610183</v>
      </c>
    </row>
    <row r="7402" spans="2:7" x14ac:dyDescent="0.25">
      <c r="B7402" s="98"/>
      <c r="F7402">
        <v>7398</v>
      </c>
      <c r="G7402" s="109">
        <f t="shared" ca="1" si="124"/>
        <v>-0.23341349005000056</v>
      </c>
    </row>
    <row r="7403" spans="2:7" x14ac:dyDescent="0.25">
      <c r="B7403" s="98"/>
      <c r="F7403">
        <v>7399</v>
      </c>
      <c r="G7403" s="109">
        <f t="shared" ca="1" si="124"/>
        <v>0.19316203640731339</v>
      </c>
    </row>
    <row r="7404" spans="2:7" x14ac:dyDescent="0.25">
      <c r="B7404" s="98"/>
      <c r="F7404">
        <v>7400</v>
      </c>
      <c r="G7404" s="109">
        <f t="shared" ca="1" si="124"/>
        <v>6.1858010004633902E-2</v>
      </c>
    </row>
    <row r="7405" spans="2:7" x14ac:dyDescent="0.25">
      <c r="B7405" s="98"/>
      <c r="F7405">
        <v>7401</v>
      </c>
      <c r="G7405" s="109">
        <f t="shared" ca="1" si="124"/>
        <v>0.12276209092964459</v>
      </c>
    </row>
    <row r="7406" spans="2:7" x14ac:dyDescent="0.25">
      <c r="B7406" s="98"/>
      <c r="F7406">
        <v>7402</v>
      </c>
      <c r="G7406" s="109">
        <f t="shared" ca="1" si="124"/>
        <v>1.8518086141851728E-2</v>
      </c>
    </row>
    <row r="7407" spans="2:7" x14ac:dyDescent="0.25">
      <c r="B7407" s="98"/>
      <c r="F7407">
        <v>7403</v>
      </c>
      <c r="G7407" s="109">
        <f t="shared" ca="1" si="124"/>
        <v>0.13963564346657478</v>
      </c>
    </row>
    <row r="7408" spans="2:7" x14ac:dyDescent="0.25">
      <c r="B7408" s="98"/>
      <c r="F7408">
        <v>7404</v>
      </c>
      <c r="G7408" s="109">
        <f t="shared" ca="1" si="124"/>
        <v>-0.32221555724317552</v>
      </c>
    </row>
    <row r="7409" spans="2:7" x14ac:dyDescent="0.25">
      <c r="B7409" s="98"/>
      <c r="F7409">
        <v>7405</v>
      </c>
      <c r="G7409" s="109">
        <f t="shared" ca="1" si="124"/>
        <v>-7.8864217447000048E-2</v>
      </c>
    </row>
    <row r="7410" spans="2:7" x14ac:dyDescent="0.25">
      <c r="B7410" s="98"/>
      <c r="F7410">
        <v>7406</v>
      </c>
      <c r="G7410" s="109">
        <f t="shared" ca="1" si="124"/>
        <v>0.10190095100347671</v>
      </c>
    </row>
    <row r="7411" spans="2:7" x14ac:dyDescent="0.25">
      <c r="B7411" s="98"/>
      <c r="F7411">
        <v>7407</v>
      </c>
      <c r="G7411" s="109">
        <f t="shared" ca="1" si="124"/>
        <v>-1.5087159269923441E-2</v>
      </c>
    </row>
    <row r="7412" spans="2:7" x14ac:dyDescent="0.25">
      <c r="B7412" s="98"/>
      <c r="F7412">
        <v>7408</v>
      </c>
      <c r="G7412" s="109">
        <f t="shared" ca="1" si="124"/>
        <v>5.2657767296290382E-2</v>
      </c>
    </row>
    <row r="7413" spans="2:7" x14ac:dyDescent="0.25">
      <c r="B7413" s="98"/>
      <c r="F7413">
        <v>7409</v>
      </c>
      <c r="G7413" s="109">
        <f t="shared" ca="1" si="124"/>
        <v>0.13829686674904759</v>
      </c>
    </row>
    <row r="7414" spans="2:7" x14ac:dyDescent="0.25">
      <c r="B7414" s="98"/>
      <c r="F7414">
        <v>7410</v>
      </c>
      <c r="G7414" s="109">
        <f t="shared" ca="1" si="124"/>
        <v>0.19632481765475979</v>
      </c>
    </row>
    <row r="7415" spans="2:7" x14ac:dyDescent="0.25">
      <c r="B7415" s="98"/>
      <c r="F7415">
        <v>7411</v>
      </c>
      <c r="G7415" s="109">
        <f t="shared" ca="1" si="124"/>
        <v>-5.7796527231544992E-2</v>
      </c>
    </row>
    <row r="7416" spans="2:7" x14ac:dyDescent="0.25">
      <c r="B7416" s="98"/>
      <c r="F7416">
        <v>7412</v>
      </c>
      <c r="G7416" s="109">
        <f t="shared" ca="1" si="124"/>
        <v>5.6442516430928624E-2</v>
      </c>
    </row>
    <row r="7417" spans="2:7" x14ac:dyDescent="0.25">
      <c r="B7417" s="98"/>
      <c r="F7417">
        <v>7413</v>
      </c>
      <c r="G7417" s="109">
        <f t="shared" ca="1" si="124"/>
        <v>6.0489389383804687E-2</v>
      </c>
    </row>
    <row r="7418" spans="2:7" x14ac:dyDescent="0.25">
      <c r="B7418" s="98"/>
      <c r="F7418">
        <v>7414</v>
      </c>
      <c r="G7418" s="109">
        <f t="shared" ca="1" si="124"/>
        <v>8.1415544059980541E-2</v>
      </c>
    </row>
    <row r="7419" spans="2:7" x14ac:dyDescent="0.25">
      <c r="B7419" s="98"/>
      <c r="F7419">
        <v>7415</v>
      </c>
      <c r="G7419" s="109">
        <f t="shared" ca="1" si="124"/>
        <v>7.2212774365865429E-2</v>
      </c>
    </row>
    <row r="7420" spans="2:7" x14ac:dyDescent="0.25">
      <c r="B7420" s="98"/>
      <c r="F7420">
        <v>7416</v>
      </c>
      <c r="G7420" s="109">
        <f t="shared" ca="1" si="124"/>
        <v>6.6376400568111033E-2</v>
      </c>
    </row>
    <row r="7421" spans="2:7" x14ac:dyDescent="0.25">
      <c r="B7421" s="98"/>
      <c r="F7421">
        <v>7417</v>
      </c>
      <c r="G7421" s="109">
        <f t="shared" ca="1" si="124"/>
        <v>0.12767504807437408</v>
      </c>
    </row>
    <row r="7422" spans="2:7" x14ac:dyDescent="0.25">
      <c r="B7422" s="98"/>
      <c r="F7422">
        <v>7418</v>
      </c>
      <c r="G7422" s="109">
        <f t="shared" ca="1" si="124"/>
        <v>0.12426275950778955</v>
      </c>
    </row>
    <row r="7423" spans="2:7" x14ac:dyDescent="0.25">
      <c r="B7423" s="98"/>
      <c r="F7423">
        <v>7419</v>
      </c>
      <c r="G7423" s="109">
        <f t="shared" ca="1" si="124"/>
        <v>0.1588225709260864</v>
      </c>
    </row>
    <row r="7424" spans="2:7" x14ac:dyDescent="0.25">
      <c r="B7424" s="98"/>
      <c r="F7424">
        <v>7420</v>
      </c>
      <c r="G7424" s="109">
        <f t="shared" ca="1" si="124"/>
        <v>-5.5235796848282503E-2</v>
      </c>
    </row>
    <row r="7425" spans="2:7" x14ac:dyDescent="0.25">
      <c r="B7425" s="98"/>
      <c r="F7425">
        <v>7421</v>
      </c>
      <c r="G7425" s="109">
        <f t="shared" ca="1" si="124"/>
        <v>0.23944594576054878</v>
      </c>
    </row>
    <row r="7426" spans="2:7" x14ac:dyDescent="0.25">
      <c r="B7426" s="98"/>
      <c r="F7426">
        <v>7422</v>
      </c>
      <c r="G7426" s="109">
        <f t="shared" ca="1" si="124"/>
        <v>0.21425191183579295</v>
      </c>
    </row>
    <row r="7427" spans="2:7" x14ac:dyDescent="0.25">
      <c r="B7427" s="98"/>
      <c r="F7427">
        <v>7423</v>
      </c>
      <c r="G7427" s="109">
        <f t="shared" ca="1" si="124"/>
        <v>3.9041315557602159E-2</v>
      </c>
    </row>
    <row r="7428" spans="2:7" x14ac:dyDescent="0.25">
      <c r="B7428" s="98"/>
      <c r="F7428">
        <v>7424</v>
      </c>
      <c r="G7428" s="109">
        <f t="shared" ca="1" si="124"/>
        <v>-6.978569345255306E-2</v>
      </c>
    </row>
    <row r="7429" spans="2:7" x14ac:dyDescent="0.25">
      <c r="B7429" s="98"/>
      <c r="F7429">
        <v>7425</v>
      </c>
      <c r="G7429" s="109">
        <f t="shared" ca="1" si="124"/>
        <v>-0.13571741197921777</v>
      </c>
    </row>
    <row r="7430" spans="2:7" x14ac:dyDescent="0.25">
      <c r="B7430" s="98"/>
      <c r="F7430">
        <v>7426</v>
      </c>
      <c r="G7430" s="109">
        <f t="shared" ref="G7430:G7493" ca="1" si="125">_xlfn.NORM.INV(RAND(),$M$5,$M$6)</f>
        <v>0.12534955974854511</v>
      </c>
    </row>
    <row r="7431" spans="2:7" x14ac:dyDescent="0.25">
      <c r="B7431" s="98"/>
      <c r="F7431">
        <v>7427</v>
      </c>
      <c r="G7431" s="109">
        <f t="shared" ca="1" si="125"/>
        <v>2.0486879188253274E-2</v>
      </c>
    </row>
    <row r="7432" spans="2:7" x14ac:dyDescent="0.25">
      <c r="B7432" s="98"/>
      <c r="F7432">
        <v>7428</v>
      </c>
      <c r="G7432" s="109">
        <f t="shared" ca="1" si="125"/>
        <v>0.28478187129850963</v>
      </c>
    </row>
    <row r="7433" spans="2:7" x14ac:dyDescent="0.25">
      <c r="B7433" s="98"/>
      <c r="F7433">
        <v>7429</v>
      </c>
      <c r="G7433" s="109">
        <f t="shared" ca="1" si="125"/>
        <v>-4.649662734752627E-2</v>
      </c>
    </row>
    <row r="7434" spans="2:7" x14ac:dyDescent="0.25">
      <c r="B7434" s="98"/>
      <c r="F7434">
        <v>7430</v>
      </c>
      <c r="G7434" s="109">
        <f t="shared" ca="1" si="125"/>
        <v>0.10155403387200776</v>
      </c>
    </row>
    <row r="7435" spans="2:7" x14ac:dyDescent="0.25">
      <c r="B7435" s="98"/>
      <c r="F7435">
        <v>7431</v>
      </c>
      <c r="G7435" s="109">
        <f t="shared" ca="1" si="125"/>
        <v>0.24105768363435048</v>
      </c>
    </row>
    <row r="7436" spans="2:7" x14ac:dyDescent="0.25">
      <c r="B7436" s="98"/>
      <c r="F7436">
        <v>7432</v>
      </c>
      <c r="G7436" s="109">
        <f t="shared" ca="1" si="125"/>
        <v>-6.4446272312806654E-2</v>
      </c>
    </row>
    <row r="7437" spans="2:7" x14ac:dyDescent="0.25">
      <c r="B7437" s="98"/>
      <c r="F7437">
        <v>7433</v>
      </c>
      <c r="G7437" s="109">
        <f t="shared" ca="1" si="125"/>
        <v>0.21568739229655309</v>
      </c>
    </row>
    <row r="7438" spans="2:7" x14ac:dyDescent="0.25">
      <c r="B7438" s="98"/>
      <c r="F7438">
        <v>7434</v>
      </c>
      <c r="G7438" s="109">
        <f t="shared" ca="1" si="125"/>
        <v>4.2630464174839171E-2</v>
      </c>
    </row>
    <row r="7439" spans="2:7" x14ac:dyDescent="0.25">
      <c r="B7439" s="98"/>
      <c r="F7439">
        <v>7435</v>
      </c>
      <c r="G7439" s="109">
        <f t="shared" ca="1" si="125"/>
        <v>4.0432126823288846E-2</v>
      </c>
    </row>
    <row r="7440" spans="2:7" x14ac:dyDescent="0.25">
      <c r="B7440" s="98"/>
      <c r="F7440">
        <v>7436</v>
      </c>
      <c r="G7440" s="109">
        <f t="shared" ca="1" si="125"/>
        <v>0.14166322913832088</v>
      </c>
    </row>
    <row r="7441" spans="2:7" x14ac:dyDescent="0.25">
      <c r="B7441" s="98"/>
      <c r="F7441">
        <v>7437</v>
      </c>
      <c r="G7441" s="109">
        <f t="shared" ca="1" si="125"/>
        <v>-2.0352023432777339E-2</v>
      </c>
    </row>
    <row r="7442" spans="2:7" x14ac:dyDescent="0.25">
      <c r="B7442" s="98"/>
      <c r="F7442">
        <v>7438</v>
      </c>
      <c r="G7442" s="109">
        <f t="shared" ca="1" si="125"/>
        <v>0.10239679670536893</v>
      </c>
    </row>
    <row r="7443" spans="2:7" x14ac:dyDescent="0.25">
      <c r="B7443" s="98"/>
      <c r="F7443">
        <v>7439</v>
      </c>
      <c r="G7443" s="109">
        <f t="shared" ca="1" si="125"/>
        <v>6.9185938240232156E-2</v>
      </c>
    </row>
    <row r="7444" spans="2:7" x14ac:dyDescent="0.25">
      <c r="B7444" s="98"/>
      <c r="F7444">
        <v>7440</v>
      </c>
      <c r="G7444" s="109">
        <f t="shared" ca="1" si="125"/>
        <v>-7.1946710389635807E-2</v>
      </c>
    </row>
    <row r="7445" spans="2:7" x14ac:dyDescent="0.25">
      <c r="B7445" s="98"/>
      <c r="F7445">
        <v>7441</v>
      </c>
      <c r="G7445" s="109">
        <f t="shared" ca="1" si="125"/>
        <v>0.17682017738068168</v>
      </c>
    </row>
    <row r="7446" spans="2:7" x14ac:dyDescent="0.25">
      <c r="B7446" s="98"/>
      <c r="F7446">
        <v>7442</v>
      </c>
      <c r="G7446" s="109">
        <f t="shared" ca="1" si="125"/>
        <v>0.10135224334230254</v>
      </c>
    </row>
    <row r="7447" spans="2:7" x14ac:dyDescent="0.25">
      <c r="B7447" s="98"/>
      <c r="F7447">
        <v>7443</v>
      </c>
      <c r="G7447" s="109">
        <f t="shared" ca="1" si="125"/>
        <v>0.1876230007298284</v>
      </c>
    </row>
    <row r="7448" spans="2:7" x14ac:dyDescent="0.25">
      <c r="B7448" s="98"/>
      <c r="F7448">
        <v>7444</v>
      </c>
      <c r="G7448" s="109">
        <f t="shared" ca="1" si="125"/>
        <v>-3.107662650533978E-2</v>
      </c>
    </row>
    <row r="7449" spans="2:7" x14ac:dyDescent="0.25">
      <c r="B7449" s="98"/>
      <c r="F7449">
        <v>7445</v>
      </c>
      <c r="G7449" s="109">
        <f t="shared" ca="1" si="125"/>
        <v>-0.11098585490683306</v>
      </c>
    </row>
    <row r="7450" spans="2:7" x14ac:dyDescent="0.25">
      <c r="B7450" s="98"/>
      <c r="F7450">
        <v>7446</v>
      </c>
      <c r="G7450" s="109">
        <f t="shared" ca="1" si="125"/>
        <v>0.10293338420893255</v>
      </c>
    </row>
    <row r="7451" spans="2:7" x14ac:dyDescent="0.25">
      <c r="B7451" s="98"/>
      <c r="F7451">
        <v>7447</v>
      </c>
      <c r="G7451" s="109">
        <f t="shared" ca="1" si="125"/>
        <v>0.11829570085253754</v>
      </c>
    </row>
    <row r="7452" spans="2:7" x14ac:dyDescent="0.25">
      <c r="B7452" s="98"/>
      <c r="F7452">
        <v>7448</v>
      </c>
      <c r="G7452" s="109">
        <f t="shared" ca="1" si="125"/>
        <v>3.4932657059575732E-2</v>
      </c>
    </row>
    <row r="7453" spans="2:7" x14ac:dyDescent="0.25">
      <c r="B7453" s="98"/>
      <c r="F7453">
        <v>7449</v>
      </c>
      <c r="G7453" s="109">
        <f t="shared" ca="1" si="125"/>
        <v>8.6266470075992474E-2</v>
      </c>
    </row>
    <row r="7454" spans="2:7" x14ac:dyDescent="0.25">
      <c r="B7454" s="98"/>
      <c r="F7454">
        <v>7450</v>
      </c>
      <c r="G7454" s="109">
        <f t="shared" ca="1" si="125"/>
        <v>-0.23255292776596803</v>
      </c>
    </row>
    <row r="7455" spans="2:7" x14ac:dyDescent="0.25">
      <c r="B7455" s="98"/>
      <c r="F7455">
        <v>7451</v>
      </c>
      <c r="G7455" s="109">
        <f t="shared" ca="1" si="125"/>
        <v>-0.18457296242567611</v>
      </c>
    </row>
    <row r="7456" spans="2:7" x14ac:dyDescent="0.25">
      <c r="B7456" s="98"/>
      <c r="F7456">
        <v>7452</v>
      </c>
      <c r="G7456" s="109">
        <f t="shared" ca="1" si="125"/>
        <v>-5.7212368527404495E-2</v>
      </c>
    </row>
    <row r="7457" spans="2:7" x14ac:dyDescent="0.25">
      <c r="B7457" s="98"/>
      <c r="F7457">
        <v>7453</v>
      </c>
      <c r="G7457" s="109">
        <f t="shared" ca="1" si="125"/>
        <v>-6.2160689152456039E-2</v>
      </c>
    </row>
    <row r="7458" spans="2:7" x14ac:dyDescent="0.25">
      <c r="B7458" s="98"/>
      <c r="F7458">
        <v>7454</v>
      </c>
      <c r="G7458" s="109">
        <f t="shared" ca="1" si="125"/>
        <v>5.5584475608895512E-3</v>
      </c>
    </row>
    <row r="7459" spans="2:7" x14ac:dyDescent="0.25">
      <c r="B7459" s="98"/>
      <c r="F7459">
        <v>7455</v>
      </c>
      <c r="G7459" s="109">
        <f t="shared" ca="1" si="125"/>
        <v>0.22504821340833714</v>
      </c>
    </row>
    <row r="7460" spans="2:7" x14ac:dyDescent="0.25">
      <c r="B7460" s="98"/>
      <c r="F7460">
        <v>7456</v>
      </c>
      <c r="G7460" s="109">
        <f t="shared" ca="1" si="125"/>
        <v>-6.7326879904804918E-2</v>
      </c>
    </row>
    <row r="7461" spans="2:7" x14ac:dyDescent="0.25">
      <c r="B7461" s="98"/>
      <c r="F7461">
        <v>7457</v>
      </c>
      <c r="G7461" s="109">
        <f t="shared" ca="1" si="125"/>
        <v>-0.18946775643644648</v>
      </c>
    </row>
    <row r="7462" spans="2:7" x14ac:dyDescent="0.25">
      <c r="B7462" s="98"/>
      <c r="F7462">
        <v>7458</v>
      </c>
      <c r="G7462" s="109">
        <f t="shared" ca="1" si="125"/>
        <v>3.8840791843404623E-2</v>
      </c>
    </row>
    <row r="7463" spans="2:7" x14ac:dyDescent="0.25">
      <c r="B7463" s="98"/>
      <c r="F7463">
        <v>7459</v>
      </c>
      <c r="G7463" s="109">
        <f t="shared" ca="1" si="125"/>
        <v>7.0506345506045495E-2</v>
      </c>
    </row>
    <row r="7464" spans="2:7" x14ac:dyDescent="0.25">
      <c r="B7464" s="98"/>
      <c r="F7464">
        <v>7460</v>
      </c>
      <c r="G7464" s="109">
        <f t="shared" ca="1" si="125"/>
        <v>-6.6638509514302849E-2</v>
      </c>
    </row>
    <row r="7465" spans="2:7" x14ac:dyDescent="0.25">
      <c r="B7465" s="98"/>
      <c r="F7465">
        <v>7461</v>
      </c>
      <c r="G7465" s="109">
        <f t="shared" ca="1" si="125"/>
        <v>0.11018592259773373</v>
      </c>
    </row>
    <row r="7466" spans="2:7" x14ac:dyDescent="0.25">
      <c r="B7466" s="98"/>
      <c r="F7466">
        <v>7462</v>
      </c>
      <c r="G7466" s="109">
        <f t="shared" ca="1" si="125"/>
        <v>-7.7675598217220074E-2</v>
      </c>
    </row>
    <row r="7467" spans="2:7" x14ac:dyDescent="0.25">
      <c r="B7467" s="98"/>
      <c r="F7467">
        <v>7463</v>
      </c>
      <c r="G7467" s="109">
        <f t="shared" ca="1" si="125"/>
        <v>9.1001652318266082E-2</v>
      </c>
    </row>
    <row r="7468" spans="2:7" x14ac:dyDescent="0.25">
      <c r="B7468" s="98"/>
      <c r="F7468">
        <v>7464</v>
      </c>
      <c r="G7468" s="109">
        <f t="shared" ca="1" si="125"/>
        <v>0.1172438647578679</v>
      </c>
    </row>
    <row r="7469" spans="2:7" x14ac:dyDescent="0.25">
      <c r="B7469" s="98"/>
      <c r="F7469">
        <v>7465</v>
      </c>
      <c r="G7469" s="109">
        <f t="shared" ca="1" si="125"/>
        <v>7.0999060277787823E-3</v>
      </c>
    </row>
    <row r="7470" spans="2:7" x14ac:dyDescent="0.25">
      <c r="B7470" s="98"/>
      <c r="F7470">
        <v>7466</v>
      </c>
      <c r="G7470" s="109">
        <f t="shared" ca="1" si="125"/>
        <v>7.0646707513041973E-2</v>
      </c>
    </row>
    <row r="7471" spans="2:7" x14ac:dyDescent="0.25">
      <c r="B7471" s="98"/>
      <c r="F7471">
        <v>7467</v>
      </c>
      <c r="G7471" s="109">
        <f t="shared" ca="1" si="125"/>
        <v>0.19141460626490631</v>
      </c>
    </row>
    <row r="7472" spans="2:7" x14ac:dyDescent="0.25">
      <c r="B7472" s="98"/>
      <c r="F7472">
        <v>7468</v>
      </c>
      <c r="G7472" s="109">
        <f t="shared" ca="1" si="125"/>
        <v>0.13493669200730024</v>
      </c>
    </row>
    <row r="7473" spans="2:7" x14ac:dyDescent="0.25">
      <c r="B7473" s="98"/>
      <c r="F7473">
        <v>7469</v>
      </c>
      <c r="G7473" s="109">
        <f t="shared" ca="1" si="125"/>
        <v>4.5580450198578489E-2</v>
      </c>
    </row>
    <row r="7474" spans="2:7" x14ac:dyDescent="0.25">
      <c r="B7474" s="98"/>
      <c r="F7474">
        <v>7470</v>
      </c>
      <c r="G7474" s="109">
        <f t="shared" ca="1" si="125"/>
        <v>6.7868876757839369E-2</v>
      </c>
    </row>
    <row r="7475" spans="2:7" x14ac:dyDescent="0.25">
      <c r="B7475" s="98"/>
      <c r="F7475">
        <v>7471</v>
      </c>
      <c r="G7475" s="109">
        <f t="shared" ca="1" si="125"/>
        <v>4.4434784860112111E-3</v>
      </c>
    </row>
    <row r="7476" spans="2:7" x14ac:dyDescent="0.25">
      <c r="B7476" s="98"/>
      <c r="F7476">
        <v>7472</v>
      </c>
      <c r="G7476" s="109">
        <f t="shared" ca="1" si="125"/>
        <v>-1.8387162892200798E-2</v>
      </c>
    </row>
    <row r="7477" spans="2:7" x14ac:dyDescent="0.25">
      <c r="B7477" s="98"/>
      <c r="F7477">
        <v>7473</v>
      </c>
      <c r="G7477" s="109">
        <f t="shared" ca="1" si="125"/>
        <v>9.3662949759683187E-2</v>
      </c>
    </row>
    <row r="7478" spans="2:7" x14ac:dyDescent="0.25">
      <c r="B7478" s="98"/>
      <c r="F7478">
        <v>7474</v>
      </c>
      <c r="G7478" s="109">
        <f t="shared" ca="1" si="125"/>
        <v>3.0244623712329416E-2</v>
      </c>
    </row>
    <row r="7479" spans="2:7" x14ac:dyDescent="0.25">
      <c r="B7479" s="98"/>
      <c r="F7479">
        <v>7475</v>
      </c>
      <c r="G7479" s="109">
        <f t="shared" ca="1" si="125"/>
        <v>5.8535710413508441E-2</v>
      </c>
    </row>
    <row r="7480" spans="2:7" x14ac:dyDescent="0.25">
      <c r="B7480" s="98"/>
      <c r="F7480">
        <v>7476</v>
      </c>
      <c r="G7480" s="109">
        <f t="shared" ca="1" si="125"/>
        <v>0.16578284274042315</v>
      </c>
    </row>
    <row r="7481" spans="2:7" x14ac:dyDescent="0.25">
      <c r="B7481" s="98"/>
      <c r="F7481">
        <v>7477</v>
      </c>
      <c r="G7481" s="109">
        <f t="shared" ca="1" si="125"/>
        <v>1.8792917786131232E-2</v>
      </c>
    </row>
    <row r="7482" spans="2:7" x14ac:dyDescent="0.25">
      <c r="B7482" s="98"/>
      <c r="F7482">
        <v>7478</v>
      </c>
      <c r="G7482" s="109">
        <f t="shared" ca="1" si="125"/>
        <v>0.15405441884820875</v>
      </c>
    </row>
    <row r="7483" spans="2:7" x14ac:dyDescent="0.25">
      <c r="B7483" s="98"/>
      <c r="F7483">
        <v>7479</v>
      </c>
      <c r="G7483" s="109">
        <f t="shared" ca="1" si="125"/>
        <v>4.4618119798417941E-3</v>
      </c>
    </row>
    <row r="7484" spans="2:7" x14ac:dyDescent="0.25">
      <c r="B7484" s="98"/>
      <c r="F7484">
        <v>7480</v>
      </c>
      <c r="G7484" s="109">
        <f t="shared" ca="1" si="125"/>
        <v>2.8164704202356967E-2</v>
      </c>
    </row>
    <row r="7485" spans="2:7" x14ac:dyDescent="0.25">
      <c r="B7485" s="98"/>
      <c r="F7485">
        <v>7481</v>
      </c>
      <c r="G7485" s="109">
        <f t="shared" ca="1" si="125"/>
        <v>-1.1505708163221037E-2</v>
      </c>
    </row>
    <row r="7486" spans="2:7" x14ac:dyDescent="0.25">
      <c r="B7486" s="98"/>
      <c r="F7486">
        <v>7482</v>
      </c>
      <c r="G7486" s="109">
        <f t="shared" ca="1" si="125"/>
        <v>-0.1091229337331328</v>
      </c>
    </row>
    <row r="7487" spans="2:7" x14ac:dyDescent="0.25">
      <c r="B7487" s="98"/>
      <c r="F7487">
        <v>7483</v>
      </c>
      <c r="G7487" s="109">
        <f t="shared" ca="1" si="125"/>
        <v>6.6746454769167685E-2</v>
      </c>
    </row>
    <row r="7488" spans="2:7" x14ac:dyDescent="0.25">
      <c r="B7488" s="98"/>
      <c r="F7488">
        <v>7484</v>
      </c>
      <c r="G7488" s="109">
        <f t="shared" ca="1" si="125"/>
        <v>-5.5914831764173667E-2</v>
      </c>
    </row>
    <row r="7489" spans="2:7" x14ac:dyDescent="0.25">
      <c r="B7489" s="98"/>
      <c r="F7489">
        <v>7485</v>
      </c>
      <c r="G7489" s="109">
        <f t="shared" ca="1" si="125"/>
        <v>0.31522699683151628</v>
      </c>
    </row>
    <row r="7490" spans="2:7" x14ac:dyDescent="0.25">
      <c r="B7490" s="98"/>
      <c r="F7490">
        <v>7486</v>
      </c>
      <c r="G7490" s="109">
        <f t="shared" ca="1" si="125"/>
        <v>0.1589930112505458</v>
      </c>
    </row>
    <row r="7491" spans="2:7" x14ac:dyDescent="0.25">
      <c r="B7491" s="98"/>
      <c r="F7491">
        <v>7487</v>
      </c>
      <c r="G7491" s="109">
        <f t="shared" ca="1" si="125"/>
        <v>1.2756791961745458E-2</v>
      </c>
    </row>
    <row r="7492" spans="2:7" x14ac:dyDescent="0.25">
      <c r="B7492" s="98"/>
      <c r="F7492">
        <v>7488</v>
      </c>
      <c r="G7492" s="109">
        <f t="shared" ca="1" si="125"/>
        <v>-3.2359905862170205E-2</v>
      </c>
    </row>
    <row r="7493" spans="2:7" x14ac:dyDescent="0.25">
      <c r="B7493" s="98"/>
      <c r="F7493">
        <v>7489</v>
      </c>
      <c r="G7493" s="109">
        <f t="shared" ca="1" si="125"/>
        <v>0.10778758301365876</v>
      </c>
    </row>
    <row r="7494" spans="2:7" x14ac:dyDescent="0.25">
      <c r="B7494" s="98"/>
      <c r="F7494">
        <v>7490</v>
      </c>
      <c r="G7494" s="109">
        <f t="shared" ref="G7494:G7557" ca="1" si="126">_xlfn.NORM.INV(RAND(),$M$5,$M$6)</f>
        <v>3.3013695368240559E-2</v>
      </c>
    </row>
    <row r="7495" spans="2:7" x14ac:dyDescent="0.25">
      <c r="B7495" s="98"/>
      <c r="F7495">
        <v>7491</v>
      </c>
      <c r="G7495" s="109">
        <f t="shared" ca="1" si="126"/>
        <v>0.12304196382068942</v>
      </c>
    </row>
    <row r="7496" spans="2:7" x14ac:dyDescent="0.25">
      <c r="B7496" s="98"/>
      <c r="F7496">
        <v>7492</v>
      </c>
      <c r="G7496" s="109">
        <f t="shared" ca="1" si="126"/>
        <v>0.17413416265969917</v>
      </c>
    </row>
    <row r="7497" spans="2:7" x14ac:dyDescent="0.25">
      <c r="B7497" s="98"/>
      <c r="F7497">
        <v>7493</v>
      </c>
      <c r="G7497" s="109">
        <f t="shared" ca="1" si="126"/>
        <v>3.7928629930355583E-2</v>
      </c>
    </row>
    <row r="7498" spans="2:7" x14ac:dyDescent="0.25">
      <c r="B7498" s="98"/>
      <c r="F7498">
        <v>7494</v>
      </c>
      <c r="G7498" s="109">
        <f t="shared" ca="1" si="126"/>
        <v>-7.0710657004027094E-4</v>
      </c>
    </row>
    <row r="7499" spans="2:7" x14ac:dyDescent="0.25">
      <c r="B7499" s="98"/>
      <c r="F7499">
        <v>7495</v>
      </c>
      <c r="G7499" s="109">
        <f t="shared" ca="1" si="126"/>
        <v>8.7196730869566696E-2</v>
      </c>
    </row>
    <row r="7500" spans="2:7" x14ac:dyDescent="0.25">
      <c r="B7500" s="98"/>
      <c r="F7500">
        <v>7496</v>
      </c>
      <c r="G7500" s="109">
        <f t="shared" ca="1" si="126"/>
        <v>-8.719369754201968E-2</v>
      </c>
    </row>
    <row r="7501" spans="2:7" x14ac:dyDescent="0.25">
      <c r="B7501" s="98"/>
      <c r="F7501">
        <v>7497</v>
      </c>
      <c r="G7501" s="109">
        <f t="shared" ca="1" si="126"/>
        <v>-9.2492215714864753E-2</v>
      </c>
    </row>
    <row r="7502" spans="2:7" x14ac:dyDescent="0.25">
      <c r="B7502" s="98"/>
      <c r="F7502">
        <v>7498</v>
      </c>
      <c r="G7502" s="109">
        <f t="shared" ca="1" si="126"/>
        <v>-6.6445021767343723E-2</v>
      </c>
    </row>
    <row r="7503" spans="2:7" x14ac:dyDescent="0.25">
      <c r="B7503" s="98"/>
      <c r="F7503">
        <v>7499</v>
      </c>
      <c r="G7503" s="109">
        <f t="shared" ca="1" si="126"/>
        <v>0.1049293881508956</v>
      </c>
    </row>
    <row r="7504" spans="2:7" x14ac:dyDescent="0.25">
      <c r="B7504" s="98"/>
      <c r="F7504">
        <v>7500</v>
      </c>
      <c r="G7504" s="109">
        <f t="shared" ca="1" si="126"/>
        <v>-2.1476834648672255E-3</v>
      </c>
    </row>
    <row r="7505" spans="2:7" x14ac:dyDescent="0.25">
      <c r="B7505" s="98"/>
      <c r="F7505">
        <v>7501</v>
      </c>
      <c r="G7505" s="109">
        <f t="shared" ca="1" si="126"/>
        <v>-0.13494027002070508</v>
      </c>
    </row>
    <row r="7506" spans="2:7" x14ac:dyDescent="0.25">
      <c r="B7506" s="98"/>
      <c r="F7506">
        <v>7502</v>
      </c>
      <c r="G7506" s="109">
        <f t="shared" ca="1" si="126"/>
        <v>0.12360154370153612</v>
      </c>
    </row>
    <row r="7507" spans="2:7" x14ac:dyDescent="0.25">
      <c r="B7507" s="98"/>
      <c r="F7507">
        <v>7503</v>
      </c>
      <c r="G7507" s="109">
        <f t="shared" ca="1" si="126"/>
        <v>0.14857426379463351</v>
      </c>
    </row>
    <row r="7508" spans="2:7" x14ac:dyDescent="0.25">
      <c r="B7508" s="98"/>
      <c r="F7508">
        <v>7504</v>
      </c>
      <c r="G7508" s="109">
        <f t="shared" ca="1" si="126"/>
        <v>0.29328438073778307</v>
      </c>
    </row>
    <row r="7509" spans="2:7" x14ac:dyDescent="0.25">
      <c r="B7509" s="98"/>
      <c r="F7509">
        <v>7505</v>
      </c>
      <c r="G7509" s="109">
        <f t="shared" ca="1" si="126"/>
        <v>0.12500189371963466</v>
      </c>
    </row>
    <row r="7510" spans="2:7" x14ac:dyDescent="0.25">
      <c r="B7510" s="98"/>
      <c r="F7510">
        <v>7506</v>
      </c>
      <c r="G7510" s="109">
        <f t="shared" ca="1" si="126"/>
        <v>-0.16353056335466698</v>
      </c>
    </row>
    <row r="7511" spans="2:7" x14ac:dyDescent="0.25">
      <c r="B7511" s="98"/>
      <c r="F7511">
        <v>7507</v>
      </c>
      <c r="G7511" s="109">
        <f t="shared" ca="1" si="126"/>
        <v>-6.6268433913986804E-2</v>
      </c>
    </row>
    <row r="7512" spans="2:7" x14ac:dyDescent="0.25">
      <c r="B7512" s="98"/>
      <c r="F7512">
        <v>7508</v>
      </c>
      <c r="G7512" s="109">
        <f t="shared" ca="1" si="126"/>
        <v>-7.7558123946759608E-2</v>
      </c>
    </row>
    <row r="7513" spans="2:7" x14ac:dyDescent="0.25">
      <c r="B7513" s="98"/>
      <c r="F7513">
        <v>7509</v>
      </c>
      <c r="G7513" s="109">
        <f t="shared" ca="1" si="126"/>
        <v>1.21562994727007E-2</v>
      </c>
    </row>
    <row r="7514" spans="2:7" x14ac:dyDescent="0.25">
      <c r="B7514" s="98"/>
      <c r="F7514">
        <v>7510</v>
      </c>
      <c r="G7514" s="109">
        <f t="shared" ca="1" si="126"/>
        <v>3.7658504476303534E-2</v>
      </c>
    </row>
    <row r="7515" spans="2:7" x14ac:dyDescent="0.25">
      <c r="B7515" s="98"/>
      <c r="F7515">
        <v>7511</v>
      </c>
      <c r="G7515" s="109">
        <f t="shared" ca="1" si="126"/>
        <v>7.0486072992957713E-2</v>
      </c>
    </row>
    <row r="7516" spans="2:7" x14ac:dyDescent="0.25">
      <c r="B7516" s="98"/>
      <c r="F7516">
        <v>7512</v>
      </c>
      <c r="G7516" s="109">
        <f t="shared" ca="1" si="126"/>
        <v>5.9228668762106619E-2</v>
      </c>
    </row>
    <row r="7517" spans="2:7" x14ac:dyDescent="0.25">
      <c r="B7517" s="98"/>
      <c r="F7517">
        <v>7513</v>
      </c>
      <c r="G7517" s="109">
        <f t="shared" ca="1" si="126"/>
        <v>2.4878367209825631E-2</v>
      </c>
    </row>
    <row r="7518" spans="2:7" x14ac:dyDescent="0.25">
      <c r="B7518" s="98"/>
      <c r="F7518">
        <v>7514</v>
      </c>
      <c r="G7518" s="109">
        <f t="shared" ca="1" si="126"/>
        <v>3.5458315985554795E-2</v>
      </c>
    </row>
    <row r="7519" spans="2:7" x14ac:dyDescent="0.25">
      <c r="B7519" s="98"/>
      <c r="F7519">
        <v>7515</v>
      </c>
      <c r="G7519" s="109">
        <f t="shared" ca="1" si="126"/>
        <v>-6.5063274178630587E-2</v>
      </c>
    </row>
    <row r="7520" spans="2:7" x14ac:dyDescent="0.25">
      <c r="B7520" s="98"/>
      <c r="F7520">
        <v>7516</v>
      </c>
      <c r="G7520" s="109">
        <f t="shared" ca="1" si="126"/>
        <v>-0.1481124266885297</v>
      </c>
    </row>
    <row r="7521" spans="2:7" x14ac:dyDescent="0.25">
      <c r="B7521" s="98"/>
      <c r="F7521">
        <v>7517</v>
      </c>
      <c r="G7521" s="109">
        <f t="shared" ca="1" si="126"/>
        <v>-8.6888746639813205E-2</v>
      </c>
    </row>
    <row r="7522" spans="2:7" x14ac:dyDescent="0.25">
      <c r="B7522" s="98"/>
      <c r="F7522">
        <v>7518</v>
      </c>
      <c r="G7522" s="109">
        <f t="shared" ca="1" si="126"/>
        <v>9.1667607617584163E-4</v>
      </c>
    </row>
    <row r="7523" spans="2:7" x14ac:dyDescent="0.25">
      <c r="B7523" s="98"/>
      <c r="F7523">
        <v>7519</v>
      </c>
      <c r="G7523" s="109">
        <f t="shared" ca="1" si="126"/>
        <v>7.6008128657609933E-2</v>
      </c>
    </row>
    <row r="7524" spans="2:7" x14ac:dyDescent="0.25">
      <c r="B7524" s="98"/>
      <c r="F7524">
        <v>7520</v>
      </c>
      <c r="G7524" s="109">
        <f t="shared" ca="1" si="126"/>
        <v>9.3652724546600841E-2</v>
      </c>
    </row>
    <row r="7525" spans="2:7" x14ac:dyDescent="0.25">
      <c r="B7525" s="98"/>
      <c r="F7525">
        <v>7521</v>
      </c>
      <c r="G7525" s="109">
        <f t="shared" ca="1" si="126"/>
        <v>8.5571351277671515E-2</v>
      </c>
    </row>
    <row r="7526" spans="2:7" x14ac:dyDescent="0.25">
      <c r="B7526" s="98"/>
      <c r="F7526">
        <v>7522</v>
      </c>
      <c r="G7526" s="109">
        <f t="shared" ca="1" si="126"/>
        <v>2.3828450847295884E-2</v>
      </c>
    </row>
    <row r="7527" spans="2:7" x14ac:dyDescent="0.25">
      <c r="B7527" s="98"/>
      <c r="F7527">
        <v>7523</v>
      </c>
      <c r="G7527" s="109">
        <f t="shared" ca="1" si="126"/>
        <v>0.12658975105585379</v>
      </c>
    </row>
    <row r="7528" spans="2:7" x14ac:dyDescent="0.25">
      <c r="B7528" s="98"/>
      <c r="F7528">
        <v>7524</v>
      </c>
      <c r="G7528" s="109">
        <f t="shared" ca="1" si="126"/>
        <v>0.14397094587398701</v>
      </c>
    </row>
    <row r="7529" spans="2:7" x14ac:dyDescent="0.25">
      <c r="B7529" s="98"/>
      <c r="F7529">
        <v>7525</v>
      </c>
      <c r="G7529" s="109">
        <f t="shared" ca="1" si="126"/>
        <v>0.142136543080853</v>
      </c>
    </row>
    <row r="7530" spans="2:7" x14ac:dyDescent="0.25">
      <c r="B7530" s="98"/>
      <c r="F7530">
        <v>7526</v>
      </c>
      <c r="G7530" s="109">
        <f t="shared" ca="1" si="126"/>
        <v>2.8411822324971719E-4</v>
      </c>
    </row>
    <row r="7531" spans="2:7" x14ac:dyDescent="0.25">
      <c r="B7531" s="98"/>
      <c r="F7531">
        <v>7527</v>
      </c>
      <c r="G7531" s="109">
        <f t="shared" ca="1" si="126"/>
        <v>-0.10969310242618098</v>
      </c>
    </row>
    <row r="7532" spans="2:7" x14ac:dyDescent="0.25">
      <c r="B7532" s="98"/>
      <c r="F7532">
        <v>7528</v>
      </c>
      <c r="G7532" s="109">
        <f t="shared" ca="1" si="126"/>
        <v>-0.12743092372969511</v>
      </c>
    </row>
    <row r="7533" spans="2:7" x14ac:dyDescent="0.25">
      <c r="B7533" s="98"/>
      <c r="F7533">
        <v>7529</v>
      </c>
      <c r="G7533" s="109">
        <f t="shared" ca="1" si="126"/>
        <v>1.8768191547484589E-3</v>
      </c>
    </row>
    <row r="7534" spans="2:7" x14ac:dyDescent="0.25">
      <c r="B7534" s="98"/>
      <c r="F7534">
        <v>7530</v>
      </c>
      <c r="G7534" s="109">
        <f t="shared" ca="1" si="126"/>
        <v>4.4267757234647979E-2</v>
      </c>
    </row>
    <row r="7535" spans="2:7" x14ac:dyDescent="0.25">
      <c r="B7535" s="98"/>
      <c r="F7535">
        <v>7531</v>
      </c>
      <c r="G7535" s="109">
        <f t="shared" ca="1" si="126"/>
        <v>-3.9890218538572081E-2</v>
      </c>
    </row>
    <row r="7536" spans="2:7" x14ac:dyDescent="0.25">
      <c r="B7536" s="98"/>
      <c r="F7536">
        <v>7532</v>
      </c>
      <c r="G7536" s="109">
        <f t="shared" ca="1" si="126"/>
        <v>-2.7115844181134066E-2</v>
      </c>
    </row>
    <row r="7537" spans="2:7" x14ac:dyDescent="0.25">
      <c r="B7537" s="98"/>
      <c r="F7537">
        <v>7533</v>
      </c>
      <c r="G7537" s="109">
        <f t="shared" ca="1" si="126"/>
        <v>0.19108226663563527</v>
      </c>
    </row>
    <row r="7538" spans="2:7" x14ac:dyDescent="0.25">
      <c r="B7538" s="98"/>
      <c r="F7538">
        <v>7534</v>
      </c>
      <c r="G7538" s="109">
        <f t="shared" ca="1" si="126"/>
        <v>-5.4241243839780642E-2</v>
      </c>
    </row>
    <row r="7539" spans="2:7" x14ac:dyDescent="0.25">
      <c r="B7539" s="98"/>
      <c r="F7539">
        <v>7535</v>
      </c>
      <c r="G7539" s="109">
        <f t="shared" ca="1" si="126"/>
        <v>6.5478572313664093E-3</v>
      </c>
    </row>
    <row r="7540" spans="2:7" x14ac:dyDescent="0.25">
      <c r="B7540" s="98"/>
      <c r="F7540">
        <v>7536</v>
      </c>
      <c r="G7540" s="109">
        <f t="shared" ca="1" si="126"/>
        <v>-1.6498986345135261E-2</v>
      </c>
    </row>
    <row r="7541" spans="2:7" x14ac:dyDescent="0.25">
      <c r="B7541" s="98"/>
      <c r="F7541">
        <v>7537</v>
      </c>
      <c r="G7541" s="109">
        <f t="shared" ca="1" si="126"/>
        <v>5.3139923416239895E-2</v>
      </c>
    </row>
    <row r="7542" spans="2:7" x14ac:dyDescent="0.25">
      <c r="B7542" s="98"/>
      <c r="F7542">
        <v>7538</v>
      </c>
      <c r="G7542" s="109">
        <f t="shared" ca="1" si="126"/>
        <v>-2.3006498215281876E-2</v>
      </c>
    </row>
    <row r="7543" spans="2:7" x14ac:dyDescent="0.25">
      <c r="B7543" s="98"/>
      <c r="F7543">
        <v>7539</v>
      </c>
      <c r="G7543" s="109">
        <f t="shared" ca="1" si="126"/>
        <v>6.7719786717994057E-2</v>
      </c>
    </row>
    <row r="7544" spans="2:7" x14ac:dyDescent="0.25">
      <c r="B7544" s="98"/>
      <c r="F7544">
        <v>7540</v>
      </c>
      <c r="G7544" s="109">
        <f t="shared" ca="1" si="126"/>
        <v>0.13022545836785665</v>
      </c>
    </row>
    <row r="7545" spans="2:7" x14ac:dyDescent="0.25">
      <c r="B7545" s="98"/>
      <c r="F7545">
        <v>7541</v>
      </c>
      <c r="G7545" s="109">
        <f t="shared" ca="1" si="126"/>
        <v>2.4746318456300608E-2</v>
      </c>
    </row>
    <row r="7546" spans="2:7" x14ac:dyDescent="0.25">
      <c r="B7546" s="98"/>
      <c r="F7546">
        <v>7542</v>
      </c>
      <c r="G7546" s="109">
        <f t="shared" ca="1" si="126"/>
        <v>0.26036195113626043</v>
      </c>
    </row>
    <row r="7547" spans="2:7" x14ac:dyDescent="0.25">
      <c r="B7547" s="98"/>
      <c r="F7547">
        <v>7543</v>
      </c>
      <c r="G7547" s="109">
        <f t="shared" ca="1" si="126"/>
        <v>0.20305880513667968</v>
      </c>
    </row>
    <row r="7548" spans="2:7" x14ac:dyDescent="0.25">
      <c r="B7548" s="98"/>
      <c r="F7548">
        <v>7544</v>
      </c>
      <c r="G7548" s="109">
        <f t="shared" ca="1" si="126"/>
        <v>-0.18611445693914896</v>
      </c>
    </row>
    <row r="7549" spans="2:7" x14ac:dyDescent="0.25">
      <c r="B7549" s="98"/>
      <c r="F7549">
        <v>7545</v>
      </c>
      <c r="G7549" s="109">
        <f t="shared" ca="1" si="126"/>
        <v>7.4669803363832526E-2</v>
      </c>
    </row>
    <row r="7550" spans="2:7" x14ac:dyDescent="0.25">
      <c r="B7550" s="98"/>
      <c r="F7550">
        <v>7546</v>
      </c>
      <c r="G7550" s="109">
        <f t="shared" ca="1" si="126"/>
        <v>-4.313049760130816E-2</v>
      </c>
    </row>
    <row r="7551" spans="2:7" x14ac:dyDescent="0.25">
      <c r="B7551" s="98"/>
      <c r="F7551">
        <v>7547</v>
      </c>
      <c r="G7551" s="109">
        <f t="shared" ca="1" si="126"/>
        <v>0.10754500987844623</v>
      </c>
    </row>
    <row r="7552" spans="2:7" x14ac:dyDescent="0.25">
      <c r="B7552" s="98"/>
      <c r="F7552">
        <v>7548</v>
      </c>
      <c r="G7552" s="109">
        <f t="shared" ca="1" si="126"/>
        <v>1.9382276842863019E-3</v>
      </c>
    </row>
    <row r="7553" spans="2:7" x14ac:dyDescent="0.25">
      <c r="B7553" s="98"/>
      <c r="F7553">
        <v>7549</v>
      </c>
      <c r="G7553" s="109">
        <f t="shared" ca="1" si="126"/>
        <v>1.0999431602742131E-2</v>
      </c>
    </row>
    <row r="7554" spans="2:7" x14ac:dyDescent="0.25">
      <c r="B7554" s="98"/>
      <c r="F7554">
        <v>7550</v>
      </c>
      <c r="G7554" s="109">
        <f t="shared" ca="1" si="126"/>
        <v>0.10146000615660211</v>
      </c>
    </row>
    <row r="7555" spans="2:7" x14ac:dyDescent="0.25">
      <c r="B7555" s="98"/>
      <c r="F7555">
        <v>7551</v>
      </c>
      <c r="G7555" s="109">
        <f t="shared" ca="1" si="126"/>
        <v>0.25061079835495703</v>
      </c>
    </row>
    <row r="7556" spans="2:7" x14ac:dyDescent="0.25">
      <c r="B7556" s="98"/>
      <c r="F7556">
        <v>7552</v>
      </c>
      <c r="G7556" s="109">
        <f t="shared" ca="1" si="126"/>
        <v>1.7364709618380006E-2</v>
      </c>
    </row>
    <row r="7557" spans="2:7" x14ac:dyDescent="0.25">
      <c r="B7557" s="98"/>
      <c r="F7557">
        <v>7553</v>
      </c>
      <c r="G7557" s="109">
        <f t="shared" ca="1" si="126"/>
        <v>8.8833968556942394E-2</v>
      </c>
    </row>
    <row r="7558" spans="2:7" x14ac:dyDescent="0.25">
      <c r="B7558" s="98"/>
      <c r="F7558">
        <v>7554</v>
      </c>
      <c r="G7558" s="109">
        <f t="shared" ref="G7558:G7621" ca="1" si="127">_xlfn.NORM.INV(RAND(),$M$5,$M$6)</f>
        <v>0.13843186339616237</v>
      </c>
    </row>
    <row r="7559" spans="2:7" x14ac:dyDescent="0.25">
      <c r="B7559" s="98"/>
      <c r="F7559">
        <v>7555</v>
      </c>
      <c r="G7559" s="109">
        <f t="shared" ca="1" si="127"/>
        <v>-0.11410570734103694</v>
      </c>
    </row>
    <row r="7560" spans="2:7" x14ac:dyDescent="0.25">
      <c r="B7560" s="98"/>
      <c r="F7560">
        <v>7556</v>
      </c>
      <c r="G7560" s="109">
        <f t="shared" ca="1" si="127"/>
        <v>3.7287109632066773E-2</v>
      </c>
    </row>
    <row r="7561" spans="2:7" x14ac:dyDescent="0.25">
      <c r="B7561" s="98"/>
      <c r="F7561">
        <v>7557</v>
      </c>
      <c r="G7561" s="109">
        <f t="shared" ca="1" si="127"/>
        <v>0.10814608487234111</v>
      </c>
    </row>
    <row r="7562" spans="2:7" x14ac:dyDescent="0.25">
      <c r="B7562" s="98"/>
      <c r="F7562">
        <v>7558</v>
      </c>
      <c r="G7562" s="109">
        <f t="shared" ca="1" si="127"/>
        <v>8.8565851652670474E-2</v>
      </c>
    </row>
    <row r="7563" spans="2:7" x14ac:dyDescent="0.25">
      <c r="B7563" s="98"/>
      <c r="F7563">
        <v>7559</v>
      </c>
      <c r="G7563" s="109">
        <f t="shared" ca="1" si="127"/>
        <v>0.15276547024120188</v>
      </c>
    </row>
    <row r="7564" spans="2:7" x14ac:dyDescent="0.25">
      <c r="B7564" s="98"/>
      <c r="F7564">
        <v>7560</v>
      </c>
      <c r="G7564" s="109">
        <f t="shared" ca="1" si="127"/>
        <v>0.2389900295906629</v>
      </c>
    </row>
    <row r="7565" spans="2:7" x14ac:dyDescent="0.25">
      <c r="B7565" s="98"/>
      <c r="F7565">
        <v>7561</v>
      </c>
      <c r="G7565" s="109">
        <f t="shared" ca="1" si="127"/>
        <v>-8.4401075490628183E-2</v>
      </c>
    </row>
    <row r="7566" spans="2:7" x14ac:dyDescent="0.25">
      <c r="B7566" s="98"/>
      <c r="F7566">
        <v>7562</v>
      </c>
      <c r="G7566" s="109">
        <f t="shared" ca="1" si="127"/>
        <v>9.0925146878115745E-3</v>
      </c>
    </row>
    <row r="7567" spans="2:7" x14ac:dyDescent="0.25">
      <c r="B7567" s="98"/>
      <c r="F7567">
        <v>7563</v>
      </c>
      <c r="G7567" s="109">
        <f t="shared" ca="1" si="127"/>
        <v>0.15106010599645078</v>
      </c>
    </row>
    <row r="7568" spans="2:7" x14ac:dyDescent="0.25">
      <c r="B7568" s="98"/>
      <c r="F7568">
        <v>7564</v>
      </c>
      <c r="G7568" s="109">
        <f t="shared" ca="1" si="127"/>
        <v>-0.10649330403116607</v>
      </c>
    </row>
    <row r="7569" spans="2:7" x14ac:dyDescent="0.25">
      <c r="B7569" s="98"/>
      <c r="F7569">
        <v>7565</v>
      </c>
      <c r="G7569" s="109">
        <f t="shared" ca="1" si="127"/>
        <v>0.15616622420828935</v>
      </c>
    </row>
    <row r="7570" spans="2:7" x14ac:dyDescent="0.25">
      <c r="B7570" s="98"/>
      <c r="F7570">
        <v>7566</v>
      </c>
      <c r="G7570" s="109">
        <f t="shared" ca="1" si="127"/>
        <v>0.11369516281266936</v>
      </c>
    </row>
    <row r="7571" spans="2:7" x14ac:dyDescent="0.25">
      <c r="B7571" s="98"/>
      <c r="F7571">
        <v>7567</v>
      </c>
      <c r="G7571" s="109">
        <f t="shared" ca="1" si="127"/>
        <v>-0.14726130354279721</v>
      </c>
    </row>
    <row r="7572" spans="2:7" x14ac:dyDescent="0.25">
      <c r="B7572" s="98"/>
      <c r="F7572">
        <v>7568</v>
      </c>
      <c r="G7572" s="109">
        <f t="shared" ca="1" si="127"/>
        <v>0.10732749856728521</v>
      </c>
    </row>
    <row r="7573" spans="2:7" x14ac:dyDescent="0.25">
      <c r="B7573" s="98"/>
      <c r="F7573">
        <v>7569</v>
      </c>
      <c r="G7573" s="109">
        <f t="shared" ca="1" si="127"/>
        <v>-0.15165450741211917</v>
      </c>
    </row>
    <row r="7574" spans="2:7" x14ac:dyDescent="0.25">
      <c r="B7574" s="98"/>
      <c r="F7574">
        <v>7570</v>
      </c>
      <c r="G7574" s="109">
        <f t="shared" ca="1" si="127"/>
        <v>-0.16228531314500616</v>
      </c>
    </row>
    <row r="7575" spans="2:7" x14ac:dyDescent="0.25">
      <c r="B7575" s="98"/>
      <c r="F7575">
        <v>7571</v>
      </c>
      <c r="G7575" s="109">
        <f t="shared" ca="1" si="127"/>
        <v>3.9468482972330243E-2</v>
      </c>
    </row>
    <row r="7576" spans="2:7" x14ac:dyDescent="0.25">
      <c r="B7576" s="98"/>
      <c r="F7576">
        <v>7572</v>
      </c>
      <c r="G7576" s="109">
        <f t="shared" ca="1" si="127"/>
        <v>0.20689479719535853</v>
      </c>
    </row>
    <row r="7577" spans="2:7" x14ac:dyDescent="0.25">
      <c r="B7577" s="98"/>
      <c r="F7577">
        <v>7573</v>
      </c>
      <c r="G7577" s="109">
        <f t="shared" ca="1" si="127"/>
        <v>0.12494908171306228</v>
      </c>
    </row>
    <row r="7578" spans="2:7" x14ac:dyDescent="0.25">
      <c r="B7578" s="98"/>
      <c r="F7578">
        <v>7574</v>
      </c>
      <c r="G7578" s="109">
        <f t="shared" ca="1" si="127"/>
        <v>3.7548654315733607E-2</v>
      </c>
    </row>
    <row r="7579" spans="2:7" x14ac:dyDescent="0.25">
      <c r="B7579" s="98"/>
      <c r="F7579">
        <v>7575</v>
      </c>
      <c r="G7579" s="109">
        <f t="shared" ca="1" si="127"/>
        <v>3.4280682205740522E-2</v>
      </c>
    </row>
    <row r="7580" spans="2:7" x14ac:dyDescent="0.25">
      <c r="B7580" s="98"/>
      <c r="F7580">
        <v>7576</v>
      </c>
      <c r="G7580" s="109">
        <f t="shared" ca="1" si="127"/>
        <v>4.4817843420013069E-2</v>
      </c>
    </row>
    <row r="7581" spans="2:7" x14ac:dyDescent="0.25">
      <c r="B7581" s="98"/>
      <c r="F7581">
        <v>7577</v>
      </c>
      <c r="G7581" s="109">
        <f t="shared" ca="1" si="127"/>
        <v>-0.13583977789136775</v>
      </c>
    </row>
    <row r="7582" spans="2:7" x14ac:dyDescent="0.25">
      <c r="B7582" s="98"/>
      <c r="F7582">
        <v>7578</v>
      </c>
      <c r="G7582" s="109">
        <f t="shared" ca="1" si="127"/>
        <v>0.30425407869838089</v>
      </c>
    </row>
    <row r="7583" spans="2:7" x14ac:dyDescent="0.25">
      <c r="B7583" s="98"/>
      <c r="F7583">
        <v>7579</v>
      </c>
      <c r="G7583" s="109">
        <f t="shared" ca="1" si="127"/>
        <v>0.25071695314912124</v>
      </c>
    </row>
    <row r="7584" spans="2:7" x14ac:dyDescent="0.25">
      <c r="B7584" s="98"/>
      <c r="F7584">
        <v>7580</v>
      </c>
      <c r="G7584" s="109">
        <f t="shared" ca="1" si="127"/>
        <v>-2.8066615056704755E-2</v>
      </c>
    </row>
    <row r="7585" spans="2:7" x14ac:dyDescent="0.25">
      <c r="B7585" s="98"/>
      <c r="F7585">
        <v>7581</v>
      </c>
      <c r="G7585" s="109">
        <f t="shared" ca="1" si="127"/>
        <v>-1.8605555104611801E-2</v>
      </c>
    </row>
    <row r="7586" spans="2:7" x14ac:dyDescent="0.25">
      <c r="B7586" s="98"/>
      <c r="F7586">
        <v>7582</v>
      </c>
      <c r="G7586" s="109">
        <f t="shared" ca="1" si="127"/>
        <v>8.4735851789239328E-2</v>
      </c>
    </row>
    <row r="7587" spans="2:7" x14ac:dyDescent="0.25">
      <c r="B7587" s="98"/>
      <c r="F7587">
        <v>7583</v>
      </c>
      <c r="G7587" s="109">
        <f t="shared" ca="1" si="127"/>
        <v>0.128691232432597</v>
      </c>
    </row>
    <row r="7588" spans="2:7" x14ac:dyDescent="0.25">
      <c r="B7588" s="98"/>
      <c r="F7588">
        <v>7584</v>
      </c>
      <c r="G7588" s="109">
        <f t="shared" ca="1" si="127"/>
        <v>1.2857565252578591E-2</v>
      </c>
    </row>
    <row r="7589" spans="2:7" x14ac:dyDescent="0.25">
      <c r="B7589" s="98"/>
      <c r="F7589">
        <v>7585</v>
      </c>
      <c r="G7589" s="109">
        <f t="shared" ca="1" si="127"/>
        <v>-4.8525814981715737E-2</v>
      </c>
    </row>
    <row r="7590" spans="2:7" x14ac:dyDescent="0.25">
      <c r="B7590" s="98"/>
      <c r="F7590">
        <v>7586</v>
      </c>
      <c r="G7590" s="109">
        <f t="shared" ca="1" si="127"/>
        <v>0.14910255672372752</v>
      </c>
    </row>
    <row r="7591" spans="2:7" x14ac:dyDescent="0.25">
      <c r="B7591" s="98"/>
      <c r="F7591">
        <v>7587</v>
      </c>
      <c r="G7591" s="109">
        <f t="shared" ca="1" si="127"/>
        <v>-1.3264938855722067E-2</v>
      </c>
    </row>
    <row r="7592" spans="2:7" x14ac:dyDescent="0.25">
      <c r="B7592" s="98"/>
      <c r="F7592">
        <v>7588</v>
      </c>
      <c r="G7592" s="109">
        <f t="shared" ca="1" si="127"/>
        <v>0.12764005602957079</v>
      </c>
    </row>
    <row r="7593" spans="2:7" x14ac:dyDescent="0.25">
      <c r="B7593" s="98"/>
      <c r="F7593">
        <v>7589</v>
      </c>
      <c r="G7593" s="109">
        <f t="shared" ca="1" si="127"/>
        <v>7.3306979125780436E-2</v>
      </c>
    </row>
    <row r="7594" spans="2:7" x14ac:dyDescent="0.25">
      <c r="B7594" s="98"/>
      <c r="F7594">
        <v>7590</v>
      </c>
      <c r="G7594" s="109">
        <f t="shared" ca="1" si="127"/>
        <v>0.1776052564323779</v>
      </c>
    </row>
    <row r="7595" spans="2:7" x14ac:dyDescent="0.25">
      <c r="B7595" s="98"/>
      <c r="F7595">
        <v>7591</v>
      </c>
      <c r="G7595" s="109">
        <f t="shared" ca="1" si="127"/>
        <v>2.7675679048624908E-2</v>
      </c>
    </row>
    <row r="7596" spans="2:7" x14ac:dyDescent="0.25">
      <c r="B7596" s="98"/>
      <c r="F7596">
        <v>7592</v>
      </c>
      <c r="G7596" s="109">
        <f t="shared" ca="1" si="127"/>
        <v>1.0730010878590629E-2</v>
      </c>
    </row>
    <row r="7597" spans="2:7" x14ac:dyDescent="0.25">
      <c r="B7597" s="98"/>
      <c r="F7597">
        <v>7593</v>
      </c>
      <c r="G7597" s="109">
        <f t="shared" ca="1" si="127"/>
        <v>0.1487912739282739</v>
      </c>
    </row>
    <row r="7598" spans="2:7" x14ac:dyDescent="0.25">
      <c r="B7598" s="98"/>
      <c r="F7598">
        <v>7594</v>
      </c>
      <c r="G7598" s="109">
        <f t="shared" ca="1" si="127"/>
        <v>-2.6439428094765127E-2</v>
      </c>
    </row>
    <row r="7599" spans="2:7" x14ac:dyDescent="0.25">
      <c r="B7599" s="98"/>
      <c r="F7599">
        <v>7595</v>
      </c>
      <c r="G7599" s="109">
        <f t="shared" ca="1" si="127"/>
        <v>0.25236928423381139</v>
      </c>
    </row>
    <row r="7600" spans="2:7" x14ac:dyDescent="0.25">
      <c r="B7600" s="98"/>
      <c r="F7600">
        <v>7596</v>
      </c>
      <c r="G7600" s="109">
        <f t="shared" ca="1" si="127"/>
        <v>-3.5346532165900973E-2</v>
      </c>
    </row>
    <row r="7601" spans="2:7" x14ac:dyDescent="0.25">
      <c r="B7601" s="98"/>
      <c r="F7601">
        <v>7597</v>
      </c>
      <c r="G7601" s="109">
        <f t="shared" ca="1" si="127"/>
        <v>1.5871815115617395E-2</v>
      </c>
    </row>
    <row r="7602" spans="2:7" x14ac:dyDescent="0.25">
      <c r="B7602" s="98"/>
      <c r="F7602">
        <v>7598</v>
      </c>
      <c r="G7602" s="109">
        <f t="shared" ca="1" si="127"/>
        <v>-1.7034071794048866E-2</v>
      </c>
    </row>
    <row r="7603" spans="2:7" x14ac:dyDescent="0.25">
      <c r="B7603" s="98"/>
      <c r="F7603">
        <v>7599</v>
      </c>
      <c r="G7603" s="109">
        <f t="shared" ca="1" si="127"/>
        <v>8.0413418911349288E-2</v>
      </c>
    </row>
    <row r="7604" spans="2:7" x14ac:dyDescent="0.25">
      <c r="B7604" s="98"/>
      <c r="F7604">
        <v>7600</v>
      </c>
      <c r="G7604" s="109">
        <f t="shared" ca="1" si="127"/>
        <v>-3.764132523371895E-2</v>
      </c>
    </row>
    <row r="7605" spans="2:7" x14ac:dyDescent="0.25">
      <c r="B7605" s="98"/>
      <c r="F7605">
        <v>7601</v>
      </c>
      <c r="G7605" s="109">
        <f t="shared" ca="1" si="127"/>
        <v>-3.3693629572046788E-2</v>
      </c>
    </row>
    <row r="7606" spans="2:7" x14ac:dyDescent="0.25">
      <c r="B7606" s="98"/>
      <c r="F7606">
        <v>7602</v>
      </c>
      <c r="G7606" s="109">
        <f t="shared" ca="1" si="127"/>
        <v>-1.1287738428442912E-2</v>
      </c>
    </row>
    <row r="7607" spans="2:7" x14ac:dyDescent="0.25">
      <c r="B7607" s="98"/>
      <c r="F7607">
        <v>7603</v>
      </c>
      <c r="G7607" s="109">
        <f t="shared" ca="1" si="127"/>
        <v>0.25618234907917942</v>
      </c>
    </row>
    <row r="7608" spans="2:7" x14ac:dyDescent="0.25">
      <c r="B7608" s="98"/>
      <c r="F7608">
        <v>7604</v>
      </c>
      <c r="G7608" s="109">
        <f t="shared" ca="1" si="127"/>
        <v>7.7281250082655711E-2</v>
      </c>
    </row>
    <row r="7609" spans="2:7" x14ac:dyDescent="0.25">
      <c r="B7609" s="98"/>
      <c r="F7609">
        <v>7605</v>
      </c>
      <c r="G7609" s="109">
        <f t="shared" ca="1" si="127"/>
        <v>4.0390381024674099E-2</v>
      </c>
    </row>
    <row r="7610" spans="2:7" x14ac:dyDescent="0.25">
      <c r="B7610" s="98"/>
      <c r="F7610">
        <v>7606</v>
      </c>
      <c r="G7610" s="109">
        <f t="shared" ca="1" si="127"/>
        <v>4.4742004217047521E-2</v>
      </c>
    </row>
    <row r="7611" spans="2:7" x14ac:dyDescent="0.25">
      <c r="B7611" s="98"/>
      <c r="F7611">
        <v>7607</v>
      </c>
      <c r="G7611" s="109">
        <f t="shared" ca="1" si="127"/>
        <v>-1.8818653935609636E-2</v>
      </c>
    </row>
    <row r="7612" spans="2:7" x14ac:dyDescent="0.25">
      <c r="B7612" s="98"/>
      <c r="F7612">
        <v>7608</v>
      </c>
      <c r="G7612" s="109">
        <f t="shared" ca="1" si="127"/>
        <v>0.12648290616321578</v>
      </c>
    </row>
    <row r="7613" spans="2:7" x14ac:dyDescent="0.25">
      <c r="B7613" s="98"/>
      <c r="F7613">
        <v>7609</v>
      </c>
      <c r="G7613" s="109">
        <f t="shared" ca="1" si="127"/>
        <v>0.17815692046969617</v>
      </c>
    </row>
    <row r="7614" spans="2:7" x14ac:dyDescent="0.25">
      <c r="B7614" s="98"/>
      <c r="F7614">
        <v>7610</v>
      </c>
      <c r="G7614" s="109">
        <f t="shared" ca="1" si="127"/>
        <v>5.4459086627643122E-2</v>
      </c>
    </row>
    <row r="7615" spans="2:7" x14ac:dyDescent="0.25">
      <c r="B7615" s="98"/>
      <c r="F7615">
        <v>7611</v>
      </c>
      <c r="G7615" s="109">
        <f t="shared" ca="1" si="127"/>
        <v>1.8896220161612604E-3</v>
      </c>
    </row>
    <row r="7616" spans="2:7" x14ac:dyDescent="0.25">
      <c r="B7616" s="98"/>
      <c r="F7616">
        <v>7612</v>
      </c>
      <c r="G7616" s="109">
        <f t="shared" ca="1" si="127"/>
        <v>-0.14293033022625296</v>
      </c>
    </row>
    <row r="7617" spans="2:7" x14ac:dyDescent="0.25">
      <c r="B7617" s="98"/>
      <c r="F7617">
        <v>7613</v>
      </c>
      <c r="G7617" s="109">
        <f t="shared" ca="1" si="127"/>
        <v>6.9242267413745451E-2</v>
      </c>
    </row>
    <row r="7618" spans="2:7" x14ac:dyDescent="0.25">
      <c r="B7618" s="98"/>
      <c r="F7618">
        <v>7614</v>
      </c>
      <c r="G7618" s="109">
        <f t="shared" ca="1" si="127"/>
        <v>-7.005930577650997E-2</v>
      </c>
    </row>
    <row r="7619" spans="2:7" x14ac:dyDescent="0.25">
      <c r="B7619" s="98"/>
      <c r="F7619">
        <v>7615</v>
      </c>
      <c r="G7619" s="109">
        <f t="shared" ca="1" si="127"/>
        <v>-0.10291219427743299</v>
      </c>
    </row>
    <row r="7620" spans="2:7" x14ac:dyDescent="0.25">
      <c r="B7620" s="98"/>
      <c r="F7620">
        <v>7616</v>
      </c>
      <c r="G7620" s="109">
        <f t="shared" ca="1" si="127"/>
        <v>0.14477856110963305</v>
      </c>
    </row>
    <row r="7621" spans="2:7" x14ac:dyDescent="0.25">
      <c r="B7621" s="98"/>
      <c r="F7621">
        <v>7617</v>
      </c>
      <c r="G7621" s="109">
        <f t="shared" ca="1" si="127"/>
        <v>-0.10777288596811478</v>
      </c>
    </row>
    <row r="7622" spans="2:7" x14ac:dyDescent="0.25">
      <c r="B7622" s="98"/>
      <c r="F7622">
        <v>7618</v>
      </c>
      <c r="G7622" s="109">
        <f t="shared" ref="G7622:G7685" ca="1" si="128">_xlfn.NORM.INV(RAND(),$M$5,$M$6)</f>
        <v>0.20136242458389719</v>
      </c>
    </row>
    <row r="7623" spans="2:7" x14ac:dyDescent="0.25">
      <c r="B7623" s="98"/>
      <c r="F7623">
        <v>7619</v>
      </c>
      <c r="G7623" s="109">
        <f t="shared" ca="1" si="128"/>
        <v>0.10217706428220222</v>
      </c>
    </row>
    <row r="7624" spans="2:7" x14ac:dyDescent="0.25">
      <c r="B7624" s="98"/>
      <c r="F7624">
        <v>7620</v>
      </c>
      <c r="G7624" s="109">
        <f t="shared" ca="1" si="128"/>
        <v>1.4130287203365663E-2</v>
      </c>
    </row>
    <row r="7625" spans="2:7" x14ac:dyDescent="0.25">
      <c r="B7625" s="98"/>
      <c r="F7625">
        <v>7621</v>
      </c>
      <c r="G7625" s="109">
        <f t="shared" ca="1" si="128"/>
        <v>0.19040046857678605</v>
      </c>
    </row>
    <row r="7626" spans="2:7" x14ac:dyDescent="0.25">
      <c r="B7626" s="98"/>
      <c r="F7626">
        <v>7622</v>
      </c>
      <c r="G7626" s="109">
        <f t="shared" ca="1" si="128"/>
        <v>0.17078553385152673</v>
      </c>
    </row>
    <row r="7627" spans="2:7" x14ac:dyDescent="0.25">
      <c r="B7627" s="98"/>
      <c r="F7627">
        <v>7623</v>
      </c>
      <c r="G7627" s="109">
        <f t="shared" ca="1" si="128"/>
        <v>-0.162533462714957</v>
      </c>
    </row>
    <row r="7628" spans="2:7" x14ac:dyDescent="0.25">
      <c r="B7628" s="98"/>
      <c r="F7628">
        <v>7624</v>
      </c>
      <c r="G7628" s="109">
        <f t="shared" ca="1" si="128"/>
        <v>-5.2296502513572207E-2</v>
      </c>
    </row>
    <row r="7629" spans="2:7" x14ac:dyDescent="0.25">
      <c r="B7629" s="98"/>
      <c r="F7629">
        <v>7625</v>
      </c>
      <c r="G7629" s="109">
        <f t="shared" ca="1" si="128"/>
        <v>5.2879474452478578E-2</v>
      </c>
    </row>
    <row r="7630" spans="2:7" x14ac:dyDescent="0.25">
      <c r="B7630" s="98"/>
      <c r="F7630">
        <v>7626</v>
      </c>
      <c r="G7630" s="109">
        <f t="shared" ca="1" si="128"/>
        <v>-4.0768364277675356E-2</v>
      </c>
    </row>
    <row r="7631" spans="2:7" x14ac:dyDescent="0.25">
      <c r="B7631" s="98"/>
      <c r="F7631">
        <v>7627</v>
      </c>
      <c r="G7631" s="109">
        <f t="shared" ca="1" si="128"/>
        <v>0.14145859401771524</v>
      </c>
    </row>
    <row r="7632" spans="2:7" x14ac:dyDescent="0.25">
      <c r="B7632" s="98"/>
      <c r="F7632">
        <v>7628</v>
      </c>
      <c r="G7632" s="109">
        <f t="shared" ca="1" si="128"/>
        <v>-1.957576270820359E-2</v>
      </c>
    </row>
    <row r="7633" spans="2:7" x14ac:dyDescent="0.25">
      <c r="B7633" s="98"/>
      <c r="F7633">
        <v>7629</v>
      </c>
      <c r="G7633" s="109">
        <f t="shared" ca="1" si="128"/>
        <v>-0.10091040278476603</v>
      </c>
    </row>
    <row r="7634" spans="2:7" x14ac:dyDescent="0.25">
      <c r="B7634" s="98"/>
      <c r="F7634">
        <v>7630</v>
      </c>
      <c r="G7634" s="109">
        <f t="shared" ca="1" si="128"/>
        <v>5.5890859813215989E-2</v>
      </c>
    </row>
    <row r="7635" spans="2:7" x14ac:dyDescent="0.25">
      <c r="B7635" s="98"/>
      <c r="F7635">
        <v>7631</v>
      </c>
      <c r="G7635" s="109">
        <f t="shared" ca="1" si="128"/>
        <v>0.11081855853737274</v>
      </c>
    </row>
    <row r="7636" spans="2:7" x14ac:dyDescent="0.25">
      <c r="B7636" s="98"/>
      <c r="F7636">
        <v>7632</v>
      </c>
      <c r="G7636" s="109">
        <f t="shared" ca="1" si="128"/>
        <v>4.8058025069459831E-4</v>
      </c>
    </row>
    <row r="7637" spans="2:7" x14ac:dyDescent="0.25">
      <c r="B7637" s="98"/>
      <c r="F7637">
        <v>7633</v>
      </c>
      <c r="G7637" s="109">
        <f t="shared" ca="1" si="128"/>
        <v>5.319348723472319E-2</v>
      </c>
    </row>
    <row r="7638" spans="2:7" x14ac:dyDescent="0.25">
      <c r="B7638" s="98"/>
      <c r="F7638">
        <v>7634</v>
      </c>
      <c r="G7638" s="109">
        <f t="shared" ca="1" si="128"/>
        <v>-4.3730022553548686E-2</v>
      </c>
    </row>
    <row r="7639" spans="2:7" x14ac:dyDescent="0.25">
      <c r="B7639" s="98"/>
      <c r="F7639">
        <v>7635</v>
      </c>
      <c r="G7639" s="109">
        <f t="shared" ca="1" si="128"/>
        <v>0.20926322924558738</v>
      </c>
    </row>
    <row r="7640" spans="2:7" x14ac:dyDescent="0.25">
      <c r="B7640" s="98"/>
      <c r="F7640">
        <v>7636</v>
      </c>
      <c r="G7640" s="109">
        <f t="shared" ca="1" si="128"/>
        <v>0.17172464706133245</v>
      </c>
    </row>
    <row r="7641" spans="2:7" x14ac:dyDescent="0.25">
      <c r="B7641" s="98"/>
      <c r="F7641">
        <v>7637</v>
      </c>
      <c r="G7641" s="109">
        <f t="shared" ca="1" si="128"/>
        <v>0.14083289363272866</v>
      </c>
    </row>
    <row r="7642" spans="2:7" x14ac:dyDescent="0.25">
      <c r="B7642" s="98"/>
      <c r="F7642">
        <v>7638</v>
      </c>
      <c r="G7642" s="109">
        <f t="shared" ca="1" si="128"/>
        <v>0.17591146484637604</v>
      </c>
    </row>
    <row r="7643" spans="2:7" x14ac:dyDescent="0.25">
      <c r="B7643" s="98"/>
      <c r="F7643">
        <v>7639</v>
      </c>
      <c r="G7643" s="109">
        <f t="shared" ca="1" si="128"/>
        <v>-5.7862970345788189E-2</v>
      </c>
    </row>
    <row r="7644" spans="2:7" x14ac:dyDescent="0.25">
      <c r="B7644" s="98"/>
      <c r="F7644">
        <v>7640</v>
      </c>
      <c r="G7644" s="109">
        <f t="shared" ca="1" si="128"/>
        <v>9.5412479805356123E-2</v>
      </c>
    </row>
    <row r="7645" spans="2:7" x14ac:dyDescent="0.25">
      <c r="B7645" s="98"/>
      <c r="F7645">
        <v>7641</v>
      </c>
      <c r="G7645" s="109">
        <f t="shared" ca="1" si="128"/>
        <v>0.16460293374042373</v>
      </c>
    </row>
    <row r="7646" spans="2:7" x14ac:dyDescent="0.25">
      <c r="B7646" s="98"/>
      <c r="F7646">
        <v>7642</v>
      </c>
      <c r="G7646" s="109">
        <f t="shared" ca="1" si="128"/>
        <v>-9.3081838560769611E-2</v>
      </c>
    </row>
    <row r="7647" spans="2:7" x14ac:dyDescent="0.25">
      <c r="B7647" s="98"/>
      <c r="F7647">
        <v>7643</v>
      </c>
      <c r="G7647" s="109">
        <f t="shared" ca="1" si="128"/>
        <v>-0.17343122199020666</v>
      </c>
    </row>
    <row r="7648" spans="2:7" x14ac:dyDescent="0.25">
      <c r="B7648" s="98"/>
      <c r="F7648">
        <v>7644</v>
      </c>
      <c r="G7648" s="109">
        <f t="shared" ca="1" si="128"/>
        <v>-1.521476246678885E-2</v>
      </c>
    </row>
    <row r="7649" spans="2:7" x14ac:dyDescent="0.25">
      <c r="B7649" s="98"/>
      <c r="F7649">
        <v>7645</v>
      </c>
      <c r="G7649" s="109">
        <f t="shared" ca="1" si="128"/>
        <v>0.18002117826450437</v>
      </c>
    </row>
    <row r="7650" spans="2:7" x14ac:dyDescent="0.25">
      <c r="B7650" s="98"/>
      <c r="F7650">
        <v>7646</v>
      </c>
      <c r="G7650" s="109">
        <f t="shared" ca="1" si="128"/>
        <v>-9.7675454124034097E-2</v>
      </c>
    </row>
    <row r="7651" spans="2:7" x14ac:dyDescent="0.25">
      <c r="B7651" s="98"/>
      <c r="F7651">
        <v>7647</v>
      </c>
      <c r="G7651" s="109">
        <f t="shared" ca="1" si="128"/>
        <v>0.13497618984018714</v>
      </c>
    </row>
    <row r="7652" spans="2:7" x14ac:dyDescent="0.25">
      <c r="B7652" s="98"/>
      <c r="F7652">
        <v>7648</v>
      </c>
      <c r="G7652" s="109">
        <f t="shared" ca="1" si="128"/>
        <v>-6.6217980509911817E-4</v>
      </c>
    </row>
    <row r="7653" spans="2:7" x14ac:dyDescent="0.25">
      <c r="B7653" s="98"/>
      <c r="F7653">
        <v>7649</v>
      </c>
      <c r="G7653" s="109">
        <f t="shared" ca="1" si="128"/>
        <v>6.7157480242748313E-2</v>
      </c>
    </row>
    <row r="7654" spans="2:7" x14ac:dyDescent="0.25">
      <c r="B7654" s="98"/>
      <c r="F7654">
        <v>7650</v>
      </c>
      <c r="G7654" s="109">
        <f t="shared" ca="1" si="128"/>
        <v>6.5682371905892004E-2</v>
      </c>
    </row>
    <row r="7655" spans="2:7" x14ac:dyDescent="0.25">
      <c r="B7655" s="98"/>
      <c r="F7655">
        <v>7651</v>
      </c>
      <c r="G7655" s="109">
        <f t="shared" ca="1" si="128"/>
        <v>-1.091872710232436E-3</v>
      </c>
    </row>
    <row r="7656" spans="2:7" x14ac:dyDescent="0.25">
      <c r="B7656" s="98"/>
      <c r="F7656">
        <v>7652</v>
      </c>
      <c r="G7656" s="109">
        <f t="shared" ca="1" si="128"/>
        <v>-9.3227565422022166E-2</v>
      </c>
    </row>
    <row r="7657" spans="2:7" x14ac:dyDescent="0.25">
      <c r="B7657" s="98"/>
      <c r="F7657">
        <v>7653</v>
      </c>
      <c r="G7657" s="109">
        <f t="shared" ca="1" si="128"/>
        <v>3.1757015720890749E-2</v>
      </c>
    </row>
    <row r="7658" spans="2:7" x14ac:dyDescent="0.25">
      <c r="B7658" s="98"/>
      <c r="F7658">
        <v>7654</v>
      </c>
      <c r="G7658" s="109">
        <f t="shared" ca="1" si="128"/>
        <v>0.16455112857145771</v>
      </c>
    </row>
    <row r="7659" spans="2:7" x14ac:dyDescent="0.25">
      <c r="B7659" s="98"/>
      <c r="F7659">
        <v>7655</v>
      </c>
      <c r="G7659" s="109">
        <f t="shared" ca="1" si="128"/>
        <v>8.1675753207167329E-2</v>
      </c>
    </row>
    <row r="7660" spans="2:7" x14ac:dyDescent="0.25">
      <c r="B7660" s="98"/>
      <c r="F7660">
        <v>7656</v>
      </c>
      <c r="G7660" s="109">
        <f t="shared" ca="1" si="128"/>
        <v>0.11511873200565487</v>
      </c>
    </row>
    <row r="7661" spans="2:7" x14ac:dyDescent="0.25">
      <c r="B7661" s="98"/>
      <c r="F7661">
        <v>7657</v>
      </c>
      <c r="G7661" s="109">
        <f t="shared" ca="1" si="128"/>
        <v>1.0261772464635083E-2</v>
      </c>
    </row>
    <row r="7662" spans="2:7" x14ac:dyDescent="0.25">
      <c r="B7662" s="98"/>
      <c r="F7662">
        <v>7658</v>
      </c>
      <c r="G7662" s="109">
        <f t="shared" ca="1" si="128"/>
        <v>0.17734183391646763</v>
      </c>
    </row>
    <row r="7663" spans="2:7" x14ac:dyDescent="0.25">
      <c r="B7663" s="98"/>
      <c r="F7663">
        <v>7659</v>
      </c>
      <c r="G7663" s="109">
        <f t="shared" ca="1" si="128"/>
        <v>0.18029517723711674</v>
      </c>
    </row>
    <row r="7664" spans="2:7" x14ac:dyDescent="0.25">
      <c r="B7664" s="98"/>
      <c r="F7664">
        <v>7660</v>
      </c>
      <c r="G7664" s="109">
        <f t="shared" ca="1" si="128"/>
        <v>0.15531371618057371</v>
      </c>
    </row>
    <row r="7665" spans="2:7" x14ac:dyDescent="0.25">
      <c r="B7665" s="98"/>
      <c r="F7665">
        <v>7661</v>
      </c>
      <c r="G7665" s="109">
        <f t="shared" ca="1" si="128"/>
        <v>-0.26618817740995193</v>
      </c>
    </row>
    <row r="7666" spans="2:7" x14ac:dyDescent="0.25">
      <c r="B7666" s="98"/>
      <c r="F7666">
        <v>7662</v>
      </c>
      <c r="G7666" s="109">
        <f t="shared" ca="1" si="128"/>
        <v>5.7956026116525547E-2</v>
      </c>
    </row>
    <row r="7667" spans="2:7" x14ac:dyDescent="0.25">
      <c r="B7667" s="98"/>
      <c r="F7667">
        <v>7663</v>
      </c>
      <c r="G7667" s="109">
        <f t="shared" ca="1" si="128"/>
        <v>-4.3631441964720463E-2</v>
      </c>
    </row>
    <row r="7668" spans="2:7" x14ac:dyDescent="0.25">
      <c r="B7668" s="98"/>
      <c r="F7668">
        <v>7664</v>
      </c>
      <c r="G7668" s="109">
        <f t="shared" ca="1" si="128"/>
        <v>-1.2677234764907334E-2</v>
      </c>
    </row>
    <row r="7669" spans="2:7" x14ac:dyDescent="0.25">
      <c r="B7669" s="98"/>
      <c r="F7669">
        <v>7665</v>
      </c>
      <c r="G7669" s="109">
        <f t="shared" ca="1" si="128"/>
        <v>-0.18271632801664289</v>
      </c>
    </row>
    <row r="7670" spans="2:7" x14ac:dyDescent="0.25">
      <c r="B7670" s="98"/>
      <c r="F7670">
        <v>7666</v>
      </c>
      <c r="G7670" s="109">
        <f t="shared" ca="1" si="128"/>
        <v>0.21102098336846492</v>
      </c>
    </row>
    <row r="7671" spans="2:7" x14ac:dyDescent="0.25">
      <c r="B7671" s="98"/>
      <c r="F7671">
        <v>7667</v>
      </c>
      <c r="G7671" s="109">
        <f t="shared" ca="1" si="128"/>
        <v>-1.4313507018798022E-2</v>
      </c>
    </row>
    <row r="7672" spans="2:7" x14ac:dyDescent="0.25">
      <c r="B7672" s="98"/>
      <c r="F7672">
        <v>7668</v>
      </c>
      <c r="G7672" s="109">
        <f t="shared" ca="1" si="128"/>
        <v>3.7215680469603385E-2</v>
      </c>
    </row>
    <row r="7673" spans="2:7" x14ac:dyDescent="0.25">
      <c r="B7673" s="98"/>
      <c r="F7673">
        <v>7669</v>
      </c>
      <c r="G7673" s="109">
        <f t="shared" ca="1" si="128"/>
        <v>-4.2946837052743839E-2</v>
      </c>
    </row>
    <row r="7674" spans="2:7" x14ac:dyDescent="0.25">
      <c r="B7674" s="98"/>
      <c r="F7674">
        <v>7670</v>
      </c>
      <c r="G7674" s="109">
        <f t="shared" ca="1" si="128"/>
        <v>0.19314755302790587</v>
      </c>
    </row>
    <row r="7675" spans="2:7" x14ac:dyDescent="0.25">
      <c r="B7675" s="98"/>
      <c r="F7675">
        <v>7671</v>
      </c>
      <c r="G7675" s="109">
        <f t="shared" ca="1" si="128"/>
        <v>8.550698245787014E-2</v>
      </c>
    </row>
    <row r="7676" spans="2:7" x14ac:dyDescent="0.25">
      <c r="B7676" s="98"/>
      <c r="F7676">
        <v>7672</v>
      </c>
      <c r="G7676" s="109">
        <f t="shared" ca="1" si="128"/>
        <v>0.15016325560222626</v>
      </c>
    </row>
    <row r="7677" spans="2:7" x14ac:dyDescent="0.25">
      <c r="B7677" s="98"/>
      <c r="F7677">
        <v>7673</v>
      </c>
      <c r="G7677" s="109">
        <f t="shared" ca="1" si="128"/>
        <v>0.21004868051917414</v>
      </c>
    </row>
    <row r="7678" spans="2:7" x14ac:dyDescent="0.25">
      <c r="B7678" s="98"/>
      <c r="F7678">
        <v>7674</v>
      </c>
      <c r="G7678" s="109">
        <f t="shared" ca="1" si="128"/>
        <v>4.0189672557465556E-2</v>
      </c>
    </row>
    <row r="7679" spans="2:7" x14ac:dyDescent="0.25">
      <c r="B7679" s="98"/>
      <c r="F7679">
        <v>7675</v>
      </c>
      <c r="G7679" s="109">
        <f t="shared" ca="1" si="128"/>
        <v>9.4407649865796583E-2</v>
      </c>
    </row>
    <row r="7680" spans="2:7" x14ac:dyDescent="0.25">
      <c r="B7680" s="98"/>
      <c r="F7680">
        <v>7676</v>
      </c>
      <c r="G7680" s="109">
        <f t="shared" ca="1" si="128"/>
        <v>4.4052162230666846E-2</v>
      </c>
    </row>
    <row r="7681" spans="2:7" x14ac:dyDescent="0.25">
      <c r="B7681" s="98"/>
      <c r="F7681">
        <v>7677</v>
      </c>
      <c r="G7681" s="109">
        <f t="shared" ca="1" si="128"/>
        <v>0.32334474693380488</v>
      </c>
    </row>
    <row r="7682" spans="2:7" x14ac:dyDescent="0.25">
      <c r="B7682" s="98"/>
      <c r="F7682">
        <v>7678</v>
      </c>
      <c r="G7682" s="109">
        <f t="shared" ca="1" si="128"/>
        <v>0.15859871095542799</v>
      </c>
    </row>
    <row r="7683" spans="2:7" x14ac:dyDescent="0.25">
      <c r="B7683" s="98"/>
      <c r="F7683">
        <v>7679</v>
      </c>
      <c r="G7683" s="109">
        <f t="shared" ca="1" si="128"/>
        <v>-7.9461750506166787E-2</v>
      </c>
    </row>
    <row r="7684" spans="2:7" x14ac:dyDescent="0.25">
      <c r="B7684" s="98"/>
      <c r="F7684">
        <v>7680</v>
      </c>
      <c r="G7684" s="109">
        <f t="shared" ca="1" si="128"/>
        <v>5.6455979228016998E-2</v>
      </c>
    </row>
    <row r="7685" spans="2:7" x14ac:dyDescent="0.25">
      <c r="B7685" s="98"/>
      <c r="F7685">
        <v>7681</v>
      </c>
      <c r="G7685" s="109">
        <f t="shared" ca="1" si="128"/>
        <v>0.11960699980075247</v>
      </c>
    </row>
    <row r="7686" spans="2:7" x14ac:dyDescent="0.25">
      <c r="B7686" s="98"/>
      <c r="F7686">
        <v>7682</v>
      </c>
      <c r="G7686" s="109">
        <f t="shared" ref="G7686:G7749" ca="1" si="129">_xlfn.NORM.INV(RAND(),$M$5,$M$6)</f>
        <v>0.11983436848534475</v>
      </c>
    </row>
    <row r="7687" spans="2:7" x14ac:dyDescent="0.25">
      <c r="B7687" s="98"/>
      <c r="F7687">
        <v>7683</v>
      </c>
      <c r="G7687" s="109">
        <f t="shared" ca="1" si="129"/>
        <v>1.2934542654037248E-2</v>
      </c>
    </row>
    <row r="7688" spans="2:7" x14ac:dyDescent="0.25">
      <c r="B7688" s="98"/>
      <c r="F7688">
        <v>7684</v>
      </c>
      <c r="G7688" s="109">
        <f t="shared" ca="1" si="129"/>
        <v>-1.3269201322977604E-2</v>
      </c>
    </row>
    <row r="7689" spans="2:7" x14ac:dyDescent="0.25">
      <c r="B7689" s="98"/>
      <c r="F7689">
        <v>7685</v>
      </c>
      <c r="G7689" s="109">
        <f t="shared" ca="1" si="129"/>
        <v>6.0450987770576531E-2</v>
      </c>
    </row>
    <row r="7690" spans="2:7" x14ac:dyDescent="0.25">
      <c r="B7690" s="98"/>
      <c r="F7690">
        <v>7686</v>
      </c>
      <c r="G7690" s="109">
        <f t="shared" ca="1" si="129"/>
        <v>8.0285038190312796E-2</v>
      </c>
    </row>
    <row r="7691" spans="2:7" x14ac:dyDescent="0.25">
      <c r="B7691" s="98"/>
      <c r="F7691">
        <v>7687</v>
      </c>
      <c r="G7691" s="109">
        <f t="shared" ca="1" si="129"/>
        <v>0.17479900419029087</v>
      </c>
    </row>
    <row r="7692" spans="2:7" x14ac:dyDescent="0.25">
      <c r="B7692" s="98"/>
      <c r="F7692">
        <v>7688</v>
      </c>
      <c r="G7692" s="109">
        <f t="shared" ca="1" si="129"/>
        <v>-2.8876994790842256E-2</v>
      </c>
    </row>
    <row r="7693" spans="2:7" x14ac:dyDescent="0.25">
      <c r="B7693" s="98"/>
      <c r="F7693">
        <v>7689</v>
      </c>
      <c r="G7693" s="109">
        <f t="shared" ca="1" si="129"/>
        <v>-5.1515324515768193E-2</v>
      </c>
    </row>
    <row r="7694" spans="2:7" x14ac:dyDescent="0.25">
      <c r="B7694" s="98"/>
      <c r="F7694">
        <v>7690</v>
      </c>
      <c r="G7694" s="109">
        <f t="shared" ca="1" si="129"/>
        <v>7.817169109663416E-2</v>
      </c>
    </row>
    <row r="7695" spans="2:7" x14ac:dyDescent="0.25">
      <c r="B7695" s="98"/>
      <c r="F7695">
        <v>7691</v>
      </c>
      <c r="G7695" s="109">
        <f t="shared" ca="1" si="129"/>
        <v>-7.1272513951927893E-3</v>
      </c>
    </row>
    <row r="7696" spans="2:7" x14ac:dyDescent="0.25">
      <c r="B7696" s="98"/>
      <c r="F7696">
        <v>7692</v>
      </c>
      <c r="G7696" s="109">
        <f t="shared" ca="1" si="129"/>
        <v>7.587287775513718E-2</v>
      </c>
    </row>
    <row r="7697" spans="2:7" x14ac:dyDescent="0.25">
      <c r="B7697" s="98"/>
      <c r="F7697">
        <v>7693</v>
      </c>
      <c r="G7697" s="109">
        <f t="shared" ca="1" si="129"/>
        <v>-2.0740538106823247E-2</v>
      </c>
    </row>
    <row r="7698" spans="2:7" x14ac:dyDescent="0.25">
      <c r="B7698" s="98"/>
      <c r="F7698">
        <v>7694</v>
      </c>
      <c r="G7698" s="109">
        <f t="shared" ca="1" si="129"/>
        <v>8.0850033927441806E-2</v>
      </c>
    </row>
    <row r="7699" spans="2:7" x14ac:dyDescent="0.25">
      <c r="B7699" s="98"/>
      <c r="F7699">
        <v>7695</v>
      </c>
      <c r="G7699" s="109">
        <f t="shared" ca="1" si="129"/>
        <v>-5.5562631868985593E-2</v>
      </c>
    </row>
    <row r="7700" spans="2:7" x14ac:dyDescent="0.25">
      <c r="B7700" s="98"/>
      <c r="F7700">
        <v>7696</v>
      </c>
      <c r="G7700" s="109">
        <f t="shared" ca="1" si="129"/>
        <v>0.12835361363373315</v>
      </c>
    </row>
    <row r="7701" spans="2:7" x14ac:dyDescent="0.25">
      <c r="B7701" s="98"/>
      <c r="F7701">
        <v>7697</v>
      </c>
      <c r="G7701" s="109">
        <f t="shared" ca="1" si="129"/>
        <v>-8.1782804443738491E-2</v>
      </c>
    </row>
    <row r="7702" spans="2:7" x14ac:dyDescent="0.25">
      <c r="B7702" s="98"/>
      <c r="F7702">
        <v>7698</v>
      </c>
      <c r="G7702" s="109">
        <f t="shared" ca="1" si="129"/>
        <v>-9.2112863800931158E-3</v>
      </c>
    </row>
    <row r="7703" spans="2:7" x14ac:dyDescent="0.25">
      <c r="B7703" s="98"/>
      <c r="F7703">
        <v>7699</v>
      </c>
      <c r="G7703" s="109">
        <f t="shared" ca="1" si="129"/>
        <v>8.9840447070775348E-2</v>
      </c>
    </row>
    <row r="7704" spans="2:7" x14ac:dyDescent="0.25">
      <c r="B7704" s="98"/>
      <c r="F7704">
        <v>7700</v>
      </c>
      <c r="G7704" s="109">
        <f t="shared" ca="1" si="129"/>
        <v>0.22691188365371462</v>
      </c>
    </row>
    <row r="7705" spans="2:7" x14ac:dyDescent="0.25">
      <c r="B7705" s="98"/>
      <c r="F7705">
        <v>7701</v>
      </c>
      <c r="G7705" s="109">
        <f t="shared" ca="1" si="129"/>
        <v>0.22860541612569862</v>
      </c>
    </row>
    <row r="7706" spans="2:7" x14ac:dyDescent="0.25">
      <c r="B7706" s="98"/>
      <c r="F7706">
        <v>7702</v>
      </c>
      <c r="G7706" s="109">
        <f t="shared" ca="1" si="129"/>
        <v>6.5032775990836941E-2</v>
      </c>
    </row>
    <row r="7707" spans="2:7" x14ac:dyDescent="0.25">
      <c r="B7707" s="98"/>
      <c r="F7707">
        <v>7703</v>
      </c>
      <c r="G7707" s="109">
        <f t="shared" ca="1" si="129"/>
        <v>-0.15477778111814366</v>
      </c>
    </row>
    <row r="7708" spans="2:7" x14ac:dyDescent="0.25">
      <c r="B7708" s="98"/>
      <c r="F7708">
        <v>7704</v>
      </c>
      <c r="G7708" s="109">
        <f t="shared" ca="1" si="129"/>
        <v>0.24026891240257342</v>
      </c>
    </row>
    <row r="7709" spans="2:7" x14ac:dyDescent="0.25">
      <c r="B7709" s="98"/>
      <c r="F7709">
        <v>7705</v>
      </c>
      <c r="G7709" s="109">
        <f t="shared" ca="1" si="129"/>
        <v>8.7000350246513425E-2</v>
      </c>
    </row>
    <row r="7710" spans="2:7" x14ac:dyDescent="0.25">
      <c r="B7710" s="98"/>
      <c r="F7710">
        <v>7706</v>
      </c>
      <c r="G7710" s="109">
        <f t="shared" ca="1" si="129"/>
        <v>0.18245119995991471</v>
      </c>
    </row>
    <row r="7711" spans="2:7" x14ac:dyDescent="0.25">
      <c r="B7711" s="98"/>
      <c r="F7711">
        <v>7707</v>
      </c>
      <c r="G7711" s="109">
        <f t="shared" ca="1" si="129"/>
        <v>-0.14833630957524074</v>
      </c>
    </row>
    <row r="7712" spans="2:7" x14ac:dyDescent="0.25">
      <c r="B7712" s="98"/>
      <c r="F7712">
        <v>7708</v>
      </c>
      <c r="G7712" s="109">
        <f t="shared" ca="1" si="129"/>
        <v>9.8468197119401787E-2</v>
      </c>
    </row>
    <row r="7713" spans="2:7" x14ac:dyDescent="0.25">
      <c r="B7713" s="98"/>
      <c r="F7713">
        <v>7709</v>
      </c>
      <c r="G7713" s="109">
        <f t="shared" ca="1" si="129"/>
        <v>3.8149448513647294E-2</v>
      </c>
    </row>
    <row r="7714" spans="2:7" x14ac:dyDescent="0.25">
      <c r="B7714" s="98"/>
      <c r="F7714">
        <v>7710</v>
      </c>
      <c r="G7714" s="109">
        <f t="shared" ca="1" si="129"/>
        <v>0.13849699090318696</v>
      </c>
    </row>
    <row r="7715" spans="2:7" x14ac:dyDescent="0.25">
      <c r="B7715" s="98"/>
      <c r="F7715">
        <v>7711</v>
      </c>
      <c r="G7715" s="109">
        <f t="shared" ca="1" si="129"/>
        <v>-0.12737515224914536</v>
      </c>
    </row>
    <row r="7716" spans="2:7" x14ac:dyDescent="0.25">
      <c r="B7716" s="98"/>
      <c r="F7716">
        <v>7712</v>
      </c>
      <c r="G7716" s="109">
        <f t="shared" ca="1" si="129"/>
        <v>0.20839743694185797</v>
      </c>
    </row>
    <row r="7717" spans="2:7" x14ac:dyDescent="0.25">
      <c r="B7717" s="98"/>
      <c r="F7717">
        <v>7713</v>
      </c>
      <c r="G7717" s="109">
        <f t="shared" ca="1" si="129"/>
        <v>-1.3843887889540198E-2</v>
      </c>
    </row>
    <row r="7718" spans="2:7" x14ac:dyDescent="0.25">
      <c r="B7718" s="98"/>
      <c r="F7718">
        <v>7714</v>
      </c>
      <c r="G7718" s="109">
        <f t="shared" ca="1" si="129"/>
        <v>0.11025957690132332</v>
      </c>
    </row>
    <row r="7719" spans="2:7" x14ac:dyDescent="0.25">
      <c r="B7719" s="98"/>
      <c r="F7719">
        <v>7715</v>
      </c>
      <c r="G7719" s="109">
        <f t="shared" ca="1" si="129"/>
        <v>0.26633301558673778</v>
      </c>
    </row>
    <row r="7720" spans="2:7" x14ac:dyDescent="0.25">
      <c r="B7720" s="98"/>
      <c r="F7720">
        <v>7716</v>
      </c>
      <c r="G7720" s="109">
        <f t="shared" ca="1" si="129"/>
        <v>6.3972580260429068E-2</v>
      </c>
    </row>
    <row r="7721" spans="2:7" x14ac:dyDescent="0.25">
      <c r="B7721" s="98"/>
      <c r="F7721">
        <v>7717</v>
      </c>
      <c r="G7721" s="109">
        <f t="shared" ca="1" si="129"/>
        <v>0.19462358387165646</v>
      </c>
    </row>
    <row r="7722" spans="2:7" x14ac:dyDescent="0.25">
      <c r="B7722" s="98"/>
      <c r="F7722">
        <v>7718</v>
      </c>
      <c r="G7722" s="109">
        <f t="shared" ca="1" si="129"/>
        <v>0.12390697952225786</v>
      </c>
    </row>
    <row r="7723" spans="2:7" x14ac:dyDescent="0.25">
      <c r="B7723" s="98"/>
      <c r="F7723">
        <v>7719</v>
      </c>
      <c r="G7723" s="109">
        <f t="shared" ca="1" si="129"/>
        <v>0.29801032194639104</v>
      </c>
    </row>
    <row r="7724" spans="2:7" x14ac:dyDescent="0.25">
      <c r="B7724" s="98"/>
      <c r="F7724">
        <v>7720</v>
      </c>
      <c r="G7724" s="109">
        <f t="shared" ca="1" si="129"/>
        <v>3.4878492670670211E-2</v>
      </c>
    </row>
    <row r="7725" spans="2:7" x14ac:dyDescent="0.25">
      <c r="B7725" s="98"/>
      <c r="F7725">
        <v>7721</v>
      </c>
      <c r="G7725" s="109">
        <f t="shared" ca="1" si="129"/>
        <v>-0.17750519861424002</v>
      </c>
    </row>
    <row r="7726" spans="2:7" x14ac:dyDescent="0.25">
      <c r="B7726" s="98"/>
      <c r="F7726">
        <v>7722</v>
      </c>
      <c r="G7726" s="109">
        <f t="shared" ca="1" si="129"/>
        <v>7.1813825119678987E-2</v>
      </c>
    </row>
    <row r="7727" spans="2:7" x14ac:dyDescent="0.25">
      <c r="B7727" s="98"/>
      <c r="F7727">
        <v>7723</v>
      </c>
      <c r="G7727" s="109">
        <f t="shared" ca="1" si="129"/>
        <v>0.2327216086572052</v>
      </c>
    </row>
    <row r="7728" spans="2:7" x14ac:dyDescent="0.25">
      <c r="B7728" s="98"/>
      <c r="F7728">
        <v>7724</v>
      </c>
      <c r="G7728" s="109">
        <f t="shared" ca="1" si="129"/>
        <v>1.2308308826163003E-2</v>
      </c>
    </row>
    <row r="7729" spans="2:7" x14ac:dyDescent="0.25">
      <c r="B7729" s="98"/>
      <c r="F7729">
        <v>7725</v>
      </c>
      <c r="G7729" s="109">
        <f t="shared" ca="1" si="129"/>
        <v>8.1886141290177239E-6</v>
      </c>
    </row>
    <row r="7730" spans="2:7" x14ac:dyDescent="0.25">
      <c r="B7730" s="98"/>
      <c r="F7730">
        <v>7726</v>
      </c>
      <c r="G7730" s="109">
        <f t="shared" ca="1" si="129"/>
        <v>4.1955750223145342E-2</v>
      </c>
    </row>
    <row r="7731" spans="2:7" x14ac:dyDescent="0.25">
      <c r="B7731" s="98"/>
      <c r="F7731">
        <v>7727</v>
      </c>
      <c r="G7731" s="109">
        <f t="shared" ca="1" si="129"/>
        <v>-3.7214175848643866E-2</v>
      </c>
    </row>
    <row r="7732" spans="2:7" x14ac:dyDescent="0.25">
      <c r="B7732" s="98"/>
      <c r="F7732">
        <v>7728</v>
      </c>
      <c r="G7732" s="109">
        <f t="shared" ca="1" si="129"/>
        <v>0.15325407942781138</v>
      </c>
    </row>
    <row r="7733" spans="2:7" x14ac:dyDescent="0.25">
      <c r="B7733" s="98"/>
      <c r="F7733">
        <v>7729</v>
      </c>
      <c r="G7733" s="109">
        <f t="shared" ca="1" si="129"/>
        <v>8.4953629095894323E-2</v>
      </c>
    </row>
    <row r="7734" spans="2:7" x14ac:dyDescent="0.25">
      <c r="B7734" s="98"/>
      <c r="F7734">
        <v>7730</v>
      </c>
      <c r="G7734" s="109">
        <f t="shared" ca="1" si="129"/>
        <v>4.9431190658023427E-2</v>
      </c>
    </row>
    <row r="7735" spans="2:7" x14ac:dyDescent="0.25">
      <c r="B7735" s="98"/>
      <c r="F7735">
        <v>7731</v>
      </c>
      <c r="G7735" s="109">
        <f t="shared" ca="1" si="129"/>
        <v>4.9671266005575226E-2</v>
      </c>
    </row>
    <row r="7736" spans="2:7" x14ac:dyDescent="0.25">
      <c r="B7736" s="98"/>
      <c r="F7736">
        <v>7732</v>
      </c>
      <c r="G7736" s="109">
        <f t="shared" ca="1" si="129"/>
        <v>-8.588466487917544E-2</v>
      </c>
    </row>
    <row r="7737" spans="2:7" x14ac:dyDescent="0.25">
      <c r="B7737" s="98"/>
      <c r="F7737">
        <v>7733</v>
      </c>
      <c r="G7737" s="109">
        <f t="shared" ca="1" si="129"/>
        <v>8.6544152378077333E-2</v>
      </c>
    </row>
    <row r="7738" spans="2:7" x14ac:dyDescent="0.25">
      <c r="B7738" s="98"/>
      <c r="F7738">
        <v>7734</v>
      </c>
      <c r="G7738" s="109">
        <f t="shared" ca="1" si="129"/>
        <v>0.18812921974954805</v>
      </c>
    </row>
    <row r="7739" spans="2:7" x14ac:dyDescent="0.25">
      <c r="B7739" s="98"/>
      <c r="F7739">
        <v>7735</v>
      </c>
      <c r="G7739" s="109">
        <f t="shared" ca="1" si="129"/>
        <v>0.13159028391285138</v>
      </c>
    </row>
    <row r="7740" spans="2:7" x14ac:dyDescent="0.25">
      <c r="B7740" s="98"/>
      <c r="F7740">
        <v>7736</v>
      </c>
      <c r="G7740" s="109">
        <f t="shared" ca="1" si="129"/>
        <v>0.19913225846277899</v>
      </c>
    </row>
    <row r="7741" spans="2:7" x14ac:dyDescent="0.25">
      <c r="B7741" s="98"/>
      <c r="F7741">
        <v>7737</v>
      </c>
      <c r="G7741" s="109">
        <f t="shared" ca="1" si="129"/>
        <v>3.1852038035652203E-2</v>
      </c>
    </row>
    <row r="7742" spans="2:7" x14ac:dyDescent="0.25">
      <c r="B7742" s="98"/>
      <c r="F7742">
        <v>7738</v>
      </c>
      <c r="G7742" s="109">
        <f t="shared" ca="1" si="129"/>
        <v>0.2210671478310397</v>
      </c>
    </row>
    <row r="7743" spans="2:7" x14ac:dyDescent="0.25">
      <c r="B7743" s="98"/>
      <c r="F7743">
        <v>7739</v>
      </c>
      <c r="G7743" s="109">
        <f t="shared" ca="1" si="129"/>
        <v>-8.6685424229285477E-2</v>
      </c>
    </row>
    <row r="7744" spans="2:7" x14ac:dyDescent="0.25">
      <c r="B7744" s="98"/>
      <c r="F7744">
        <v>7740</v>
      </c>
      <c r="G7744" s="109">
        <f t="shared" ca="1" si="129"/>
        <v>1.6322759052852336E-2</v>
      </c>
    </row>
    <row r="7745" spans="2:7" x14ac:dyDescent="0.25">
      <c r="B7745" s="98"/>
      <c r="F7745">
        <v>7741</v>
      </c>
      <c r="G7745" s="109">
        <f t="shared" ca="1" si="129"/>
        <v>0.19571157420811663</v>
      </c>
    </row>
    <row r="7746" spans="2:7" x14ac:dyDescent="0.25">
      <c r="B7746" s="98"/>
      <c r="F7746">
        <v>7742</v>
      </c>
      <c r="G7746" s="109">
        <f t="shared" ca="1" si="129"/>
        <v>0.10350763102364294</v>
      </c>
    </row>
    <row r="7747" spans="2:7" x14ac:dyDescent="0.25">
      <c r="B7747" s="98"/>
      <c r="F7747">
        <v>7743</v>
      </c>
      <c r="G7747" s="109">
        <f t="shared" ca="1" si="129"/>
        <v>-4.3313819720614516E-2</v>
      </c>
    </row>
    <row r="7748" spans="2:7" x14ac:dyDescent="0.25">
      <c r="B7748" s="98"/>
      <c r="F7748">
        <v>7744</v>
      </c>
      <c r="G7748" s="109">
        <f t="shared" ca="1" si="129"/>
        <v>-6.8449452318927573E-2</v>
      </c>
    </row>
    <row r="7749" spans="2:7" x14ac:dyDescent="0.25">
      <c r="B7749" s="98"/>
      <c r="F7749">
        <v>7745</v>
      </c>
      <c r="G7749" s="109">
        <f t="shared" ca="1" si="129"/>
        <v>1.1456561752774139E-2</v>
      </c>
    </row>
    <row r="7750" spans="2:7" x14ac:dyDescent="0.25">
      <c r="B7750" s="98"/>
      <c r="F7750">
        <v>7746</v>
      </c>
      <c r="G7750" s="109">
        <f t="shared" ref="G7750:G7813" ca="1" si="130">_xlfn.NORM.INV(RAND(),$M$5,$M$6)</f>
        <v>-4.1591000597141436E-2</v>
      </c>
    </row>
    <row r="7751" spans="2:7" x14ac:dyDescent="0.25">
      <c r="B7751" s="98"/>
      <c r="F7751">
        <v>7747</v>
      </c>
      <c r="G7751" s="109">
        <f t="shared" ca="1" si="130"/>
        <v>0.14521107673971445</v>
      </c>
    </row>
    <row r="7752" spans="2:7" x14ac:dyDescent="0.25">
      <c r="B7752" s="98"/>
      <c r="F7752">
        <v>7748</v>
      </c>
      <c r="G7752" s="109">
        <f t="shared" ca="1" si="130"/>
        <v>0.13436411742319224</v>
      </c>
    </row>
    <row r="7753" spans="2:7" x14ac:dyDescent="0.25">
      <c r="B7753" s="98"/>
      <c r="F7753">
        <v>7749</v>
      </c>
      <c r="G7753" s="109">
        <f t="shared" ca="1" si="130"/>
        <v>3.0924487621333836E-2</v>
      </c>
    </row>
    <row r="7754" spans="2:7" x14ac:dyDescent="0.25">
      <c r="B7754" s="98"/>
      <c r="F7754">
        <v>7750</v>
      </c>
      <c r="G7754" s="109">
        <f t="shared" ca="1" si="130"/>
        <v>2.5878757512414544E-2</v>
      </c>
    </row>
    <row r="7755" spans="2:7" x14ac:dyDescent="0.25">
      <c r="B7755" s="98"/>
      <c r="F7755">
        <v>7751</v>
      </c>
      <c r="G7755" s="109">
        <f t="shared" ca="1" si="130"/>
        <v>9.3899859432580821E-2</v>
      </c>
    </row>
    <row r="7756" spans="2:7" x14ac:dyDescent="0.25">
      <c r="B7756" s="98"/>
      <c r="F7756">
        <v>7752</v>
      </c>
      <c r="G7756" s="109">
        <f t="shared" ca="1" si="130"/>
        <v>0.19374602781823869</v>
      </c>
    </row>
    <row r="7757" spans="2:7" x14ac:dyDescent="0.25">
      <c r="B7757" s="98"/>
      <c r="F7757">
        <v>7753</v>
      </c>
      <c r="G7757" s="109">
        <f t="shared" ca="1" si="130"/>
        <v>0.11167159007949568</v>
      </c>
    </row>
    <row r="7758" spans="2:7" x14ac:dyDescent="0.25">
      <c r="B7758" s="98"/>
      <c r="F7758">
        <v>7754</v>
      </c>
      <c r="G7758" s="109">
        <f t="shared" ca="1" si="130"/>
        <v>-0.19822046589580261</v>
      </c>
    </row>
    <row r="7759" spans="2:7" x14ac:dyDescent="0.25">
      <c r="B7759" s="98"/>
      <c r="F7759">
        <v>7755</v>
      </c>
      <c r="G7759" s="109">
        <f t="shared" ca="1" si="130"/>
        <v>-2.613676298422235E-2</v>
      </c>
    </row>
    <row r="7760" spans="2:7" x14ac:dyDescent="0.25">
      <c r="B7760" s="98"/>
      <c r="F7760">
        <v>7756</v>
      </c>
      <c r="G7760" s="109">
        <f t="shared" ca="1" si="130"/>
        <v>7.3694810481036849E-2</v>
      </c>
    </row>
    <row r="7761" spans="2:7" x14ac:dyDescent="0.25">
      <c r="B7761" s="98"/>
      <c r="F7761">
        <v>7757</v>
      </c>
      <c r="G7761" s="109">
        <f t="shared" ca="1" si="130"/>
        <v>-2.4872100660694757E-2</v>
      </c>
    </row>
    <row r="7762" spans="2:7" x14ac:dyDescent="0.25">
      <c r="B7762" s="98"/>
      <c r="F7762">
        <v>7758</v>
      </c>
      <c r="G7762" s="109">
        <f t="shared" ca="1" si="130"/>
        <v>-3.0319291793315079E-2</v>
      </c>
    </row>
    <row r="7763" spans="2:7" x14ac:dyDescent="0.25">
      <c r="B7763" s="98"/>
      <c r="F7763">
        <v>7759</v>
      </c>
      <c r="G7763" s="109">
        <f t="shared" ca="1" si="130"/>
        <v>-2.6931154341213834E-2</v>
      </c>
    </row>
    <row r="7764" spans="2:7" x14ac:dyDescent="0.25">
      <c r="B7764" s="98"/>
      <c r="F7764">
        <v>7760</v>
      </c>
      <c r="G7764" s="109">
        <f t="shared" ca="1" si="130"/>
        <v>0.1003247742571676</v>
      </c>
    </row>
    <row r="7765" spans="2:7" x14ac:dyDescent="0.25">
      <c r="B7765" s="98"/>
      <c r="F7765">
        <v>7761</v>
      </c>
      <c r="G7765" s="109">
        <f t="shared" ca="1" si="130"/>
        <v>-2.8176377893932042E-2</v>
      </c>
    </row>
    <row r="7766" spans="2:7" x14ac:dyDescent="0.25">
      <c r="B7766" s="98"/>
      <c r="F7766">
        <v>7762</v>
      </c>
      <c r="G7766" s="109">
        <f t="shared" ca="1" si="130"/>
        <v>-8.4041906310605693E-2</v>
      </c>
    </row>
    <row r="7767" spans="2:7" x14ac:dyDescent="0.25">
      <c r="B7767" s="98"/>
      <c r="F7767">
        <v>7763</v>
      </c>
      <c r="G7767" s="109">
        <f t="shared" ca="1" si="130"/>
        <v>7.0937665277213208E-2</v>
      </c>
    </row>
    <row r="7768" spans="2:7" x14ac:dyDescent="0.25">
      <c r="B7768" s="98"/>
      <c r="F7768">
        <v>7764</v>
      </c>
      <c r="G7768" s="109">
        <f t="shared" ca="1" si="130"/>
        <v>3.2344859424503436E-2</v>
      </c>
    </row>
    <row r="7769" spans="2:7" x14ac:dyDescent="0.25">
      <c r="B7769" s="98"/>
      <c r="F7769">
        <v>7765</v>
      </c>
      <c r="G7769" s="109">
        <f t="shared" ca="1" si="130"/>
        <v>4.6010196976636053E-2</v>
      </c>
    </row>
    <row r="7770" spans="2:7" x14ac:dyDescent="0.25">
      <c r="B7770" s="98"/>
      <c r="F7770">
        <v>7766</v>
      </c>
      <c r="G7770" s="109">
        <f t="shared" ca="1" si="130"/>
        <v>6.694339667346251E-2</v>
      </c>
    </row>
    <row r="7771" spans="2:7" x14ac:dyDescent="0.25">
      <c r="B7771" s="98"/>
      <c r="F7771">
        <v>7767</v>
      </c>
      <c r="G7771" s="109">
        <f t="shared" ca="1" si="130"/>
        <v>-8.7789102526650911E-3</v>
      </c>
    </row>
    <row r="7772" spans="2:7" x14ac:dyDescent="0.25">
      <c r="B7772" s="98"/>
      <c r="F7772">
        <v>7768</v>
      </c>
      <c r="G7772" s="109">
        <f t="shared" ca="1" si="130"/>
        <v>7.0112527104592065E-2</v>
      </c>
    </row>
    <row r="7773" spans="2:7" x14ac:dyDescent="0.25">
      <c r="B7773" s="98"/>
      <c r="F7773">
        <v>7769</v>
      </c>
      <c r="G7773" s="109">
        <f t="shared" ca="1" si="130"/>
        <v>1.8585850884253623E-2</v>
      </c>
    </row>
    <row r="7774" spans="2:7" x14ac:dyDescent="0.25">
      <c r="B7774" s="98"/>
      <c r="F7774">
        <v>7770</v>
      </c>
      <c r="G7774" s="109">
        <f t="shared" ca="1" si="130"/>
        <v>-0.11908443719643465</v>
      </c>
    </row>
    <row r="7775" spans="2:7" x14ac:dyDescent="0.25">
      <c r="B7775" s="98"/>
      <c r="F7775">
        <v>7771</v>
      </c>
      <c r="G7775" s="109">
        <f t="shared" ca="1" si="130"/>
        <v>7.757814306484026E-2</v>
      </c>
    </row>
    <row r="7776" spans="2:7" x14ac:dyDescent="0.25">
      <c r="B7776" s="98"/>
      <c r="F7776">
        <v>7772</v>
      </c>
      <c r="G7776" s="109">
        <f t="shared" ca="1" si="130"/>
        <v>1.3105177796932967E-2</v>
      </c>
    </row>
    <row r="7777" spans="2:7" x14ac:dyDescent="0.25">
      <c r="B7777" s="98"/>
      <c r="F7777">
        <v>7773</v>
      </c>
      <c r="G7777" s="109">
        <f t="shared" ca="1" si="130"/>
        <v>0.25672439972848471</v>
      </c>
    </row>
    <row r="7778" spans="2:7" x14ac:dyDescent="0.25">
      <c r="B7778" s="98"/>
      <c r="F7778">
        <v>7774</v>
      </c>
      <c r="G7778" s="109">
        <f t="shared" ca="1" si="130"/>
        <v>7.8428305622915473E-2</v>
      </c>
    </row>
    <row r="7779" spans="2:7" x14ac:dyDescent="0.25">
      <c r="B7779" s="98"/>
      <c r="F7779">
        <v>7775</v>
      </c>
      <c r="G7779" s="109">
        <f t="shared" ca="1" si="130"/>
        <v>0.1236970118532195</v>
      </c>
    </row>
    <row r="7780" spans="2:7" x14ac:dyDescent="0.25">
      <c r="B7780" s="98"/>
      <c r="F7780">
        <v>7776</v>
      </c>
      <c r="G7780" s="109">
        <f t="shared" ca="1" si="130"/>
        <v>1.0617228441484439E-2</v>
      </c>
    </row>
    <row r="7781" spans="2:7" x14ac:dyDescent="0.25">
      <c r="B7781" s="98"/>
      <c r="F7781">
        <v>7777</v>
      </c>
      <c r="G7781" s="109">
        <f t="shared" ca="1" si="130"/>
        <v>9.1140190012057046E-2</v>
      </c>
    </row>
    <row r="7782" spans="2:7" x14ac:dyDescent="0.25">
      <c r="B7782" s="98"/>
      <c r="F7782">
        <v>7778</v>
      </c>
      <c r="G7782" s="109">
        <f t="shared" ca="1" si="130"/>
        <v>5.5822528381831889E-2</v>
      </c>
    </row>
    <row r="7783" spans="2:7" x14ac:dyDescent="0.25">
      <c r="B7783" s="98"/>
      <c r="F7783">
        <v>7779</v>
      </c>
      <c r="G7783" s="109">
        <f t="shared" ca="1" si="130"/>
        <v>9.8503065304994669E-2</v>
      </c>
    </row>
    <row r="7784" spans="2:7" x14ac:dyDescent="0.25">
      <c r="B7784" s="98"/>
      <c r="F7784">
        <v>7780</v>
      </c>
      <c r="G7784" s="109">
        <f t="shared" ca="1" si="130"/>
        <v>0.23075117808158901</v>
      </c>
    </row>
    <row r="7785" spans="2:7" x14ac:dyDescent="0.25">
      <c r="B7785" s="98"/>
      <c r="F7785">
        <v>7781</v>
      </c>
      <c r="G7785" s="109">
        <f t="shared" ca="1" si="130"/>
        <v>-1.7059294568061226E-2</v>
      </c>
    </row>
    <row r="7786" spans="2:7" x14ac:dyDescent="0.25">
      <c r="B7786" s="98"/>
      <c r="F7786">
        <v>7782</v>
      </c>
      <c r="G7786" s="109">
        <f t="shared" ca="1" si="130"/>
        <v>6.1875446362082767E-2</v>
      </c>
    </row>
    <row r="7787" spans="2:7" x14ac:dyDescent="0.25">
      <c r="B7787" s="98"/>
      <c r="F7787">
        <v>7783</v>
      </c>
      <c r="G7787" s="109">
        <f t="shared" ca="1" si="130"/>
        <v>7.8390932425103824E-2</v>
      </c>
    </row>
    <row r="7788" spans="2:7" x14ac:dyDescent="0.25">
      <c r="B7788" s="98"/>
      <c r="F7788">
        <v>7784</v>
      </c>
      <c r="G7788" s="109">
        <f t="shared" ca="1" si="130"/>
        <v>0.1617280903072027</v>
      </c>
    </row>
    <row r="7789" spans="2:7" x14ac:dyDescent="0.25">
      <c r="B7789" s="98"/>
      <c r="F7789">
        <v>7785</v>
      </c>
      <c r="G7789" s="109">
        <f t="shared" ca="1" si="130"/>
        <v>1.1799505173183691E-2</v>
      </c>
    </row>
    <row r="7790" spans="2:7" x14ac:dyDescent="0.25">
      <c r="B7790" s="98"/>
      <c r="F7790">
        <v>7786</v>
      </c>
      <c r="G7790" s="109">
        <f t="shared" ca="1" si="130"/>
        <v>-0.15879828794067491</v>
      </c>
    </row>
    <row r="7791" spans="2:7" x14ac:dyDescent="0.25">
      <c r="B7791" s="98"/>
      <c r="F7791">
        <v>7787</v>
      </c>
      <c r="G7791" s="109">
        <f t="shared" ca="1" si="130"/>
        <v>0.11027643437389519</v>
      </c>
    </row>
    <row r="7792" spans="2:7" x14ac:dyDescent="0.25">
      <c r="B7792" s="98"/>
      <c r="F7792">
        <v>7788</v>
      </c>
      <c r="G7792" s="109">
        <f t="shared" ca="1" si="130"/>
        <v>-0.12470253349965922</v>
      </c>
    </row>
    <row r="7793" spans="2:7" x14ac:dyDescent="0.25">
      <c r="B7793" s="98"/>
      <c r="F7793">
        <v>7789</v>
      </c>
      <c r="G7793" s="109">
        <f t="shared" ca="1" si="130"/>
        <v>-2.4041546317814119E-2</v>
      </c>
    </row>
    <row r="7794" spans="2:7" x14ac:dyDescent="0.25">
      <c r="B7794" s="98"/>
      <c r="F7794">
        <v>7790</v>
      </c>
      <c r="G7794" s="109">
        <f t="shared" ca="1" si="130"/>
        <v>-0.1429084152475002</v>
      </c>
    </row>
    <row r="7795" spans="2:7" x14ac:dyDescent="0.25">
      <c r="B7795" s="98"/>
      <c r="F7795">
        <v>7791</v>
      </c>
      <c r="G7795" s="109">
        <f t="shared" ca="1" si="130"/>
        <v>-0.15624499753856091</v>
      </c>
    </row>
    <row r="7796" spans="2:7" x14ac:dyDescent="0.25">
      <c r="B7796" s="98"/>
      <c r="F7796">
        <v>7792</v>
      </c>
      <c r="G7796" s="109">
        <f t="shared" ca="1" si="130"/>
        <v>0.26738122755401722</v>
      </c>
    </row>
    <row r="7797" spans="2:7" x14ac:dyDescent="0.25">
      <c r="B7797" s="98"/>
      <c r="F7797">
        <v>7793</v>
      </c>
      <c r="G7797" s="109">
        <f t="shared" ca="1" si="130"/>
        <v>-7.5097542178714463E-2</v>
      </c>
    </row>
    <row r="7798" spans="2:7" x14ac:dyDescent="0.25">
      <c r="B7798" s="98"/>
      <c r="F7798">
        <v>7794</v>
      </c>
      <c r="G7798" s="109">
        <f t="shared" ca="1" si="130"/>
        <v>8.5032083730907648E-2</v>
      </c>
    </row>
    <row r="7799" spans="2:7" x14ac:dyDescent="0.25">
      <c r="B7799" s="98"/>
      <c r="F7799">
        <v>7795</v>
      </c>
      <c r="G7799" s="109">
        <f t="shared" ca="1" si="130"/>
        <v>0.17591849484838001</v>
      </c>
    </row>
    <row r="7800" spans="2:7" x14ac:dyDescent="0.25">
      <c r="B7800" s="98"/>
      <c r="F7800">
        <v>7796</v>
      </c>
      <c r="G7800" s="109">
        <f t="shared" ca="1" si="130"/>
        <v>0.1624754036399878</v>
      </c>
    </row>
    <row r="7801" spans="2:7" x14ac:dyDescent="0.25">
      <c r="B7801" s="98"/>
      <c r="F7801">
        <v>7797</v>
      </c>
      <c r="G7801" s="109">
        <f t="shared" ca="1" si="130"/>
        <v>0.1230990092234784</v>
      </c>
    </row>
    <row r="7802" spans="2:7" x14ac:dyDescent="0.25">
      <c r="B7802" s="98"/>
      <c r="F7802">
        <v>7798</v>
      </c>
      <c r="G7802" s="109">
        <f t="shared" ca="1" si="130"/>
        <v>0.12821290730876531</v>
      </c>
    </row>
    <row r="7803" spans="2:7" x14ac:dyDescent="0.25">
      <c r="B7803" s="98"/>
      <c r="F7803">
        <v>7799</v>
      </c>
      <c r="G7803" s="109">
        <f t="shared" ca="1" si="130"/>
        <v>8.5193309066260242E-2</v>
      </c>
    </row>
    <row r="7804" spans="2:7" x14ac:dyDescent="0.25">
      <c r="B7804" s="98"/>
      <c r="F7804">
        <v>7800</v>
      </c>
      <c r="G7804" s="109">
        <f t="shared" ca="1" si="130"/>
        <v>9.8811475216126918E-2</v>
      </c>
    </row>
    <row r="7805" spans="2:7" x14ac:dyDescent="0.25">
      <c r="B7805" s="98"/>
      <c r="F7805">
        <v>7801</v>
      </c>
      <c r="G7805" s="109">
        <f t="shared" ca="1" si="130"/>
        <v>7.7145063220181526E-2</v>
      </c>
    </row>
    <row r="7806" spans="2:7" x14ac:dyDescent="0.25">
      <c r="B7806" s="98"/>
      <c r="F7806">
        <v>7802</v>
      </c>
      <c r="G7806" s="109">
        <f t="shared" ca="1" si="130"/>
        <v>1.0328170521940204E-2</v>
      </c>
    </row>
    <row r="7807" spans="2:7" x14ac:dyDescent="0.25">
      <c r="B7807" s="98"/>
      <c r="F7807">
        <v>7803</v>
      </c>
      <c r="G7807" s="109">
        <f t="shared" ca="1" si="130"/>
        <v>7.1982255925793867E-2</v>
      </c>
    </row>
    <row r="7808" spans="2:7" x14ac:dyDescent="0.25">
      <c r="B7808" s="98"/>
      <c r="F7808">
        <v>7804</v>
      </c>
      <c r="G7808" s="109">
        <f t="shared" ca="1" si="130"/>
        <v>-9.3016722536033256E-2</v>
      </c>
    </row>
    <row r="7809" spans="2:7" x14ac:dyDescent="0.25">
      <c r="B7809" s="98"/>
      <c r="F7809">
        <v>7805</v>
      </c>
      <c r="G7809" s="109">
        <f t="shared" ca="1" si="130"/>
        <v>0.10313583433753581</v>
      </c>
    </row>
    <row r="7810" spans="2:7" x14ac:dyDescent="0.25">
      <c r="B7810" s="98"/>
      <c r="F7810">
        <v>7806</v>
      </c>
      <c r="G7810" s="109">
        <f t="shared" ca="1" si="130"/>
        <v>9.7349537078859946E-2</v>
      </c>
    </row>
    <row r="7811" spans="2:7" x14ac:dyDescent="0.25">
      <c r="B7811" s="98"/>
      <c r="F7811">
        <v>7807</v>
      </c>
      <c r="G7811" s="109">
        <f t="shared" ca="1" si="130"/>
        <v>-7.217178733339373E-3</v>
      </c>
    </row>
    <row r="7812" spans="2:7" x14ac:dyDescent="0.25">
      <c r="B7812" s="98"/>
      <c r="F7812">
        <v>7808</v>
      </c>
      <c r="G7812" s="109">
        <f t="shared" ca="1" si="130"/>
        <v>0.22496148794773735</v>
      </c>
    </row>
    <row r="7813" spans="2:7" x14ac:dyDescent="0.25">
      <c r="B7813" s="98"/>
      <c r="F7813">
        <v>7809</v>
      </c>
      <c r="G7813" s="109">
        <f t="shared" ca="1" si="130"/>
        <v>-4.5628616575232761E-2</v>
      </c>
    </row>
    <row r="7814" spans="2:7" x14ac:dyDescent="0.25">
      <c r="B7814" s="98"/>
      <c r="F7814">
        <v>7810</v>
      </c>
      <c r="G7814" s="109">
        <f t="shared" ref="G7814:G7877" ca="1" si="131">_xlfn.NORM.INV(RAND(),$M$5,$M$6)</f>
        <v>-0.15879995844975608</v>
      </c>
    </row>
    <row r="7815" spans="2:7" x14ac:dyDescent="0.25">
      <c r="B7815" s="98"/>
      <c r="F7815">
        <v>7811</v>
      </c>
      <c r="G7815" s="109">
        <f t="shared" ca="1" si="131"/>
        <v>-7.8998155993500671E-3</v>
      </c>
    </row>
    <row r="7816" spans="2:7" x14ac:dyDescent="0.25">
      <c r="B7816" s="98"/>
      <c r="F7816">
        <v>7812</v>
      </c>
      <c r="G7816" s="109">
        <f t="shared" ca="1" si="131"/>
        <v>0.14240326103152384</v>
      </c>
    </row>
    <row r="7817" spans="2:7" x14ac:dyDescent="0.25">
      <c r="B7817" s="98"/>
      <c r="F7817">
        <v>7813</v>
      </c>
      <c r="G7817" s="109">
        <f t="shared" ca="1" si="131"/>
        <v>0.24752528744512997</v>
      </c>
    </row>
    <row r="7818" spans="2:7" x14ac:dyDescent="0.25">
      <c r="B7818" s="98"/>
      <c r="F7818">
        <v>7814</v>
      </c>
      <c r="G7818" s="109">
        <f t="shared" ca="1" si="131"/>
        <v>-9.4757158192230601E-3</v>
      </c>
    </row>
    <row r="7819" spans="2:7" x14ac:dyDescent="0.25">
      <c r="B7819" s="98"/>
      <c r="F7819">
        <v>7815</v>
      </c>
      <c r="G7819" s="109">
        <f t="shared" ca="1" si="131"/>
        <v>4.8804987338930753E-2</v>
      </c>
    </row>
    <row r="7820" spans="2:7" x14ac:dyDescent="0.25">
      <c r="B7820" s="98"/>
      <c r="F7820">
        <v>7816</v>
      </c>
      <c r="G7820" s="109">
        <f t="shared" ca="1" si="131"/>
        <v>0.23001033079234845</v>
      </c>
    </row>
    <row r="7821" spans="2:7" x14ac:dyDescent="0.25">
      <c r="B7821" s="98"/>
      <c r="F7821">
        <v>7817</v>
      </c>
      <c r="G7821" s="109">
        <f t="shared" ca="1" si="131"/>
        <v>1.2586124407321569E-2</v>
      </c>
    </row>
    <row r="7822" spans="2:7" x14ac:dyDescent="0.25">
      <c r="B7822" s="98"/>
      <c r="F7822">
        <v>7818</v>
      </c>
      <c r="G7822" s="109">
        <f t="shared" ca="1" si="131"/>
        <v>0.26605715108993028</v>
      </c>
    </row>
    <row r="7823" spans="2:7" x14ac:dyDescent="0.25">
      <c r="B7823" s="98"/>
      <c r="F7823">
        <v>7819</v>
      </c>
      <c r="G7823" s="109">
        <f t="shared" ca="1" si="131"/>
        <v>0.1916880384220539</v>
      </c>
    </row>
    <row r="7824" spans="2:7" x14ac:dyDescent="0.25">
      <c r="B7824" s="98"/>
      <c r="F7824">
        <v>7820</v>
      </c>
      <c r="G7824" s="109">
        <f t="shared" ca="1" si="131"/>
        <v>0.16184136282948808</v>
      </c>
    </row>
    <row r="7825" spans="2:7" x14ac:dyDescent="0.25">
      <c r="B7825" s="98"/>
      <c r="F7825">
        <v>7821</v>
      </c>
      <c r="G7825" s="109">
        <f t="shared" ca="1" si="131"/>
        <v>3.5814043263939097E-2</v>
      </c>
    </row>
    <row r="7826" spans="2:7" x14ac:dyDescent="0.25">
      <c r="B7826" s="98"/>
      <c r="F7826">
        <v>7822</v>
      </c>
      <c r="G7826" s="109">
        <f t="shared" ca="1" si="131"/>
        <v>0.32986004823937337</v>
      </c>
    </row>
    <row r="7827" spans="2:7" x14ac:dyDescent="0.25">
      <c r="B7827" s="98"/>
      <c r="F7827">
        <v>7823</v>
      </c>
      <c r="G7827" s="109">
        <f t="shared" ca="1" si="131"/>
        <v>0.17887678417886888</v>
      </c>
    </row>
    <row r="7828" spans="2:7" x14ac:dyDescent="0.25">
      <c r="B7828" s="98"/>
      <c r="F7828">
        <v>7824</v>
      </c>
      <c r="G7828" s="109">
        <f t="shared" ca="1" si="131"/>
        <v>-2.1985202761547182E-2</v>
      </c>
    </row>
    <row r="7829" spans="2:7" x14ac:dyDescent="0.25">
      <c r="B7829" s="98"/>
      <c r="F7829">
        <v>7825</v>
      </c>
      <c r="G7829" s="109">
        <f t="shared" ca="1" si="131"/>
        <v>-6.0954926465748349E-2</v>
      </c>
    </row>
    <row r="7830" spans="2:7" x14ac:dyDescent="0.25">
      <c r="B7830" s="98"/>
      <c r="F7830">
        <v>7826</v>
      </c>
      <c r="G7830" s="109">
        <f t="shared" ca="1" si="131"/>
        <v>8.9037059855907666E-2</v>
      </c>
    </row>
    <row r="7831" spans="2:7" x14ac:dyDescent="0.25">
      <c r="B7831" s="98"/>
      <c r="F7831">
        <v>7827</v>
      </c>
      <c r="G7831" s="109">
        <f t="shared" ca="1" si="131"/>
        <v>-4.077788859663635E-2</v>
      </c>
    </row>
    <row r="7832" spans="2:7" x14ac:dyDescent="0.25">
      <c r="B7832" s="98"/>
      <c r="F7832">
        <v>7828</v>
      </c>
      <c r="G7832" s="109">
        <f t="shared" ca="1" si="131"/>
        <v>0.18740143511868962</v>
      </c>
    </row>
    <row r="7833" spans="2:7" x14ac:dyDescent="0.25">
      <c r="B7833" s="98"/>
      <c r="F7833">
        <v>7829</v>
      </c>
      <c r="G7833" s="109">
        <f t="shared" ca="1" si="131"/>
        <v>5.3615235638944381E-4</v>
      </c>
    </row>
    <row r="7834" spans="2:7" x14ac:dyDescent="0.25">
      <c r="B7834" s="98"/>
      <c r="F7834">
        <v>7830</v>
      </c>
      <c r="G7834" s="109">
        <f t="shared" ca="1" si="131"/>
        <v>3.8628035896010902E-2</v>
      </c>
    </row>
    <row r="7835" spans="2:7" x14ac:dyDescent="0.25">
      <c r="B7835" s="98"/>
      <c r="F7835">
        <v>7831</v>
      </c>
      <c r="G7835" s="109">
        <f t="shared" ca="1" si="131"/>
        <v>-1.5684910208968644E-2</v>
      </c>
    </row>
    <row r="7836" spans="2:7" x14ac:dyDescent="0.25">
      <c r="B7836" s="98"/>
      <c r="F7836">
        <v>7832</v>
      </c>
      <c r="G7836" s="109">
        <f t="shared" ca="1" si="131"/>
        <v>0.21579269824840963</v>
      </c>
    </row>
    <row r="7837" spans="2:7" x14ac:dyDescent="0.25">
      <c r="B7837" s="98"/>
      <c r="F7837">
        <v>7833</v>
      </c>
      <c r="G7837" s="109">
        <f t="shared" ca="1" si="131"/>
        <v>0.13670211399638865</v>
      </c>
    </row>
    <row r="7838" spans="2:7" x14ac:dyDescent="0.25">
      <c r="B7838" s="98"/>
      <c r="F7838">
        <v>7834</v>
      </c>
      <c r="G7838" s="109">
        <f t="shared" ca="1" si="131"/>
        <v>0.14110624057147012</v>
      </c>
    </row>
    <row r="7839" spans="2:7" x14ac:dyDescent="0.25">
      <c r="B7839" s="98"/>
      <c r="F7839">
        <v>7835</v>
      </c>
      <c r="G7839" s="109">
        <f t="shared" ca="1" si="131"/>
        <v>9.6257274745847304E-2</v>
      </c>
    </row>
    <row r="7840" spans="2:7" x14ac:dyDescent="0.25">
      <c r="B7840" s="98"/>
      <c r="F7840">
        <v>7836</v>
      </c>
      <c r="G7840" s="109">
        <f t="shared" ca="1" si="131"/>
        <v>-3.5167737732544224E-2</v>
      </c>
    </row>
    <row r="7841" spans="2:7" x14ac:dyDescent="0.25">
      <c r="B7841" s="98"/>
      <c r="F7841">
        <v>7837</v>
      </c>
      <c r="G7841" s="109">
        <f t="shared" ca="1" si="131"/>
        <v>0.22340843560071022</v>
      </c>
    </row>
    <row r="7842" spans="2:7" x14ac:dyDescent="0.25">
      <c r="B7842" s="98"/>
      <c r="F7842">
        <v>7838</v>
      </c>
      <c r="G7842" s="109">
        <f t="shared" ca="1" si="131"/>
        <v>2.5338068060857453E-2</v>
      </c>
    </row>
    <row r="7843" spans="2:7" x14ac:dyDescent="0.25">
      <c r="B7843" s="98"/>
      <c r="F7843">
        <v>7839</v>
      </c>
      <c r="G7843" s="109">
        <f t="shared" ca="1" si="131"/>
        <v>2.7268047737985343E-2</v>
      </c>
    </row>
    <row r="7844" spans="2:7" x14ac:dyDescent="0.25">
      <c r="B7844" s="98"/>
      <c r="F7844">
        <v>7840</v>
      </c>
      <c r="G7844" s="109">
        <f t="shared" ca="1" si="131"/>
        <v>4.2505532697423097E-2</v>
      </c>
    </row>
    <row r="7845" spans="2:7" x14ac:dyDescent="0.25">
      <c r="B7845" s="98"/>
      <c r="F7845">
        <v>7841</v>
      </c>
      <c r="G7845" s="109">
        <f t="shared" ca="1" si="131"/>
        <v>7.2132242487600709E-2</v>
      </c>
    </row>
    <row r="7846" spans="2:7" x14ac:dyDescent="0.25">
      <c r="B7846" s="98"/>
      <c r="F7846">
        <v>7842</v>
      </c>
      <c r="G7846" s="109">
        <f t="shared" ca="1" si="131"/>
        <v>-0.2483762552110651</v>
      </c>
    </row>
    <row r="7847" spans="2:7" x14ac:dyDescent="0.25">
      <c r="B7847" s="98"/>
      <c r="F7847">
        <v>7843</v>
      </c>
      <c r="G7847" s="109">
        <f t="shared" ca="1" si="131"/>
        <v>0.21187009098815957</v>
      </c>
    </row>
    <row r="7848" spans="2:7" x14ac:dyDescent="0.25">
      <c r="B7848" s="98"/>
      <c r="F7848">
        <v>7844</v>
      </c>
      <c r="G7848" s="109">
        <f t="shared" ca="1" si="131"/>
        <v>5.6474140931362979E-2</v>
      </c>
    </row>
    <row r="7849" spans="2:7" x14ac:dyDescent="0.25">
      <c r="B7849" s="98"/>
      <c r="F7849">
        <v>7845</v>
      </c>
      <c r="G7849" s="109">
        <f t="shared" ca="1" si="131"/>
        <v>0.12241855132452512</v>
      </c>
    </row>
    <row r="7850" spans="2:7" x14ac:dyDescent="0.25">
      <c r="B7850" s="98"/>
      <c r="F7850">
        <v>7846</v>
      </c>
      <c r="G7850" s="109">
        <f t="shared" ca="1" si="131"/>
        <v>9.2083838850856997E-2</v>
      </c>
    </row>
    <row r="7851" spans="2:7" x14ac:dyDescent="0.25">
      <c r="B7851" s="98"/>
      <c r="F7851">
        <v>7847</v>
      </c>
      <c r="G7851" s="109">
        <f t="shared" ca="1" si="131"/>
        <v>0.14067224206093165</v>
      </c>
    </row>
    <row r="7852" spans="2:7" x14ac:dyDescent="0.25">
      <c r="B7852" s="98"/>
      <c r="F7852">
        <v>7848</v>
      </c>
      <c r="G7852" s="109">
        <f t="shared" ca="1" si="131"/>
        <v>9.9701596097913153E-2</v>
      </c>
    </row>
    <row r="7853" spans="2:7" x14ac:dyDescent="0.25">
      <c r="B7853" s="98"/>
      <c r="F7853">
        <v>7849</v>
      </c>
      <c r="G7853" s="109">
        <f t="shared" ca="1" si="131"/>
        <v>0.15062125337146942</v>
      </c>
    </row>
    <row r="7854" spans="2:7" x14ac:dyDescent="0.25">
      <c r="B7854" s="98"/>
      <c r="F7854">
        <v>7850</v>
      </c>
      <c r="G7854" s="109">
        <f t="shared" ca="1" si="131"/>
        <v>0.12263468106168281</v>
      </c>
    </row>
    <row r="7855" spans="2:7" x14ac:dyDescent="0.25">
      <c r="B7855" s="98"/>
      <c r="F7855">
        <v>7851</v>
      </c>
      <c r="G7855" s="109">
        <f t="shared" ca="1" si="131"/>
        <v>5.9731213421705356E-2</v>
      </c>
    </row>
    <row r="7856" spans="2:7" x14ac:dyDescent="0.25">
      <c r="B7856" s="98"/>
      <c r="F7856">
        <v>7852</v>
      </c>
      <c r="G7856" s="109">
        <f t="shared" ca="1" si="131"/>
        <v>6.2049793816271182E-7</v>
      </c>
    </row>
    <row r="7857" spans="2:7" x14ac:dyDescent="0.25">
      <c r="B7857" s="98"/>
      <c r="F7857">
        <v>7853</v>
      </c>
      <c r="G7857" s="109">
        <f t="shared" ca="1" si="131"/>
        <v>7.6029835239043858E-2</v>
      </c>
    </row>
    <row r="7858" spans="2:7" x14ac:dyDescent="0.25">
      <c r="B7858" s="98"/>
      <c r="F7858">
        <v>7854</v>
      </c>
      <c r="G7858" s="109">
        <f t="shared" ca="1" si="131"/>
        <v>0.16461180415738541</v>
      </c>
    </row>
    <row r="7859" spans="2:7" x14ac:dyDescent="0.25">
      <c r="B7859" s="98"/>
      <c r="F7859">
        <v>7855</v>
      </c>
      <c r="G7859" s="109">
        <f t="shared" ca="1" si="131"/>
        <v>0.19305093175907601</v>
      </c>
    </row>
    <row r="7860" spans="2:7" x14ac:dyDescent="0.25">
      <c r="B7860" s="98"/>
      <c r="F7860">
        <v>7856</v>
      </c>
      <c r="G7860" s="109">
        <f t="shared" ca="1" si="131"/>
        <v>0.18074287144321544</v>
      </c>
    </row>
    <row r="7861" spans="2:7" x14ac:dyDescent="0.25">
      <c r="B7861" s="98"/>
      <c r="F7861">
        <v>7857</v>
      </c>
      <c r="G7861" s="109">
        <f t="shared" ca="1" si="131"/>
        <v>0.17482835332537305</v>
      </c>
    </row>
    <row r="7862" spans="2:7" x14ac:dyDescent="0.25">
      <c r="B7862" s="98"/>
      <c r="F7862">
        <v>7858</v>
      </c>
      <c r="G7862" s="109">
        <f t="shared" ca="1" si="131"/>
        <v>1.1954999198947394E-2</v>
      </c>
    </row>
    <row r="7863" spans="2:7" x14ac:dyDescent="0.25">
      <c r="B7863" s="98"/>
      <c r="F7863">
        <v>7859</v>
      </c>
      <c r="G7863" s="109">
        <f t="shared" ca="1" si="131"/>
        <v>-0.12936049540896311</v>
      </c>
    </row>
    <row r="7864" spans="2:7" x14ac:dyDescent="0.25">
      <c r="B7864" s="98"/>
      <c r="F7864">
        <v>7860</v>
      </c>
      <c r="G7864" s="109">
        <f t="shared" ca="1" si="131"/>
        <v>1.5863683188018386E-2</v>
      </c>
    </row>
    <row r="7865" spans="2:7" x14ac:dyDescent="0.25">
      <c r="B7865" s="98"/>
      <c r="F7865">
        <v>7861</v>
      </c>
      <c r="G7865" s="109">
        <f t="shared" ca="1" si="131"/>
        <v>7.1855935975835991E-2</v>
      </c>
    </row>
    <row r="7866" spans="2:7" x14ac:dyDescent="0.25">
      <c r="B7866" s="98"/>
      <c r="F7866">
        <v>7862</v>
      </c>
      <c r="G7866" s="109">
        <f t="shared" ca="1" si="131"/>
        <v>0.15366798796375136</v>
      </c>
    </row>
    <row r="7867" spans="2:7" x14ac:dyDescent="0.25">
      <c r="B7867" s="98"/>
      <c r="F7867">
        <v>7863</v>
      </c>
      <c r="G7867" s="109">
        <f t="shared" ca="1" si="131"/>
        <v>3.037561300755881E-2</v>
      </c>
    </row>
    <row r="7868" spans="2:7" x14ac:dyDescent="0.25">
      <c r="B7868" s="98"/>
      <c r="F7868">
        <v>7864</v>
      </c>
      <c r="G7868" s="109">
        <f t="shared" ca="1" si="131"/>
        <v>2.3932248246967509E-2</v>
      </c>
    </row>
    <row r="7869" spans="2:7" x14ac:dyDescent="0.25">
      <c r="B7869" s="98"/>
      <c r="F7869">
        <v>7865</v>
      </c>
      <c r="G7869" s="109">
        <f t="shared" ca="1" si="131"/>
        <v>-1.3989728479418165E-2</v>
      </c>
    </row>
    <row r="7870" spans="2:7" x14ac:dyDescent="0.25">
      <c r="B7870" s="98"/>
      <c r="F7870">
        <v>7866</v>
      </c>
      <c r="G7870" s="109">
        <f t="shared" ca="1" si="131"/>
        <v>0.19702425024961723</v>
      </c>
    </row>
    <row r="7871" spans="2:7" x14ac:dyDescent="0.25">
      <c r="B7871" s="98"/>
      <c r="F7871">
        <v>7867</v>
      </c>
      <c r="G7871" s="109">
        <f t="shared" ca="1" si="131"/>
        <v>2.9372346225480583E-2</v>
      </c>
    </row>
    <row r="7872" spans="2:7" x14ac:dyDescent="0.25">
      <c r="B7872" s="98"/>
      <c r="F7872">
        <v>7868</v>
      </c>
      <c r="G7872" s="109">
        <f t="shared" ca="1" si="131"/>
        <v>0.29832196875249678</v>
      </c>
    </row>
    <row r="7873" spans="2:7" x14ac:dyDescent="0.25">
      <c r="B7873" s="98"/>
      <c r="F7873">
        <v>7869</v>
      </c>
      <c r="G7873" s="109">
        <f t="shared" ca="1" si="131"/>
        <v>0.25257331838694502</v>
      </c>
    </row>
    <row r="7874" spans="2:7" x14ac:dyDescent="0.25">
      <c r="B7874" s="98"/>
      <c r="F7874">
        <v>7870</v>
      </c>
      <c r="G7874" s="109">
        <f t="shared" ca="1" si="131"/>
        <v>0.11309905734329728</v>
      </c>
    </row>
    <row r="7875" spans="2:7" x14ac:dyDescent="0.25">
      <c r="B7875" s="98"/>
      <c r="F7875">
        <v>7871</v>
      </c>
      <c r="G7875" s="109">
        <f t="shared" ca="1" si="131"/>
        <v>0.21269107715293994</v>
      </c>
    </row>
    <row r="7876" spans="2:7" x14ac:dyDescent="0.25">
      <c r="B7876" s="98"/>
      <c r="F7876">
        <v>7872</v>
      </c>
      <c r="G7876" s="109">
        <f t="shared" ca="1" si="131"/>
        <v>9.1619186479578826E-2</v>
      </c>
    </row>
    <row r="7877" spans="2:7" x14ac:dyDescent="0.25">
      <c r="B7877" s="98"/>
      <c r="F7877">
        <v>7873</v>
      </c>
      <c r="G7877" s="109">
        <f t="shared" ca="1" si="131"/>
        <v>0.12221634802991091</v>
      </c>
    </row>
    <row r="7878" spans="2:7" x14ac:dyDescent="0.25">
      <c r="B7878" s="98"/>
      <c r="F7878">
        <v>7874</v>
      </c>
      <c r="G7878" s="109">
        <f t="shared" ref="G7878:G7941" ca="1" si="132">_xlfn.NORM.INV(RAND(),$M$5,$M$6)</f>
        <v>8.0101679320486174E-2</v>
      </c>
    </row>
    <row r="7879" spans="2:7" x14ac:dyDescent="0.25">
      <c r="B7879" s="98"/>
      <c r="F7879">
        <v>7875</v>
      </c>
      <c r="G7879" s="109">
        <f t="shared" ca="1" si="132"/>
        <v>-6.8775844713890741E-2</v>
      </c>
    </row>
    <row r="7880" spans="2:7" x14ac:dyDescent="0.25">
      <c r="B7880" s="98"/>
      <c r="F7880">
        <v>7876</v>
      </c>
      <c r="G7880" s="109">
        <f t="shared" ca="1" si="132"/>
        <v>1.9063608424250884E-2</v>
      </c>
    </row>
    <row r="7881" spans="2:7" x14ac:dyDescent="0.25">
      <c r="B7881" s="98"/>
      <c r="F7881">
        <v>7877</v>
      </c>
      <c r="G7881" s="109">
        <f t="shared" ca="1" si="132"/>
        <v>0.15838952473053669</v>
      </c>
    </row>
    <row r="7882" spans="2:7" x14ac:dyDescent="0.25">
      <c r="B7882" s="98"/>
      <c r="F7882">
        <v>7878</v>
      </c>
      <c r="G7882" s="109">
        <f t="shared" ca="1" si="132"/>
        <v>-1.7052667638403185E-2</v>
      </c>
    </row>
    <row r="7883" spans="2:7" x14ac:dyDescent="0.25">
      <c r="B7883" s="98"/>
      <c r="F7883">
        <v>7879</v>
      </c>
      <c r="G7883" s="109">
        <f t="shared" ca="1" si="132"/>
        <v>3.8712021272837176E-2</v>
      </c>
    </row>
    <row r="7884" spans="2:7" x14ac:dyDescent="0.25">
      <c r="B7884" s="98"/>
      <c r="F7884">
        <v>7880</v>
      </c>
      <c r="G7884" s="109">
        <f t="shared" ca="1" si="132"/>
        <v>0.13513983923677875</v>
      </c>
    </row>
    <row r="7885" spans="2:7" x14ac:dyDescent="0.25">
      <c r="B7885" s="98"/>
      <c r="F7885">
        <v>7881</v>
      </c>
      <c r="G7885" s="109">
        <f t="shared" ca="1" si="132"/>
        <v>9.9929290287198089E-3</v>
      </c>
    </row>
    <row r="7886" spans="2:7" x14ac:dyDescent="0.25">
      <c r="B7886" s="98"/>
      <c r="F7886">
        <v>7882</v>
      </c>
      <c r="G7886" s="109">
        <f t="shared" ca="1" si="132"/>
        <v>-5.4938263957715824E-2</v>
      </c>
    </row>
    <row r="7887" spans="2:7" x14ac:dyDescent="0.25">
      <c r="B7887" s="98"/>
      <c r="F7887">
        <v>7883</v>
      </c>
      <c r="G7887" s="109">
        <f t="shared" ca="1" si="132"/>
        <v>6.179689845043447E-2</v>
      </c>
    </row>
    <row r="7888" spans="2:7" x14ac:dyDescent="0.25">
      <c r="B7888" s="98"/>
      <c r="F7888">
        <v>7884</v>
      </c>
      <c r="G7888" s="109">
        <f t="shared" ca="1" si="132"/>
        <v>7.2815832000672598E-2</v>
      </c>
    </row>
    <row r="7889" spans="2:7" x14ac:dyDescent="0.25">
      <c r="B7889" s="98"/>
      <c r="F7889">
        <v>7885</v>
      </c>
      <c r="G7889" s="109">
        <f t="shared" ca="1" si="132"/>
        <v>-0.2117041650393785</v>
      </c>
    </row>
    <row r="7890" spans="2:7" x14ac:dyDescent="0.25">
      <c r="B7890" s="98"/>
      <c r="F7890">
        <v>7886</v>
      </c>
      <c r="G7890" s="109">
        <f t="shared" ca="1" si="132"/>
        <v>1.0357323082951252E-2</v>
      </c>
    </row>
    <row r="7891" spans="2:7" x14ac:dyDescent="0.25">
      <c r="B7891" s="98"/>
      <c r="F7891">
        <v>7887</v>
      </c>
      <c r="G7891" s="109">
        <f t="shared" ca="1" si="132"/>
        <v>8.2119613202254721E-2</v>
      </c>
    </row>
    <row r="7892" spans="2:7" x14ac:dyDescent="0.25">
      <c r="B7892" s="98"/>
      <c r="F7892">
        <v>7888</v>
      </c>
      <c r="G7892" s="109">
        <f t="shared" ca="1" si="132"/>
        <v>5.6584911497665986E-2</v>
      </c>
    </row>
    <row r="7893" spans="2:7" x14ac:dyDescent="0.25">
      <c r="B7893" s="98"/>
      <c r="F7893">
        <v>7889</v>
      </c>
      <c r="G7893" s="109">
        <f t="shared" ca="1" si="132"/>
        <v>0.11524896725838038</v>
      </c>
    </row>
    <row r="7894" spans="2:7" x14ac:dyDescent="0.25">
      <c r="B7894" s="98"/>
      <c r="F7894">
        <v>7890</v>
      </c>
      <c r="G7894" s="109">
        <f t="shared" ca="1" si="132"/>
        <v>0.25474341448128618</v>
      </c>
    </row>
    <row r="7895" spans="2:7" x14ac:dyDescent="0.25">
      <c r="B7895" s="98"/>
      <c r="F7895">
        <v>7891</v>
      </c>
      <c r="G7895" s="109">
        <f t="shared" ca="1" si="132"/>
        <v>-7.4065021893008301E-2</v>
      </c>
    </row>
    <row r="7896" spans="2:7" x14ac:dyDescent="0.25">
      <c r="B7896" s="98"/>
      <c r="F7896">
        <v>7892</v>
      </c>
      <c r="G7896" s="109">
        <f t="shared" ca="1" si="132"/>
        <v>0.17156572234474965</v>
      </c>
    </row>
    <row r="7897" spans="2:7" x14ac:dyDescent="0.25">
      <c r="B7897" s="98"/>
      <c r="F7897">
        <v>7893</v>
      </c>
      <c r="G7897" s="109">
        <f t="shared" ca="1" si="132"/>
        <v>9.7572194998380712E-2</v>
      </c>
    </row>
    <row r="7898" spans="2:7" x14ac:dyDescent="0.25">
      <c r="B7898" s="98"/>
      <c r="F7898">
        <v>7894</v>
      </c>
      <c r="G7898" s="109">
        <f t="shared" ca="1" si="132"/>
        <v>5.8751850515486717E-2</v>
      </c>
    </row>
    <row r="7899" spans="2:7" x14ac:dyDescent="0.25">
      <c r="B7899" s="98"/>
      <c r="F7899">
        <v>7895</v>
      </c>
      <c r="G7899" s="109">
        <f t="shared" ca="1" si="132"/>
        <v>1.4394998249270579E-2</v>
      </c>
    </row>
    <row r="7900" spans="2:7" x14ac:dyDescent="0.25">
      <c r="B7900" s="98"/>
      <c r="F7900">
        <v>7896</v>
      </c>
      <c r="G7900" s="109">
        <f t="shared" ca="1" si="132"/>
        <v>-4.5382517894439894E-3</v>
      </c>
    </row>
    <row r="7901" spans="2:7" x14ac:dyDescent="0.25">
      <c r="B7901" s="98"/>
      <c r="F7901">
        <v>7897</v>
      </c>
      <c r="G7901" s="109">
        <f t="shared" ca="1" si="132"/>
        <v>-3.7527486780248948E-2</v>
      </c>
    </row>
    <row r="7902" spans="2:7" x14ac:dyDescent="0.25">
      <c r="B7902" s="98"/>
      <c r="F7902">
        <v>7898</v>
      </c>
      <c r="G7902" s="109">
        <f t="shared" ca="1" si="132"/>
        <v>-9.8826393375282831E-2</v>
      </c>
    </row>
    <row r="7903" spans="2:7" x14ac:dyDescent="0.25">
      <c r="B7903" s="98"/>
      <c r="F7903">
        <v>7899</v>
      </c>
      <c r="G7903" s="109">
        <f t="shared" ca="1" si="132"/>
        <v>2.0461609216437072E-2</v>
      </c>
    </row>
    <row r="7904" spans="2:7" x14ac:dyDescent="0.25">
      <c r="B7904" s="98"/>
      <c r="F7904">
        <v>7900</v>
      </c>
      <c r="G7904" s="109">
        <f t="shared" ca="1" si="132"/>
        <v>4.7138517852018363E-2</v>
      </c>
    </row>
    <row r="7905" spans="2:7" x14ac:dyDescent="0.25">
      <c r="B7905" s="98"/>
      <c r="F7905">
        <v>7901</v>
      </c>
      <c r="G7905" s="109">
        <f t="shared" ca="1" si="132"/>
        <v>7.508592733261904E-2</v>
      </c>
    </row>
    <row r="7906" spans="2:7" x14ac:dyDescent="0.25">
      <c r="B7906" s="98"/>
      <c r="F7906">
        <v>7902</v>
      </c>
      <c r="G7906" s="109">
        <f t="shared" ca="1" si="132"/>
        <v>-2.6477485532065664E-2</v>
      </c>
    </row>
    <row r="7907" spans="2:7" x14ac:dyDescent="0.25">
      <c r="B7907" s="98"/>
      <c r="F7907">
        <v>7903</v>
      </c>
      <c r="G7907" s="109">
        <f t="shared" ca="1" si="132"/>
        <v>6.5883398887860087E-3</v>
      </c>
    </row>
    <row r="7908" spans="2:7" x14ac:dyDescent="0.25">
      <c r="B7908" s="98"/>
      <c r="F7908">
        <v>7904</v>
      </c>
      <c r="G7908" s="109">
        <f t="shared" ca="1" si="132"/>
        <v>1.1352800667171273E-3</v>
      </c>
    </row>
    <row r="7909" spans="2:7" x14ac:dyDescent="0.25">
      <c r="B7909" s="98"/>
      <c r="F7909">
        <v>7905</v>
      </c>
      <c r="G7909" s="109">
        <f t="shared" ca="1" si="132"/>
        <v>9.0749697338134427E-2</v>
      </c>
    </row>
    <row r="7910" spans="2:7" x14ac:dyDescent="0.25">
      <c r="B7910" s="98"/>
      <c r="F7910">
        <v>7906</v>
      </c>
      <c r="G7910" s="109">
        <f t="shared" ca="1" si="132"/>
        <v>0.1612192282677011</v>
      </c>
    </row>
    <row r="7911" spans="2:7" x14ac:dyDescent="0.25">
      <c r="B7911" s="98"/>
      <c r="F7911">
        <v>7907</v>
      </c>
      <c r="G7911" s="109">
        <f t="shared" ca="1" si="132"/>
        <v>-7.6290502117318956E-2</v>
      </c>
    </row>
    <row r="7912" spans="2:7" x14ac:dyDescent="0.25">
      <c r="B7912" s="98"/>
      <c r="F7912">
        <v>7908</v>
      </c>
      <c r="G7912" s="109">
        <f t="shared" ca="1" si="132"/>
        <v>-4.7556069973585205E-2</v>
      </c>
    </row>
    <row r="7913" spans="2:7" x14ac:dyDescent="0.25">
      <c r="B7913" s="98"/>
      <c r="F7913">
        <v>7909</v>
      </c>
      <c r="G7913" s="109">
        <f t="shared" ca="1" si="132"/>
        <v>-1.8253599520420202E-2</v>
      </c>
    </row>
    <row r="7914" spans="2:7" x14ac:dyDescent="0.25">
      <c r="B7914" s="98"/>
      <c r="F7914">
        <v>7910</v>
      </c>
      <c r="G7914" s="109">
        <f t="shared" ca="1" si="132"/>
        <v>-5.8739291668522681E-3</v>
      </c>
    </row>
    <row r="7915" spans="2:7" x14ac:dyDescent="0.25">
      <c r="B7915" s="98"/>
      <c r="F7915">
        <v>7911</v>
      </c>
      <c r="G7915" s="109">
        <f t="shared" ca="1" si="132"/>
        <v>-6.7508030891182957E-2</v>
      </c>
    </row>
    <row r="7916" spans="2:7" x14ac:dyDescent="0.25">
      <c r="B7916" s="98"/>
      <c r="F7916">
        <v>7912</v>
      </c>
      <c r="G7916" s="109">
        <f t="shared" ca="1" si="132"/>
        <v>9.6173796875971135E-2</v>
      </c>
    </row>
    <row r="7917" spans="2:7" x14ac:dyDescent="0.25">
      <c r="B7917" s="98"/>
      <c r="F7917">
        <v>7913</v>
      </c>
      <c r="G7917" s="109">
        <f t="shared" ca="1" si="132"/>
        <v>-0.15228513076193972</v>
      </c>
    </row>
    <row r="7918" spans="2:7" x14ac:dyDescent="0.25">
      <c r="B7918" s="98"/>
      <c r="F7918">
        <v>7914</v>
      </c>
      <c r="G7918" s="109">
        <f t="shared" ca="1" si="132"/>
        <v>-9.4793149622405135E-2</v>
      </c>
    </row>
    <row r="7919" spans="2:7" x14ac:dyDescent="0.25">
      <c r="B7919" s="98"/>
      <c r="F7919">
        <v>7915</v>
      </c>
      <c r="G7919" s="109">
        <f t="shared" ca="1" si="132"/>
        <v>0.16515574861942967</v>
      </c>
    </row>
    <row r="7920" spans="2:7" x14ac:dyDescent="0.25">
      <c r="B7920" s="98"/>
      <c r="F7920">
        <v>7916</v>
      </c>
      <c r="G7920" s="109">
        <f t="shared" ca="1" si="132"/>
        <v>-0.11527912518615781</v>
      </c>
    </row>
    <row r="7921" spans="2:7" x14ac:dyDescent="0.25">
      <c r="B7921" s="98"/>
      <c r="F7921">
        <v>7917</v>
      </c>
      <c r="G7921" s="109">
        <f t="shared" ca="1" si="132"/>
        <v>-4.4783803532128005E-2</v>
      </c>
    </row>
    <row r="7922" spans="2:7" x14ac:dyDescent="0.25">
      <c r="B7922" s="98"/>
      <c r="F7922">
        <v>7918</v>
      </c>
      <c r="G7922" s="109">
        <f t="shared" ca="1" si="132"/>
        <v>9.3974266846074656E-2</v>
      </c>
    </row>
    <row r="7923" spans="2:7" x14ac:dyDescent="0.25">
      <c r="B7923" s="98"/>
      <c r="F7923">
        <v>7919</v>
      </c>
      <c r="G7923" s="109">
        <f t="shared" ca="1" si="132"/>
        <v>-2.6053306583944863E-2</v>
      </c>
    </row>
    <row r="7924" spans="2:7" x14ac:dyDescent="0.25">
      <c r="B7924" s="98"/>
      <c r="F7924">
        <v>7920</v>
      </c>
      <c r="G7924" s="109">
        <f t="shared" ca="1" si="132"/>
        <v>9.5517448747385519E-2</v>
      </c>
    </row>
    <row r="7925" spans="2:7" x14ac:dyDescent="0.25">
      <c r="B7925" s="98"/>
      <c r="F7925">
        <v>7921</v>
      </c>
      <c r="G7925" s="109">
        <f t="shared" ca="1" si="132"/>
        <v>0.12104462539316631</v>
      </c>
    </row>
    <row r="7926" spans="2:7" x14ac:dyDescent="0.25">
      <c r="B7926" s="98"/>
      <c r="F7926">
        <v>7922</v>
      </c>
      <c r="G7926" s="109">
        <f t="shared" ca="1" si="132"/>
        <v>-7.8502108907884685E-2</v>
      </c>
    </row>
    <row r="7927" spans="2:7" x14ac:dyDescent="0.25">
      <c r="B7927" s="98"/>
      <c r="F7927">
        <v>7923</v>
      </c>
      <c r="G7927" s="109">
        <f t="shared" ca="1" si="132"/>
        <v>0.12364042656918824</v>
      </c>
    </row>
    <row r="7928" spans="2:7" x14ac:dyDescent="0.25">
      <c r="B7928" s="98"/>
      <c r="F7928">
        <v>7924</v>
      </c>
      <c r="G7928" s="109">
        <f t="shared" ca="1" si="132"/>
        <v>5.7074905364781589E-2</v>
      </c>
    </row>
    <row r="7929" spans="2:7" x14ac:dyDescent="0.25">
      <c r="B7929" s="98"/>
      <c r="F7929">
        <v>7925</v>
      </c>
      <c r="G7929" s="109">
        <f t="shared" ca="1" si="132"/>
        <v>0.18428593181522007</v>
      </c>
    </row>
    <row r="7930" spans="2:7" x14ac:dyDescent="0.25">
      <c r="B7930" s="98"/>
      <c r="F7930">
        <v>7926</v>
      </c>
      <c r="G7930" s="109">
        <f t="shared" ca="1" si="132"/>
        <v>0.14175491885944608</v>
      </c>
    </row>
    <row r="7931" spans="2:7" x14ac:dyDescent="0.25">
      <c r="B7931" s="98"/>
      <c r="F7931">
        <v>7927</v>
      </c>
      <c r="G7931" s="109">
        <f t="shared" ca="1" si="132"/>
        <v>0.10610263384478819</v>
      </c>
    </row>
    <row r="7932" spans="2:7" x14ac:dyDescent="0.25">
      <c r="B7932" s="98"/>
      <c r="F7932">
        <v>7928</v>
      </c>
      <c r="G7932" s="109">
        <f t="shared" ca="1" si="132"/>
        <v>5.5662419283320747E-2</v>
      </c>
    </row>
    <row r="7933" spans="2:7" x14ac:dyDescent="0.25">
      <c r="B7933" s="98"/>
      <c r="F7933">
        <v>7929</v>
      </c>
      <c r="G7933" s="109">
        <f t="shared" ca="1" si="132"/>
        <v>0.15991756893543374</v>
      </c>
    </row>
    <row r="7934" spans="2:7" x14ac:dyDescent="0.25">
      <c r="B7934" s="98"/>
      <c r="F7934">
        <v>7930</v>
      </c>
      <c r="G7934" s="109">
        <f t="shared" ca="1" si="132"/>
        <v>-5.1633772216273716E-2</v>
      </c>
    </row>
    <row r="7935" spans="2:7" x14ac:dyDescent="0.25">
      <c r="B7935" s="98"/>
      <c r="F7935">
        <v>7931</v>
      </c>
      <c r="G7935" s="109">
        <f t="shared" ca="1" si="132"/>
        <v>-0.10848142183762229</v>
      </c>
    </row>
    <row r="7936" spans="2:7" x14ac:dyDescent="0.25">
      <c r="B7936" s="98"/>
      <c r="F7936">
        <v>7932</v>
      </c>
      <c r="G7936" s="109">
        <f t="shared" ca="1" si="132"/>
        <v>0.21523192135621727</v>
      </c>
    </row>
    <row r="7937" spans="2:7" x14ac:dyDescent="0.25">
      <c r="B7937" s="98"/>
      <c r="F7937">
        <v>7933</v>
      </c>
      <c r="G7937" s="109">
        <f t="shared" ca="1" si="132"/>
        <v>-2.2688571106055225E-2</v>
      </c>
    </row>
    <row r="7938" spans="2:7" x14ac:dyDescent="0.25">
      <c r="B7938" s="98"/>
      <c r="F7938">
        <v>7934</v>
      </c>
      <c r="G7938" s="109">
        <f t="shared" ca="1" si="132"/>
        <v>0.10139279392587518</v>
      </c>
    </row>
    <row r="7939" spans="2:7" x14ac:dyDescent="0.25">
      <c r="B7939" s="98"/>
      <c r="F7939">
        <v>7935</v>
      </c>
      <c r="G7939" s="109">
        <f t="shared" ca="1" si="132"/>
        <v>-6.5021464565011483E-2</v>
      </c>
    </row>
    <row r="7940" spans="2:7" x14ac:dyDescent="0.25">
      <c r="B7940" s="98"/>
      <c r="F7940">
        <v>7936</v>
      </c>
      <c r="G7940" s="109">
        <f t="shared" ca="1" si="132"/>
        <v>0.23098041916884116</v>
      </c>
    </row>
    <row r="7941" spans="2:7" x14ac:dyDescent="0.25">
      <c r="B7941" s="98"/>
      <c r="F7941">
        <v>7937</v>
      </c>
      <c r="G7941" s="109">
        <f t="shared" ca="1" si="132"/>
        <v>-0.13054271036173754</v>
      </c>
    </row>
    <row r="7942" spans="2:7" x14ac:dyDescent="0.25">
      <c r="B7942" s="98"/>
      <c r="F7942">
        <v>7938</v>
      </c>
      <c r="G7942" s="109">
        <f t="shared" ref="G7942:G8005" ca="1" si="133">_xlfn.NORM.INV(RAND(),$M$5,$M$6)</f>
        <v>-7.7776061076708786E-2</v>
      </c>
    </row>
    <row r="7943" spans="2:7" x14ac:dyDescent="0.25">
      <c r="B7943" s="98"/>
      <c r="F7943">
        <v>7939</v>
      </c>
      <c r="G7943" s="109">
        <f t="shared" ca="1" si="133"/>
        <v>-0.2201028041756366</v>
      </c>
    </row>
    <row r="7944" spans="2:7" x14ac:dyDescent="0.25">
      <c r="B7944" s="98"/>
      <c r="F7944">
        <v>7940</v>
      </c>
      <c r="G7944" s="109">
        <f t="shared" ca="1" si="133"/>
        <v>-7.0426379891481622E-2</v>
      </c>
    </row>
    <row r="7945" spans="2:7" x14ac:dyDescent="0.25">
      <c r="B7945" s="98"/>
      <c r="F7945">
        <v>7941</v>
      </c>
      <c r="G7945" s="109">
        <f t="shared" ca="1" si="133"/>
        <v>-1.1476430173848876E-2</v>
      </c>
    </row>
    <row r="7946" spans="2:7" x14ac:dyDescent="0.25">
      <c r="B7946" s="98"/>
      <c r="F7946">
        <v>7942</v>
      </c>
      <c r="G7946" s="109">
        <f t="shared" ca="1" si="133"/>
        <v>9.1517809432537484E-2</v>
      </c>
    </row>
    <row r="7947" spans="2:7" x14ac:dyDescent="0.25">
      <c r="B7947" s="98"/>
      <c r="F7947">
        <v>7943</v>
      </c>
      <c r="G7947" s="109">
        <f t="shared" ca="1" si="133"/>
        <v>0.16751485829775026</v>
      </c>
    </row>
    <row r="7948" spans="2:7" x14ac:dyDescent="0.25">
      <c r="B7948" s="98"/>
      <c r="F7948">
        <v>7944</v>
      </c>
      <c r="G7948" s="109">
        <f t="shared" ca="1" si="133"/>
        <v>4.8360977572175293E-2</v>
      </c>
    </row>
    <row r="7949" spans="2:7" x14ac:dyDescent="0.25">
      <c r="B7949" s="98"/>
      <c r="F7949">
        <v>7945</v>
      </c>
      <c r="G7949" s="109">
        <f t="shared" ca="1" si="133"/>
        <v>-3.911617039194458E-2</v>
      </c>
    </row>
    <row r="7950" spans="2:7" x14ac:dyDescent="0.25">
      <c r="B7950" s="98"/>
      <c r="F7950">
        <v>7946</v>
      </c>
      <c r="G7950" s="109">
        <f t="shared" ca="1" si="133"/>
        <v>0.27938417769907953</v>
      </c>
    </row>
    <row r="7951" spans="2:7" x14ac:dyDescent="0.25">
      <c r="B7951" s="98"/>
      <c r="F7951">
        <v>7947</v>
      </c>
      <c r="G7951" s="109">
        <f t="shared" ca="1" si="133"/>
        <v>-0.19774116069795378</v>
      </c>
    </row>
    <row r="7952" spans="2:7" x14ac:dyDescent="0.25">
      <c r="B7952" s="98"/>
      <c r="F7952">
        <v>7948</v>
      </c>
      <c r="G7952" s="109">
        <f t="shared" ca="1" si="133"/>
        <v>-4.6545312508728329E-2</v>
      </c>
    </row>
    <row r="7953" spans="2:7" x14ac:dyDescent="0.25">
      <c r="B7953" s="98"/>
      <c r="F7953">
        <v>7949</v>
      </c>
      <c r="G7953" s="109">
        <f t="shared" ca="1" si="133"/>
        <v>0.2001091464932146</v>
      </c>
    </row>
    <row r="7954" spans="2:7" x14ac:dyDescent="0.25">
      <c r="B7954" s="98"/>
      <c r="F7954">
        <v>7950</v>
      </c>
      <c r="G7954" s="109">
        <f t="shared" ca="1" si="133"/>
        <v>4.5875690252215634E-2</v>
      </c>
    </row>
    <row r="7955" spans="2:7" x14ac:dyDescent="0.25">
      <c r="B7955" s="98"/>
      <c r="F7955">
        <v>7951</v>
      </c>
      <c r="G7955" s="109">
        <f t="shared" ca="1" si="133"/>
        <v>8.751936985894028E-3</v>
      </c>
    </row>
    <row r="7956" spans="2:7" x14ac:dyDescent="0.25">
      <c r="B7956" s="98"/>
      <c r="F7956">
        <v>7952</v>
      </c>
      <c r="G7956" s="109">
        <f t="shared" ca="1" si="133"/>
        <v>-0.12341304830100187</v>
      </c>
    </row>
    <row r="7957" spans="2:7" x14ac:dyDescent="0.25">
      <c r="B7957" s="98"/>
      <c r="F7957">
        <v>7953</v>
      </c>
      <c r="G7957" s="109">
        <f t="shared" ca="1" si="133"/>
        <v>0.18358828215701284</v>
      </c>
    </row>
    <row r="7958" spans="2:7" x14ac:dyDescent="0.25">
      <c r="B7958" s="98"/>
      <c r="F7958">
        <v>7954</v>
      </c>
      <c r="G7958" s="109">
        <f t="shared" ca="1" si="133"/>
        <v>3.9764268545996254E-2</v>
      </c>
    </row>
    <row r="7959" spans="2:7" x14ac:dyDescent="0.25">
      <c r="B7959" s="98"/>
      <c r="F7959">
        <v>7955</v>
      </c>
      <c r="G7959" s="109">
        <f t="shared" ca="1" si="133"/>
        <v>7.3519487947311224E-2</v>
      </c>
    </row>
    <row r="7960" spans="2:7" x14ac:dyDescent="0.25">
      <c r="B7960" s="98"/>
      <c r="F7960">
        <v>7956</v>
      </c>
      <c r="G7960" s="109">
        <f t="shared" ca="1" si="133"/>
        <v>0.11710566571018882</v>
      </c>
    </row>
    <row r="7961" spans="2:7" x14ac:dyDescent="0.25">
      <c r="B7961" s="98"/>
      <c r="F7961">
        <v>7957</v>
      </c>
      <c r="G7961" s="109">
        <f t="shared" ca="1" si="133"/>
        <v>0.11485396114468567</v>
      </c>
    </row>
    <row r="7962" spans="2:7" x14ac:dyDescent="0.25">
      <c r="B7962" s="98"/>
      <c r="F7962">
        <v>7958</v>
      </c>
      <c r="G7962" s="109">
        <f t="shared" ca="1" si="133"/>
        <v>6.4044424253540524E-2</v>
      </c>
    </row>
    <row r="7963" spans="2:7" x14ac:dyDescent="0.25">
      <c r="B7963" s="98"/>
      <c r="F7963">
        <v>7959</v>
      </c>
      <c r="G7963" s="109">
        <f t="shared" ca="1" si="133"/>
        <v>-6.6075811323137432E-2</v>
      </c>
    </row>
    <row r="7964" spans="2:7" x14ac:dyDescent="0.25">
      <c r="B7964" s="98"/>
      <c r="F7964">
        <v>7960</v>
      </c>
      <c r="G7964" s="109">
        <f t="shared" ca="1" si="133"/>
        <v>1.032898055521439E-3</v>
      </c>
    </row>
    <row r="7965" spans="2:7" x14ac:dyDescent="0.25">
      <c r="B7965" s="98"/>
      <c r="F7965">
        <v>7961</v>
      </c>
      <c r="G7965" s="109">
        <f t="shared" ca="1" si="133"/>
        <v>0.13702967905279489</v>
      </c>
    </row>
    <row r="7966" spans="2:7" x14ac:dyDescent="0.25">
      <c r="B7966" s="98"/>
      <c r="F7966">
        <v>7962</v>
      </c>
      <c r="G7966" s="109">
        <f t="shared" ca="1" si="133"/>
        <v>0.10811799548036248</v>
      </c>
    </row>
    <row r="7967" spans="2:7" x14ac:dyDescent="0.25">
      <c r="B7967" s="98"/>
      <c r="F7967">
        <v>7963</v>
      </c>
      <c r="G7967" s="109">
        <f t="shared" ca="1" si="133"/>
        <v>-1.2103692080371299E-2</v>
      </c>
    </row>
    <row r="7968" spans="2:7" x14ac:dyDescent="0.25">
      <c r="B7968" s="98"/>
      <c r="F7968">
        <v>7964</v>
      </c>
      <c r="G7968" s="109">
        <f t="shared" ca="1" si="133"/>
        <v>-3.1859432940340132E-2</v>
      </c>
    </row>
    <row r="7969" spans="2:7" x14ac:dyDescent="0.25">
      <c r="B7969" s="98"/>
      <c r="F7969">
        <v>7965</v>
      </c>
      <c r="G7969" s="109">
        <f t="shared" ca="1" si="133"/>
        <v>-7.7619184099334451E-2</v>
      </c>
    </row>
    <row r="7970" spans="2:7" x14ac:dyDescent="0.25">
      <c r="B7970" s="98"/>
      <c r="F7970">
        <v>7966</v>
      </c>
      <c r="G7970" s="109">
        <f t="shared" ca="1" si="133"/>
        <v>-9.4360848564203639E-2</v>
      </c>
    </row>
    <row r="7971" spans="2:7" x14ac:dyDescent="0.25">
      <c r="B7971" s="98"/>
      <c r="F7971">
        <v>7967</v>
      </c>
      <c r="G7971" s="109">
        <f t="shared" ca="1" si="133"/>
        <v>0.25090798551129584</v>
      </c>
    </row>
    <row r="7972" spans="2:7" x14ac:dyDescent="0.25">
      <c r="B7972" s="98"/>
      <c r="F7972">
        <v>7968</v>
      </c>
      <c r="G7972" s="109">
        <f t="shared" ca="1" si="133"/>
        <v>-6.1177271162542277E-2</v>
      </c>
    </row>
    <row r="7973" spans="2:7" x14ac:dyDescent="0.25">
      <c r="B7973" s="98"/>
      <c r="F7973">
        <v>7969</v>
      </c>
      <c r="G7973" s="109">
        <f t="shared" ca="1" si="133"/>
        <v>0.16326459709213337</v>
      </c>
    </row>
    <row r="7974" spans="2:7" x14ac:dyDescent="0.25">
      <c r="B7974" s="98"/>
      <c r="F7974">
        <v>7970</v>
      </c>
      <c r="G7974" s="109">
        <f t="shared" ca="1" si="133"/>
        <v>-3.5087948428799268E-2</v>
      </c>
    </row>
    <row r="7975" spans="2:7" x14ac:dyDescent="0.25">
      <c r="B7975" s="98"/>
      <c r="F7975">
        <v>7971</v>
      </c>
      <c r="G7975" s="109">
        <f t="shared" ca="1" si="133"/>
        <v>6.5335623587985392E-2</v>
      </c>
    </row>
    <row r="7976" spans="2:7" x14ac:dyDescent="0.25">
      <c r="B7976" s="98"/>
      <c r="F7976">
        <v>7972</v>
      </c>
      <c r="G7976" s="109">
        <f t="shared" ca="1" si="133"/>
        <v>6.9242550665866834E-2</v>
      </c>
    </row>
    <row r="7977" spans="2:7" x14ac:dyDescent="0.25">
      <c r="B7977" s="98"/>
      <c r="F7977">
        <v>7973</v>
      </c>
      <c r="G7977" s="109">
        <f t="shared" ca="1" si="133"/>
        <v>2.9246659628711084E-2</v>
      </c>
    </row>
    <row r="7978" spans="2:7" x14ac:dyDescent="0.25">
      <c r="B7978" s="98"/>
      <c r="F7978">
        <v>7974</v>
      </c>
      <c r="G7978" s="109">
        <f t="shared" ca="1" si="133"/>
        <v>-8.4318334082774046E-2</v>
      </c>
    </row>
    <row r="7979" spans="2:7" x14ac:dyDescent="0.25">
      <c r="B7979" s="98"/>
      <c r="F7979">
        <v>7975</v>
      </c>
      <c r="G7979" s="109">
        <f t="shared" ca="1" si="133"/>
        <v>7.0364984327264568E-2</v>
      </c>
    </row>
    <row r="7980" spans="2:7" x14ac:dyDescent="0.25">
      <c r="B7980" s="98"/>
      <c r="F7980">
        <v>7976</v>
      </c>
      <c r="G7980" s="109">
        <f t="shared" ca="1" si="133"/>
        <v>9.5564063475161498E-2</v>
      </c>
    </row>
    <row r="7981" spans="2:7" x14ac:dyDescent="0.25">
      <c r="B7981" s="98"/>
      <c r="F7981">
        <v>7977</v>
      </c>
      <c r="G7981" s="109">
        <f t="shared" ca="1" si="133"/>
        <v>-0.28461580049004015</v>
      </c>
    </row>
    <row r="7982" spans="2:7" x14ac:dyDescent="0.25">
      <c r="B7982" s="98"/>
      <c r="F7982">
        <v>7978</v>
      </c>
      <c r="G7982" s="109">
        <f t="shared" ca="1" si="133"/>
        <v>1.1900405484138295E-2</v>
      </c>
    </row>
    <row r="7983" spans="2:7" x14ac:dyDescent="0.25">
      <c r="B7983" s="98"/>
      <c r="F7983">
        <v>7979</v>
      </c>
      <c r="G7983" s="109">
        <f t="shared" ca="1" si="133"/>
        <v>8.8738747755798444E-2</v>
      </c>
    </row>
    <row r="7984" spans="2:7" x14ac:dyDescent="0.25">
      <c r="B7984" s="98"/>
      <c r="F7984">
        <v>7980</v>
      </c>
      <c r="G7984" s="109">
        <f t="shared" ca="1" si="133"/>
        <v>7.4300256424908659E-3</v>
      </c>
    </row>
    <row r="7985" spans="2:7" x14ac:dyDescent="0.25">
      <c r="B7985" s="98"/>
      <c r="F7985">
        <v>7981</v>
      </c>
      <c r="G7985" s="109">
        <f t="shared" ca="1" si="133"/>
        <v>0.26857222745082793</v>
      </c>
    </row>
    <row r="7986" spans="2:7" x14ac:dyDescent="0.25">
      <c r="B7986" s="98"/>
      <c r="F7986">
        <v>7982</v>
      </c>
      <c r="G7986" s="109">
        <f t="shared" ca="1" si="133"/>
        <v>0.21550821832175188</v>
      </c>
    </row>
    <row r="7987" spans="2:7" x14ac:dyDescent="0.25">
      <c r="B7987" s="98"/>
      <c r="F7987">
        <v>7983</v>
      </c>
      <c r="G7987" s="109">
        <f t="shared" ca="1" si="133"/>
        <v>0.18354436633629795</v>
      </c>
    </row>
    <row r="7988" spans="2:7" x14ac:dyDescent="0.25">
      <c r="B7988" s="98"/>
      <c r="F7988">
        <v>7984</v>
      </c>
      <c r="G7988" s="109">
        <f t="shared" ca="1" si="133"/>
        <v>-4.1498711230604932E-2</v>
      </c>
    </row>
    <row r="7989" spans="2:7" x14ac:dyDescent="0.25">
      <c r="B7989" s="98"/>
      <c r="F7989">
        <v>7985</v>
      </c>
      <c r="G7989" s="109">
        <f t="shared" ca="1" si="133"/>
        <v>0.12751312127479078</v>
      </c>
    </row>
    <row r="7990" spans="2:7" x14ac:dyDescent="0.25">
      <c r="B7990" s="98"/>
      <c r="F7990">
        <v>7986</v>
      </c>
      <c r="G7990" s="109">
        <f t="shared" ca="1" si="133"/>
        <v>0.13363948854042151</v>
      </c>
    </row>
    <row r="7991" spans="2:7" x14ac:dyDescent="0.25">
      <c r="B7991" s="98"/>
      <c r="F7991">
        <v>7987</v>
      </c>
      <c r="G7991" s="109">
        <f t="shared" ca="1" si="133"/>
        <v>0.21147455950500793</v>
      </c>
    </row>
    <row r="7992" spans="2:7" x14ac:dyDescent="0.25">
      <c r="B7992" s="98"/>
      <c r="F7992">
        <v>7988</v>
      </c>
      <c r="G7992" s="109">
        <f t="shared" ca="1" si="133"/>
        <v>-0.12318187871811138</v>
      </c>
    </row>
    <row r="7993" spans="2:7" x14ac:dyDescent="0.25">
      <c r="B7993" s="98"/>
      <c r="F7993">
        <v>7989</v>
      </c>
      <c r="G7993" s="109">
        <f t="shared" ca="1" si="133"/>
        <v>-0.11832971505527616</v>
      </c>
    </row>
    <row r="7994" spans="2:7" x14ac:dyDescent="0.25">
      <c r="B7994" s="98"/>
      <c r="F7994">
        <v>7990</v>
      </c>
      <c r="G7994" s="109">
        <f t="shared" ca="1" si="133"/>
        <v>0.11313038692634211</v>
      </c>
    </row>
    <row r="7995" spans="2:7" x14ac:dyDescent="0.25">
      <c r="B7995" s="98"/>
      <c r="F7995">
        <v>7991</v>
      </c>
      <c r="G7995" s="109">
        <f t="shared" ca="1" si="133"/>
        <v>3.6407819440851363E-2</v>
      </c>
    </row>
    <row r="7996" spans="2:7" x14ac:dyDescent="0.25">
      <c r="B7996" s="98"/>
      <c r="F7996">
        <v>7992</v>
      </c>
      <c r="G7996" s="109">
        <f t="shared" ca="1" si="133"/>
        <v>6.4228806493525192E-2</v>
      </c>
    </row>
    <row r="7997" spans="2:7" x14ac:dyDescent="0.25">
      <c r="B7997" s="98"/>
      <c r="F7997">
        <v>7993</v>
      </c>
      <c r="G7997" s="109">
        <f t="shared" ca="1" si="133"/>
        <v>0.14125042078531677</v>
      </c>
    </row>
    <row r="7998" spans="2:7" x14ac:dyDescent="0.25">
      <c r="B7998" s="98"/>
      <c r="F7998">
        <v>7994</v>
      </c>
      <c r="G7998" s="109">
        <f t="shared" ca="1" si="133"/>
        <v>1.7334597717640416E-2</v>
      </c>
    </row>
    <row r="7999" spans="2:7" x14ac:dyDescent="0.25">
      <c r="B7999" s="98"/>
      <c r="F7999">
        <v>7995</v>
      </c>
      <c r="G7999" s="109">
        <f t="shared" ca="1" si="133"/>
        <v>1.4238189298725418E-2</v>
      </c>
    </row>
    <row r="8000" spans="2:7" x14ac:dyDescent="0.25">
      <c r="B8000" s="98"/>
      <c r="F8000">
        <v>7996</v>
      </c>
      <c r="G8000" s="109">
        <f t="shared" ca="1" si="133"/>
        <v>0.29002818653476176</v>
      </c>
    </row>
    <row r="8001" spans="2:7" x14ac:dyDescent="0.25">
      <c r="B8001" s="98"/>
      <c r="F8001">
        <v>7997</v>
      </c>
      <c r="G8001" s="109">
        <f t="shared" ca="1" si="133"/>
        <v>0.13578221056884882</v>
      </c>
    </row>
    <row r="8002" spans="2:7" x14ac:dyDescent="0.25">
      <c r="B8002" s="98"/>
      <c r="F8002">
        <v>7998</v>
      </c>
      <c r="G8002" s="109">
        <f t="shared" ca="1" si="133"/>
        <v>8.2854066064134438E-2</v>
      </c>
    </row>
    <row r="8003" spans="2:7" x14ac:dyDescent="0.25">
      <c r="B8003" s="98"/>
      <c r="F8003">
        <v>7999</v>
      </c>
      <c r="G8003" s="109">
        <f t="shared" ca="1" si="133"/>
        <v>0.10986123769977518</v>
      </c>
    </row>
    <row r="8004" spans="2:7" x14ac:dyDescent="0.25">
      <c r="B8004" s="98"/>
      <c r="F8004">
        <v>8000</v>
      </c>
      <c r="G8004" s="109">
        <f t="shared" ca="1" si="133"/>
        <v>4.6643438736818282E-2</v>
      </c>
    </row>
    <row r="8005" spans="2:7" x14ac:dyDescent="0.25">
      <c r="B8005" s="98"/>
      <c r="F8005">
        <v>8001</v>
      </c>
      <c r="G8005" s="109">
        <f t="shared" ca="1" si="133"/>
        <v>3.9460457960794212E-2</v>
      </c>
    </row>
    <row r="8006" spans="2:7" x14ac:dyDescent="0.25">
      <c r="B8006" s="98"/>
      <c r="F8006">
        <v>8002</v>
      </c>
      <c r="G8006" s="109">
        <f t="shared" ref="G8006:G8069" ca="1" si="134">_xlfn.NORM.INV(RAND(),$M$5,$M$6)</f>
        <v>0.14623293322384456</v>
      </c>
    </row>
    <row r="8007" spans="2:7" x14ac:dyDescent="0.25">
      <c r="B8007" s="98"/>
      <c r="F8007">
        <v>8003</v>
      </c>
      <c r="G8007" s="109">
        <f t="shared" ca="1" si="134"/>
        <v>5.9634329838212381E-2</v>
      </c>
    </row>
    <row r="8008" spans="2:7" x14ac:dyDescent="0.25">
      <c r="B8008" s="98"/>
      <c r="F8008">
        <v>8004</v>
      </c>
      <c r="G8008" s="109">
        <f t="shared" ca="1" si="134"/>
        <v>0.30662241907480842</v>
      </c>
    </row>
    <row r="8009" spans="2:7" x14ac:dyDescent="0.25">
      <c r="B8009" s="98"/>
      <c r="F8009">
        <v>8005</v>
      </c>
      <c r="G8009" s="109">
        <f t="shared" ca="1" si="134"/>
        <v>2.4758170655440451E-2</v>
      </c>
    </row>
    <row r="8010" spans="2:7" x14ac:dyDescent="0.25">
      <c r="B8010" s="98"/>
      <c r="F8010">
        <v>8006</v>
      </c>
      <c r="G8010" s="109">
        <f t="shared" ca="1" si="134"/>
        <v>3.7803226297374995E-2</v>
      </c>
    </row>
    <row r="8011" spans="2:7" x14ac:dyDescent="0.25">
      <c r="B8011" s="98"/>
      <c r="F8011">
        <v>8007</v>
      </c>
      <c r="G8011" s="109">
        <f t="shared" ca="1" si="134"/>
        <v>0.12618597792695452</v>
      </c>
    </row>
    <row r="8012" spans="2:7" x14ac:dyDescent="0.25">
      <c r="B8012" s="98"/>
      <c r="F8012">
        <v>8008</v>
      </c>
      <c r="G8012" s="109">
        <f t="shared" ca="1" si="134"/>
        <v>0.13814324212976653</v>
      </c>
    </row>
    <row r="8013" spans="2:7" x14ac:dyDescent="0.25">
      <c r="B8013" s="98"/>
      <c r="F8013">
        <v>8009</v>
      </c>
      <c r="G8013" s="109">
        <f t="shared" ca="1" si="134"/>
        <v>0.10962516754808364</v>
      </c>
    </row>
    <row r="8014" spans="2:7" x14ac:dyDescent="0.25">
      <c r="B8014" s="98"/>
      <c r="F8014">
        <v>8010</v>
      </c>
      <c r="G8014" s="109">
        <f t="shared" ca="1" si="134"/>
        <v>-1.901050159328295E-2</v>
      </c>
    </row>
    <row r="8015" spans="2:7" x14ac:dyDescent="0.25">
      <c r="B8015" s="98"/>
      <c r="F8015">
        <v>8011</v>
      </c>
      <c r="G8015" s="109">
        <f t="shared" ca="1" si="134"/>
        <v>0.15209011045673224</v>
      </c>
    </row>
    <row r="8016" spans="2:7" x14ac:dyDescent="0.25">
      <c r="B8016" s="98"/>
      <c r="F8016">
        <v>8012</v>
      </c>
      <c r="G8016" s="109">
        <f t="shared" ca="1" si="134"/>
        <v>-1.5245307426506149E-2</v>
      </c>
    </row>
    <row r="8017" spans="2:7" x14ac:dyDescent="0.25">
      <c r="B8017" s="98"/>
      <c r="F8017">
        <v>8013</v>
      </c>
      <c r="G8017" s="109">
        <f t="shared" ca="1" si="134"/>
        <v>5.0457094820417797E-2</v>
      </c>
    </row>
    <row r="8018" spans="2:7" x14ac:dyDescent="0.25">
      <c r="B8018" s="98"/>
      <c r="F8018">
        <v>8014</v>
      </c>
      <c r="G8018" s="109">
        <f t="shared" ca="1" si="134"/>
        <v>6.7379096447252609E-2</v>
      </c>
    </row>
    <row r="8019" spans="2:7" x14ac:dyDescent="0.25">
      <c r="B8019" s="98"/>
      <c r="F8019">
        <v>8015</v>
      </c>
      <c r="G8019" s="109">
        <f t="shared" ca="1" si="134"/>
        <v>0.11138983523501952</v>
      </c>
    </row>
    <row r="8020" spans="2:7" x14ac:dyDescent="0.25">
      <c r="B8020" s="98"/>
      <c r="F8020">
        <v>8016</v>
      </c>
      <c r="G8020" s="109">
        <f t="shared" ca="1" si="134"/>
        <v>8.9780196982021998E-2</v>
      </c>
    </row>
    <row r="8021" spans="2:7" x14ac:dyDescent="0.25">
      <c r="B8021" s="98"/>
      <c r="F8021">
        <v>8017</v>
      </c>
      <c r="G8021" s="109">
        <f t="shared" ca="1" si="134"/>
        <v>-5.2103734317189732E-2</v>
      </c>
    </row>
    <row r="8022" spans="2:7" x14ac:dyDescent="0.25">
      <c r="B8022" s="98"/>
      <c r="F8022">
        <v>8018</v>
      </c>
      <c r="G8022" s="109">
        <f t="shared" ca="1" si="134"/>
        <v>3.4597430379370506E-2</v>
      </c>
    </row>
    <row r="8023" spans="2:7" x14ac:dyDescent="0.25">
      <c r="B8023" s="98"/>
      <c r="F8023">
        <v>8019</v>
      </c>
      <c r="G8023" s="109">
        <f t="shared" ca="1" si="134"/>
        <v>0.12211964660169333</v>
      </c>
    </row>
    <row r="8024" spans="2:7" x14ac:dyDescent="0.25">
      <c r="B8024" s="98"/>
      <c r="F8024">
        <v>8020</v>
      </c>
      <c r="G8024" s="109">
        <f t="shared" ca="1" si="134"/>
        <v>0.11977018348692214</v>
      </c>
    </row>
    <row r="8025" spans="2:7" x14ac:dyDescent="0.25">
      <c r="B8025" s="98"/>
      <c r="F8025">
        <v>8021</v>
      </c>
      <c r="G8025" s="109">
        <f t="shared" ca="1" si="134"/>
        <v>0.12095912181678017</v>
      </c>
    </row>
    <row r="8026" spans="2:7" x14ac:dyDescent="0.25">
      <c r="B8026" s="98"/>
      <c r="F8026">
        <v>8022</v>
      </c>
      <c r="G8026" s="109">
        <f t="shared" ca="1" si="134"/>
        <v>0.28151322258389389</v>
      </c>
    </row>
    <row r="8027" spans="2:7" x14ac:dyDescent="0.25">
      <c r="B8027" s="98"/>
      <c r="F8027">
        <v>8023</v>
      </c>
      <c r="G8027" s="109">
        <f t="shared" ca="1" si="134"/>
        <v>5.6844285652509277E-2</v>
      </c>
    </row>
    <row r="8028" spans="2:7" x14ac:dyDescent="0.25">
      <c r="B8028" s="98"/>
      <c r="F8028">
        <v>8024</v>
      </c>
      <c r="G8028" s="109">
        <f t="shared" ca="1" si="134"/>
        <v>-0.10665236523585615</v>
      </c>
    </row>
    <row r="8029" spans="2:7" x14ac:dyDescent="0.25">
      <c r="B8029" s="98"/>
      <c r="F8029">
        <v>8025</v>
      </c>
      <c r="G8029" s="109">
        <f t="shared" ca="1" si="134"/>
        <v>0.14125192032192813</v>
      </c>
    </row>
    <row r="8030" spans="2:7" x14ac:dyDescent="0.25">
      <c r="B8030" s="98"/>
      <c r="F8030">
        <v>8026</v>
      </c>
      <c r="G8030" s="109">
        <f t="shared" ca="1" si="134"/>
        <v>8.6498870580567183E-2</v>
      </c>
    </row>
    <row r="8031" spans="2:7" x14ac:dyDescent="0.25">
      <c r="B8031" s="98"/>
      <c r="F8031">
        <v>8027</v>
      </c>
      <c r="G8031" s="109">
        <f t="shared" ca="1" si="134"/>
        <v>-8.0673141713880223E-2</v>
      </c>
    </row>
    <row r="8032" spans="2:7" x14ac:dyDescent="0.25">
      <c r="B8032" s="98"/>
      <c r="F8032">
        <v>8028</v>
      </c>
      <c r="G8032" s="109">
        <f t="shared" ca="1" si="134"/>
        <v>-0.1754043236819926</v>
      </c>
    </row>
    <row r="8033" spans="2:7" x14ac:dyDescent="0.25">
      <c r="B8033" s="98"/>
      <c r="F8033">
        <v>8029</v>
      </c>
      <c r="G8033" s="109">
        <f t="shared" ca="1" si="134"/>
        <v>5.3133590216903739E-2</v>
      </c>
    </row>
    <row r="8034" spans="2:7" x14ac:dyDescent="0.25">
      <c r="B8034" s="98"/>
      <c r="F8034">
        <v>8030</v>
      </c>
      <c r="G8034" s="109">
        <f t="shared" ca="1" si="134"/>
        <v>-1.3947953874409967E-2</v>
      </c>
    </row>
    <row r="8035" spans="2:7" x14ac:dyDescent="0.25">
      <c r="B8035" s="98"/>
      <c r="F8035">
        <v>8031</v>
      </c>
      <c r="G8035" s="109">
        <f t="shared" ca="1" si="134"/>
        <v>-5.0183149393399726E-2</v>
      </c>
    </row>
    <row r="8036" spans="2:7" x14ac:dyDescent="0.25">
      <c r="B8036" s="98"/>
      <c r="F8036">
        <v>8032</v>
      </c>
      <c r="G8036" s="109">
        <f t="shared" ca="1" si="134"/>
        <v>0.13693467924253491</v>
      </c>
    </row>
    <row r="8037" spans="2:7" x14ac:dyDescent="0.25">
      <c r="B8037" s="98"/>
      <c r="F8037">
        <v>8033</v>
      </c>
      <c r="G8037" s="109">
        <f t="shared" ca="1" si="134"/>
        <v>0.33480195808195057</v>
      </c>
    </row>
    <row r="8038" spans="2:7" x14ac:dyDescent="0.25">
      <c r="B8038" s="98"/>
      <c r="F8038">
        <v>8034</v>
      </c>
      <c r="G8038" s="109">
        <f t="shared" ca="1" si="134"/>
        <v>-7.4221740953357776E-2</v>
      </c>
    </row>
    <row r="8039" spans="2:7" x14ac:dyDescent="0.25">
      <c r="B8039" s="98"/>
      <c r="F8039">
        <v>8035</v>
      </c>
      <c r="G8039" s="109">
        <f t="shared" ca="1" si="134"/>
        <v>-6.6041193795804448E-2</v>
      </c>
    </row>
    <row r="8040" spans="2:7" x14ac:dyDescent="0.25">
      <c r="B8040" s="98"/>
      <c r="F8040">
        <v>8036</v>
      </c>
      <c r="G8040" s="109">
        <f t="shared" ca="1" si="134"/>
        <v>-3.9709350109995101E-2</v>
      </c>
    </row>
    <row r="8041" spans="2:7" x14ac:dyDescent="0.25">
      <c r="B8041" s="98"/>
      <c r="F8041">
        <v>8037</v>
      </c>
      <c r="G8041" s="109">
        <f t="shared" ca="1" si="134"/>
        <v>0.17710882171173592</v>
      </c>
    </row>
    <row r="8042" spans="2:7" x14ac:dyDescent="0.25">
      <c r="B8042" s="98"/>
      <c r="F8042">
        <v>8038</v>
      </c>
      <c r="G8042" s="109">
        <f t="shared" ca="1" si="134"/>
        <v>6.9938753883333163E-2</v>
      </c>
    </row>
    <row r="8043" spans="2:7" x14ac:dyDescent="0.25">
      <c r="B8043" s="98"/>
      <c r="F8043">
        <v>8039</v>
      </c>
      <c r="G8043" s="109">
        <f t="shared" ca="1" si="134"/>
        <v>-2.2309520493965534E-2</v>
      </c>
    </row>
    <row r="8044" spans="2:7" x14ac:dyDescent="0.25">
      <c r="B8044" s="98"/>
      <c r="F8044">
        <v>8040</v>
      </c>
      <c r="G8044" s="109">
        <f t="shared" ca="1" si="134"/>
        <v>2.7157148785639448E-3</v>
      </c>
    </row>
    <row r="8045" spans="2:7" x14ac:dyDescent="0.25">
      <c r="B8045" s="98"/>
      <c r="F8045">
        <v>8041</v>
      </c>
      <c r="G8045" s="109">
        <f t="shared" ca="1" si="134"/>
        <v>0.20201063425900595</v>
      </c>
    </row>
    <row r="8046" spans="2:7" x14ac:dyDescent="0.25">
      <c r="B8046" s="98"/>
      <c r="F8046">
        <v>8042</v>
      </c>
      <c r="G8046" s="109">
        <f t="shared" ca="1" si="134"/>
        <v>2.5838654191507607E-2</v>
      </c>
    </row>
    <row r="8047" spans="2:7" x14ac:dyDescent="0.25">
      <c r="B8047" s="98"/>
      <c r="F8047">
        <v>8043</v>
      </c>
      <c r="G8047" s="109">
        <f t="shared" ca="1" si="134"/>
        <v>0.1661350346394278</v>
      </c>
    </row>
    <row r="8048" spans="2:7" x14ac:dyDescent="0.25">
      <c r="B8048" s="98"/>
      <c r="F8048">
        <v>8044</v>
      </c>
      <c r="G8048" s="109">
        <f t="shared" ca="1" si="134"/>
        <v>5.7440078665573178E-2</v>
      </c>
    </row>
    <row r="8049" spans="2:7" x14ac:dyDescent="0.25">
      <c r="B8049" s="98"/>
      <c r="F8049">
        <v>8045</v>
      </c>
      <c r="G8049" s="109">
        <f t="shared" ca="1" si="134"/>
        <v>-2.6722192933861619E-2</v>
      </c>
    </row>
    <row r="8050" spans="2:7" x14ac:dyDescent="0.25">
      <c r="B8050" s="98"/>
      <c r="F8050">
        <v>8046</v>
      </c>
      <c r="G8050" s="109">
        <f t="shared" ca="1" si="134"/>
        <v>5.9746824939812787E-2</v>
      </c>
    </row>
    <row r="8051" spans="2:7" x14ac:dyDescent="0.25">
      <c r="B8051" s="98"/>
      <c r="F8051">
        <v>8047</v>
      </c>
      <c r="G8051" s="109">
        <f t="shared" ca="1" si="134"/>
        <v>9.6780286685289249E-2</v>
      </c>
    </row>
    <row r="8052" spans="2:7" x14ac:dyDescent="0.25">
      <c r="B8052" s="98"/>
      <c r="F8052">
        <v>8048</v>
      </c>
      <c r="G8052" s="109">
        <f t="shared" ca="1" si="134"/>
        <v>-6.2082709634291661E-2</v>
      </c>
    </row>
    <row r="8053" spans="2:7" x14ac:dyDescent="0.25">
      <c r="B8053" s="98"/>
      <c r="F8053">
        <v>8049</v>
      </c>
      <c r="G8053" s="109">
        <f t="shared" ca="1" si="134"/>
        <v>-5.2465737759418568E-3</v>
      </c>
    </row>
    <row r="8054" spans="2:7" x14ac:dyDescent="0.25">
      <c r="B8054" s="98"/>
      <c r="F8054">
        <v>8050</v>
      </c>
      <c r="G8054" s="109">
        <f t="shared" ca="1" si="134"/>
        <v>0.14485385938138251</v>
      </c>
    </row>
    <row r="8055" spans="2:7" x14ac:dyDescent="0.25">
      <c r="B8055" s="98"/>
      <c r="F8055">
        <v>8051</v>
      </c>
      <c r="G8055" s="109">
        <f t="shared" ca="1" si="134"/>
        <v>5.5074786492384509E-2</v>
      </c>
    </row>
    <row r="8056" spans="2:7" x14ac:dyDescent="0.25">
      <c r="B8056" s="98"/>
      <c r="F8056">
        <v>8052</v>
      </c>
      <c r="G8056" s="109">
        <f t="shared" ca="1" si="134"/>
        <v>0.33095649474465832</v>
      </c>
    </row>
    <row r="8057" spans="2:7" x14ac:dyDescent="0.25">
      <c r="B8057" s="98"/>
      <c r="F8057">
        <v>8053</v>
      </c>
      <c r="G8057" s="109">
        <f t="shared" ca="1" si="134"/>
        <v>-3.0469004758215276E-2</v>
      </c>
    </row>
    <row r="8058" spans="2:7" x14ac:dyDescent="0.25">
      <c r="B8058" s="98"/>
      <c r="F8058">
        <v>8054</v>
      </c>
      <c r="G8058" s="109">
        <f t="shared" ca="1" si="134"/>
        <v>0.1381168932866102</v>
      </c>
    </row>
    <row r="8059" spans="2:7" x14ac:dyDescent="0.25">
      <c r="B8059" s="98"/>
      <c r="F8059">
        <v>8055</v>
      </c>
      <c r="G8059" s="109">
        <f t="shared" ca="1" si="134"/>
        <v>-7.2060691925517478E-2</v>
      </c>
    </row>
    <row r="8060" spans="2:7" x14ac:dyDescent="0.25">
      <c r="B8060" s="98"/>
      <c r="F8060">
        <v>8056</v>
      </c>
      <c r="G8060" s="109">
        <f t="shared" ca="1" si="134"/>
        <v>0.14235374689318875</v>
      </c>
    </row>
    <row r="8061" spans="2:7" x14ac:dyDescent="0.25">
      <c r="B8061" s="98"/>
      <c r="F8061">
        <v>8057</v>
      </c>
      <c r="G8061" s="109">
        <f t="shared" ca="1" si="134"/>
        <v>5.1786720094607989E-2</v>
      </c>
    </row>
    <row r="8062" spans="2:7" x14ac:dyDescent="0.25">
      <c r="B8062" s="98"/>
      <c r="F8062">
        <v>8058</v>
      </c>
      <c r="G8062" s="109">
        <f t="shared" ca="1" si="134"/>
        <v>2.2989739604053653E-2</v>
      </c>
    </row>
    <row r="8063" spans="2:7" x14ac:dyDescent="0.25">
      <c r="B8063" s="98"/>
      <c r="F8063">
        <v>8059</v>
      </c>
      <c r="G8063" s="109">
        <f t="shared" ca="1" si="134"/>
        <v>0.33780848835597804</v>
      </c>
    </row>
    <row r="8064" spans="2:7" x14ac:dyDescent="0.25">
      <c r="B8064" s="98"/>
      <c r="F8064">
        <v>8060</v>
      </c>
      <c r="G8064" s="109">
        <f t="shared" ca="1" si="134"/>
        <v>7.805865454570203E-3</v>
      </c>
    </row>
    <row r="8065" spans="2:7" x14ac:dyDescent="0.25">
      <c r="B8065" s="98"/>
      <c r="F8065">
        <v>8061</v>
      </c>
      <c r="G8065" s="109">
        <f t="shared" ca="1" si="134"/>
        <v>3.0152882994928711E-2</v>
      </c>
    </row>
    <row r="8066" spans="2:7" x14ac:dyDescent="0.25">
      <c r="B8066" s="98"/>
      <c r="F8066">
        <v>8062</v>
      </c>
      <c r="G8066" s="109">
        <f t="shared" ca="1" si="134"/>
        <v>0.15084962414299474</v>
      </c>
    </row>
    <row r="8067" spans="2:7" x14ac:dyDescent="0.25">
      <c r="B8067" s="98"/>
      <c r="F8067">
        <v>8063</v>
      </c>
      <c r="G8067" s="109">
        <f t="shared" ca="1" si="134"/>
        <v>9.0755629023658468E-2</v>
      </c>
    </row>
    <row r="8068" spans="2:7" x14ac:dyDescent="0.25">
      <c r="B8068" s="98"/>
      <c r="F8068">
        <v>8064</v>
      </c>
      <c r="G8068" s="109">
        <f t="shared" ca="1" si="134"/>
        <v>-9.5679735891489884E-2</v>
      </c>
    </row>
    <row r="8069" spans="2:7" x14ac:dyDescent="0.25">
      <c r="B8069" s="98"/>
      <c r="F8069">
        <v>8065</v>
      </c>
      <c r="G8069" s="109">
        <f t="shared" ca="1" si="134"/>
        <v>8.0596293725371221E-2</v>
      </c>
    </row>
    <row r="8070" spans="2:7" x14ac:dyDescent="0.25">
      <c r="B8070" s="98"/>
      <c r="F8070">
        <v>8066</v>
      </c>
      <c r="G8070" s="109">
        <f t="shared" ref="G8070:G8133" ca="1" si="135">_xlfn.NORM.INV(RAND(),$M$5,$M$6)</f>
        <v>-3.0223267792163888E-2</v>
      </c>
    </row>
    <row r="8071" spans="2:7" x14ac:dyDescent="0.25">
      <c r="B8071" s="98"/>
      <c r="F8071">
        <v>8067</v>
      </c>
      <c r="G8071" s="109">
        <f t="shared" ca="1" si="135"/>
        <v>0.10543739854841819</v>
      </c>
    </row>
    <row r="8072" spans="2:7" x14ac:dyDescent="0.25">
      <c r="B8072" s="98"/>
      <c r="F8072">
        <v>8068</v>
      </c>
      <c r="G8072" s="109">
        <f t="shared" ca="1" si="135"/>
        <v>0.16202007950117739</v>
      </c>
    </row>
    <row r="8073" spans="2:7" x14ac:dyDescent="0.25">
      <c r="B8073" s="98"/>
      <c r="F8073">
        <v>8069</v>
      </c>
      <c r="G8073" s="109">
        <f t="shared" ca="1" si="135"/>
        <v>8.0631959693144503E-3</v>
      </c>
    </row>
    <row r="8074" spans="2:7" x14ac:dyDescent="0.25">
      <c r="B8074" s="98"/>
      <c r="F8074">
        <v>8070</v>
      </c>
      <c r="G8074" s="109">
        <f t="shared" ca="1" si="135"/>
        <v>6.0063972180132826E-2</v>
      </c>
    </row>
    <row r="8075" spans="2:7" x14ac:dyDescent="0.25">
      <c r="B8075" s="98"/>
      <c r="F8075">
        <v>8071</v>
      </c>
      <c r="G8075" s="109">
        <f t="shared" ca="1" si="135"/>
        <v>8.2589891686241437E-2</v>
      </c>
    </row>
    <row r="8076" spans="2:7" x14ac:dyDescent="0.25">
      <c r="B8076" s="98"/>
      <c r="F8076">
        <v>8072</v>
      </c>
      <c r="G8076" s="109">
        <f t="shared" ca="1" si="135"/>
        <v>7.6024636051048325E-2</v>
      </c>
    </row>
    <row r="8077" spans="2:7" x14ac:dyDescent="0.25">
      <c r="B8077" s="98"/>
      <c r="F8077">
        <v>8073</v>
      </c>
      <c r="G8077" s="109">
        <f t="shared" ca="1" si="135"/>
        <v>-2.6203154031798973E-2</v>
      </c>
    </row>
    <row r="8078" spans="2:7" x14ac:dyDescent="0.25">
      <c r="B8078" s="98"/>
      <c r="F8078">
        <v>8074</v>
      </c>
      <c r="G8078" s="109">
        <f t="shared" ca="1" si="135"/>
        <v>5.3315303304641591E-2</v>
      </c>
    </row>
    <row r="8079" spans="2:7" x14ac:dyDescent="0.25">
      <c r="B8079" s="98"/>
      <c r="F8079">
        <v>8075</v>
      </c>
      <c r="G8079" s="109">
        <f t="shared" ca="1" si="135"/>
        <v>-0.25900786189785152</v>
      </c>
    </row>
    <row r="8080" spans="2:7" x14ac:dyDescent="0.25">
      <c r="B8080" s="98"/>
      <c r="F8080">
        <v>8076</v>
      </c>
      <c r="G8080" s="109">
        <f t="shared" ca="1" si="135"/>
        <v>7.3622288666937985E-2</v>
      </c>
    </row>
    <row r="8081" spans="2:7" x14ac:dyDescent="0.25">
      <c r="B8081" s="98"/>
      <c r="F8081">
        <v>8077</v>
      </c>
      <c r="G8081" s="109">
        <f t="shared" ca="1" si="135"/>
        <v>0.1704553174571804</v>
      </c>
    </row>
    <row r="8082" spans="2:7" x14ac:dyDescent="0.25">
      <c r="B8082" s="98"/>
      <c r="F8082">
        <v>8078</v>
      </c>
      <c r="G8082" s="109">
        <f t="shared" ca="1" si="135"/>
        <v>-0.2119956792586703</v>
      </c>
    </row>
    <row r="8083" spans="2:7" x14ac:dyDescent="0.25">
      <c r="B8083" s="98"/>
      <c r="F8083">
        <v>8079</v>
      </c>
      <c r="G8083" s="109">
        <f t="shared" ca="1" si="135"/>
        <v>-3.5810157355506619E-2</v>
      </c>
    </row>
    <row r="8084" spans="2:7" x14ac:dyDescent="0.25">
      <c r="B8084" s="98"/>
      <c r="F8084">
        <v>8080</v>
      </c>
      <c r="G8084" s="109">
        <f t="shared" ca="1" si="135"/>
        <v>7.5930318933026819E-3</v>
      </c>
    </row>
    <row r="8085" spans="2:7" x14ac:dyDescent="0.25">
      <c r="B8085" s="98"/>
      <c r="F8085">
        <v>8081</v>
      </c>
      <c r="G8085" s="109">
        <f t="shared" ca="1" si="135"/>
        <v>7.9803859189324158E-2</v>
      </c>
    </row>
    <row r="8086" spans="2:7" x14ac:dyDescent="0.25">
      <c r="B8086" s="98"/>
      <c r="F8086">
        <v>8082</v>
      </c>
      <c r="G8086" s="109">
        <f t="shared" ca="1" si="135"/>
        <v>0.11815933806342108</v>
      </c>
    </row>
    <row r="8087" spans="2:7" x14ac:dyDescent="0.25">
      <c r="B8087" s="98"/>
      <c r="F8087">
        <v>8083</v>
      </c>
      <c r="G8087" s="109">
        <f t="shared" ca="1" si="135"/>
        <v>6.567435199011265E-2</v>
      </c>
    </row>
    <row r="8088" spans="2:7" x14ac:dyDescent="0.25">
      <c r="B8088" s="98"/>
      <c r="F8088">
        <v>8084</v>
      </c>
      <c r="G8088" s="109">
        <f t="shared" ca="1" si="135"/>
        <v>-0.11215970295537507</v>
      </c>
    </row>
    <row r="8089" spans="2:7" x14ac:dyDescent="0.25">
      <c r="B8089" s="98"/>
      <c r="F8089">
        <v>8085</v>
      </c>
      <c r="G8089" s="109">
        <f t="shared" ca="1" si="135"/>
        <v>0.23278157190501886</v>
      </c>
    </row>
    <row r="8090" spans="2:7" x14ac:dyDescent="0.25">
      <c r="B8090" s="98"/>
      <c r="F8090">
        <v>8086</v>
      </c>
      <c r="G8090" s="109">
        <f t="shared" ca="1" si="135"/>
        <v>4.2750601386856747E-2</v>
      </c>
    </row>
    <row r="8091" spans="2:7" x14ac:dyDescent="0.25">
      <c r="B8091" s="98"/>
      <c r="F8091">
        <v>8087</v>
      </c>
      <c r="G8091" s="109">
        <f t="shared" ca="1" si="135"/>
        <v>2.2593700356306104E-2</v>
      </c>
    </row>
    <row r="8092" spans="2:7" x14ac:dyDescent="0.25">
      <c r="B8092" s="98"/>
      <c r="F8092">
        <v>8088</v>
      </c>
      <c r="G8092" s="109">
        <f t="shared" ca="1" si="135"/>
        <v>0.11052070957568537</v>
      </c>
    </row>
    <row r="8093" spans="2:7" x14ac:dyDescent="0.25">
      <c r="B8093" s="98"/>
      <c r="F8093">
        <v>8089</v>
      </c>
      <c r="G8093" s="109">
        <f t="shared" ca="1" si="135"/>
        <v>0.1392910046118383</v>
      </c>
    </row>
    <row r="8094" spans="2:7" x14ac:dyDescent="0.25">
      <c r="B8094" s="98"/>
      <c r="F8094">
        <v>8090</v>
      </c>
      <c r="G8094" s="109">
        <f t="shared" ca="1" si="135"/>
        <v>0.26091901503497972</v>
      </c>
    </row>
    <row r="8095" spans="2:7" x14ac:dyDescent="0.25">
      <c r="B8095" s="98"/>
      <c r="F8095">
        <v>8091</v>
      </c>
      <c r="G8095" s="109">
        <f t="shared" ca="1" si="135"/>
        <v>-7.0347914161572642E-2</v>
      </c>
    </row>
    <row r="8096" spans="2:7" x14ac:dyDescent="0.25">
      <c r="B8096" s="98"/>
      <c r="F8096">
        <v>8092</v>
      </c>
      <c r="G8096" s="109">
        <f t="shared" ca="1" si="135"/>
        <v>1.6866959013313934E-3</v>
      </c>
    </row>
    <row r="8097" spans="2:7" x14ac:dyDescent="0.25">
      <c r="B8097" s="98"/>
      <c r="F8097">
        <v>8093</v>
      </c>
      <c r="G8097" s="109">
        <f t="shared" ca="1" si="135"/>
        <v>0.28121582171501136</v>
      </c>
    </row>
    <row r="8098" spans="2:7" x14ac:dyDescent="0.25">
      <c r="B8098" s="98"/>
      <c r="F8098">
        <v>8094</v>
      </c>
      <c r="G8098" s="109">
        <f t="shared" ca="1" si="135"/>
        <v>-3.1050297822075648E-2</v>
      </c>
    </row>
    <row r="8099" spans="2:7" x14ac:dyDescent="0.25">
      <c r="B8099" s="98"/>
      <c r="F8099">
        <v>8095</v>
      </c>
      <c r="G8099" s="109">
        <f t="shared" ca="1" si="135"/>
        <v>1.9681423565143012E-2</v>
      </c>
    </row>
    <row r="8100" spans="2:7" x14ac:dyDescent="0.25">
      <c r="B8100" s="98"/>
      <c r="F8100">
        <v>8096</v>
      </c>
      <c r="G8100" s="109">
        <f t="shared" ca="1" si="135"/>
        <v>2.2771917702125957E-2</v>
      </c>
    </row>
    <row r="8101" spans="2:7" x14ac:dyDescent="0.25">
      <c r="B8101" s="98"/>
      <c r="F8101">
        <v>8097</v>
      </c>
      <c r="G8101" s="109">
        <f t="shared" ca="1" si="135"/>
        <v>0.11041936598576821</v>
      </c>
    </row>
    <row r="8102" spans="2:7" x14ac:dyDescent="0.25">
      <c r="B8102" s="98"/>
      <c r="F8102">
        <v>8098</v>
      </c>
      <c r="G8102" s="109">
        <f t="shared" ca="1" si="135"/>
        <v>0.10804625975261209</v>
      </c>
    </row>
    <row r="8103" spans="2:7" x14ac:dyDescent="0.25">
      <c r="B8103" s="98"/>
      <c r="F8103">
        <v>8099</v>
      </c>
      <c r="G8103" s="109">
        <f t="shared" ca="1" si="135"/>
        <v>0.39316950518992871</v>
      </c>
    </row>
    <row r="8104" spans="2:7" x14ac:dyDescent="0.25">
      <c r="B8104" s="98"/>
      <c r="F8104">
        <v>8100</v>
      </c>
      <c r="G8104" s="109">
        <f t="shared" ca="1" si="135"/>
        <v>-1.9403602838298839E-2</v>
      </c>
    </row>
    <row r="8105" spans="2:7" x14ac:dyDescent="0.25">
      <c r="B8105" s="98"/>
      <c r="F8105">
        <v>8101</v>
      </c>
      <c r="G8105" s="109">
        <f t="shared" ca="1" si="135"/>
        <v>-6.5993277095881361E-2</v>
      </c>
    </row>
    <row r="8106" spans="2:7" x14ac:dyDescent="0.25">
      <c r="B8106" s="98"/>
      <c r="F8106">
        <v>8102</v>
      </c>
      <c r="G8106" s="109">
        <f t="shared" ca="1" si="135"/>
        <v>0.22774915913705251</v>
      </c>
    </row>
    <row r="8107" spans="2:7" x14ac:dyDescent="0.25">
      <c r="B8107" s="98"/>
      <c r="F8107">
        <v>8103</v>
      </c>
      <c r="G8107" s="109">
        <f t="shared" ca="1" si="135"/>
        <v>3.3293544073083665E-2</v>
      </c>
    </row>
    <row r="8108" spans="2:7" x14ac:dyDescent="0.25">
      <c r="B8108" s="98"/>
      <c r="F8108">
        <v>8104</v>
      </c>
      <c r="G8108" s="109">
        <f t="shared" ca="1" si="135"/>
        <v>-9.4947740206805173E-3</v>
      </c>
    </row>
    <row r="8109" spans="2:7" x14ac:dyDescent="0.25">
      <c r="B8109" s="98"/>
      <c r="F8109">
        <v>8105</v>
      </c>
      <c r="G8109" s="109">
        <f t="shared" ca="1" si="135"/>
        <v>-4.9000655494040854E-2</v>
      </c>
    </row>
    <row r="8110" spans="2:7" x14ac:dyDescent="0.25">
      <c r="B8110" s="98"/>
      <c r="F8110">
        <v>8106</v>
      </c>
      <c r="G8110" s="109">
        <f t="shared" ca="1" si="135"/>
        <v>6.0719036798383669E-2</v>
      </c>
    </row>
    <row r="8111" spans="2:7" x14ac:dyDescent="0.25">
      <c r="B8111" s="98"/>
      <c r="F8111">
        <v>8107</v>
      </c>
      <c r="G8111" s="109">
        <f t="shared" ca="1" si="135"/>
        <v>5.0234861572451092E-2</v>
      </c>
    </row>
    <row r="8112" spans="2:7" x14ac:dyDescent="0.25">
      <c r="B8112" s="98"/>
      <c r="F8112">
        <v>8108</v>
      </c>
      <c r="G8112" s="109">
        <f t="shared" ca="1" si="135"/>
        <v>-2.1466598796979486E-2</v>
      </c>
    </row>
    <row r="8113" spans="2:7" x14ac:dyDescent="0.25">
      <c r="B8113" s="98"/>
      <c r="F8113">
        <v>8109</v>
      </c>
      <c r="G8113" s="109">
        <f t="shared" ca="1" si="135"/>
        <v>0.11422915921847245</v>
      </c>
    </row>
    <row r="8114" spans="2:7" x14ac:dyDescent="0.25">
      <c r="B8114" s="98"/>
      <c r="F8114">
        <v>8110</v>
      </c>
      <c r="G8114" s="109">
        <f t="shared" ca="1" si="135"/>
        <v>2.9261497167120867E-2</v>
      </c>
    </row>
    <row r="8115" spans="2:7" x14ac:dyDescent="0.25">
      <c r="B8115" s="98"/>
      <c r="F8115">
        <v>8111</v>
      </c>
      <c r="G8115" s="109">
        <f t="shared" ca="1" si="135"/>
        <v>5.9911016690051035E-2</v>
      </c>
    </row>
    <row r="8116" spans="2:7" x14ac:dyDescent="0.25">
      <c r="B8116" s="98"/>
      <c r="F8116">
        <v>8112</v>
      </c>
      <c r="G8116" s="109">
        <f t="shared" ca="1" si="135"/>
        <v>0.1003704189396917</v>
      </c>
    </row>
    <row r="8117" spans="2:7" x14ac:dyDescent="0.25">
      <c r="B8117" s="98"/>
      <c r="F8117">
        <v>8113</v>
      </c>
      <c r="G8117" s="109">
        <f t="shared" ca="1" si="135"/>
        <v>4.5646457178431472E-2</v>
      </c>
    </row>
    <row r="8118" spans="2:7" x14ac:dyDescent="0.25">
      <c r="B8118" s="98"/>
      <c r="F8118">
        <v>8114</v>
      </c>
      <c r="G8118" s="109">
        <f t="shared" ca="1" si="135"/>
        <v>0.14465562477816118</v>
      </c>
    </row>
    <row r="8119" spans="2:7" x14ac:dyDescent="0.25">
      <c r="B8119" s="98"/>
      <c r="F8119">
        <v>8115</v>
      </c>
      <c r="G8119" s="109">
        <f t="shared" ca="1" si="135"/>
        <v>-0.22943452041873341</v>
      </c>
    </row>
    <row r="8120" spans="2:7" x14ac:dyDescent="0.25">
      <c r="B8120" s="98"/>
      <c r="F8120">
        <v>8116</v>
      </c>
      <c r="G8120" s="109">
        <f t="shared" ca="1" si="135"/>
        <v>0.24955848427856669</v>
      </c>
    </row>
    <row r="8121" spans="2:7" x14ac:dyDescent="0.25">
      <c r="B8121" s="98"/>
      <c r="F8121">
        <v>8117</v>
      </c>
      <c r="G8121" s="109">
        <f t="shared" ca="1" si="135"/>
        <v>0.14616128566920536</v>
      </c>
    </row>
    <row r="8122" spans="2:7" x14ac:dyDescent="0.25">
      <c r="B8122" s="98"/>
      <c r="F8122">
        <v>8118</v>
      </c>
      <c r="G8122" s="109">
        <f t="shared" ca="1" si="135"/>
        <v>0.20314866579742108</v>
      </c>
    </row>
    <row r="8123" spans="2:7" x14ac:dyDescent="0.25">
      <c r="B8123" s="98"/>
      <c r="F8123">
        <v>8119</v>
      </c>
      <c r="G8123" s="109">
        <f t="shared" ca="1" si="135"/>
        <v>5.8001838101445283E-2</v>
      </c>
    </row>
    <row r="8124" spans="2:7" x14ac:dyDescent="0.25">
      <c r="B8124" s="98"/>
      <c r="F8124">
        <v>8120</v>
      </c>
      <c r="G8124" s="109">
        <f t="shared" ca="1" si="135"/>
        <v>0.21402762638297657</v>
      </c>
    </row>
    <row r="8125" spans="2:7" x14ac:dyDescent="0.25">
      <c r="B8125" s="98"/>
      <c r="F8125">
        <v>8121</v>
      </c>
      <c r="G8125" s="109">
        <f t="shared" ca="1" si="135"/>
        <v>-5.9841864530790295E-2</v>
      </c>
    </row>
    <row r="8126" spans="2:7" x14ac:dyDescent="0.25">
      <c r="B8126" s="98"/>
      <c r="F8126">
        <v>8122</v>
      </c>
      <c r="G8126" s="109">
        <f t="shared" ca="1" si="135"/>
        <v>-0.13877585558028893</v>
      </c>
    </row>
    <row r="8127" spans="2:7" x14ac:dyDescent="0.25">
      <c r="B8127" s="98"/>
      <c r="F8127">
        <v>8123</v>
      </c>
      <c r="G8127" s="109">
        <f t="shared" ca="1" si="135"/>
        <v>0.16535806880121853</v>
      </c>
    </row>
    <row r="8128" spans="2:7" x14ac:dyDescent="0.25">
      <c r="B8128" s="98"/>
      <c r="F8128">
        <v>8124</v>
      </c>
      <c r="G8128" s="109">
        <f t="shared" ca="1" si="135"/>
        <v>6.9082327419994954E-2</v>
      </c>
    </row>
    <row r="8129" spans="2:7" x14ac:dyDescent="0.25">
      <c r="B8129" s="98"/>
      <c r="F8129">
        <v>8125</v>
      </c>
      <c r="G8129" s="109">
        <f t="shared" ca="1" si="135"/>
        <v>0.13340015303540448</v>
      </c>
    </row>
    <row r="8130" spans="2:7" x14ac:dyDescent="0.25">
      <c r="B8130" s="98"/>
      <c r="F8130">
        <v>8126</v>
      </c>
      <c r="G8130" s="109">
        <f t="shared" ca="1" si="135"/>
        <v>2.7826589429945377E-2</v>
      </c>
    </row>
    <row r="8131" spans="2:7" x14ac:dyDescent="0.25">
      <c r="B8131" s="98"/>
      <c r="F8131">
        <v>8127</v>
      </c>
      <c r="G8131" s="109">
        <f t="shared" ca="1" si="135"/>
        <v>0.1323335273837461</v>
      </c>
    </row>
    <row r="8132" spans="2:7" x14ac:dyDescent="0.25">
      <c r="B8132" s="98"/>
      <c r="F8132">
        <v>8128</v>
      </c>
      <c r="G8132" s="109">
        <f t="shared" ca="1" si="135"/>
        <v>0.11630185019518215</v>
      </c>
    </row>
    <row r="8133" spans="2:7" x14ac:dyDescent="0.25">
      <c r="B8133" s="98"/>
      <c r="F8133">
        <v>8129</v>
      </c>
      <c r="G8133" s="109">
        <f t="shared" ca="1" si="135"/>
        <v>5.1037424802251118E-2</v>
      </c>
    </row>
    <row r="8134" spans="2:7" x14ac:dyDescent="0.25">
      <c r="B8134" s="98"/>
      <c r="F8134">
        <v>8130</v>
      </c>
      <c r="G8134" s="109">
        <f t="shared" ref="G8134:G8197" ca="1" si="136">_xlfn.NORM.INV(RAND(),$M$5,$M$6)</f>
        <v>0.24065485716291668</v>
      </c>
    </row>
    <row r="8135" spans="2:7" x14ac:dyDescent="0.25">
      <c r="B8135" s="98"/>
      <c r="F8135">
        <v>8131</v>
      </c>
      <c r="G8135" s="109">
        <f t="shared" ca="1" si="136"/>
        <v>5.5199305242503056E-2</v>
      </c>
    </row>
    <row r="8136" spans="2:7" x14ac:dyDescent="0.25">
      <c r="B8136" s="98"/>
      <c r="F8136">
        <v>8132</v>
      </c>
      <c r="G8136" s="109">
        <f t="shared" ca="1" si="136"/>
        <v>0.27637989687566578</v>
      </c>
    </row>
    <row r="8137" spans="2:7" x14ac:dyDescent="0.25">
      <c r="B8137" s="98"/>
      <c r="F8137">
        <v>8133</v>
      </c>
      <c r="G8137" s="109">
        <f t="shared" ca="1" si="136"/>
        <v>0.19582457305720291</v>
      </c>
    </row>
    <row r="8138" spans="2:7" x14ac:dyDescent="0.25">
      <c r="B8138" s="98"/>
      <c r="F8138">
        <v>8134</v>
      </c>
      <c r="G8138" s="109">
        <f t="shared" ca="1" si="136"/>
        <v>3.3278230797045665E-2</v>
      </c>
    </row>
    <row r="8139" spans="2:7" x14ac:dyDescent="0.25">
      <c r="B8139" s="98"/>
      <c r="F8139">
        <v>8135</v>
      </c>
      <c r="G8139" s="109">
        <f t="shared" ca="1" si="136"/>
        <v>4.9371790664636442E-2</v>
      </c>
    </row>
    <row r="8140" spans="2:7" x14ac:dyDescent="0.25">
      <c r="B8140" s="98"/>
      <c r="F8140">
        <v>8136</v>
      </c>
      <c r="G8140" s="109">
        <f t="shared" ca="1" si="136"/>
        <v>1.6791040343834794E-2</v>
      </c>
    </row>
    <row r="8141" spans="2:7" x14ac:dyDescent="0.25">
      <c r="B8141" s="98"/>
      <c r="F8141">
        <v>8137</v>
      </c>
      <c r="G8141" s="109">
        <f t="shared" ca="1" si="136"/>
        <v>-5.4028728286227873E-2</v>
      </c>
    </row>
    <row r="8142" spans="2:7" x14ac:dyDescent="0.25">
      <c r="B8142" s="98"/>
      <c r="F8142">
        <v>8138</v>
      </c>
      <c r="G8142" s="109">
        <f t="shared" ca="1" si="136"/>
        <v>-9.0408746538394133E-2</v>
      </c>
    </row>
    <row r="8143" spans="2:7" x14ac:dyDescent="0.25">
      <c r="B8143" s="98"/>
      <c r="F8143">
        <v>8139</v>
      </c>
      <c r="G8143" s="109">
        <f t="shared" ca="1" si="136"/>
        <v>-3.3895114047377134E-2</v>
      </c>
    </row>
    <row r="8144" spans="2:7" x14ac:dyDescent="0.25">
      <c r="B8144" s="98"/>
      <c r="F8144">
        <v>8140</v>
      </c>
      <c r="G8144" s="109">
        <f t="shared" ca="1" si="136"/>
        <v>-3.4945430436829419E-2</v>
      </c>
    </row>
    <row r="8145" spans="2:7" x14ac:dyDescent="0.25">
      <c r="B8145" s="98"/>
      <c r="F8145">
        <v>8141</v>
      </c>
      <c r="G8145" s="109">
        <f t="shared" ca="1" si="136"/>
        <v>-2.3687719032252808E-2</v>
      </c>
    </row>
    <row r="8146" spans="2:7" x14ac:dyDescent="0.25">
      <c r="B8146" s="98"/>
      <c r="F8146">
        <v>8142</v>
      </c>
      <c r="G8146" s="109">
        <f t="shared" ca="1" si="136"/>
        <v>-4.4696282733739587E-3</v>
      </c>
    </row>
    <row r="8147" spans="2:7" x14ac:dyDescent="0.25">
      <c r="B8147" s="98"/>
      <c r="F8147">
        <v>8143</v>
      </c>
      <c r="G8147" s="109">
        <f t="shared" ca="1" si="136"/>
        <v>5.0125639690106638E-2</v>
      </c>
    </row>
    <row r="8148" spans="2:7" x14ac:dyDescent="0.25">
      <c r="B8148" s="98"/>
      <c r="F8148">
        <v>8144</v>
      </c>
      <c r="G8148" s="109">
        <f t="shared" ca="1" si="136"/>
        <v>0.17961089865698621</v>
      </c>
    </row>
    <row r="8149" spans="2:7" x14ac:dyDescent="0.25">
      <c r="B8149" s="98"/>
      <c r="F8149">
        <v>8145</v>
      </c>
      <c r="G8149" s="109">
        <f t="shared" ca="1" si="136"/>
        <v>-6.8969791846498693E-2</v>
      </c>
    </row>
    <row r="8150" spans="2:7" x14ac:dyDescent="0.25">
      <c r="B8150" s="98"/>
      <c r="F8150">
        <v>8146</v>
      </c>
      <c r="G8150" s="109">
        <f t="shared" ca="1" si="136"/>
        <v>2.984533239602058E-2</v>
      </c>
    </row>
    <row r="8151" spans="2:7" x14ac:dyDescent="0.25">
      <c r="B8151" s="98"/>
      <c r="F8151">
        <v>8147</v>
      </c>
      <c r="G8151" s="109">
        <f t="shared" ca="1" si="136"/>
        <v>0.19483305445096522</v>
      </c>
    </row>
    <row r="8152" spans="2:7" x14ac:dyDescent="0.25">
      <c r="B8152" s="98"/>
      <c r="F8152">
        <v>8148</v>
      </c>
      <c r="G8152" s="109">
        <f t="shared" ca="1" si="136"/>
        <v>3.2880671085321805E-2</v>
      </c>
    </row>
    <row r="8153" spans="2:7" x14ac:dyDescent="0.25">
      <c r="B8153" s="98"/>
      <c r="F8153">
        <v>8149</v>
      </c>
      <c r="G8153" s="109">
        <f t="shared" ca="1" si="136"/>
        <v>-3.3595637235443926E-2</v>
      </c>
    </row>
    <row r="8154" spans="2:7" x14ac:dyDescent="0.25">
      <c r="B8154" s="98"/>
      <c r="F8154">
        <v>8150</v>
      </c>
      <c r="G8154" s="109">
        <f t="shared" ca="1" si="136"/>
        <v>-6.6900022040528723E-3</v>
      </c>
    </row>
    <row r="8155" spans="2:7" x14ac:dyDescent="0.25">
      <c r="B8155" s="98"/>
      <c r="F8155">
        <v>8151</v>
      </c>
      <c r="G8155" s="109">
        <f t="shared" ca="1" si="136"/>
        <v>0.23343025615055596</v>
      </c>
    </row>
    <row r="8156" spans="2:7" x14ac:dyDescent="0.25">
      <c r="B8156" s="98"/>
      <c r="F8156">
        <v>8152</v>
      </c>
      <c r="G8156" s="109">
        <f t="shared" ca="1" si="136"/>
        <v>0.15365565921443886</v>
      </c>
    </row>
    <row r="8157" spans="2:7" x14ac:dyDescent="0.25">
      <c r="B8157" s="98"/>
      <c r="F8157">
        <v>8153</v>
      </c>
      <c r="G8157" s="109">
        <f t="shared" ca="1" si="136"/>
        <v>9.2158895777171596E-2</v>
      </c>
    </row>
    <row r="8158" spans="2:7" x14ac:dyDescent="0.25">
      <c r="B8158" s="98"/>
      <c r="F8158">
        <v>8154</v>
      </c>
      <c r="G8158" s="109">
        <f t="shared" ca="1" si="136"/>
        <v>4.6876116988507632E-2</v>
      </c>
    </row>
    <row r="8159" spans="2:7" x14ac:dyDescent="0.25">
      <c r="B8159" s="98"/>
      <c r="F8159">
        <v>8155</v>
      </c>
      <c r="G8159" s="109">
        <f t="shared" ca="1" si="136"/>
        <v>-3.0268314510676908E-2</v>
      </c>
    </row>
    <row r="8160" spans="2:7" x14ac:dyDescent="0.25">
      <c r="B8160" s="98"/>
      <c r="F8160">
        <v>8156</v>
      </c>
      <c r="G8160" s="109">
        <f t="shared" ca="1" si="136"/>
        <v>-3.7187731254334944E-2</v>
      </c>
    </row>
    <row r="8161" spans="2:7" x14ac:dyDescent="0.25">
      <c r="B8161" s="98"/>
      <c r="F8161">
        <v>8157</v>
      </c>
      <c r="G8161" s="109">
        <f t="shared" ca="1" si="136"/>
        <v>-0.19082080319156181</v>
      </c>
    </row>
    <row r="8162" spans="2:7" x14ac:dyDescent="0.25">
      <c r="B8162" s="98"/>
      <c r="F8162">
        <v>8158</v>
      </c>
      <c r="G8162" s="109">
        <f t="shared" ca="1" si="136"/>
        <v>4.139988272080853E-2</v>
      </c>
    </row>
    <row r="8163" spans="2:7" x14ac:dyDescent="0.25">
      <c r="B8163" s="98"/>
      <c r="F8163">
        <v>8159</v>
      </c>
      <c r="G8163" s="109">
        <f t="shared" ca="1" si="136"/>
        <v>0.18507321599381565</v>
      </c>
    </row>
    <row r="8164" spans="2:7" x14ac:dyDescent="0.25">
      <c r="B8164" s="98"/>
      <c r="F8164">
        <v>8160</v>
      </c>
      <c r="G8164" s="109">
        <f t="shared" ca="1" si="136"/>
        <v>0.17157416060396641</v>
      </c>
    </row>
    <row r="8165" spans="2:7" x14ac:dyDescent="0.25">
      <c r="B8165" s="98"/>
      <c r="F8165">
        <v>8161</v>
      </c>
      <c r="G8165" s="109">
        <f t="shared" ca="1" si="136"/>
        <v>1.1347252993655632E-5</v>
      </c>
    </row>
    <row r="8166" spans="2:7" x14ac:dyDescent="0.25">
      <c r="B8166" s="98"/>
      <c r="F8166">
        <v>8162</v>
      </c>
      <c r="G8166" s="109">
        <f t="shared" ca="1" si="136"/>
        <v>2.9383507203620738E-2</v>
      </c>
    </row>
    <row r="8167" spans="2:7" x14ac:dyDescent="0.25">
      <c r="B8167" s="98"/>
      <c r="F8167">
        <v>8163</v>
      </c>
      <c r="G8167" s="109">
        <f t="shared" ca="1" si="136"/>
        <v>4.4578697720398942E-2</v>
      </c>
    </row>
    <row r="8168" spans="2:7" x14ac:dyDescent="0.25">
      <c r="B8168" s="98"/>
      <c r="F8168">
        <v>8164</v>
      </c>
      <c r="G8168" s="109">
        <f t="shared" ca="1" si="136"/>
        <v>-0.11324262716431475</v>
      </c>
    </row>
    <row r="8169" spans="2:7" x14ac:dyDescent="0.25">
      <c r="B8169" s="98"/>
      <c r="F8169">
        <v>8165</v>
      </c>
      <c r="G8169" s="109">
        <f t="shared" ca="1" si="136"/>
        <v>4.5996842773115824E-2</v>
      </c>
    </row>
    <row r="8170" spans="2:7" x14ac:dyDescent="0.25">
      <c r="B8170" s="98"/>
      <c r="F8170">
        <v>8166</v>
      </c>
      <c r="G8170" s="109">
        <f t="shared" ca="1" si="136"/>
        <v>6.4938385184984682E-2</v>
      </c>
    </row>
    <row r="8171" spans="2:7" x14ac:dyDescent="0.25">
      <c r="B8171" s="98"/>
      <c r="F8171">
        <v>8167</v>
      </c>
      <c r="G8171" s="109">
        <f t="shared" ca="1" si="136"/>
        <v>2.6772206937826077E-2</v>
      </c>
    </row>
    <row r="8172" spans="2:7" x14ac:dyDescent="0.25">
      <c r="B8172" s="98"/>
      <c r="F8172">
        <v>8168</v>
      </c>
      <c r="G8172" s="109">
        <f t="shared" ca="1" si="136"/>
        <v>-0.13876492343586339</v>
      </c>
    </row>
    <row r="8173" spans="2:7" x14ac:dyDescent="0.25">
      <c r="B8173" s="98"/>
      <c r="F8173">
        <v>8169</v>
      </c>
      <c r="G8173" s="109">
        <f t="shared" ca="1" si="136"/>
        <v>3.2066108784541789E-2</v>
      </c>
    </row>
    <row r="8174" spans="2:7" x14ac:dyDescent="0.25">
      <c r="B8174" s="98"/>
      <c r="F8174">
        <v>8170</v>
      </c>
      <c r="G8174" s="109">
        <f t="shared" ca="1" si="136"/>
        <v>0.11186083491498454</v>
      </c>
    </row>
    <row r="8175" spans="2:7" x14ac:dyDescent="0.25">
      <c r="B8175" s="98"/>
      <c r="F8175">
        <v>8171</v>
      </c>
      <c r="G8175" s="109">
        <f t="shared" ca="1" si="136"/>
        <v>-0.15559406121101521</v>
      </c>
    </row>
    <row r="8176" spans="2:7" x14ac:dyDescent="0.25">
      <c r="B8176" s="98"/>
      <c r="F8176">
        <v>8172</v>
      </c>
      <c r="G8176" s="109">
        <f t="shared" ca="1" si="136"/>
        <v>0.15588272727094327</v>
      </c>
    </row>
    <row r="8177" spans="2:7" x14ac:dyDescent="0.25">
      <c r="B8177" s="98"/>
      <c r="F8177">
        <v>8173</v>
      </c>
      <c r="G8177" s="109">
        <f t="shared" ca="1" si="136"/>
        <v>-3.1300777567087171E-2</v>
      </c>
    </row>
    <row r="8178" spans="2:7" x14ac:dyDescent="0.25">
      <c r="B8178" s="98"/>
      <c r="F8178">
        <v>8174</v>
      </c>
      <c r="G8178" s="109">
        <f t="shared" ca="1" si="136"/>
        <v>9.5489137326303375E-3</v>
      </c>
    </row>
    <row r="8179" spans="2:7" x14ac:dyDescent="0.25">
      <c r="B8179" s="98"/>
      <c r="F8179">
        <v>8175</v>
      </c>
      <c r="G8179" s="109">
        <f t="shared" ca="1" si="136"/>
        <v>-7.680702022158864E-2</v>
      </c>
    </row>
    <row r="8180" spans="2:7" x14ac:dyDescent="0.25">
      <c r="B8180" s="98"/>
      <c r="F8180">
        <v>8176</v>
      </c>
      <c r="G8180" s="109">
        <f t="shared" ca="1" si="136"/>
        <v>-2.3049662833784609E-2</v>
      </c>
    </row>
    <row r="8181" spans="2:7" x14ac:dyDescent="0.25">
      <c r="B8181" s="98"/>
      <c r="F8181">
        <v>8177</v>
      </c>
      <c r="G8181" s="109">
        <f t="shared" ca="1" si="136"/>
        <v>4.4686409653389055E-2</v>
      </c>
    </row>
    <row r="8182" spans="2:7" x14ac:dyDescent="0.25">
      <c r="B8182" s="98"/>
      <c r="F8182">
        <v>8178</v>
      </c>
      <c r="G8182" s="109">
        <f t="shared" ca="1" si="136"/>
        <v>0.2503568147950273</v>
      </c>
    </row>
    <row r="8183" spans="2:7" x14ac:dyDescent="0.25">
      <c r="B8183" s="98"/>
      <c r="F8183">
        <v>8179</v>
      </c>
      <c r="G8183" s="109">
        <f t="shared" ca="1" si="136"/>
        <v>-8.8663294879138724E-2</v>
      </c>
    </row>
    <row r="8184" spans="2:7" x14ac:dyDescent="0.25">
      <c r="B8184" s="98"/>
      <c r="F8184">
        <v>8180</v>
      </c>
      <c r="G8184" s="109">
        <f t="shared" ca="1" si="136"/>
        <v>9.7231976585881175E-2</v>
      </c>
    </row>
    <row r="8185" spans="2:7" x14ac:dyDescent="0.25">
      <c r="B8185" s="98"/>
      <c r="F8185">
        <v>8181</v>
      </c>
      <c r="G8185" s="109">
        <f t="shared" ca="1" si="136"/>
        <v>0.1748787918455208</v>
      </c>
    </row>
    <row r="8186" spans="2:7" x14ac:dyDescent="0.25">
      <c r="B8186" s="98"/>
      <c r="F8186">
        <v>8182</v>
      </c>
      <c r="G8186" s="109">
        <f t="shared" ca="1" si="136"/>
        <v>1.5673352567683534E-2</v>
      </c>
    </row>
    <row r="8187" spans="2:7" x14ac:dyDescent="0.25">
      <c r="B8187" s="98"/>
      <c r="F8187">
        <v>8183</v>
      </c>
      <c r="G8187" s="109">
        <f t="shared" ca="1" si="136"/>
        <v>0.20432187072796493</v>
      </c>
    </row>
    <row r="8188" spans="2:7" x14ac:dyDescent="0.25">
      <c r="B8188" s="98"/>
      <c r="F8188">
        <v>8184</v>
      </c>
      <c r="G8188" s="109">
        <f t="shared" ca="1" si="136"/>
        <v>0.12857230618977156</v>
      </c>
    </row>
    <row r="8189" spans="2:7" x14ac:dyDescent="0.25">
      <c r="B8189" s="98"/>
      <c r="F8189">
        <v>8185</v>
      </c>
      <c r="G8189" s="109">
        <f t="shared" ca="1" si="136"/>
        <v>-0.15797429861939982</v>
      </c>
    </row>
    <row r="8190" spans="2:7" x14ac:dyDescent="0.25">
      <c r="B8190" s="98"/>
      <c r="F8190">
        <v>8186</v>
      </c>
      <c r="G8190" s="109">
        <f t="shared" ca="1" si="136"/>
        <v>1.6678865616291463E-3</v>
      </c>
    </row>
    <row r="8191" spans="2:7" x14ac:dyDescent="0.25">
      <c r="B8191" s="98"/>
      <c r="F8191">
        <v>8187</v>
      </c>
      <c r="G8191" s="109">
        <f t="shared" ca="1" si="136"/>
        <v>0.23146491142177716</v>
      </c>
    </row>
    <row r="8192" spans="2:7" x14ac:dyDescent="0.25">
      <c r="B8192" s="98"/>
      <c r="F8192">
        <v>8188</v>
      </c>
      <c r="G8192" s="109">
        <f t="shared" ca="1" si="136"/>
        <v>1.5347961022601993E-2</v>
      </c>
    </row>
    <row r="8193" spans="2:7" x14ac:dyDescent="0.25">
      <c r="B8193" s="98"/>
      <c r="F8193">
        <v>8189</v>
      </c>
      <c r="G8193" s="109">
        <f t="shared" ca="1" si="136"/>
        <v>6.605147814838E-2</v>
      </c>
    </row>
    <row r="8194" spans="2:7" x14ac:dyDescent="0.25">
      <c r="B8194" s="98"/>
      <c r="F8194">
        <v>8190</v>
      </c>
      <c r="G8194" s="109">
        <f t="shared" ca="1" si="136"/>
        <v>2.1740866097897132E-2</v>
      </c>
    </row>
    <row r="8195" spans="2:7" x14ac:dyDescent="0.25">
      <c r="B8195" s="98"/>
      <c r="F8195">
        <v>8191</v>
      </c>
      <c r="G8195" s="109">
        <f t="shared" ca="1" si="136"/>
        <v>7.0989809952804253E-3</v>
      </c>
    </row>
    <row r="8196" spans="2:7" x14ac:dyDescent="0.25">
      <c r="B8196" s="98"/>
      <c r="F8196">
        <v>8192</v>
      </c>
      <c r="G8196" s="109">
        <f t="shared" ca="1" si="136"/>
        <v>0.34252872695874081</v>
      </c>
    </row>
    <row r="8197" spans="2:7" x14ac:dyDescent="0.25">
      <c r="B8197" s="98"/>
      <c r="F8197">
        <v>8193</v>
      </c>
      <c r="G8197" s="109">
        <f t="shared" ca="1" si="136"/>
        <v>-8.5852398048419057E-2</v>
      </c>
    </row>
    <row r="8198" spans="2:7" x14ac:dyDescent="0.25">
      <c r="B8198" s="98"/>
      <c r="F8198">
        <v>8194</v>
      </c>
      <c r="G8198" s="109">
        <f t="shared" ref="G8198:G8261" ca="1" si="137">_xlfn.NORM.INV(RAND(),$M$5,$M$6)</f>
        <v>2.3536430305689873E-2</v>
      </c>
    </row>
    <row r="8199" spans="2:7" x14ac:dyDescent="0.25">
      <c r="B8199" s="98"/>
      <c r="F8199">
        <v>8195</v>
      </c>
      <c r="G8199" s="109">
        <f t="shared" ca="1" si="137"/>
        <v>-0.1180597953029897</v>
      </c>
    </row>
    <row r="8200" spans="2:7" x14ac:dyDescent="0.25">
      <c r="B8200" s="98"/>
      <c r="F8200">
        <v>8196</v>
      </c>
      <c r="G8200" s="109">
        <f t="shared" ca="1" si="137"/>
        <v>-0.19678107750191587</v>
      </c>
    </row>
    <row r="8201" spans="2:7" x14ac:dyDescent="0.25">
      <c r="B8201" s="98"/>
      <c r="F8201">
        <v>8197</v>
      </c>
      <c r="G8201" s="109">
        <f t="shared" ca="1" si="137"/>
        <v>7.3669183918210021E-2</v>
      </c>
    </row>
    <row r="8202" spans="2:7" x14ac:dyDescent="0.25">
      <c r="B8202" s="98"/>
      <c r="F8202">
        <v>8198</v>
      </c>
      <c r="G8202" s="109">
        <f t="shared" ca="1" si="137"/>
        <v>0.29046207075668168</v>
      </c>
    </row>
    <row r="8203" spans="2:7" x14ac:dyDescent="0.25">
      <c r="B8203" s="98"/>
      <c r="F8203">
        <v>8199</v>
      </c>
      <c r="G8203" s="109">
        <f t="shared" ca="1" si="137"/>
        <v>9.8179910223303871E-2</v>
      </c>
    </row>
    <row r="8204" spans="2:7" x14ac:dyDescent="0.25">
      <c r="B8204" s="98"/>
      <c r="F8204">
        <v>8200</v>
      </c>
      <c r="G8204" s="109">
        <f t="shared" ca="1" si="137"/>
        <v>-1.4213188548799091E-2</v>
      </c>
    </row>
    <row r="8205" spans="2:7" x14ac:dyDescent="0.25">
      <c r="B8205" s="98"/>
      <c r="F8205">
        <v>8201</v>
      </c>
      <c r="G8205" s="109">
        <f t="shared" ca="1" si="137"/>
        <v>-1.8041082386518123E-2</v>
      </c>
    </row>
    <row r="8206" spans="2:7" x14ac:dyDescent="0.25">
      <c r="B8206" s="98"/>
      <c r="F8206">
        <v>8202</v>
      </c>
      <c r="G8206" s="109">
        <f t="shared" ca="1" si="137"/>
        <v>4.2619786530159368E-2</v>
      </c>
    </row>
    <row r="8207" spans="2:7" x14ac:dyDescent="0.25">
      <c r="B8207" s="98"/>
      <c r="F8207">
        <v>8203</v>
      </c>
      <c r="G8207" s="109">
        <f t="shared" ca="1" si="137"/>
        <v>8.8904939930054577E-2</v>
      </c>
    </row>
    <row r="8208" spans="2:7" x14ac:dyDescent="0.25">
      <c r="B8208" s="98"/>
      <c r="F8208">
        <v>8204</v>
      </c>
      <c r="G8208" s="109">
        <f t="shared" ca="1" si="137"/>
        <v>0.17370941681847518</v>
      </c>
    </row>
    <row r="8209" spans="2:7" x14ac:dyDescent="0.25">
      <c r="B8209" s="98"/>
      <c r="F8209">
        <v>8205</v>
      </c>
      <c r="G8209" s="109">
        <f t="shared" ca="1" si="137"/>
        <v>0.15954319947621959</v>
      </c>
    </row>
    <row r="8210" spans="2:7" x14ac:dyDescent="0.25">
      <c r="B8210" s="98"/>
      <c r="F8210">
        <v>8206</v>
      </c>
      <c r="G8210" s="109">
        <f t="shared" ca="1" si="137"/>
        <v>0.14438862139679975</v>
      </c>
    </row>
    <row r="8211" spans="2:7" x14ac:dyDescent="0.25">
      <c r="B8211" s="98"/>
      <c r="F8211">
        <v>8207</v>
      </c>
      <c r="G8211" s="109">
        <f t="shared" ca="1" si="137"/>
        <v>8.5898203324534406E-2</v>
      </c>
    </row>
    <row r="8212" spans="2:7" x14ac:dyDescent="0.25">
      <c r="B8212" s="98"/>
      <c r="F8212">
        <v>8208</v>
      </c>
      <c r="G8212" s="109">
        <f t="shared" ca="1" si="137"/>
        <v>-0.15374330843031614</v>
      </c>
    </row>
    <row r="8213" spans="2:7" x14ac:dyDescent="0.25">
      <c r="B8213" s="98"/>
      <c r="F8213">
        <v>8209</v>
      </c>
      <c r="G8213" s="109">
        <f t="shared" ca="1" si="137"/>
        <v>-9.7668084509670114E-2</v>
      </c>
    </row>
    <row r="8214" spans="2:7" x14ac:dyDescent="0.25">
      <c r="B8214" s="98"/>
      <c r="F8214">
        <v>8210</v>
      </c>
      <c r="G8214" s="109">
        <f t="shared" ca="1" si="137"/>
        <v>0.27160837501254803</v>
      </c>
    </row>
    <row r="8215" spans="2:7" x14ac:dyDescent="0.25">
      <c r="B8215" s="98"/>
      <c r="F8215">
        <v>8211</v>
      </c>
      <c r="G8215" s="109">
        <f t="shared" ca="1" si="137"/>
        <v>-6.4139009548086073E-2</v>
      </c>
    </row>
    <row r="8216" spans="2:7" x14ac:dyDescent="0.25">
      <c r="B8216" s="98"/>
      <c r="F8216">
        <v>8212</v>
      </c>
      <c r="G8216" s="109">
        <f t="shared" ca="1" si="137"/>
        <v>-6.779533118904113E-4</v>
      </c>
    </row>
    <row r="8217" spans="2:7" x14ac:dyDescent="0.25">
      <c r="B8217" s="98"/>
      <c r="F8217">
        <v>8213</v>
      </c>
      <c r="G8217" s="109">
        <f t="shared" ca="1" si="137"/>
        <v>-4.5066790212834273E-2</v>
      </c>
    </row>
    <row r="8218" spans="2:7" x14ac:dyDescent="0.25">
      <c r="B8218" s="98"/>
      <c r="F8218">
        <v>8214</v>
      </c>
      <c r="G8218" s="109">
        <f t="shared" ca="1" si="137"/>
        <v>-1.2397084889490144E-2</v>
      </c>
    </row>
    <row r="8219" spans="2:7" x14ac:dyDescent="0.25">
      <c r="B8219" s="98"/>
      <c r="F8219">
        <v>8215</v>
      </c>
      <c r="G8219" s="109">
        <f t="shared" ca="1" si="137"/>
        <v>7.8523152034255805E-2</v>
      </c>
    </row>
    <row r="8220" spans="2:7" x14ac:dyDescent="0.25">
      <c r="B8220" s="98"/>
      <c r="F8220">
        <v>8216</v>
      </c>
      <c r="G8220" s="109">
        <f t="shared" ca="1" si="137"/>
        <v>-9.0599162924520513E-2</v>
      </c>
    </row>
    <row r="8221" spans="2:7" x14ac:dyDescent="0.25">
      <c r="B8221" s="98"/>
      <c r="F8221">
        <v>8217</v>
      </c>
      <c r="G8221" s="109">
        <f t="shared" ca="1" si="137"/>
        <v>-8.7326379152644476E-2</v>
      </c>
    </row>
    <row r="8222" spans="2:7" x14ac:dyDescent="0.25">
      <c r="B8222" s="98"/>
      <c r="F8222">
        <v>8218</v>
      </c>
      <c r="G8222" s="109">
        <f t="shared" ca="1" si="137"/>
        <v>-0.12786318259000989</v>
      </c>
    </row>
    <row r="8223" spans="2:7" x14ac:dyDescent="0.25">
      <c r="B8223" s="98"/>
      <c r="F8223">
        <v>8219</v>
      </c>
      <c r="G8223" s="109">
        <f t="shared" ca="1" si="137"/>
        <v>5.3580657147530936E-2</v>
      </c>
    </row>
    <row r="8224" spans="2:7" x14ac:dyDescent="0.25">
      <c r="B8224" s="98"/>
      <c r="F8224">
        <v>8220</v>
      </c>
      <c r="G8224" s="109">
        <f t="shared" ca="1" si="137"/>
        <v>0.11201478677526532</v>
      </c>
    </row>
    <row r="8225" spans="2:7" x14ac:dyDescent="0.25">
      <c r="B8225" s="98"/>
      <c r="F8225">
        <v>8221</v>
      </c>
      <c r="G8225" s="109">
        <f t="shared" ca="1" si="137"/>
        <v>-2.4290367010135872E-2</v>
      </c>
    </row>
    <row r="8226" spans="2:7" x14ac:dyDescent="0.25">
      <c r="B8226" s="98"/>
      <c r="F8226">
        <v>8222</v>
      </c>
      <c r="G8226" s="109">
        <f t="shared" ca="1" si="137"/>
        <v>2.9272856299521574E-2</v>
      </c>
    </row>
    <row r="8227" spans="2:7" x14ac:dyDescent="0.25">
      <c r="B8227" s="98"/>
      <c r="F8227">
        <v>8223</v>
      </c>
      <c r="G8227" s="109">
        <f t="shared" ca="1" si="137"/>
        <v>0.13801117593409787</v>
      </c>
    </row>
    <row r="8228" spans="2:7" x14ac:dyDescent="0.25">
      <c r="B8228" s="98"/>
      <c r="F8228">
        <v>8224</v>
      </c>
      <c r="G8228" s="109">
        <f t="shared" ca="1" si="137"/>
        <v>-1.2657216423864873E-2</v>
      </c>
    </row>
    <row r="8229" spans="2:7" x14ac:dyDescent="0.25">
      <c r="B8229" s="98"/>
      <c r="F8229">
        <v>8225</v>
      </c>
      <c r="G8229" s="109">
        <f t="shared" ca="1" si="137"/>
        <v>0.21398884671921187</v>
      </c>
    </row>
    <row r="8230" spans="2:7" x14ac:dyDescent="0.25">
      <c r="B8230" s="98"/>
      <c r="F8230">
        <v>8226</v>
      </c>
      <c r="G8230" s="109">
        <f t="shared" ca="1" si="137"/>
        <v>0.12667659130708447</v>
      </c>
    </row>
    <row r="8231" spans="2:7" x14ac:dyDescent="0.25">
      <c r="B8231" s="98"/>
      <c r="F8231">
        <v>8227</v>
      </c>
      <c r="G8231" s="109">
        <f t="shared" ca="1" si="137"/>
        <v>0.17719100284840134</v>
      </c>
    </row>
    <row r="8232" spans="2:7" x14ac:dyDescent="0.25">
      <c r="B8232" s="98"/>
      <c r="F8232">
        <v>8228</v>
      </c>
      <c r="G8232" s="109">
        <f t="shared" ca="1" si="137"/>
        <v>1.1061463569805197E-2</v>
      </c>
    </row>
    <row r="8233" spans="2:7" x14ac:dyDescent="0.25">
      <c r="B8233" s="98"/>
      <c r="F8233">
        <v>8229</v>
      </c>
      <c r="G8233" s="109">
        <f t="shared" ca="1" si="137"/>
        <v>5.9030072636107996E-2</v>
      </c>
    </row>
    <row r="8234" spans="2:7" x14ac:dyDescent="0.25">
      <c r="B8234" s="98"/>
      <c r="F8234">
        <v>8230</v>
      </c>
      <c r="G8234" s="109">
        <f t="shared" ca="1" si="137"/>
        <v>8.9274543580158086E-2</v>
      </c>
    </row>
    <row r="8235" spans="2:7" x14ac:dyDescent="0.25">
      <c r="B8235" s="98"/>
      <c r="F8235">
        <v>8231</v>
      </c>
      <c r="G8235" s="109">
        <f t="shared" ca="1" si="137"/>
        <v>3.5742146319963065E-2</v>
      </c>
    </row>
    <row r="8236" spans="2:7" x14ac:dyDescent="0.25">
      <c r="B8236" s="98"/>
      <c r="F8236">
        <v>8232</v>
      </c>
      <c r="G8236" s="109">
        <f t="shared" ca="1" si="137"/>
        <v>8.6622495252277887E-2</v>
      </c>
    </row>
    <row r="8237" spans="2:7" x14ac:dyDescent="0.25">
      <c r="B8237" s="98"/>
      <c r="F8237">
        <v>8233</v>
      </c>
      <c r="G8237" s="109">
        <f t="shared" ca="1" si="137"/>
        <v>0.16205765530521149</v>
      </c>
    </row>
    <row r="8238" spans="2:7" x14ac:dyDescent="0.25">
      <c r="B8238" s="98"/>
      <c r="F8238">
        <v>8234</v>
      </c>
      <c r="G8238" s="109">
        <f t="shared" ca="1" si="137"/>
        <v>1.7843841210306962E-2</v>
      </c>
    </row>
    <row r="8239" spans="2:7" x14ac:dyDescent="0.25">
      <c r="B8239" s="98"/>
      <c r="F8239">
        <v>8235</v>
      </c>
      <c r="G8239" s="109">
        <f t="shared" ca="1" si="137"/>
        <v>-0.16867606199970758</v>
      </c>
    </row>
    <row r="8240" spans="2:7" x14ac:dyDescent="0.25">
      <c r="B8240" s="98"/>
      <c r="F8240">
        <v>8236</v>
      </c>
      <c r="G8240" s="109">
        <f t="shared" ca="1" si="137"/>
        <v>2.4595689793340952E-3</v>
      </c>
    </row>
    <row r="8241" spans="2:7" x14ac:dyDescent="0.25">
      <c r="B8241" s="98"/>
      <c r="F8241">
        <v>8237</v>
      </c>
      <c r="G8241" s="109">
        <f t="shared" ca="1" si="137"/>
        <v>-7.9660471844104075E-3</v>
      </c>
    </row>
    <row r="8242" spans="2:7" x14ac:dyDescent="0.25">
      <c r="B8242" s="98"/>
      <c r="F8242">
        <v>8238</v>
      </c>
      <c r="G8242" s="109">
        <f t="shared" ca="1" si="137"/>
        <v>5.2897182652067332E-2</v>
      </c>
    </row>
    <row r="8243" spans="2:7" x14ac:dyDescent="0.25">
      <c r="B8243" s="98"/>
      <c r="F8243">
        <v>8239</v>
      </c>
      <c r="G8243" s="109">
        <f t="shared" ca="1" si="137"/>
        <v>5.6853311476013108E-2</v>
      </c>
    </row>
    <row r="8244" spans="2:7" x14ac:dyDescent="0.25">
      <c r="B8244" s="98"/>
      <c r="F8244">
        <v>8240</v>
      </c>
      <c r="G8244" s="109">
        <f t="shared" ca="1" si="137"/>
        <v>-1.0987510581221105E-2</v>
      </c>
    </row>
    <row r="8245" spans="2:7" x14ac:dyDescent="0.25">
      <c r="B8245" s="98"/>
      <c r="F8245">
        <v>8241</v>
      </c>
      <c r="G8245" s="109">
        <f t="shared" ca="1" si="137"/>
        <v>0.11477849495214489</v>
      </c>
    </row>
    <row r="8246" spans="2:7" x14ac:dyDescent="0.25">
      <c r="B8246" s="98"/>
      <c r="F8246">
        <v>8242</v>
      </c>
      <c r="G8246" s="109">
        <f t="shared" ca="1" si="137"/>
        <v>-1.0189401505125019E-2</v>
      </c>
    </row>
    <row r="8247" spans="2:7" x14ac:dyDescent="0.25">
      <c r="B8247" s="98"/>
      <c r="F8247">
        <v>8243</v>
      </c>
      <c r="G8247" s="109">
        <f t="shared" ca="1" si="137"/>
        <v>9.8888430325917459E-2</v>
      </c>
    </row>
    <row r="8248" spans="2:7" x14ac:dyDescent="0.25">
      <c r="B8248" s="98"/>
      <c r="F8248">
        <v>8244</v>
      </c>
      <c r="G8248" s="109">
        <f t="shared" ca="1" si="137"/>
        <v>9.2697222798979212E-2</v>
      </c>
    </row>
    <row r="8249" spans="2:7" x14ac:dyDescent="0.25">
      <c r="B8249" s="98"/>
      <c r="F8249">
        <v>8245</v>
      </c>
      <c r="G8249" s="109">
        <f t="shared" ca="1" si="137"/>
        <v>8.5563313419683762E-2</v>
      </c>
    </row>
    <row r="8250" spans="2:7" x14ac:dyDescent="0.25">
      <c r="B8250" s="98"/>
      <c r="F8250">
        <v>8246</v>
      </c>
      <c r="G8250" s="109">
        <f t="shared" ca="1" si="137"/>
        <v>9.0946302409158408E-2</v>
      </c>
    </row>
    <row r="8251" spans="2:7" x14ac:dyDescent="0.25">
      <c r="B8251" s="98"/>
      <c r="F8251">
        <v>8247</v>
      </c>
      <c r="G8251" s="109">
        <f t="shared" ca="1" si="137"/>
        <v>0.1074990455385253</v>
      </c>
    </row>
    <row r="8252" spans="2:7" x14ac:dyDescent="0.25">
      <c r="B8252" s="98"/>
      <c r="F8252">
        <v>8248</v>
      </c>
      <c r="G8252" s="109">
        <f t="shared" ca="1" si="137"/>
        <v>0.15190540661779187</v>
      </c>
    </row>
    <row r="8253" spans="2:7" x14ac:dyDescent="0.25">
      <c r="B8253" s="98"/>
      <c r="F8253">
        <v>8249</v>
      </c>
      <c r="G8253" s="109">
        <f t="shared" ca="1" si="137"/>
        <v>0.16498620697498251</v>
      </c>
    </row>
    <row r="8254" spans="2:7" x14ac:dyDescent="0.25">
      <c r="B8254" s="98"/>
      <c r="F8254">
        <v>8250</v>
      </c>
      <c r="G8254" s="109">
        <f t="shared" ca="1" si="137"/>
        <v>6.6793066569176274E-4</v>
      </c>
    </row>
    <row r="8255" spans="2:7" x14ac:dyDescent="0.25">
      <c r="B8255" s="98"/>
      <c r="F8255">
        <v>8251</v>
      </c>
      <c r="G8255" s="109">
        <f t="shared" ca="1" si="137"/>
        <v>-5.3176623239581639E-2</v>
      </c>
    </row>
    <row r="8256" spans="2:7" x14ac:dyDescent="0.25">
      <c r="B8256" s="98"/>
      <c r="F8256">
        <v>8252</v>
      </c>
      <c r="G8256" s="109">
        <f t="shared" ca="1" si="137"/>
        <v>-0.21039518326330298</v>
      </c>
    </row>
    <row r="8257" spans="2:7" x14ac:dyDescent="0.25">
      <c r="B8257" s="98"/>
      <c r="F8257">
        <v>8253</v>
      </c>
      <c r="G8257" s="109">
        <f t="shared" ca="1" si="137"/>
        <v>0.20386128530933134</v>
      </c>
    </row>
    <row r="8258" spans="2:7" x14ac:dyDescent="0.25">
      <c r="B8258" s="98"/>
      <c r="F8258">
        <v>8254</v>
      </c>
      <c r="G8258" s="109">
        <f t="shared" ca="1" si="137"/>
        <v>1.6685494202773862E-2</v>
      </c>
    </row>
    <row r="8259" spans="2:7" x14ac:dyDescent="0.25">
      <c r="B8259" s="98"/>
      <c r="F8259">
        <v>8255</v>
      </c>
      <c r="G8259" s="109">
        <f t="shared" ca="1" si="137"/>
        <v>-9.8907027193923955E-2</v>
      </c>
    </row>
    <row r="8260" spans="2:7" x14ac:dyDescent="0.25">
      <c r="B8260" s="98"/>
      <c r="F8260">
        <v>8256</v>
      </c>
      <c r="G8260" s="109">
        <f t="shared" ca="1" si="137"/>
        <v>0.11828103169249769</v>
      </c>
    </row>
    <row r="8261" spans="2:7" x14ac:dyDescent="0.25">
      <c r="B8261" s="98"/>
      <c r="F8261">
        <v>8257</v>
      </c>
      <c r="G8261" s="109">
        <f t="shared" ca="1" si="137"/>
        <v>-5.9814495432573417E-2</v>
      </c>
    </row>
    <row r="8262" spans="2:7" x14ac:dyDescent="0.25">
      <c r="B8262" s="98"/>
      <c r="F8262">
        <v>8258</v>
      </c>
      <c r="G8262" s="109">
        <f t="shared" ref="G8262:G8325" ca="1" si="138">_xlfn.NORM.INV(RAND(),$M$5,$M$6)</f>
        <v>0.13276442482993267</v>
      </c>
    </row>
    <row r="8263" spans="2:7" x14ac:dyDescent="0.25">
      <c r="B8263" s="98"/>
      <c r="F8263">
        <v>8259</v>
      </c>
      <c r="G8263" s="109">
        <f t="shared" ca="1" si="138"/>
        <v>6.8157744714288537E-2</v>
      </c>
    </row>
    <row r="8264" spans="2:7" x14ac:dyDescent="0.25">
      <c r="B8264" s="98"/>
      <c r="F8264">
        <v>8260</v>
      </c>
      <c r="G8264" s="109">
        <f t="shared" ca="1" si="138"/>
        <v>6.5050941115316313E-2</v>
      </c>
    </row>
    <row r="8265" spans="2:7" x14ac:dyDescent="0.25">
      <c r="B8265" s="98"/>
      <c r="F8265">
        <v>8261</v>
      </c>
      <c r="G8265" s="109">
        <f t="shared" ca="1" si="138"/>
        <v>3.8022378500005942E-2</v>
      </c>
    </row>
    <row r="8266" spans="2:7" x14ac:dyDescent="0.25">
      <c r="B8266" s="98"/>
      <c r="F8266">
        <v>8262</v>
      </c>
      <c r="G8266" s="109">
        <f t="shared" ca="1" si="138"/>
        <v>3.134306171892963E-2</v>
      </c>
    </row>
    <row r="8267" spans="2:7" x14ac:dyDescent="0.25">
      <c r="B8267" s="98"/>
      <c r="F8267">
        <v>8263</v>
      </c>
      <c r="G8267" s="109">
        <f t="shared" ca="1" si="138"/>
        <v>-9.0845461258162188E-2</v>
      </c>
    </row>
    <row r="8268" spans="2:7" x14ac:dyDescent="0.25">
      <c r="B8268" s="98"/>
      <c r="F8268">
        <v>8264</v>
      </c>
      <c r="G8268" s="109">
        <f t="shared" ca="1" si="138"/>
        <v>0.11243437861891635</v>
      </c>
    </row>
    <row r="8269" spans="2:7" x14ac:dyDescent="0.25">
      <c r="B8269" s="98"/>
      <c r="F8269">
        <v>8265</v>
      </c>
      <c r="G8269" s="109">
        <f t="shared" ca="1" si="138"/>
        <v>8.5015276290876379E-2</v>
      </c>
    </row>
    <row r="8270" spans="2:7" x14ac:dyDescent="0.25">
      <c r="B8270" s="98"/>
      <c r="F8270">
        <v>8266</v>
      </c>
      <c r="G8270" s="109">
        <f t="shared" ca="1" si="138"/>
        <v>-2.0358561854094043E-2</v>
      </c>
    </row>
    <row r="8271" spans="2:7" x14ac:dyDescent="0.25">
      <c r="B8271" s="98"/>
      <c r="F8271">
        <v>8267</v>
      </c>
      <c r="G8271" s="109">
        <f t="shared" ca="1" si="138"/>
        <v>-0.20937753400212872</v>
      </c>
    </row>
    <row r="8272" spans="2:7" x14ac:dyDescent="0.25">
      <c r="B8272" s="98"/>
      <c r="F8272">
        <v>8268</v>
      </c>
      <c r="G8272" s="109">
        <f t="shared" ca="1" si="138"/>
        <v>3.3159265542441405E-2</v>
      </c>
    </row>
    <row r="8273" spans="2:7" x14ac:dyDescent="0.25">
      <c r="B8273" s="98"/>
      <c r="F8273">
        <v>8269</v>
      </c>
      <c r="G8273" s="109">
        <f t="shared" ca="1" si="138"/>
        <v>3.2563763511014636E-2</v>
      </c>
    </row>
    <row r="8274" spans="2:7" x14ac:dyDescent="0.25">
      <c r="B8274" s="98"/>
      <c r="F8274">
        <v>8270</v>
      </c>
      <c r="G8274" s="109">
        <f t="shared" ca="1" si="138"/>
        <v>-4.6078080583786096E-2</v>
      </c>
    </row>
    <row r="8275" spans="2:7" x14ac:dyDescent="0.25">
      <c r="B8275" s="98"/>
      <c r="F8275">
        <v>8271</v>
      </c>
      <c r="G8275" s="109">
        <f t="shared" ca="1" si="138"/>
        <v>-8.0084320508442094E-2</v>
      </c>
    </row>
    <row r="8276" spans="2:7" x14ac:dyDescent="0.25">
      <c r="B8276" s="98"/>
      <c r="F8276">
        <v>8272</v>
      </c>
      <c r="G8276" s="109">
        <f t="shared" ca="1" si="138"/>
        <v>-7.3364127004227758E-3</v>
      </c>
    </row>
    <row r="8277" spans="2:7" x14ac:dyDescent="0.25">
      <c r="B8277" s="98"/>
      <c r="F8277">
        <v>8273</v>
      </c>
      <c r="G8277" s="109">
        <f t="shared" ca="1" si="138"/>
        <v>2.2939519975383911E-2</v>
      </c>
    </row>
    <row r="8278" spans="2:7" x14ac:dyDescent="0.25">
      <c r="B8278" s="98"/>
      <c r="F8278">
        <v>8274</v>
      </c>
      <c r="G8278" s="109">
        <f t="shared" ca="1" si="138"/>
        <v>3.1747820631601517E-2</v>
      </c>
    </row>
    <row r="8279" spans="2:7" x14ac:dyDescent="0.25">
      <c r="B8279" s="98"/>
      <c r="F8279">
        <v>8275</v>
      </c>
      <c r="G8279" s="109">
        <f t="shared" ca="1" si="138"/>
        <v>0.13891037973685322</v>
      </c>
    </row>
    <row r="8280" spans="2:7" x14ac:dyDescent="0.25">
      <c r="B8280" s="98"/>
      <c r="F8280">
        <v>8276</v>
      </c>
      <c r="G8280" s="109">
        <f t="shared" ca="1" si="138"/>
        <v>4.6232700054843957E-2</v>
      </c>
    </row>
    <row r="8281" spans="2:7" x14ac:dyDescent="0.25">
      <c r="B8281" s="98"/>
      <c r="F8281">
        <v>8277</v>
      </c>
      <c r="G8281" s="109">
        <f t="shared" ca="1" si="138"/>
        <v>-7.5871736947803969E-2</v>
      </c>
    </row>
    <row r="8282" spans="2:7" x14ac:dyDescent="0.25">
      <c r="B8282" s="98"/>
      <c r="F8282">
        <v>8278</v>
      </c>
      <c r="G8282" s="109">
        <f t="shared" ca="1" si="138"/>
        <v>0.16229179072003203</v>
      </c>
    </row>
    <row r="8283" spans="2:7" x14ac:dyDescent="0.25">
      <c r="B8283" s="98"/>
      <c r="F8283">
        <v>8279</v>
      </c>
      <c r="G8283" s="109">
        <f t="shared" ca="1" si="138"/>
        <v>-4.409277152237695E-2</v>
      </c>
    </row>
    <row r="8284" spans="2:7" x14ac:dyDescent="0.25">
      <c r="B8284" s="98"/>
      <c r="F8284">
        <v>8280</v>
      </c>
      <c r="G8284" s="109">
        <f t="shared" ca="1" si="138"/>
        <v>0.16540873806983208</v>
      </c>
    </row>
    <row r="8285" spans="2:7" x14ac:dyDescent="0.25">
      <c r="B8285" s="98"/>
      <c r="F8285">
        <v>8281</v>
      </c>
      <c r="G8285" s="109">
        <f t="shared" ca="1" si="138"/>
        <v>-0.12933269687180321</v>
      </c>
    </row>
    <row r="8286" spans="2:7" x14ac:dyDescent="0.25">
      <c r="B8286" s="98"/>
      <c r="F8286">
        <v>8282</v>
      </c>
      <c r="G8286" s="109">
        <f t="shared" ca="1" si="138"/>
        <v>7.3150562364508037E-2</v>
      </c>
    </row>
    <row r="8287" spans="2:7" x14ac:dyDescent="0.25">
      <c r="B8287" s="98"/>
      <c r="F8287">
        <v>8283</v>
      </c>
      <c r="G8287" s="109">
        <f t="shared" ca="1" si="138"/>
        <v>2.9255983088542752E-2</v>
      </c>
    </row>
    <row r="8288" spans="2:7" x14ac:dyDescent="0.25">
      <c r="B8288" s="98"/>
      <c r="F8288">
        <v>8284</v>
      </c>
      <c r="G8288" s="109">
        <f t="shared" ca="1" si="138"/>
        <v>0.11893198599185696</v>
      </c>
    </row>
    <row r="8289" spans="2:7" x14ac:dyDescent="0.25">
      <c r="B8289" s="98"/>
      <c r="F8289">
        <v>8285</v>
      </c>
      <c r="G8289" s="109">
        <f t="shared" ca="1" si="138"/>
        <v>6.8238699564629801E-2</v>
      </c>
    </row>
    <row r="8290" spans="2:7" x14ac:dyDescent="0.25">
      <c r="B8290" s="98"/>
      <c r="F8290">
        <v>8286</v>
      </c>
      <c r="G8290" s="109">
        <f t="shared" ca="1" si="138"/>
        <v>-0.10053007711090532</v>
      </c>
    </row>
    <row r="8291" spans="2:7" x14ac:dyDescent="0.25">
      <c r="B8291" s="98"/>
      <c r="F8291">
        <v>8287</v>
      </c>
      <c r="G8291" s="109">
        <f t="shared" ca="1" si="138"/>
        <v>-3.3409161219878469E-2</v>
      </c>
    </row>
    <row r="8292" spans="2:7" x14ac:dyDescent="0.25">
      <c r="B8292" s="98"/>
      <c r="F8292">
        <v>8288</v>
      </c>
      <c r="G8292" s="109">
        <f t="shared" ca="1" si="138"/>
        <v>0.17998827789482819</v>
      </c>
    </row>
    <row r="8293" spans="2:7" x14ac:dyDescent="0.25">
      <c r="B8293" s="98"/>
      <c r="F8293">
        <v>8289</v>
      </c>
      <c r="G8293" s="109">
        <f t="shared" ca="1" si="138"/>
        <v>3.1426867554447152E-2</v>
      </c>
    </row>
    <row r="8294" spans="2:7" x14ac:dyDescent="0.25">
      <c r="B8294" s="98"/>
      <c r="F8294">
        <v>8290</v>
      </c>
      <c r="G8294" s="109">
        <f t="shared" ca="1" si="138"/>
        <v>-8.6056284878767556E-2</v>
      </c>
    </row>
    <row r="8295" spans="2:7" x14ac:dyDescent="0.25">
      <c r="B8295" s="98"/>
      <c r="F8295">
        <v>8291</v>
      </c>
      <c r="G8295" s="109">
        <f t="shared" ca="1" si="138"/>
        <v>3.3874466695769753E-2</v>
      </c>
    </row>
    <row r="8296" spans="2:7" x14ac:dyDescent="0.25">
      <c r="B8296" s="98"/>
      <c r="F8296">
        <v>8292</v>
      </c>
      <c r="G8296" s="109">
        <f t="shared" ca="1" si="138"/>
        <v>-8.6298684100076892E-2</v>
      </c>
    </row>
    <row r="8297" spans="2:7" x14ac:dyDescent="0.25">
      <c r="B8297" s="98"/>
      <c r="F8297">
        <v>8293</v>
      </c>
      <c r="G8297" s="109">
        <f t="shared" ca="1" si="138"/>
        <v>8.4103518749119019E-2</v>
      </c>
    </row>
    <row r="8298" spans="2:7" x14ac:dyDescent="0.25">
      <c r="B8298" s="98"/>
      <c r="F8298">
        <v>8294</v>
      </c>
      <c r="G8298" s="109">
        <f t="shared" ca="1" si="138"/>
        <v>-3.6432401301703679E-2</v>
      </c>
    </row>
    <row r="8299" spans="2:7" x14ac:dyDescent="0.25">
      <c r="B8299" s="98"/>
      <c r="F8299">
        <v>8295</v>
      </c>
      <c r="G8299" s="109">
        <f t="shared" ca="1" si="138"/>
        <v>0.20237024658417535</v>
      </c>
    </row>
    <row r="8300" spans="2:7" x14ac:dyDescent="0.25">
      <c r="B8300" s="98"/>
      <c r="F8300">
        <v>8296</v>
      </c>
      <c r="G8300" s="109">
        <f t="shared" ca="1" si="138"/>
        <v>-5.0224691981183719E-2</v>
      </c>
    </row>
    <row r="8301" spans="2:7" x14ac:dyDescent="0.25">
      <c r="B8301" s="98"/>
      <c r="F8301">
        <v>8297</v>
      </c>
      <c r="G8301" s="109">
        <f t="shared" ca="1" si="138"/>
        <v>1.0441485286088348E-2</v>
      </c>
    </row>
    <row r="8302" spans="2:7" x14ac:dyDescent="0.25">
      <c r="B8302" s="98"/>
      <c r="F8302">
        <v>8298</v>
      </c>
      <c r="G8302" s="109">
        <f t="shared" ca="1" si="138"/>
        <v>-4.8503504890699142E-2</v>
      </c>
    </row>
    <row r="8303" spans="2:7" x14ac:dyDescent="0.25">
      <c r="B8303" s="98"/>
      <c r="F8303">
        <v>8299</v>
      </c>
      <c r="G8303" s="109">
        <f t="shared" ca="1" si="138"/>
        <v>0.21645900207484287</v>
      </c>
    </row>
    <row r="8304" spans="2:7" x14ac:dyDescent="0.25">
      <c r="B8304" s="98"/>
      <c r="F8304">
        <v>8300</v>
      </c>
      <c r="G8304" s="109">
        <f t="shared" ca="1" si="138"/>
        <v>0.29567728438394675</v>
      </c>
    </row>
    <row r="8305" spans="2:7" x14ac:dyDescent="0.25">
      <c r="B8305" s="98"/>
      <c r="F8305">
        <v>8301</v>
      </c>
      <c r="G8305" s="109">
        <f t="shared" ca="1" si="138"/>
        <v>-0.2056698211992441</v>
      </c>
    </row>
    <row r="8306" spans="2:7" x14ac:dyDescent="0.25">
      <c r="B8306" s="98"/>
      <c r="F8306">
        <v>8302</v>
      </c>
      <c r="G8306" s="109">
        <f t="shared" ca="1" si="138"/>
        <v>-0.11119789390205735</v>
      </c>
    </row>
    <row r="8307" spans="2:7" x14ac:dyDescent="0.25">
      <c r="B8307" s="98"/>
      <c r="F8307">
        <v>8303</v>
      </c>
      <c r="G8307" s="109">
        <f t="shared" ca="1" si="138"/>
        <v>-0.11732234257739409</v>
      </c>
    </row>
    <row r="8308" spans="2:7" x14ac:dyDescent="0.25">
      <c r="B8308" s="98"/>
      <c r="F8308">
        <v>8304</v>
      </c>
      <c r="G8308" s="109">
        <f t="shared" ca="1" si="138"/>
        <v>0.10411224642284211</v>
      </c>
    </row>
    <row r="8309" spans="2:7" x14ac:dyDescent="0.25">
      <c r="B8309" s="98"/>
      <c r="F8309">
        <v>8305</v>
      </c>
      <c r="G8309" s="109">
        <f t="shared" ca="1" si="138"/>
        <v>0.11969974742628997</v>
      </c>
    </row>
    <row r="8310" spans="2:7" x14ac:dyDescent="0.25">
      <c r="B8310" s="98"/>
      <c r="F8310">
        <v>8306</v>
      </c>
      <c r="G8310" s="109">
        <f t="shared" ca="1" si="138"/>
        <v>0.12607624597323652</v>
      </c>
    </row>
    <row r="8311" spans="2:7" x14ac:dyDescent="0.25">
      <c r="B8311" s="98"/>
      <c r="F8311">
        <v>8307</v>
      </c>
      <c r="G8311" s="109">
        <f t="shared" ca="1" si="138"/>
        <v>1.6138829860680385E-2</v>
      </c>
    </row>
    <row r="8312" spans="2:7" x14ac:dyDescent="0.25">
      <c r="B8312" s="98"/>
      <c r="F8312">
        <v>8308</v>
      </c>
      <c r="G8312" s="109">
        <f t="shared" ca="1" si="138"/>
        <v>0.13126951822989716</v>
      </c>
    </row>
    <row r="8313" spans="2:7" x14ac:dyDescent="0.25">
      <c r="B8313" s="98"/>
      <c r="F8313">
        <v>8309</v>
      </c>
      <c r="G8313" s="109">
        <f t="shared" ca="1" si="138"/>
        <v>1.0191447640174815E-2</v>
      </c>
    </row>
    <row r="8314" spans="2:7" x14ac:dyDescent="0.25">
      <c r="B8314" s="98"/>
      <c r="F8314">
        <v>8310</v>
      </c>
      <c r="G8314" s="109">
        <f t="shared" ca="1" si="138"/>
        <v>6.0601802119555362E-2</v>
      </c>
    </row>
    <row r="8315" spans="2:7" x14ac:dyDescent="0.25">
      <c r="B8315" s="98"/>
      <c r="F8315">
        <v>8311</v>
      </c>
      <c r="G8315" s="109">
        <f t="shared" ca="1" si="138"/>
        <v>-8.9981789581683583E-2</v>
      </c>
    </row>
    <row r="8316" spans="2:7" x14ac:dyDescent="0.25">
      <c r="B8316" s="98"/>
      <c r="F8316">
        <v>8312</v>
      </c>
      <c r="G8316" s="109">
        <f t="shared" ca="1" si="138"/>
        <v>-8.6345916196822761E-2</v>
      </c>
    </row>
    <row r="8317" spans="2:7" x14ac:dyDescent="0.25">
      <c r="B8317" s="98"/>
      <c r="F8317">
        <v>8313</v>
      </c>
      <c r="G8317" s="109">
        <f t="shared" ca="1" si="138"/>
        <v>5.4339024864699846E-2</v>
      </c>
    </row>
    <row r="8318" spans="2:7" x14ac:dyDescent="0.25">
      <c r="B8318" s="98"/>
      <c r="F8318">
        <v>8314</v>
      </c>
      <c r="G8318" s="109">
        <f t="shared" ca="1" si="138"/>
        <v>4.0072886763389326E-2</v>
      </c>
    </row>
    <row r="8319" spans="2:7" x14ac:dyDescent="0.25">
      <c r="B8319" s="98"/>
      <c r="F8319">
        <v>8315</v>
      </c>
      <c r="G8319" s="109">
        <f t="shared" ca="1" si="138"/>
        <v>-8.8165103421616445E-2</v>
      </c>
    </row>
    <row r="8320" spans="2:7" x14ac:dyDescent="0.25">
      <c r="B8320" s="98"/>
      <c r="F8320">
        <v>8316</v>
      </c>
      <c r="G8320" s="109">
        <f t="shared" ca="1" si="138"/>
        <v>-9.1744585524320424E-2</v>
      </c>
    </row>
    <row r="8321" spans="2:7" x14ac:dyDescent="0.25">
      <c r="B8321" s="98"/>
      <c r="F8321">
        <v>8317</v>
      </c>
      <c r="G8321" s="109">
        <f t="shared" ca="1" si="138"/>
        <v>-0.10604509227404994</v>
      </c>
    </row>
    <row r="8322" spans="2:7" x14ac:dyDescent="0.25">
      <c r="B8322" s="98"/>
      <c r="F8322">
        <v>8318</v>
      </c>
      <c r="G8322" s="109">
        <f t="shared" ca="1" si="138"/>
        <v>2.0990003801145244E-2</v>
      </c>
    </row>
    <row r="8323" spans="2:7" x14ac:dyDescent="0.25">
      <c r="B8323" s="98"/>
      <c r="F8323">
        <v>8319</v>
      </c>
      <c r="G8323" s="109">
        <f t="shared" ca="1" si="138"/>
        <v>-0.10679071316948945</v>
      </c>
    </row>
    <row r="8324" spans="2:7" x14ac:dyDescent="0.25">
      <c r="B8324" s="98"/>
      <c r="F8324">
        <v>8320</v>
      </c>
      <c r="G8324" s="109">
        <f t="shared" ca="1" si="138"/>
        <v>5.9809632110765225E-2</v>
      </c>
    </row>
    <row r="8325" spans="2:7" x14ac:dyDescent="0.25">
      <c r="B8325" s="98"/>
      <c r="F8325">
        <v>8321</v>
      </c>
      <c r="G8325" s="109">
        <f t="shared" ca="1" si="138"/>
        <v>0.13379847840683862</v>
      </c>
    </row>
    <row r="8326" spans="2:7" x14ac:dyDescent="0.25">
      <c r="B8326" s="98"/>
      <c r="F8326">
        <v>8322</v>
      </c>
      <c r="G8326" s="109">
        <f t="shared" ref="G8326:G8389" ca="1" si="139">_xlfn.NORM.INV(RAND(),$M$5,$M$6)</f>
        <v>6.8587240152145831E-3</v>
      </c>
    </row>
    <row r="8327" spans="2:7" x14ac:dyDescent="0.25">
      <c r="B8327" s="98"/>
      <c r="F8327">
        <v>8323</v>
      </c>
      <c r="G8327" s="109">
        <f t="shared" ca="1" si="139"/>
        <v>-2.647614297008663E-2</v>
      </c>
    </row>
    <row r="8328" spans="2:7" x14ac:dyDescent="0.25">
      <c r="B8328" s="98"/>
      <c r="F8328">
        <v>8324</v>
      </c>
      <c r="G8328" s="109">
        <f t="shared" ca="1" si="139"/>
        <v>4.9406948057221643E-2</v>
      </c>
    </row>
    <row r="8329" spans="2:7" x14ac:dyDescent="0.25">
      <c r="B8329" s="98"/>
      <c r="F8329">
        <v>8325</v>
      </c>
      <c r="G8329" s="109">
        <f t="shared" ca="1" si="139"/>
        <v>-7.961783536502158E-2</v>
      </c>
    </row>
    <row r="8330" spans="2:7" x14ac:dyDescent="0.25">
      <c r="B8330" s="98"/>
      <c r="F8330">
        <v>8326</v>
      </c>
      <c r="G8330" s="109">
        <f t="shared" ca="1" si="139"/>
        <v>-8.8220926049777285E-2</v>
      </c>
    </row>
    <row r="8331" spans="2:7" x14ac:dyDescent="0.25">
      <c r="B8331" s="98"/>
      <c r="F8331">
        <v>8327</v>
      </c>
      <c r="G8331" s="109">
        <f t="shared" ca="1" si="139"/>
        <v>-1.3639830291228477E-2</v>
      </c>
    </row>
    <row r="8332" spans="2:7" x14ac:dyDescent="0.25">
      <c r="B8332" s="98"/>
      <c r="F8332">
        <v>8328</v>
      </c>
      <c r="G8332" s="109">
        <f t="shared" ca="1" si="139"/>
        <v>-3.8370873046516485E-2</v>
      </c>
    </row>
    <row r="8333" spans="2:7" x14ac:dyDescent="0.25">
      <c r="B8333" s="98"/>
      <c r="F8333">
        <v>8329</v>
      </c>
      <c r="G8333" s="109">
        <f t="shared" ca="1" si="139"/>
        <v>0.18686607040379</v>
      </c>
    </row>
    <row r="8334" spans="2:7" x14ac:dyDescent="0.25">
      <c r="B8334" s="98"/>
      <c r="F8334">
        <v>8330</v>
      </c>
      <c r="G8334" s="109">
        <f t="shared" ca="1" si="139"/>
        <v>-2.0792503396699261E-2</v>
      </c>
    </row>
    <row r="8335" spans="2:7" x14ac:dyDescent="0.25">
      <c r="B8335" s="98"/>
      <c r="F8335">
        <v>8331</v>
      </c>
      <c r="G8335" s="109">
        <f t="shared" ca="1" si="139"/>
        <v>-6.4926060982978165E-2</v>
      </c>
    </row>
    <row r="8336" spans="2:7" x14ac:dyDescent="0.25">
      <c r="B8336" s="98"/>
      <c r="F8336">
        <v>8332</v>
      </c>
      <c r="G8336" s="109">
        <f t="shared" ca="1" si="139"/>
        <v>-0.14803257418796145</v>
      </c>
    </row>
    <row r="8337" spans="2:7" x14ac:dyDescent="0.25">
      <c r="B8337" s="98"/>
      <c r="F8337">
        <v>8333</v>
      </c>
      <c r="G8337" s="109">
        <f t="shared" ca="1" si="139"/>
        <v>0.13333216725709102</v>
      </c>
    </row>
    <row r="8338" spans="2:7" x14ac:dyDescent="0.25">
      <c r="B8338" s="98"/>
      <c r="F8338">
        <v>8334</v>
      </c>
      <c r="G8338" s="109">
        <f t="shared" ca="1" si="139"/>
        <v>4.0211373169531953E-2</v>
      </c>
    </row>
    <row r="8339" spans="2:7" x14ac:dyDescent="0.25">
      <c r="B8339" s="98"/>
      <c r="F8339">
        <v>8335</v>
      </c>
      <c r="G8339" s="109">
        <f t="shared" ca="1" si="139"/>
        <v>-7.3867245066215614E-5</v>
      </c>
    </row>
    <row r="8340" spans="2:7" x14ac:dyDescent="0.25">
      <c r="B8340" s="98"/>
      <c r="F8340">
        <v>8336</v>
      </c>
      <c r="G8340" s="109">
        <f t="shared" ca="1" si="139"/>
        <v>8.0312592101602354E-2</v>
      </c>
    </row>
    <row r="8341" spans="2:7" x14ac:dyDescent="0.25">
      <c r="B8341" s="98"/>
      <c r="F8341">
        <v>8337</v>
      </c>
      <c r="G8341" s="109">
        <f t="shared" ca="1" si="139"/>
        <v>3.4754308460650842E-2</v>
      </c>
    </row>
    <row r="8342" spans="2:7" x14ac:dyDescent="0.25">
      <c r="B8342" s="98"/>
      <c r="F8342">
        <v>8338</v>
      </c>
      <c r="G8342" s="109">
        <f t="shared" ca="1" si="139"/>
        <v>-8.5564549786988214E-3</v>
      </c>
    </row>
    <row r="8343" spans="2:7" x14ac:dyDescent="0.25">
      <c r="B8343" s="98"/>
      <c r="F8343">
        <v>8339</v>
      </c>
      <c r="G8343" s="109">
        <f t="shared" ca="1" si="139"/>
        <v>8.8180336678501448E-2</v>
      </c>
    </row>
    <row r="8344" spans="2:7" x14ac:dyDescent="0.25">
      <c r="B8344" s="98"/>
      <c r="F8344">
        <v>8340</v>
      </c>
      <c r="G8344" s="109">
        <f t="shared" ca="1" si="139"/>
        <v>-0.13530039176776798</v>
      </c>
    </row>
    <row r="8345" spans="2:7" x14ac:dyDescent="0.25">
      <c r="B8345" s="98"/>
      <c r="F8345">
        <v>8341</v>
      </c>
      <c r="G8345" s="109">
        <f t="shared" ca="1" si="139"/>
        <v>5.8554545030599578E-3</v>
      </c>
    </row>
    <row r="8346" spans="2:7" x14ac:dyDescent="0.25">
      <c r="B8346" s="98"/>
      <c r="F8346">
        <v>8342</v>
      </c>
      <c r="G8346" s="109">
        <f t="shared" ca="1" si="139"/>
        <v>-2.2144080105773775E-2</v>
      </c>
    </row>
    <row r="8347" spans="2:7" x14ac:dyDescent="0.25">
      <c r="B8347" s="98"/>
      <c r="F8347">
        <v>8343</v>
      </c>
      <c r="G8347" s="109">
        <f t="shared" ca="1" si="139"/>
        <v>-2.2129986866715509E-2</v>
      </c>
    </row>
    <row r="8348" spans="2:7" x14ac:dyDescent="0.25">
      <c r="B8348" s="98"/>
      <c r="F8348">
        <v>8344</v>
      </c>
      <c r="G8348" s="109">
        <f t="shared" ca="1" si="139"/>
        <v>-0.13798096196905596</v>
      </c>
    </row>
    <row r="8349" spans="2:7" x14ac:dyDescent="0.25">
      <c r="B8349" s="98"/>
      <c r="F8349">
        <v>8345</v>
      </c>
      <c r="G8349" s="109">
        <f t="shared" ca="1" si="139"/>
        <v>0.19840669194287219</v>
      </c>
    </row>
    <row r="8350" spans="2:7" x14ac:dyDescent="0.25">
      <c r="B8350" s="98"/>
      <c r="F8350">
        <v>8346</v>
      </c>
      <c r="G8350" s="109">
        <f t="shared" ca="1" si="139"/>
        <v>8.1365819519593902E-2</v>
      </c>
    </row>
    <row r="8351" spans="2:7" x14ac:dyDescent="0.25">
      <c r="B8351" s="98"/>
      <c r="F8351">
        <v>8347</v>
      </c>
      <c r="G8351" s="109">
        <f t="shared" ca="1" si="139"/>
        <v>1.6996267625824651E-3</v>
      </c>
    </row>
    <row r="8352" spans="2:7" x14ac:dyDescent="0.25">
      <c r="B8352" s="98"/>
      <c r="F8352">
        <v>8348</v>
      </c>
      <c r="G8352" s="109">
        <f t="shared" ca="1" si="139"/>
        <v>0.2259464415348067</v>
      </c>
    </row>
    <row r="8353" spans="2:7" x14ac:dyDescent="0.25">
      <c r="B8353" s="98"/>
      <c r="F8353">
        <v>8349</v>
      </c>
      <c r="G8353" s="109">
        <f t="shared" ca="1" si="139"/>
        <v>1.4901312941268157E-2</v>
      </c>
    </row>
    <row r="8354" spans="2:7" x14ac:dyDescent="0.25">
      <c r="B8354" s="98"/>
      <c r="F8354">
        <v>8350</v>
      </c>
      <c r="G8354" s="109">
        <f t="shared" ca="1" si="139"/>
        <v>-3.3778386026175333E-3</v>
      </c>
    </row>
    <row r="8355" spans="2:7" x14ac:dyDescent="0.25">
      <c r="B8355" s="98"/>
      <c r="F8355">
        <v>8351</v>
      </c>
      <c r="G8355" s="109">
        <f t="shared" ca="1" si="139"/>
        <v>4.8299297053958495E-2</v>
      </c>
    </row>
    <row r="8356" spans="2:7" x14ac:dyDescent="0.25">
      <c r="B8356" s="98"/>
      <c r="F8356">
        <v>8352</v>
      </c>
      <c r="G8356" s="109">
        <f t="shared" ca="1" si="139"/>
        <v>-8.6069093305661051E-2</v>
      </c>
    </row>
    <row r="8357" spans="2:7" x14ac:dyDescent="0.25">
      <c r="B8357" s="98"/>
      <c r="F8357">
        <v>8353</v>
      </c>
      <c r="G8357" s="109">
        <f t="shared" ca="1" si="139"/>
        <v>0.13540890319470986</v>
      </c>
    </row>
    <row r="8358" spans="2:7" x14ac:dyDescent="0.25">
      <c r="B8358" s="98"/>
      <c r="F8358">
        <v>8354</v>
      </c>
      <c r="G8358" s="109">
        <f t="shared" ca="1" si="139"/>
        <v>-0.15635648757920168</v>
      </c>
    </row>
    <row r="8359" spans="2:7" x14ac:dyDescent="0.25">
      <c r="B8359" s="98"/>
      <c r="F8359">
        <v>8355</v>
      </c>
      <c r="G8359" s="109">
        <f t="shared" ca="1" si="139"/>
        <v>0.12385969598401027</v>
      </c>
    </row>
    <row r="8360" spans="2:7" x14ac:dyDescent="0.25">
      <c r="B8360" s="98"/>
      <c r="F8360">
        <v>8356</v>
      </c>
      <c r="G8360" s="109">
        <f t="shared" ca="1" si="139"/>
        <v>8.496656404026981E-2</v>
      </c>
    </row>
    <row r="8361" spans="2:7" x14ac:dyDescent="0.25">
      <c r="B8361" s="98"/>
      <c r="F8361">
        <v>8357</v>
      </c>
      <c r="G8361" s="109">
        <f t="shared" ca="1" si="139"/>
        <v>4.6998169767965975E-3</v>
      </c>
    </row>
    <row r="8362" spans="2:7" x14ac:dyDescent="0.25">
      <c r="B8362" s="98"/>
      <c r="F8362">
        <v>8358</v>
      </c>
      <c r="G8362" s="109">
        <f t="shared" ca="1" si="139"/>
        <v>9.2881175440635538E-2</v>
      </c>
    </row>
    <row r="8363" spans="2:7" x14ac:dyDescent="0.25">
      <c r="B8363" s="98"/>
      <c r="F8363">
        <v>8359</v>
      </c>
      <c r="G8363" s="109">
        <f t="shared" ca="1" si="139"/>
        <v>-9.7176162438782035E-2</v>
      </c>
    </row>
    <row r="8364" spans="2:7" x14ac:dyDescent="0.25">
      <c r="B8364" s="98"/>
      <c r="F8364">
        <v>8360</v>
      </c>
      <c r="G8364" s="109">
        <f t="shared" ca="1" si="139"/>
        <v>6.5138968760037025E-2</v>
      </c>
    </row>
    <row r="8365" spans="2:7" x14ac:dyDescent="0.25">
      <c r="B8365" s="98"/>
      <c r="F8365">
        <v>8361</v>
      </c>
      <c r="G8365" s="109">
        <f t="shared" ca="1" si="139"/>
        <v>-4.1801809208398377E-2</v>
      </c>
    </row>
    <row r="8366" spans="2:7" x14ac:dyDescent="0.25">
      <c r="B8366" s="98"/>
      <c r="F8366">
        <v>8362</v>
      </c>
      <c r="G8366" s="109">
        <f t="shared" ca="1" si="139"/>
        <v>2.7616653145473062E-2</v>
      </c>
    </row>
    <row r="8367" spans="2:7" x14ac:dyDescent="0.25">
      <c r="B8367" s="98"/>
      <c r="F8367">
        <v>8363</v>
      </c>
      <c r="G8367" s="109">
        <f t="shared" ca="1" si="139"/>
        <v>2.7217291234296538E-2</v>
      </c>
    </row>
    <row r="8368" spans="2:7" x14ac:dyDescent="0.25">
      <c r="B8368" s="98"/>
      <c r="F8368">
        <v>8364</v>
      </c>
      <c r="G8368" s="109">
        <f t="shared" ca="1" si="139"/>
        <v>0.28319238790790396</v>
      </c>
    </row>
    <row r="8369" spans="2:7" x14ac:dyDescent="0.25">
      <c r="B8369" s="98"/>
      <c r="F8369">
        <v>8365</v>
      </c>
      <c r="G8369" s="109">
        <f t="shared" ca="1" si="139"/>
        <v>0.10540076701134354</v>
      </c>
    </row>
    <row r="8370" spans="2:7" x14ac:dyDescent="0.25">
      <c r="B8370" s="98"/>
      <c r="F8370">
        <v>8366</v>
      </c>
      <c r="G8370" s="109">
        <f t="shared" ca="1" si="139"/>
        <v>-6.5313284352288989E-2</v>
      </c>
    </row>
    <row r="8371" spans="2:7" x14ac:dyDescent="0.25">
      <c r="B8371" s="98"/>
      <c r="F8371">
        <v>8367</v>
      </c>
      <c r="G8371" s="109">
        <f t="shared" ca="1" si="139"/>
        <v>0.18236372406552875</v>
      </c>
    </row>
    <row r="8372" spans="2:7" x14ac:dyDescent="0.25">
      <c r="B8372" s="98"/>
      <c r="F8372">
        <v>8368</v>
      </c>
      <c r="G8372" s="109">
        <f t="shared" ca="1" si="139"/>
        <v>0.15542566350247183</v>
      </c>
    </row>
    <row r="8373" spans="2:7" x14ac:dyDescent="0.25">
      <c r="B8373" s="98"/>
      <c r="F8373">
        <v>8369</v>
      </c>
      <c r="G8373" s="109">
        <f t="shared" ca="1" si="139"/>
        <v>0.15839398469484817</v>
      </c>
    </row>
    <row r="8374" spans="2:7" x14ac:dyDescent="0.25">
      <c r="B8374" s="98"/>
      <c r="F8374">
        <v>8370</v>
      </c>
      <c r="G8374" s="109">
        <f t="shared" ca="1" si="139"/>
        <v>5.5285473278263858E-4</v>
      </c>
    </row>
    <row r="8375" spans="2:7" x14ac:dyDescent="0.25">
      <c r="B8375" s="98"/>
      <c r="F8375">
        <v>8371</v>
      </c>
      <c r="G8375" s="109">
        <f t="shared" ca="1" si="139"/>
        <v>9.7475912049060434E-3</v>
      </c>
    </row>
    <row r="8376" spans="2:7" x14ac:dyDescent="0.25">
      <c r="B8376" s="98"/>
      <c r="F8376">
        <v>8372</v>
      </c>
      <c r="G8376" s="109">
        <f t="shared" ca="1" si="139"/>
        <v>0.14752460036193454</v>
      </c>
    </row>
    <row r="8377" spans="2:7" x14ac:dyDescent="0.25">
      <c r="B8377" s="98"/>
      <c r="F8377">
        <v>8373</v>
      </c>
      <c r="G8377" s="109">
        <f t="shared" ca="1" si="139"/>
        <v>3.6571260957205746E-2</v>
      </c>
    </row>
    <row r="8378" spans="2:7" x14ac:dyDescent="0.25">
      <c r="B8378" s="98"/>
      <c r="F8378">
        <v>8374</v>
      </c>
      <c r="G8378" s="109">
        <f t="shared" ca="1" si="139"/>
        <v>0.13031976935331518</v>
      </c>
    </row>
    <row r="8379" spans="2:7" x14ac:dyDescent="0.25">
      <c r="B8379" s="98"/>
      <c r="F8379">
        <v>8375</v>
      </c>
      <c r="G8379" s="109">
        <f t="shared" ca="1" si="139"/>
        <v>0.12572980722292909</v>
      </c>
    </row>
    <row r="8380" spans="2:7" x14ac:dyDescent="0.25">
      <c r="B8380" s="98"/>
      <c r="F8380">
        <v>8376</v>
      </c>
      <c r="G8380" s="109">
        <f t="shared" ca="1" si="139"/>
        <v>1.4559119915820387E-2</v>
      </c>
    </row>
    <row r="8381" spans="2:7" x14ac:dyDescent="0.25">
      <c r="B8381" s="98"/>
      <c r="F8381">
        <v>8377</v>
      </c>
      <c r="G8381" s="109">
        <f t="shared" ca="1" si="139"/>
        <v>3.9168777644477265E-3</v>
      </c>
    </row>
    <row r="8382" spans="2:7" x14ac:dyDescent="0.25">
      <c r="B8382" s="98"/>
      <c r="F8382">
        <v>8378</v>
      </c>
      <c r="G8382" s="109">
        <f t="shared" ca="1" si="139"/>
        <v>-2.2235768427922589E-2</v>
      </c>
    </row>
    <row r="8383" spans="2:7" x14ac:dyDescent="0.25">
      <c r="B8383" s="98"/>
      <c r="F8383">
        <v>8379</v>
      </c>
      <c r="G8383" s="109">
        <f t="shared" ca="1" si="139"/>
        <v>0.14044056593930751</v>
      </c>
    </row>
    <row r="8384" spans="2:7" x14ac:dyDescent="0.25">
      <c r="B8384" s="98"/>
      <c r="F8384">
        <v>8380</v>
      </c>
      <c r="G8384" s="109">
        <f t="shared" ca="1" si="139"/>
        <v>0.28528169709583834</v>
      </c>
    </row>
    <row r="8385" spans="2:7" x14ac:dyDescent="0.25">
      <c r="B8385" s="98"/>
      <c r="F8385">
        <v>8381</v>
      </c>
      <c r="G8385" s="109">
        <f t="shared" ca="1" si="139"/>
        <v>1.6470229784435395E-3</v>
      </c>
    </row>
    <row r="8386" spans="2:7" x14ac:dyDescent="0.25">
      <c r="B8386" s="98"/>
      <c r="F8386">
        <v>8382</v>
      </c>
      <c r="G8386" s="109">
        <f t="shared" ca="1" si="139"/>
        <v>0.25776783167755157</v>
      </c>
    </row>
    <row r="8387" spans="2:7" x14ac:dyDescent="0.25">
      <c r="B8387" s="98"/>
      <c r="F8387">
        <v>8383</v>
      </c>
      <c r="G8387" s="109">
        <f t="shared" ca="1" si="139"/>
        <v>-6.461162158376893E-2</v>
      </c>
    </row>
    <row r="8388" spans="2:7" x14ac:dyDescent="0.25">
      <c r="B8388" s="98"/>
      <c r="F8388">
        <v>8384</v>
      </c>
      <c r="G8388" s="109">
        <f t="shared" ca="1" si="139"/>
        <v>0.10332901917435022</v>
      </c>
    </row>
    <row r="8389" spans="2:7" x14ac:dyDescent="0.25">
      <c r="B8389" s="98"/>
      <c r="F8389">
        <v>8385</v>
      </c>
      <c r="G8389" s="109">
        <f t="shared" ca="1" si="139"/>
        <v>3.0805178944806097E-2</v>
      </c>
    </row>
    <row r="8390" spans="2:7" x14ac:dyDescent="0.25">
      <c r="B8390" s="98"/>
      <c r="F8390">
        <v>8386</v>
      </c>
      <c r="G8390" s="109">
        <f t="shared" ref="G8390:G8453" ca="1" si="140">_xlfn.NORM.INV(RAND(),$M$5,$M$6)</f>
        <v>-8.2144062928204073E-2</v>
      </c>
    </row>
    <row r="8391" spans="2:7" x14ac:dyDescent="0.25">
      <c r="B8391" s="98"/>
      <c r="F8391">
        <v>8387</v>
      </c>
      <c r="G8391" s="109">
        <f t="shared" ca="1" si="140"/>
        <v>-3.7633958068185688E-2</v>
      </c>
    </row>
    <row r="8392" spans="2:7" x14ac:dyDescent="0.25">
      <c r="B8392" s="98"/>
      <c r="F8392">
        <v>8388</v>
      </c>
      <c r="G8392" s="109">
        <f t="shared" ca="1" si="140"/>
        <v>-2.696012325739007E-2</v>
      </c>
    </row>
    <row r="8393" spans="2:7" x14ac:dyDescent="0.25">
      <c r="B8393" s="98"/>
      <c r="F8393">
        <v>8389</v>
      </c>
      <c r="G8393" s="109">
        <f t="shared" ca="1" si="140"/>
        <v>0.15693034371256179</v>
      </c>
    </row>
    <row r="8394" spans="2:7" x14ac:dyDescent="0.25">
      <c r="B8394" s="98"/>
      <c r="F8394">
        <v>8390</v>
      </c>
      <c r="G8394" s="109">
        <f t="shared" ca="1" si="140"/>
        <v>0.17304523358735713</v>
      </c>
    </row>
    <row r="8395" spans="2:7" x14ac:dyDescent="0.25">
      <c r="B8395" s="98"/>
      <c r="F8395">
        <v>8391</v>
      </c>
      <c r="G8395" s="109">
        <f t="shared" ca="1" si="140"/>
        <v>-1.3545319970336665E-2</v>
      </c>
    </row>
    <row r="8396" spans="2:7" x14ac:dyDescent="0.25">
      <c r="B8396" s="98"/>
      <c r="F8396">
        <v>8392</v>
      </c>
      <c r="G8396" s="109">
        <f t="shared" ca="1" si="140"/>
        <v>-2.590645174012185E-2</v>
      </c>
    </row>
    <row r="8397" spans="2:7" x14ac:dyDescent="0.25">
      <c r="B8397" s="98"/>
      <c r="F8397">
        <v>8393</v>
      </c>
      <c r="G8397" s="109">
        <f t="shared" ca="1" si="140"/>
        <v>8.7988787447424346E-2</v>
      </c>
    </row>
    <row r="8398" spans="2:7" x14ac:dyDescent="0.25">
      <c r="B8398" s="98"/>
      <c r="F8398">
        <v>8394</v>
      </c>
      <c r="G8398" s="109">
        <f t="shared" ca="1" si="140"/>
        <v>-0.11748913456641726</v>
      </c>
    </row>
    <row r="8399" spans="2:7" x14ac:dyDescent="0.25">
      <c r="B8399" s="98"/>
      <c r="F8399">
        <v>8395</v>
      </c>
      <c r="G8399" s="109">
        <f t="shared" ca="1" si="140"/>
        <v>0.21877535128672992</v>
      </c>
    </row>
    <row r="8400" spans="2:7" x14ac:dyDescent="0.25">
      <c r="B8400" s="98"/>
      <c r="F8400">
        <v>8396</v>
      </c>
      <c r="G8400" s="109">
        <f t="shared" ca="1" si="140"/>
        <v>0.17633290524334372</v>
      </c>
    </row>
    <row r="8401" spans="2:7" x14ac:dyDescent="0.25">
      <c r="B8401" s="98"/>
      <c r="F8401">
        <v>8397</v>
      </c>
      <c r="G8401" s="109">
        <f t="shared" ca="1" si="140"/>
        <v>7.207923133381805E-2</v>
      </c>
    </row>
    <row r="8402" spans="2:7" x14ac:dyDescent="0.25">
      <c r="B8402" s="98"/>
      <c r="F8402">
        <v>8398</v>
      </c>
      <c r="G8402" s="109">
        <f t="shared" ca="1" si="140"/>
        <v>6.0014343819583357E-2</v>
      </c>
    </row>
    <row r="8403" spans="2:7" x14ac:dyDescent="0.25">
      <c r="B8403" s="98"/>
      <c r="F8403">
        <v>8399</v>
      </c>
      <c r="G8403" s="109">
        <f t="shared" ca="1" si="140"/>
        <v>0.14692177618115138</v>
      </c>
    </row>
    <row r="8404" spans="2:7" x14ac:dyDescent="0.25">
      <c r="B8404" s="98"/>
      <c r="F8404">
        <v>8400</v>
      </c>
      <c r="G8404" s="109">
        <f t="shared" ca="1" si="140"/>
        <v>1.6744654588018104E-2</v>
      </c>
    </row>
    <row r="8405" spans="2:7" x14ac:dyDescent="0.25">
      <c r="B8405" s="98"/>
      <c r="F8405">
        <v>8401</v>
      </c>
      <c r="G8405" s="109">
        <f t="shared" ca="1" si="140"/>
        <v>-2.60409239947509E-2</v>
      </c>
    </row>
    <row r="8406" spans="2:7" x14ac:dyDescent="0.25">
      <c r="B8406" s="98"/>
      <c r="F8406">
        <v>8402</v>
      </c>
      <c r="G8406" s="109">
        <f t="shared" ca="1" si="140"/>
        <v>2.1561752823318448E-2</v>
      </c>
    </row>
    <row r="8407" spans="2:7" x14ac:dyDescent="0.25">
      <c r="B8407" s="98"/>
      <c r="F8407">
        <v>8403</v>
      </c>
      <c r="G8407" s="109">
        <f t="shared" ca="1" si="140"/>
        <v>0.11785768054274297</v>
      </c>
    </row>
    <row r="8408" spans="2:7" x14ac:dyDescent="0.25">
      <c r="B8408" s="98"/>
      <c r="F8408">
        <v>8404</v>
      </c>
      <c r="G8408" s="109">
        <f t="shared" ca="1" si="140"/>
        <v>-9.1426164493861248E-3</v>
      </c>
    </row>
    <row r="8409" spans="2:7" x14ac:dyDescent="0.25">
      <c r="B8409" s="98"/>
      <c r="F8409">
        <v>8405</v>
      </c>
      <c r="G8409" s="109">
        <f t="shared" ca="1" si="140"/>
        <v>0.13818481622034529</v>
      </c>
    </row>
    <row r="8410" spans="2:7" x14ac:dyDescent="0.25">
      <c r="B8410" s="98"/>
      <c r="F8410">
        <v>8406</v>
      </c>
      <c r="G8410" s="109">
        <f t="shared" ca="1" si="140"/>
        <v>-1.9797964158295253E-2</v>
      </c>
    </row>
    <row r="8411" spans="2:7" x14ac:dyDescent="0.25">
      <c r="B8411" s="98"/>
      <c r="F8411">
        <v>8407</v>
      </c>
      <c r="G8411" s="109">
        <f t="shared" ca="1" si="140"/>
        <v>-3.4081752459788631E-2</v>
      </c>
    </row>
    <row r="8412" spans="2:7" x14ac:dyDescent="0.25">
      <c r="B8412" s="98"/>
      <c r="F8412">
        <v>8408</v>
      </c>
      <c r="G8412" s="109">
        <f t="shared" ca="1" si="140"/>
        <v>6.3146863691333266E-2</v>
      </c>
    </row>
    <row r="8413" spans="2:7" x14ac:dyDescent="0.25">
      <c r="B8413" s="98"/>
      <c r="F8413">
        <v>8409</v>
      </c>
      <c r="G8413" s="109">
        <f t="shared" ca="1" si="140"/>
        <v>-5.596244102476311E-2</v>
      </c>
    </row>
    <row r="8414" spans="2:7" x14ac:dyDescent="0.25">
      <c r="B8414" s="98"/>
      <c r="F8414">
        <v>8410</v>
      </c>
      <c r="G8414" s="109">
        <f t="shared" ca="1" si="140"/>
        <v>0.11332469768745879</v>
      </c>
    </row>
    <row r="8415" spans="2:7" x14ac:dyDescent="0.25">
      <c r="B8415" s="98"/>
      <c r="F8415">
        <v>8411</v>
      </c>
      <c r="G8415" s="109">
        <f t="shared" ca="1" si="140"/>
        <v>-0.12390865264282151</v>
      </c>
    </row>
    <row r="8416" spans="2:7" x14ac:dyDescent="0.25">
      <c r="B8416" s="98"/>
      <c r="F8416">
        <v>8412</v>
      </c>
      <c r="G8416" s="109">
        <f t="shared" ca="1" si="140"/>
        <v>4.4124660773275579E-3</v>
      </c>
    </row>
    <row r="8417" spans="2:7" x14ac:dyDescent="0.25">
      <c r="B8417" s="98"/>
      <c r="F8417">
        <v>8413</v>
      </c>
      <c r="G8417" s="109">
        <f t="shared" ca="1" si="140"/>
        <v>-4.3486319106881971E-2</v>
      </c>
    </row>
    <row r="8418" spans="2:7" x14ac:dyDescent="0.25">
      <c r="B8418" s="98"/>
      <c r="F8418">
        <v>8414</v>
      </c>
      <c r="G8418" s="109">
        <f t="shared" ca="1" si="140"/>
        <v>-3.5741665126388461E-2</v>
      </c>
    </row>
    <row r="8419" spans="2:7" x14ac:dyDescent="0.25">
      <c r="B8419" s="98"/>
      <c r="F8419">
        <v>8415</v>
      </c>
      <c r="G8419" s="109">
        <f t="shared" ca="1" si="140"/>
        <v>4.4266118000059002E-2</v>
      </c>
    </row>
    <row r="8420" spans="2:7" x14ac:dyDescent="0.25">
      <c r="B8420" s="98"/>
      <c r="F8420">
        <v>8416</v>
      </c>
      <c r="G8420" s="109">
        <f t="shared" ca="1" si="140"/>
        <v>8.6012886231114957E-2</v>
      </c>
    </row>
    <row r="8421" spans="2:7" x14ac:dyDescent="0.25">
      <c r="B8421" s="98"/>
      <c r="F8421">
        <v>8417</v>
      </c>
      <c r="G8421" s="109">
        <f t="shared" ca="1" si="140"/>
        <v>9.4981638397346496E-2</v>
      </c>
    </row>
    <row r="8422" spans="2:7" x14ac:dyDescent="0.25">
      <c r="B8422" s="98"/>
      <c r="F8422">
        <v>8418</v>
      </c>
      <c r="G8422" s="109">
        <f t="shared" ca="1" si="140"/>
        <v>-9.3542998181015038E-2</v>
      </c>
    </row>
    <row r="8423" spans="2:7" x14ac:dyDescent="0.25">
      <c r="B8423" s="98"/>
      <c r="F8423">
        <v>8419</v>
      </c>
      <c r="G8423" s="109">
        <f t="shared" ca="1" si="140"/>
        <v>4.3182783654713737E-2</v>
      </c>
    </row>
    <row r="8424" spans="2:7" x14ac:dyDescent="0.25">
      <c r="B8424" s="98"/>
      <c r="F8424">
        <v>8420</v>
      </c>
      <c r="G8424" s="109">
        <f t="shared" ca="1" si="140"/>
        <v>-0.12487560802576204</v>
      </c>
    </row>
    <row r="8425" spans="2:7" x14ac:dyDescent="0.25">
      <c r="B8425" s="98"/>
      <c r="F8425">
        <v>8421</v>
      </c>
      <c r="G8425" s="109">
        <f t="shared" ca="1" si="140"/>
        <v>-0.12232220164498182</v>
      </c>
    </row>
    <row r="8426" spans="2:7" x14ac:dyDescent="0.25">
      <c r="B8426" s="98"/>
      <c r="F8426">
        <v>8422</v>
      </c>
      <c r="G8426" s="109">
        <f t="shared" ca="1" si="140"/>
        <v>0.21397474748739864</v>
      </c>
    </row>
    <row r="8427" spans="2:7" x14ac:dyDescent="0.25">
      <c r="B8427" s="98"/>
      <c r="F8427">
        <v>8423</v>
      </c>
      <c r="G8427" s="109">
        <f t="shared" ca="1" si="140"/>
        <v>-1.2704692403580284E-3</v>
      </c>
    </row>
    <row r="8428" spans="2:7" x14ac:dyDescent="0.25">
      <c r="B8428" s="98"/>
      <c r="F8428">
        <v>8424</v>
      </c>
      <c r="G8428" s="109">
        <f t="shared" ca="1" si="140"/>
        <v>4.2636976194972462E-2</v>
      </c>
    </row>
    <row r="8429" spans="2:7" x14ac:dyDescent="0.25">
      <c r="B8429" s="98"/>
      <c r="F8429">
        <v>8425</v>
      </c>
      <c r="G8429" s="109">
        <f t="shared" ca="1" si="140"/>
        <v>-9.6983089281348259E-2</v>
      </c>
    </row>
    <row r="8430" spans="2:7" x14ac:dyDescent="0.25">
      <c r="B8430" s="98"/>
      <c r="F8430">
        <v>8426</v>
      </c>
      <c r="G8430" s="109">
        <f t="shared" ca="1" si="140"/>
        <v>0.14631192594219261</v>
      </c>
    </row>
    <row r="8431" spans="2:7" x14ac:dyDescent="0.25">
      <c r="B8431" s="98"/>
      <c r="F8431">
        <v>8427</v>
      </c>
      <c r="G8431" s="109">
        <f t="shared" ca="1" si="140"/>
        <v>0.11107678572032803</v>
      </c>
    </row>
    <row r="8432" spans="2:7" x14ac:dyDescent="0.25">
      <c r="B8432" s="98"/>
      <c r="F8432">
        <v>8428</v>
      </c>
      <c r="G8432" s="109">
        <f t="shared" ca="1" si="140"/>
        <v>5.6236293709956572E-2</v>
      </c>
    </row>
    <row r="8433" spans="2:7" x14ac:dyDescent="0.25">
      <c r="B8433" s="98"/>
      <c r="F8433">
        <v>8429</v>
      </c>
      <c r="G8433" s="109">
        <f t="shared" ca="1" si="140"/>
        <v>-0.13104465944207438</v>
      </c>
    </row>
    <row r="8434" spans="2:7" x14ac:dyDescent="0.25">
      <c r="B8434" s="98"/>
      <c r="F8434">
        <v>8430</v>
      </c>
      <c r="G8434" s="109">
        <f t="shared" ca="1" si="140"/>
        <v>2.9205083882501287E-2</v>
      </c>
    </row>
    <row r="8435" spans="2:7" x14ac:dyDescent="0.25">
      <c r="B8435" s="98"/>
      <c r="F8435">
        <v>8431</v>
      </c>
      <c r="G8435" s="109">
        <f t="shared" ca="1" si="140"/>
        <v>-1.8818712965701687E-2</v>
      </c>
    </row>
    <row r="8436" spans="2:7" x14ac:dyDescent="0.25">
      <c r="B8436" s="98"/>
      <c r="F8436">
        <v>8432</v>
      </c>
      <c r="G8436" s="109">
        <f t="shared" ca="1" si="140"/>
        <v>-0.26158174442642834</v>
      </c>
    </row>
    <row r="8437" spans="2:7" x14ac:dyDescent="0.25">
      <c r="B8437" s="98"/>
      <c r="F8437">
        <v>8433</v>
      </c>
      <c r="G8437" s="109">
        <f t="shared" ca="1" si="140"/>
        <v>0.12804252992133711</v>
      </c>
    </row>
    <row r="8438" spans="2:7" x14ac:dyDescent="0.25">
      <c r="B8438" s="98"/>
      <c r="F8438">
        <v>8434</v>
      </c>
      <c r="G8438" s="109">
        <f t="shared" ca="1" si="140"/>
        <v>8.1809232029068979E-2</v>
      </c>
    </row>
    <row r="8439" spans="2:7" x14ac:dyDescent="0.25">
      <c r="B8439" s="98"/>
      <c r="F8439">
        <v>8435</v>
      </c>
      <c r="G8439" s="109">
        <f t="shared" ca="1" si="140"/>
        <v>-3.6750886076534969E-2</v>
      </c>
    </row>
    <row r="8440" spans="2:7" x14ac:dyDescent="0.25">
      <c r="B8440" s="98"/>
      <c r="F8440">
        <v>8436</v>
      </c>
      <c r="G8440" s="109">
        <f t="shared" ca="1" si="140"/>
        <v>6.1630578469614297E-2</v>
      </c>
    </row>
    <row r="8441" spans="2:7" x14ac:dyDescent="0.25">
      <c r="B8441" s="98"/>
      <c r="F8441">
        <v>8437</v>
      </c>
      <c r="G8441" s="109">
        <f t="shared" ca="1" si="140"/>
        <v>0.18142108771441984</v>
      </c>
    </row>
    <row r="8442" spans="2:7" x14ac:dyDescent="0.25">
      <c r="B8442" s="98"/>
      <c r="F8442">
        <v>8438</v>
      </c>
      <c r="G8442" s="109">
        <f t="shared" ca="1" si="140"/>
        <v>8.20924062176695E-2</v>
      </c>
    </row>
    <row r="8443" spans="2:7" x14ac:dyDescent="0.25">
      <c r="B8443" s="98"/>
      <c r="F8443">
        <v>8439</v>
      </c>
      <c r="G8443" s="109">
        <f t="shared" ca="1" si="140"/>
        <v>-0.17059198613629939</v>
      </c>
    </row>
    <row r="8444" spans="2:7" x14ac:dyDescent="0.25">
      <c r="B8444" s="98"/>
      <c r="F8444">
        <v>8440</v>
      </c>
      <c r="G8444" s="109">
        <f t="shared" ca="1" si="140"/>
        <v>-8.8859077163527464E-2</v>
      </c>
    </row>
    <row r="8445" spans="2:7" x14ac:dyDescent="0.25">
      <c r="B8445" s="98"/>
      <c r="F8445">
        <v>8441</v>
      </c>
      <c r="G8445" s="109">
        <f t="shared" ca="1" si="140"/>
        <v>4.0609829058462964E-2</v>
      </c>
    </row>
    <row r="8446" spans="2:7" x14ac:dyDescent="0.25">
      <c r="B8446" s="98"/>
      <c r="F8446">
        <v>8442</v>
      </c>
      <c r="G8446" s="109">
        <f t="shared" ca="1" si="140"/>
        <v>0.15436166161950812</v>
      </c>
    </row>
    <row r="8447" spans="2:7" x14ac:dyDescent="0.25">
      <c r="B8447" s="98"/>
      <c r="F8447">
        <v>8443</v>
      </c>
      <c r="G8447" s="109">
        <f t="shared" ca="1" si="140"/>
        <v>0.1166140723585716</v>
      </c>
    </row>
    <row r="8448" spans="2:7" x14ac:dyDescent="0.25">
      <c r="B8448" s="98"/>
      <c r="F8448">
        <v>8444</v>
      </c>
      <c r="G8448" s="109">
        <f t="shared" ca="1" si="140"/>
        <v>6.6610580305366138E-2</v>
      </c>
    </row>
    <row r="8449" spans="2:7" x14ac:dyDescent="0.25">
      <c r="B8449" s="98"/>
      <c r="F8449">
        <v>8445</v>
      </c>
      <c r="G8449" s="109">
        <f t="shared" ca="1" si="140"/>
        <v>5.3900808075624244E-2</v>
      </c>
    </row>
    <row r="8450" spans="2:7" x14ac:dyDescent="0.25">
      <c r="B8450" s="98"/>
      <c r="F8450">
        <v>8446</v>
      </c>
      <c r="G8450" s="109">
        <f t="shared" ca="1" si="140"/>
        <v>1.4442486623587537E-2</v>
      </c>
    </row>
    <row r="8451" spans="2:7" x14ac:dyDescent="0.25">
      <c r="B8451" s="98"/>
      <c r="F8451">
        <v>8447</v>
      </c>
      <c r="G8451" s="109">
        <f t="shared" ca="1" si="140"/>
        <v>9.5002862732700352E-3</v>
      </c>
    </row>
    <row r="8452" spans="2:7" x14ac:dyDescent="0.25">
      <c r="B8452" s="98"/>
      <c r="F8452">
        <v>8448</v>
      </c>
      <c r="G8452" s="109">
        <f t="shared" ca="1" si="140"/>
        <v>-1.7815824088324758E-2</v>
      </c>
    </row>
    <row r="8453" spans="2:7" x14ac:dyDescent="0.25">
      <c r="B8453" s="98"/>
      <c r="F8453">
        <v>8449</v>
      </c>
      <c r="G8453" s="109">
        <f t="shared" ca="1" si="140"/>
        <v>-0.13529473126589103</v>
      </c>
    </row>
    <row r="8454" spans="2:7" x14ac:dyDescent="0.25">
      <c r="B8454" s="98"/>
      <c r="F8454">
        <v>8450</v>
      </c>
      <c r="G8454" s="109">
        <f t="shared" ref="G8454:G8517" ca="1" si="141">_xlfn.NORM.INV(RAND(),$M$5,$M$6)</f>
        <v>-7.2849306628793714E-3</v>
      </c>
    </row>
    <row r="8455" spans="2:7" x14ac:dyDescent="0.25">
      <c r="B8455" s="98"/>
      <c r="F8455">
        <v>8451</v>
      </c>
      <c r="G8455" s="109">
        <f t="shared" ca="1" si="141"/>
        <v>-1.6103340436972417E-2</v>
      </c>
    </row>
    <row r="8456" spans="2:7" x14ac:dyDescent="0.25">
      <c r="B8456" s="98"/>
      <c r="F8456">
        <v>8452</v>
      </c>
      <c r="G8456" s="109">
        <f t="shared" ca="1" si="141"/>
        <v>-3.4900743087785485E-2</v>
      </c>
    </row>
    <row r="8457" spans="2:7" x14ac:dyDescent="0.25">
      <c r="B8457" s="98"/>
      <c r="F8457">
        <v>8453</v>
      </c>
      <c r="G8457" s="109">
        <f t="shared" ca="1" si="141"/>
        <v>0.27786538528073118</v>
      </c>
    </row>
    <row r="8458" spans="2:7" x14ac:dyDescent="0.25">
      <c r="B8458" s="98"/>
      <c r="F8458">
        <v>8454</v>
      </c>
      <c r="G8458" s="109">
        <f t="shared" ca="1" si="141"/>
        <v>-6.0747859164541909E-2</v>
      </c>
    </row>
    <row r="8459" spans="2:7" x14ac:dyDescent="0.25">
      <c r="B8459" s="98"/>
      <c r="F8459">
        <v>8455</v>
      </c>
      <c r="G8459" s="109">
        <f t="shared" ca="1" si="141"/>
        <v>2.2621082389046612E-2</v>
      </c>
    </row>
    <row r="8460" spans="2:7" x14ac:dyDescent="0.25">
      <c r="B8460" s="98"/>
      <c r="F8460">
        <v>8456</v>
      </c>
      <c r="G8460" s="109">
        <f t="shared" ca="1" si="141"/>
        <v>-6.5232639066739165E-2</v>
      </c>
    </row>
    <row r="8461" spans="2:7" x14ac:dyDescent="0.25">
      <c r="B8461" s="98"/>
      <c r="F8461">
        <v>8457</v>
      </c>
      <c r="G8461" s="109">
        <f t="shared" ca="1" si="141"/>
        <v>0.10615479779617332</v>
      </c>
    </row>
    <row r="8462" spans="2:7" x14ac:dyDescent="0.25">
      <c r="B8462" s="98"/>
      <c r="F8462">
        <v>8458</v>
      </c>
      <c r="G8462" s="109">
        <f t="shared" ca="1" si="141"/>
        <v>-3.8365415557230428E-2</v>
      </c>
    </row>
    <row r="8463" spans="2:7" x14ac:dyDescent="0.25">
      <c r="B8463" s="98"/>
      <c r="F8463">
        <v>8459</v>
      </c>
      <c r="G8463" s="109">
        <f t="shared" ca="1" si="141"/>
        <v>1.2781523276560597E-3</v>
      </c>
    </row>
    <row r="8464" spans="2:7" x14ac:dyDescent="0.25">
      <c r="B8464" s="98"/>
      <c r="F8464">
        <v>8460</v>
      </c>
      <c r="G8464" s="109">
        <f t="shared" ca="1" si="141"/>
        <v>0.11051129689844005</v>
      </c>
    </row>
    <row r="8465" spans="2:7" x14ac:dyDescent="0.25">
      <c r="B8465" s="98"/>
      <c r="F8465">
        <v>8461</v>
      </c>
      <c r="G8465" s="109">
        <f t="shared" ca="1" si="141"/>
        <v>0.10367935119031049</v>
      </c>
    </row>
    <row r="8466" spans="2:7" x14ac:dyDescent="0.25">
      <c r="B8466" s="98"/>
      <c r="F8466">
        <v>8462</v>
      </c>
      <c r="G8466" s="109">
        <f t="shared" ca="1" si="141"/>
        <v>1.0151316693768196E-2</v>
      </c>
    </row>
    <row r="8467" spans="2:7" x14ac:dyDescent="0.25">
      <c r="B8467" s="98"/>
      <c r="F8467">
        <v>8463</v>
      </c>
      <c r="G8467" s="109">
        <f t="shared" ca="1" si="141"/>
        <v>0.13712618858834741</v>
      </c>
    </row>
    <row r="8468" spans="2:7" x14ac:dyDescent="0.25">
      <c r="B8468" s="98"/>
      <c r="F8468">
        <v>8464</v>
      </c>
      <c r="G8468" s="109">
        <f t="shared" ca="1" si="141"/>
        <v>0.10576935504165064</v>
      </c>
    </row>
    <row r="8469" spans="2:7" x14ac:dyDescent="0.25">
      <c r="B8469" s="98"/>
      <c r="F8469">
        <v>8465</v>
      </c>
      <c r="G8469" s="109">
        <f t="shared" ca="1" si="141"/>
        <v>0.18675188267198378</v>
      </c>
    </row>
    <row r="8470" spans="2:7" x14ac:dyDescent="0.25">
      <c r="B8470" s="98"/>
      <c r="F8470">
        <v>8466</v>
      </c>
      <c r="G8470" s="109">
        <f t="shared" ca="1" si="141"/>
        <v>-7.5333240915543359E-2</v>
      </c>
    </row>
    <row r="8471" spans="2:7" x14ac:dyDescent="0.25">
      <c r="B8471" s="98"/>
      <c r="F8471">
        <v>8467</v>
      </c>
      <c r="G8471" s="109">
        <f t="shared" ca="1" si="141"/>
        <v>0.12631792088946564</v>
      </c>
    </row>
    <row r="8472" spans="2:7" x14ac:dyDescent="0.25">
      <c r="B8472" s="98"/>
      <c r="F8472">
        <v>8468</v>
      </c>
      <c r="G8472" s="109">
        <f t="shared" ca="1" si="141"/>
        <v>1.6276995829797223E-2</v>
      </c>
    </row>
    <row r="8473" spans="2:7" x14ac:dyDescent="0.25">
      <c r="B8473" s="98"/>
      <c r="F8473">
        <v>8469</v>
      </c>
      <c r="G8473" s="109">
        <f t="shared" ca="1" si="141"/>
        <v>0.20914059348507735</v>
      </c>
    </row>
    <row r="8474" spans="2:7" x14ac:dyDescent="0.25">
      <c r="B8474" s="98"/>
      <c r="F8474">
        <v>8470</v>
      </c>
      <c r="G8474" s="109">
        <f t="shared" ca="1" si="141"/>
        <v>-0.17168883189518036</v>
      </c>
    </row>
    <row r="8475" spans="2:7" x14ac:dyDescent="0.25">
      <c r="B8475" s="98"/>
      <c r="F8475">
        <v>8471</v>
      </c>
      <c r="G8475" s="109">
        <f t="shared" ca="1" si="141"/>
        <v>0.18904139479216631</v>
      </c>
    </row>
    <row r="8476" spans="2:7" x14ac:dyDescent="0.25">
      <c r="B8476" s="98"/>
      <c r="F8476">
        <v>8472</v>
      </c>
      <c r="G8476" s="109">
        <f t="shared" ca="1" si="141"/>
        <v>7.9273729766545925E-2</v>
      </c>
    </row>
    <row r="8477" spans="2:7" x14ac:dyDescent="0.25">
      <c r="B8477" s="98"/>
      <c r="F8477">
        <v>8473</v>
      </c>
      <c r="G8477" s="109">
        <f t="shared" ca="1" si="141"/>
        <v>4.8633087465789461E-2</v>
      </c>
    </row>
    <row r="8478" spans="2:7" x14ac:dyDescent="0.25">
      <c r="B8478" s="98"/>
      <c r="F8478">
        <v>8474</v>
      </c>
      <c r="G8478" s="109">
        <f t="shared" ca="1" si="141"/>
        <v>-0.11223985144796488</v>
      </c>
    </row>
    <row r="8479" spans="2:7" x14ac:dyDescent="0.25">
      <c r="B8479" s="98"/>
      <c r="F8479">
        <v>8475</v>
      </c>
      <c r="G8479" s="109">
        <f t="shared" ca="1" si="141"/>
        <v>4.5791061564806154E-2</v>
      </c>
    </row>
    <row r="8480" spans="2:7" x14ac:dyDescent="0.25">
      <c r="B8480" s="98"/>
      <c r="F8480">
        <v>8476</v>
      </c>
      <c r="G8480" s="109">
        <f t="shared" ca="1" si="141"/>
        <v>5.7772596071627408E-2</v>
      </c>
    </row>
    <row r="8481" spans="2:7" x14ac:dyDescent="0.25">
      <c r="B8481" s="98"/>
      <c r="F8481">
        <v>8477</v>
      </c>
      <c r="G8481" s="109">
        <f t="shared" ca="1" si="141"/>
        <v>7.2780699995941334E-2</v>
      </c>
    </row>
    <row r="8482" spans="2:7" x14ac:dyDescent="0.25">
      <c r="B8482" s="98"/>
      <c r="F8482">
        <v>8478</v>
      </c>
      <c r="G8482" s="109">
        <f t="shared" ca="1" si="141"/>
        <v>-8.6066772935328453E-2</v>
      </c>
    </row>
    <row r="8483" spans="2:7" x14ac:dyDescent="0.25">
      <c r="B8483" s="98"/>
      <c r="F8483">
        <v>8479</v>
      </c>
      <c r="G8483" s="109">
        <f t="shared" ca="1" si="141"/>
        <v>-3.6580831357966997E-3</v>
      </c>
    </row>
    <row r="8484" spans="2:7" x14ac:dyDescent="0.25">
      <c r="B8484" s="98"/>
      <c r="F8484">
        <v>8480</v>
      </c>
      <c r="G8484" s="109">
        <f t="shared" ca="1" si="141"/>
        <v>0.13301190835343207</v>
      </c>
    </row>
    <row r="8485" spans="2:7" x14ac:dyDescent="0.25">
      <c r="B8485" s="98"/>
      <c r="F8485">
        <v>8481</v>
      </c>
      <c r="G8485" s="109">
        <f t="shared" ca="1" si="141"/>
        <v>-7.953027033711195E-3</v>
      </c>
    </row>
    <row r="8486" spans="2:7" x14ac:dyDescent="0.25">
      <c r="B8486" s="98"/>
      <c r="F8486">
        <v>8482</v>
      </c>
      <c r="G8486" s="109">
        <f t="shared" ca="1" si="141"/>
        <v>6.6450393016837944E-3</v>
      </c>
    </row>
    <row r="8487" spans="2:7" x14ac:dyDescent="0.25">
      <c r="B8487" s="98"/>
      <c r="F8487">
        <v>8483</v>
      </c>
      <c r="G8487" s="109">
        <f t="shared" ca="1" si="141"/>
        <v>0.22149467769217002</v>
      </c>
    </row>
    <row r="8488" spans="2:7" x14ac:dyDescent="0.25">
      <c r="B8488" s="98"/>
      <c r="F8488">
        <v>8484</v>
      </c>
      <c r="G8488" s="109">
        <f t="shared" ca="1" si="141"/>
        <v>7.4407455439836415E-3</v>
      </c>
    </row>
    <row r="8489" spans="2:7" x14ac:dyDescent="0.25">
      <c r="B8489" s="98"/>
      <c r="F8489">
        <v>8485</v>
      </c>
      <c r="G8489" s="109">
        <f t="shared" ca="1" si="141"/>
        <v>8.5303026962627509E-2</v>
      </c>
    </row>
    <row r="8490" spans="2:7" x14ac:dyDescent="0.25">
      <c r="B8490" s="98"/>
      <c r="F8490">
        <v>8486</v>
      </c>
      <c r="G8490" s="109">
        <f t="shared" ca="1" si="141"/>
        <v>0.17465294712755558</v>
      </c>
    </row>
    <row r="8491" spans="2:7" x14ac:dyDescent="0.25">
      <c r="B8491" s="98"/>
      <c r="F8491">
        <v>8487</v>
      </c>
      <c r="G8491" s="109">
        <f t="shared" ca="1" si="141"/>
        <v>0.16161328690345689</v>
      </c>
    </row>
    <row r="8492" spans="2:7" x14ac:dyDescent="0.25">
      <c r="B8492" s="98"/>
      <c r="F8492">
        <v>8488</v>
      </c>
      <c r="G8492" s="109">
        <f t="shared" ca="1" si="141"/>
        <v>5.3190402173602457E-2</v>
      </c>
    </row>
    <row r="8493" spans="2:7" x14ac:dyDescent="0.25">
      <c r="B8493" s="98"/>
      <c r="F8493">
        <v>8489</v>
      </c>
      <c r="G8493" s="109">
        <f t="shared" ca="1" si="141"/>
        <v>-3.7335353860485254E-2</v>
      </c>
    </row>
    <row r="8494" spans="2:7" x14ac:dyDescent="0.25">
      <c r="B8494" s="98"/>
      <c r="F8494">
        <v>8490</v>
      </c>
      <c r="G8494" s="109">
        <f t="shared" ca="1" si="141"/>
        <v>8.8251698737292245E-2</v>
      </c>
    </row>
    <row r="8495" spans="2:7" x14ac:dyDescent="0.25">
      <c r="B8495" s="98"/>
      <c r="F8495">
        <v>8491</v>
      </c>
      <c r="G8495" s="109">
        <f t="shared" ca="1" si="141"/>
        <v>0.26526803092052958</v>
      </c>
    </row>
    <row r="8496" spans="2:7" x14ac:dyDescent="0.25">
      <c r="B8496" s="98"/>
      <c r="F8496">
        <v>8492</v>
      </c>
      <c r="G8496" s="109">
        <f t="shared" ca="1" si="141"/>
        <v>-5.6746602156439938E-3</v>
      </c>
    </row>
    <row r="8497" spans="2:7" x14ac:dyDescent="0.25">
      <c r="B8497" s="98"/>
      <c r="F8497">
        <v>8493</v>
      </c>
      <c r="G8497" s="109">
        <f t="shared" ca="1" si="141"/>
        <v>-7.1199063022850034E-2</v>
      </c>
    </row>
    <row r="8498" spans="2:7" x14ac:dyDescent="0.25">
      <c r="B8498" s="98"/>
      <c r="F8498">
        <v>8494</v>
      </c>
      <c r="G8498" s="109">
        <f t="shared" ca="1" si="141"/>
        <v>-7.661191436081724E-3</v>
      </c>
    </row>
    <row r="8499" spans="2:7" x14ac:dyDescent="0.25">
      <c r="B8499" s="98"/>
      <c r="F8499">
        <v>8495</v>
      </c>
      <c r="G8499" s="109">
        <f t="shared" ca="1" si="141"/>
        <v>6.8583794083650174E-2</v>
      </c>
    </row>
    <row r="8500" spans="2:7" x14ac:dyDescent="0.25">
      <c r="B8500" s="98"/>
      <c r="F8500">
        <v>8496</v>
      </c>
      <c r="G8500" s="109">
        <f t="shared" ca="1" si="141"/>
        <v>-4.985551204771238E-2</v>
      </c>
    </row>
    <row r="8501" spans="2:7" x14ac:dyDescent="0.25">
      <c r="B8501" s="98"/>
      <c r="F8501">
        <v>8497</v>
      </c>
      <c r="G8501" s="109">
        <f t="shared" ca="1" si="141"/>
        <v>-5.4072712192693856E-3</v>
      </c>
    </row>
    <row r="8502" spans="2:7" x14ac:dyDescent="0.25">
      <c r="B8502" s="98"/>
      <c r="F8502">
        <v>8498</v>
      </c>
      <c r="G8502" s="109">
        <f t="shared" ca="1" si="141"/>
        <v>3.1553235952730997E-2</v>
      </c>
    </row>
    <row r="8503" spans="2:7" x14ac:dyDescent="0.25">
      <c r="B8503" s="98"/>
      <c r="F8503">
        <v>8499</v>
      </c>
      <c r="G8503" s="109">
        <f t="shared" ca="1" si="141"/>
        <v>7.7222716516490611E-2</v>
      </c>
    </row>
    <row r="8504" spans="2:7" x14ac:dyDescent="0.25">
      <c r="B8504" s="98"/>
      <c r="F8504">
        <v>8500</v>
      </c>
      <c r="G8504" s="109">
        <f t="shared" ca="1" si="141"/>
        <v>-5.157924544660239E-2</v>
      </c>
    </row>
    <row r="8505" spans="2:7" x14ac:dyDescent="0.25">
      <c r="B8505" s="98"/>
      <c r="F8505">
        <v>8501</v>
      </c>
      <c r="G8505" s="109">
        <f t="shared" ca="1" si="141"/>
        <v>0.15953951410199185</v>
      </c>
    </row>
    <row r="8506" spans="2:7" x14ac:dyDescent="0.25">
      <c r="B8506" s="98"/>
      <c r="F8506">
        <v>8502</v>
      </c>
      <c r="G8506" s="109">
        <f t="shared" ca="1" si="141"/>
        <v>-0.25950648659636599</v>
      </c>
    </row>
    <row r="8507" spans="2:7" x14ac:dyDescent="0.25">
      <c r="B8507" s="98"/>
      <c r="F8507">
        <v>8503</v>
      </c>
      <c r="G8507" s="109">
        <f t="shared" ca="1" si="141"/>
        <v>9.4546246531547487E-2</v>
      </c>
    </row>
    <row r="8508" spans="2:7" x14ac:dyDescent="0.25">
      <c r="B8508" s="98"/>
      <c r="F8508">
        <v>8504</v>
      </c>
      <c r="G8508" s="109">
        <f t="shared" ca="1" si="141"/>
        <v>-1.1423110646494317E-3</v>
      </c>
    </row>
    <row r="8509" spans="2:7" x14ac:dyDescent="0.25">
      <c r="B8509" s="98"/>
      <c r="F8509">
        <v>8505</v>
      </c>
      <c r="G8509" s="109">
        <f t="shared" ca="1" si="141"/>
        <v>9.266223330786888E-2</v>
      </c>
    </row>
    <row r="8510" spans="2:7" x14ac:dyDescent="0.25">
      <c r="B8510" s="98"/>
      <c r="F8510">
        <v>8506</v>
      </c>
      <c r="G8510" s="109">
        <f t="shared" ca="1" si="141"/>
        <v>4.214515758322436E-2</v>
      </c>
    </row>
    <row r="8511" spans="2:7" x14ac:dyDescent="0.25">
      <c r="B8511" s="98"/>
      <c r="F8511">
        <v>8507</v>
      </c>
      <c r="G8511" s="109">
        <f t="shared" ca="1" si="141"/>
        <v>9.1904851697166834E-2</v>
      </c>
    </row>
    <row r="8512" spans="2:7" x14ac:dyDescent="0.25">
      <c r="B8512" s="98"/>
      <c r="F8512">
        <v>8508</v>
      </c>
      <c r="G8512" s="109">
        <f t="shared" ca="1" si="141"/>
        <v>4.6624951471400458E-2</v>
      </c>
    </row>
    <row r="8513" spans="2:7" x14ac:dyDescent="0.25">
      <c r="B8513" s="98"/>
      <c r="F8513">
        <v>8509</v>
      </c>
      <c r="G8513" s="109">
        <f t="shared" ca="1" si="141"/>
        <v>3.0311285943538623E-2</v>
      </c>
    </row>
    <row r="8514" spans="2:7" x14ac:dyDescent="0.25">
      <c r="B8514" s="98"/>
      <c r="F8514">
        <v>8510</v>
      </c>
      <c r="G8514" s="109">
        <f t="shared" ca="1" si="141"/>
        <v>0.2531393954960503</v>
      </c>
    </row>
    <row r="8515" spans="2:7" x14ac:dyDescent="0.25">
      <c r="B8515" s="98"/>
      <c r="F8515">
        <v>8511</v>
      </c>
      <c r="G8515" s="109">
        <f t="shared" ca="1" si="141"/>
        <v>6.4405374467457768E-2</v>
      </c>
    </row>
    <row r="8516" spans="2:7" x14ac:dyDescent="0.25">
      <c r="B8516" s="98"/>
      <c r="F8516">
        <v>8512</v>
      </c>
      <c r="G8516" s="109">
        <f t="shared" ca="1" si="141"/>
        <v>-0.15727206123269183</v>
      </c>
    </row>
    <row r="8517" spans="2:7" x14ac:dyDescent="0.25">
      <c r="B8517" s="98"/>
      <c r="F8517">
        <v>8513</v>
      </c>
      <c r="G8517" s="109">
        <f t="shared" ca="1" si="141"/>
        <v>0.13580565161303615</v>
      </c>
    </row>
    <row r="8518" spans="2:7" x14ac:dyDescent="0.25">
      <c r="B8518" s="98"/>
      <c r="F8518">
        <v>8514</v>
      </c>
      <c r="G8518" s="109">
        <f t="shared" ref="G8518:G8581" ca="1" si="142">_xlfn.NORM.INV(RAND(),$M$5,$M$6)</f>
        <v>-2.0633056671210764E-2</v>
      </c>
    </row>
    <row r="8519" spans="2:7" x14ac:dyDescent="0.25">
      <c r="B8519" s="98"/>
      <c r="F8519">
        <v>8515</v>
      </c>
      <c r="G8519" s="109">
        <f t="shared" ca="1" si="142"/>
        <v>0.20191916653413927</v>
      </c>
    </row>
    <row r="8520" spans="2:7" x14ac:dyDescent="0.25">
      <c r="B8520" s="98"/>
      <c r="F8520">
        <v>8516</v>
      </c>
      <c r="G8520" s="109">
        <f t="shared" ca="1" si="142"/>
        <v>0.19902509672221497</v>
      </c>
    </row>
    <row r="8521" spans="2:7" x14ac:dyDescent="0.25">
      <c r="B8521" s="98"/>
      <c r="F8521">
        <v>8517</v>
      </c>
      <c r="G8521" s="109">
        <f t="shared" ca="1" si="142"/>
        <v>3.995984721914831E-2</v>
      </c>
    </row>
    <row r="8522" spans="2:7" x14ac:dyDescent="0.25">
      <c r="B8522" s="98"/>
      <c r="F8522">
        <v>8518</v>
      </c>
      <c r="G8522" s="109">
        <f t="shared" ca="1" si="142"/>
        <v>5.4241482289299259E-2</v>
      </c>
    </row>
    <row r="8523" spans="2:7" x14ac:dyDescent="0.25">
      <c r="B8523" s="98"/>
      <c r="F8523">
        <v>8519</v>
      </c>
      <c r="G8523" s="109">
        <f t="shared" ca="1" si="142"/>
        <v>4.9789875308496434E-2</v>
      </c>
    </row>
    <row r="8524" spans="2:7" x14ac:dyDescent="0.25">
      <c r="B8524" s="98"/>
      <c r="F8524">
        <v>8520</v>
      </c>
      <c r="G8524" s="109">
        <f t="shared" ca="1" si="142"/>
        <v>0.26579334802710569</v>
      </c>
    </row>
    <row r="8525" spans="2:7" x14ac:dyDescent="0.25">
      <c r="B8525" s="98"/>
      <c r="F8525">
        <v>8521</v>
      </c>
      <c r="G8525" s="109">
        <f t="shared" ca="1" si="142"/>
        <v>-0.10805006234624613</v>
      </c>
    </row>
    <row r="8526" spans="2:7" x14ac:dyDescent="0.25">
      <c r="B8526" s="98"/>
      <c r="F8526">
        <v>8522</v>
      </c>
      <c r="G8526" s="109">
        <f t="shared" ca="1" si="142"/>
        <v>7.6381963593091073E-2</v>
      </c>
    </row>
    <row r="8527" spans="2:7" x14ac:dyDescent="0.25">
      <c r="B8527" s="98"/>
      <c r="F8527">
        <v>8523</v>
      </c>
      <c r="G8527" s="109">
        <f t="shared" ca="1" si="142"/>
        <v>-1.4522129391098898E-2</v>
      </c>
    </row>
    <row r="8528" spans="2:7" x14ac:dyDescent="0.25">
      <c r="B8528" s="98"/>
      <c r="F8528">
        <v>8524</v>
      </c>
      <c r="G8528" s="109">
        <f t="shared" ca="1" si="142"/>
        <v>0.14502893110939902</v>
      </c>
    </row>
    <row r="8529" spans="2:7" x14ac:dyDescent="0.25">
      <c r="B8529" s="98"/>
      <c r="F8529">
        <v>8525</v>
      </c>
      <c r="G8529" s="109">
        <f t="shared" ca="1" si="142"/>
        <v>1.087074127528978E-2</v>
      </c>
    </row>
    <row r="8530" spans="2:7" x14ac:dyDescent="0.25">
      <c r="B8530" s="98"/>
      <c r="F8530">
        <v>8526</v>
      </c>
      <c r="G8530" s="109">
        <f t="shared" ca="1" si="142"/>
        <v>0.1471668203208274</v>
      </c>
    </row>
    <row r="8531" spans="2:7" x14ac:dyDescent="0.25">
      <c r="B8531" s="98"/>
      <c r="F8531">
        <v>8527</v>
      </c>
      <c r="G8531" s="109">
        <f t="shared" ca="1" si="142"/>
        <v>-0.17650432975050684</v>
      </c>
    </row>
    <row r="8532" spans="2:7" x14ac:dyDescent="0.25">
      <c r="B8532" s="98"/>
      <c r="F8532">
        <v>8528</v>
      </c>
      <c r="G8532" s="109">
        <f t="shared" ca="1" si="142"/>
        <v>0.14655257856237708</v>
      </c>
    </row>
    <row r="8533" spans="2:7" x14ac:dyDescent="0.25">
      <c r="B8533" s="98"/>
      <c r="F8533">
        <v>8529</v>
      </c>
      <c r="G8533" s="109">
        <f t="shared" ca="1" si="142"/>
        <v>5.5458977352386807E-2</v>
      </c>
    </row>
    <row r="8534" spans="2:7" x14ac:dyDescent="0.25">
      <c r="B8534" s="98"/>
      <c r="F8534">
        <v>8530</v>
      </c>
      <c r="G8534" s="109">
        <f t="shared" ca="1" si="142"/>
        <v>0.1035904622150646</v>
      </c>
    </row>
    <row r="8535" spans="2:7" x14ac:dyDescent="0.25">
      <c r="B8535" s="98"/>
      <c r="F8535">
        <v>8531</v>
      </c>
      <c r="G8535" s="109">
        <f t="shared" ca="1" si="142"/>
        <v>7.7577906252253109E-2</v>
      </c>
    </row>
    <row r="8536" spans="2:7" x14ac:dyDescent="0.25">
      <c r="B8536" s="98"/>
      <c r="F8536">
        <v>8532</v>
      </c>
      <c r="G8536" s="109">
        <f t="shared" ca="1" si="142"/>
        <v>0.32452642709230717</v>
      </c>
    </row>
    <row r="8537" spans="2:7" x14ac:dyDescent="0.25">
      <c r="B8537" s="98"/>
      <c r="F8537">
        <v>8533</v>
      </c>
      <c r="G8537" s="109">
        <f t="shared" ca="1" si="142"/>
        <v>0.19077702855220535</v>
      </c>
    </row>
    <row r="8538" spans="2:7" x14ac:dyDescent="0.25">
      <c r="B8538" s="98"/>
      <c r="F8538">
        <v>8534</v>
      </c>
      <c r="G8538" s="109">
        <f t="shared" ca="1" si="142"/>
        <v>0.26401734427668111</v>
      </c>
    </row>
    <row r="8539" spans="2:7" x14ac:dyDescent="0.25">
      <c r="B8539" s="98"/>
      <c r="F8539">
        <v>8535</v>
      </c>
      <c r="G8539" s="109">
        <f t="shared" ca="1" si="142"/>
        <v>3.1164620021988783E-2</v>
      </c>
    </row>
    <row r="8540" spans="2:7" x14ac:dyDescent="0.25">
      <c r="B8540" s="98"/>
      <c r="F8540">
        <v>8536</v>
      </c>
      <c r="G8540" s="109">
        <f t="shared" ca="1" si="142"/>
        <v>0.22001930333839947</v>
      </c>
    </row>
    <row r="8541" spans="2:7" x14ac:dyDescent="0.25">
      <c r="B8541" s="98"/>
      <c r="F8541">
        <v>8537</v>
      </c>
      <c r="G8541" s="109">
        <f t="shared" ca="1" si="142"/>
        <v>8.0431485675181047E-2</v>
      </c>
    </row>
    <row r="8542" spans="2:7" x14ac:dyDescent="0.25">
      <c r="B8542" s="98"/>
      <c r="F8542">
        <v>8538</v>
      </c>
      <c r="G8542" s="109">
        <f t="shared" ca="1" si="142"/>
        <v>0.12530365813720851</v>
      </c>
    </row>
    <row r="8543" spans="2:7" x14ac:dyDescent="0.25">
      <c r="B8543" s="98"/>
      <c r="F8543">
        <v>8539</v>
      </c>
      <c r="G8543" s="109">
        <f t="shared" ca="1" si="142"/>
        <v>-6.2776943139240662E-2</v>
      </c>
    </row>
    <row r="8544" spans="2:7" x14ac:dyDescent="0.25">
      <c r="B8544" s="98"/>
      <c r="F8544">
        <v>8540</v>
      </c>
      <c r="G8544" s="109">
        <f t="shared" ca="1" si="142"/>
        <v>3.0113751150877721E-2</v>
      </c>
    </row>
    <row r="8545" spans="2:7" x14ac:dyDescent="0.25">
      <c r="B8545" s="98"/>
      <c r="F8545">
        <v>8541</v>
      </c>
      <c r="G8545" s="109">
        <f t="shared" ca="1" si="142"/>
        <v>-2.7156274780459858E-2</v>
      </c>
    </row>
    <row r="8546" spans="2:7" x14ac:dyDescent="0.25">
      <c r="B8546" s="98"/>
      <c r="F8546">
        <v>8542</v>
      </c>
      <c r="G8546" s="109">
        <f t="shared" ca="1" si="142"/>
        <v>0.15805444106581418</v>
      </c>
    </row>
    <row r="8547" spans="2:7" x14ac:dyDescent="0.25">
      <c r="B8547" s="98"/>
      <c r="F8547">
        <v>8543</v>
      </c>
      <c r="G8547" s="109">
        <f t="shared" ca="1" si="142"/>
        <v>-8.7503842208217775E-3</v>
      </c>
    </row>
    <row r="8548" spans="2:7" x14ac:dyDescent="0.25">
      <c r="B8548" s="98"/>
      <c r="F8548">
        <v>8544</v>
      </c>
      <c r="G8548" s="109">
        <f t="shared" ca="1" si="142"/>
        <v>-4.887095574401952E-2</v>
      </c>
    </row>
    <row r="8549" spans="2:7" x14ac:dyDescent="0.25">
      <c r="B8549" s="98"/>
      <c r="F8549">
        <v>8545</v>
      </c>
      <c r="G8549" s="109">
        <f t="shared" ca="1" si="142"/>
        <v>-0.20335150443643657</v>
      </c>
    </row>
    <row r="8550" spans="2:7" x14ac:dyDescent="0.25">
      <c r="B8550" s="98"/>
      <c r="F8550">
        <v>8546</v>
      </c>
      <c r="G8550" s="109">
        <f t="shared" ca="1" si="142"/>
        <v>5.0398545244598539E-3</v>
      </c>
    </row>
    <row r="8551" spans="2:7" x14ac:dyDescent="0.25">
      <c r="B8551" s="98"/>
      <c r="F8551">
        <v>8547</v>
      </c>
      <c r="G8551" s="109">
        <f t="shared" ca="1" si="142"/>
        <v>0.15509046714401201</v>
      </c>
    </row>
    <row r="8552" spans="2:7" x14ac:dyDescent="0.25">
      <c r="B8552" s="98"/>
      <c r="F8552">
        <v>8548</v>
      </c>
      <c r="G8552" s="109">
        <f t="shared" ca="1" si="142"/>
        <v>0.12502105488835058</v>
      </c>
    </row>
    <row r="8553" spans="2:7" x14ac:dyDescent="0.25">
      <c r="B8553" s="98"/>
      <c r="F8553">
        <v>8549</v>
      </c>
      <c r="G8553" s="109">
        <f t="shared" ca="1" si="142"/>
        <v>-4.2796695159189699E-2</v>
      </c>
    </row>
    <row r="8554" spans="2:7" x14ac:dyDescent="0.25">
      <c r="B8554" s="98"/>
      <c r="F8554">
        <v>8550</v>
      </c>
      <c r="G8554" s="109">
        <f t="shared" ca="1" si="142"/>
        <v>3.2717973866547664E-2</v>
      </c>
    </row>
    <row r="8555" spans="2:7" x14ac:dyDescent="0.25">
      <c r="B8555" s="98"/>
      <c r="F8555">
        <v>8551</v>
      </c>
      <c r="G8555" s="109">
        <f t="shared" ca="1" si="142"/>
        <v>-0.1319546207355336</v>
      </c>
    </row>
    <row r="8556" spans="2:7" x14ac:dyDescent="0.25">
      <c r="B8556" s="98"/>
      <c r="F8556">
        <v>8552</v>
      </c>
      <c r="G8556" s="109">
        <f t="shared" ca="1" si="142"/>
        <v>-3.6756896056790819E-2</v>
      </c>
    </row>
    <row r="8557" spans="2:7" x14ac:dyDescent="0.25">
      <c r="B8557" s="98"/>
      <c r="F8557">
        <v>8553</v>
      </c>
      <c r="G8557" s="109">
        <f t="shared" ca="1" si="142"/>
        <v>-1.2820010832010134E-2</v>
      </c>
    </row>
    <row r="8558" spans="2:7" x14ac:dyDescent="0.25">
      <c r="B8558" s="98"/>
      <c r="F8558">
        <v>8554</v>
      </c>
      <c r="G8558" s="109">
        <f t="shared" ca="1" si="142"/>
        <v>0.10089581866514198</v>
      </c>
    </row>
    <row r="8559" spans="2:7" x14ac:dyDescent="0.25">
      <c r="B8559" s="98"/>
      <c r="F8559">
        <v>8555</v>
      </c>
      <c r="G8559" s="109">
        <f t="shared" ca="1" si="142"/>
        <v>0.24381525346022104</v>
      </c>
    </row>
    <row r="8560" spans="2:7" x14ac:dyDescent="0.25">
      <c r="B8560" s="98"/>
      <c r="F8560">
        <v>8556</v>
      </c>
      <c r="G8560" s="109">
        <f t="shared" ca="1" si="142"/>
        <v>7.1141051903411065E-2</v>
      </c>
    </row>
    <row r="8561" spans="2:7" x14ac:dyDescent="0.25">
      <c r="B8561" s="98"/>
      <c r="F8561">
        <v>8557</v>
      </c>
      <c r="G8561" s="109">
        <f t="shared" ca="1" si="142"/>
        <v>-4.0916271444220442E-3</v>
      </c>
    </row>
    <row r="8562" spans="2:7" x14ac:dyDescent="0.25">
      <c r="B8562" s="98"/>
      <c r="F8562">
        <v>8558</v>
      </c>
      <c r="G8562" s="109">
        <f t="shared" ca="1" si="142"/>
        <v>4.8520323141615834E-2</v>
      </c>
    </row>
    <row r="8563" spans="2:7" x14ac:dyDescent="0.25">
      <c r="B8563" s="98"/>
      <c r="F8563">
        <v>8559</v>
      </c>
      <c r="G8563" s="109">
        <f t="shared" ca="1" si="142"/>
        <v>0.21909050480220393</v>
      </c>
    </row>
    <row r="8564" spans="2:7" x14ac:dyDescent="0.25">
      <c r="B8564" s="98"/>
      <c r="F8564">
        <v>8560</v>
      </c>
      <c r="G8564" s="109">
        <f t="shared" ca="1" si="142"/>
        <v>-2.7675495952568588E-2</v>
      </c>
    </row>
    <row r="8565" spans="2:7" x14ac:dyDescent="0.25">
      <c r="B8565" s="98"/>
      <c r="F8565">
        <v>8561</v>
      </c>
      <c r="G8565" s="109">
        <f t="shared" ca="1" si="142"/>
        <v>0.25820878015617538</v>
      </c>
    </row>
    <row r="8566" spans="2:7" x14ac:dyDescent="0.25">
      <c r="B8566" s="98"/>
      <c r="F8566">
        <v>8562</v>
      </c>
      <c r="G8566" s="109">
        <f t="shared" ca="1" si="142"/>
        <v>-0.14684829511676961</v>
      </c>
    </row>
    <row r="8567" spans="2:7" x14ac:dyDescent="0.25">
      <c r="B8567" s="98"/>
      <c r="F8567">
        <v>8563</v>
      </c>
      <c r="G8567" s="109">
        <f t="shared" ca="1" si="142"/>
        <v>0.14690417084089344</v>
      </c>
    </row>
    <row r="8568" spans="2:7" x14ac:dyDescent="0.25">
      <c r="B8568" s="98"/>
      <c r="F8568">
        <v>8564</v>
      </c>
      <c r="G8568" s="109">
        <f t="shared" ca="1" si="142"/>
        <v>-1.1275426337593826E-2</v>
      </c>
    </row>
    <row r="8569" spans="2:7" x14ac:dyDescent="0.25">
      <c r="B8569" s="98"/>
      <c r="F8569">
        <v>8565</v>
      </c>
      <c r="G8569" s="109">
        <f t="shared" ca="1" si="142"/>
        <v>0.22351612802582876</v>
      </c>
    </row>
    <row r="8570" spans="2:7" x14ac:dyDescent="0.25">
      <c r="B8570" s="98"/>
      <c r="F8570">
        <v>8566</v>
      </c>
      <c r="G8570" s="109">
        <f t="shared" ca="1" si="142"/>
        <v>-3.1353885799167411E-2</v>
      </c>
    </row>
    <row r="8571" spans="2:7" x14ac:dyDescent="0.25">
      <c r="B8571" s="98"/>
      <c r="F8571">
        <v>8567</v>
      </c>
      <c r="G8571" s="109">
        <f t="shared" ca="1" si="142"/>
        <v>0.20007633214425141</v>
      </c>
    </row>
    <row r="8572" spans="2:7" x14ac:dyDescent="0.25">
      <c r="B8572" s="98"/>
      <c r="F8572">
        <v>8568</v>
      </c>
      <c r="G8572" s="109">
        <f t="shared" ca="1" si="142"/>
        <v>-4.324506776615665E-2</v>
      </c>
    </row>
    <row r="8573" spans="2:7" x14ac:dyDescent="0.25">
      <c r="B8573" s="98"/>
      <c r="F8573">
        <v>8569</v>
      </c>
      <c r="G8573" s="109">
        <f t="shared" ca="1" si="142"/>
        <v>0.14126407617553993</v>
      </c>
    </row>
    <row r="8574" spans="2:7" x14ac:dyDescent="0.25">
      <c r="B8574" s="98"/>
      <c r="F8574">
        <v>8570</v>
      </c>
      <c r="G8574" s="109">
        <f t="shared" ca="1" si="142"/>
        <v>-6.8860993367704793E-2</v>
      </c>
    </row>
    <row r="8575" spans="2:7" x14ac:dyDescent="0.25">
      <c r="B8575" s="98"/>
      <c r="F8575">
        <v>8571</v>
      </c>
      <c r="G8575" s="109">
        <f t="shared" ca="1" si="142"/>
        <v>0.31235609888630284</v>
      </c>
    </row>
    <row r="8576" spans="2:7" x14ac:dyDescent="0.25">
      <c r="B8576" s="98"/>
      <c r="F8576">
        <v>8572</v>
      </c>
      <c r="G8576" s="109">
        <f t="shared" ca="1" si="142"/>
        <v>-3.6381948904746636E-3</v>
      </c>
    </row>
    <row r="8577" spans="2:7" x14ac:dyDescent="0.25">
      <c r="B8577" s="98"/>
      <c r="F8577">
        <v>8573</v>
      </c>
      <c r="G8577" s="109">
        <f t="shared" ca="1" si="142"/>
        <v>1.9401114683681605E-2</v>
      </c>
    </row>
    <row r="8578" spans="2:7" x14ac:dyDescent="0.25">
      <c r="B8578" s="98"/>
      <c r="F8578">
        <v>8574</v>
      </c>
      <c r="G8578" s="109">
        <f t="shared" ca="1" si="142"/>
        <v>-1.771471408361841E-2</v>
      </c>
    </row>
    <row r="8579" spans="2:7" x14ac:dyDescent="0.25">
      <c r="B8579" s="98"/>
      <c r="F8579">
        <v>8575</v>
      </c>
      <c r="G8579" s="109">
        <f t="shared" ca="1" si="142"/>
        <v>0.14061370976486071</v>
      </c>
    </row>
    <row r="8580" spans="2:7" x14ac:dyDescent="0.25">
      <c r="B8580" s="98"/>
      <c r="F8580">
        <v>8576</v>
      </c>
      <c r="G8580" s="109">
        <f t="shared" ca="1" si="142"/>
        <v>9.5044650046929857E-4</v>
      </c>
    </row>
    <row r="8581" spans="2:7" x14ac:dyDescent="0.25">
      <c r="B8581" s="98"/>
      <c r="F8581">
        <v>8577</v>
      </c>
      <c r="G8581" s="109">
        <f t="shared" ca="1" si="142"/>
        <v>7.2947285526533123E-2</v>
      </c>
    </row>
    <row r="8582" spans="2:7" x14ac:dyDescent="0.25">
      <c r="B8582" s="98"/>
      <c r="F8582">
        <v>8578</v>
      </c>
      <c r="G8582" s="109">
        <f t="shared" ref="G8582:G8645" ca="1" si="143">_xlfn.NORM.INV(RAND(),$M$5,$M$6)</f>
        <v>0.22193529452080218</v>
      </c>
    </row>
    <row r="8583" spans="2:7" x14ac:dyDescent="0.25">
      <c r="B8583" s="98"/>
      <c r="F8583">
        <v>8579</v>
      </c>
      <c r="G8583" s="109">
        <f t="shared" ca="1" si="143"/>
        <v>0.12499442145457787</v>
      </c>
    </row>
    <row r="8584" spans="2:7" x14ac:dyDescent="0.25">
      <c r="B8584" s="98"/>
      <c r="F8584">
        <v>8580</v>
      </c>
      <c r="G8584" s="109">
        <f t="shared" ca="1" si="143"/>
        <v>-0.14256327036574989</v>
      </c>
    </row>
    <row r="8585" spans="2:7" x14ac:dyDescent="0.25">
      <c r="B8585" s="98"/>
      <c r="F8585">
        <v>8581</v>
      </c>
      <c r="G8585" s="109">
        <f t="shared" ca="1" si="143"/>
        <v>0.11781972641338241</v>
      </c>
    </row>
    <row r="8586" spans="2:7" x14ac:dyDescent="0.25">
      <c r="B8586" s="98"/>
      <c r="F8586">
        <v>8582</v>
      </c>
      <c r="G8586" s="109">
        <f t="shared" ca="1" si="143"/>
        <v>4.1938372786732889E-2</v>
      </c>
    </row>
    <row r="8587" spans="2:7" x14ac:dyDescent="0.25">
      <c r="B8587" s="98"/>
      <c r="F8587">
        <v>8583</v>
      </c>
      <c r="G8587" s="109">
        <f t="shared" ca="1" si="143"/>
        <v>1.4718193694016484E-2</v>
      </c>
    </row>
    <row r="8588" spans="2:7" x14ac:dyDescent="0.25">
      <c r="B8588" s="98"/>
      <c r="F8588">
        <v>8584</v>
      </c>
      <c r="G8588" s="109">
        <f t="shared" ca="1" si="143"/>
        <v>-0.10922712111748666</v>
      </c>
    </row>
    <row r="8589" spans="2:7" x14ac:dyDescent="0.25">
      <c r="B8589" s="98"/>
      <c r="F8589">
        <v>8585</v>
      </c>
      <c r="G8589" s="109">
        <f t="shared" ca="1" si="143"/>
        <v>0.16942285522188588</v>
      </c>
    </row>
    <row r="8590" spans="2:7" x14ac:dyDescent="0.25">
      <c r="B8590" s="98"/>
      <c r="F8590">
        <v>8586</v>
      </c>
      <c r="G8590" s="109">
        <f t="shared" ca="1" si="143"/>
        <v>0.14605890546898018</v>
      </c>
    </row>
    <row r="8591" spans="2:7" x14ac:dyDescent="0.25">
      <c r="B8591" s="98"/>
      <c r="F8591">
        <v>8587</v>
      </c>
      <c r="G8591" s="109">
        <f t="shared" ca="1" si="143"/>
        <v>-0.1052379693951473</v>
      </c>
    </row>
    <row r="8592" spans="2:7" x14ac:dyDescent="0.25">
      <c r="B8592" s="98"/>
      <c r="F8592">
        <v>8588</v>
      </c>
      <c r="G8592" s="109">
        <f t="shared" ca="1" si="143"/>
        <v>-3.8884003939594763E-2</v>
      </c>
    </row>
    <row r="8593" spans="2:7" x14ac:dyDescent="0.25">
      <c r="B8593" s="98"/>
      <c r="F8593">
        <v>8589</v>
      </c>
      <c r="G8593" s="109">
        <f t="shared" ca="1" si="143"/>
        <v>-2.1552228847666874E-2</v>
      </c>
    </row>
    <row r="8594" spans="2:7" x14ac:dyDescent="0.25">
      <c r="B8594" s="98"/>
      <c r="F8594">
        <v>8590</v>
      </c>
      <c r="G8594" s="109">
        <f t="shared" ca="1" si="143"/>
        <v>5.729205133104355E-2</v>
      </c>
    </row>
    <row r="8595" spans="2:7" x14ac:dyDescent="0.25">
      <c r="B8595" s="98"/>
      <c r="F8595">
        <v>8591</v>
      </c>
      <c r="G8595" s="109">
        <f t="shared" ca="1" si="143"/>
        <v>-4.4729319992E-3</v>
      </c>
    </row>
    <row r="8596" spans="2:7" x14ac:dyDescent="0.25">
      <c r="B8596" s="98"/>
      <c r="F8596">
        <v>8592</v>
      </c>
      <c r="G8596" s="109">
        <f t="shared" ca="1" si="143"/>
        <v>-0.19456081160064481</v>
      </c>
    </row>
    <row r="8597" spans="2:7" x14ac:dyDescent="0.25">
      <c r="B8597" s="98"/>
      <c r="F8597">
        <v>8593</v>
      </c>
      <c r="G8597" s="109">
        <f t="shared" ca="1" si="143"/>
        <v>-6.0124112939060226E-2</v>
      </c>
    </row>
    <row r="8598" spans="2:7" x14ac:dyDescent="0.25">
      <c r="B8598" s="98"/>
      <c r="F8598">
        <v>8594</v>
      </c>
      <c r="G8598" s="109">
        <f t="shared" ca="1" si="143"/>
        <v>0.20656747173395296</v>
      </c>
    </row>
    <row r="8599" spans="2:7" x14ac:dyDescent="0.25">
      <c r="B8599" s="98"/>
      <c r="F8599">
        <v>8595</v>
      </c>
      <c r="G8599" s="109">
        <f t="shared" ca="1" si="143"/>
        <v>-4.2097505611180988E-2</v>
      </c>
    </row>
    <row r="8600" spans="2:7" x14ac:dyDescent="0.25">
      <c r="B8600" s="98"/>
      <c r="F8600">
        <v>8596</v>
      </c>
      <c r="G8600" s="109">
        <f t="shared" ca="1" si="143"/>
        <v>5.0625277079371235E-2</v>
      </c>
    </row>
    <row r="8601" spans="2:7" x14ac:dyDescent="0.25">
      <c r="B8601" s="98"/>
      <c r="F8601">
        <v>8597</v>
      </c>
      <c r="G8601" s="109">
        <f t="shared" ca="1" si="143"/>
        <v>-5.5319619932420669E-2</v>
      </c>
    </row>
    <row r="8602" spans="2:7" x14ac:dyDescent="0.25">
      <c r="B8602" s="98"/>
      <c r="F8602">
        <v>8598</v>
      </c>
      <c r="G8602" s="109">
        <f t="shared" ca="1" si="143"/>
        <v>6.1557380765670203E-2</v>
      </c>
    </row>
    <row r="8603" spans="2:7" x14ac:dyDescent="0.25">
      <c r="B8603" s="98"/>
      <c r="F8603">
        <v>8599</v>
      </c>
      <c r="G8603" s="109">
        <f t="shared" ca="1" si="143"/>
        <v>0.10115965344822397</v>
      </c>
    </row>
    <row r="8604" spans="2:7" x14ac:dyDescent="0.25">
      <c r="B8604" s="98"/>
      <c r="F8604">
        <v>8600</v>
      </c>
      <c r="G8604" s="109">
        <f t="shared" ca="1" si="143"/>
        <v>0.21767545596760568</v>
      </c>
    </row>
    <row r="8605" spans="2:7" x14ac:dyDescent="0.25">
      <c r="B8605" s="98"/>
      <c r="F8605">
        <v>8601</v>
      </c>
      <c r="G8605" s="109">
        <f t="shared" ca="1" si="143"/>
        <v>-6.6532432494160715E-2</v>
      </c>
    </row>
    <row r="8606" spans="2:7" x14ac:dyDescent="0.25">
      <c r="B8606" s="98"/>
      <c r="F8606">
        <v>8602</v>
      </c>
      <c r="G8606" s="109">
        <f t="shared" ca="1" si="143"/>
        <v>9.2018100658279575E-2</v>
      </c>
    </row>
    <row r="8607" spans="2:7" x14ac:dyDescent="0.25">
      <c r="B8607" s="98"/>
      <c r="F8607">
        <v>8603</v>
      </c>
      <c r="G8607" s="109">
        <f t="shared" ca="1" si="143"/>
        <v>2.4501206052634283E-2</v>
      </c>
    </row>
    <row r="8608" spans="2:7" x14ac:dyDescent="0.25">
      <c r="B8608" s="98"/>
      <c r="F8608">
        <v>8604</v>
      </c>
      <c r="G8608" s="109">
        <f t="shared" ca="1" si="143"/>
        <v>4.3113695036978886E-2</v>
      </c>
    </row>
    <row r="8609" spans="2:7" x14ac:dyDescent="0.25">
      <c r="B8609" s="98"/>
      <c r="F8609">
        <v>8605</v>
      </c>
      <c r="G8609" s="109">
        <f t="shared" ca="1" si="143"/>
        <v>-2.5883866416200607E-2</v>
      </c>
    </row>
    <row r="8610" spans="2:7" x14ac:dyDescent="0.25">
      <c r="B8610" s="98"/>
      <c r="F8610">
        <v>8606</v>
      </c>
      <c r="G8610" s="109">
        <f t="shared" ca="1" si="143"/>
        <v>0.1239581096075308</v>
      </c>
    </row>
    <row r="8611" spans="2:7" x14ac:dyDescent="0.25">
      <c r="B8611" s="98"/>
      <c r="F8611">
        <v>8607</v>
      </c>
      <c r="G8611" s="109">
        <f t="shared" ca="1" si="143"/>
        <v>-0.11226972643460766</v>
      </c>
    </row>
    <row r="8612" spans="2:7" x14ac:dyDescent="0.25">
      <c r="B8612" s="98"/>
      <c r="F8612">
        <v>8608</v>
      </c>
      <c r="G8612" s="109">
        <f t="shared" ca="1" si="143"/>
        <v>-1.9932180680089895E-2</v>
      </c>
    </row>
    <row r="8613" spans="2:7" x14ac:dyDescent="0.25">
      <c r="B8613" s="98"/>
      <c r="F8613">
        <v>8609</v>
      </c>
      <c r="G8613" s="109">
        <f t="shared" ca="1" si="143"/>
        <v>0.1204138543835185</v>
      </c>
    </row>
    <row r="8614" spans="2:7" x14ac:dyDescent="0.25">
      <c r="B8614" s="98"/>
      <c r="F8614">
        <v>8610</v>
      </c>
      <c r="G8614" s="109">
        <f t="shared" ca="1" si="143"/>
        <v>-0.11412985296374521</v>
      </c>
    </row>
    <row r="8615" spans="2:7" x14ac:dyDescent="0.25">
      <c r="B8615" s="98"/>
      <c r="F8615">
        <v>8611</v>
      </c>
      <c r="G8615" s="109">
        <f t="shared" ca="1" si="143"/>
        <v>0.15895399648892067</v>
      </c>
    </row>
    <row r="8616" spans="2:7" x14ac:dyDescent="0.25">
      <c r="B8616" s="98"/>
      <c r="F8616">
        <v>8612</v>
      </c>
      <c r="G8616" s="109">
        <f t="shared" ca="1" si="143"/>
        <v>4.9606703602880456E-2</v>
      </c>
    </row>
    <row r="8617" spans="2:7" x14ac:dyDescent="0.25">
      <c r="B8617" s="98"/>
      <c r="F8617">
        <v>8613</v>
      </c>
      <c r="G8617" s="109">
        <f t="shared" ca="1" si="143"/>
        <v>0.15319584078447407</v>
      </c>
    </row>
    <row r="8618" spans="2:7" x14ac:dyDescent="0.25">
      <c r="B8618" s="98"/>
      <c r="F8618">
        <v>8614</v>
      </c>
      <c r="G8618" s="109">
        <f t="shared" ca="1" si="143"/>
        <v>0.11161210601422468</v>
      </c>
    </row>
    <row r="8619" spans="2:7" x14ac:dyDescent="0.25">
      <c r="B8619" s="98"/>
      <c r="F8619">
        <v>8615</v>
      </c>
      <c r="G8619" s="109">
        <f t="shared" ca="1" si="143"/>
        <v>-3.5514922367326604E-2</v>
      </c>
    </row>
    <row r="8620" spans="2:7" x14ac:dyDescent="0.25">
      <c r="B8620" s="98"/>
      <c r="F8620">
        <v>8616</v>
      </c>
      <c r="G8620" s="109">
        <f t="shared" ca="1" si="143"/>
        <v>5.731604598274169E-2</v>
      </c>
    </row>
    <row r="8621" spans="2:7" x14ac:dyDescent="0.25">
      <c r="B8621" s="98"/>
      <c r="F8621">
        <v>8617</v>
      </c>
      <c r="G8621" s="109">
        <f t="shared" ca="1" si="143"/>
        <v>7.2258138063484675E-2</v>
      </c>
    </row>
    <row r="8622" spans="2:7" x14ac:dyDescent="0.25">
      <c r="B8622" s="98"/>
      <c r="F8622">
        <v>8618</v>
      </c>
      <c r="G8622" s="109">
        <f t="shared" ca="1" si="143"/>
        <v>-0.13737514813237417</v>
      </c>
    </row>
    <row r="8623" spans="2:7" x14ac:dyDescent="0.25">
      <c r="B8623" s="98"/>
      <c r="F8623">
        <v>8619</v>
      </c>
      <c r="G8623" s="109">
        <f t="shared" ca="1" si="143"/>
        <v>0.1030717772274594</v>
      </c>
    </row>
    <row r="8624" spans="2:7" x14ac:dyDescent="0.25">
      <c r="B8624" s="98"/>
      <c r="F8624">
        <v>8620</v>
      </c>
      <c r="G8624" s="109">
        <f t="shared" ca="1" si="143"/>
        <v>-2.3051168119769871E-2</v>
      </c>
    </row>
    <row r="8625" spans="2:7" x14ac:dyDescent="0.25">
      <c r="B8625" s="98"/>
      <c r="F8625">
        <v>8621</v>
      </c>
      <c r="G8625" s="109">
        <f t="shared" ca="1" si="143"/>
        <v>0.11329840607457144</v>
      </c>
    </row>
    <row r="8626" spans="2:7" x14ac:dyDescent="0.25">
      <c r="B8626" s="98"/>
      <c r="F8626">
        <v>8622</v>
      </c>
      <c r="G8626" s="109">
        <f t="shared" ca="1" si="143"/>
        <v>8.8308468739326698E-2</v>
      </c>
    </row>
    <row r="8627" spans="2:7" x14ac:dyDescent="0.25">
      <c r="B8627" s="98"/>
      <c r="F8627">
        <v>8623</v>
      </c>
      <c r="G8627" s="109">
        <f t="shared" ca="1" si="143"/>
        <v>0.12107966135691836</v>
      </c>
    </row>
    <row r="8628" spans="2:7" x14ac:dyDescent="0.25">
      <c r="B8628" s="98"/>
      <c r="F8628">
        <v>8624</v>
      </c>
      <c r="G8628" s="109">
        <f t="shared" ca="1" si="143"/>
        <v>0.15528869738515663</v>
      </c>
    </row>
    <row r="8629" spans="2:7" x14ac:dyDescent="0.25">
      <c r="B8629" s="98"/>
      <c r="F8629">
        <v>8625</v>
      </c>
      <c r="G8629" s="109">
        <f t="shared" ca="1" si="143"/>
        <v>0.17000546366663882</v>
      </c>
    </row>
    <row r="8630" spans="2:7" x14ac:dyDescent="0.25">
      <c r="B8630" s="98"/>
      <c r="F8630">
        <v>8626</v>
      </c>
      <c r="G8630" s="109">
        <f t="shared" ca="1" si="143"/>
        <v>0.10475974675211447</v>
      </c>
    </row>
    <row r="8631" spans="2:7" x14ac:dyDescent="0.25">
      <c r="B8631" s="98"/>
      <c r="F8631">
        <v>8627</v>
      </c>
      <c r="G8631" s="109">
        <f t="shared" ca="1" si="143"/>
        <v>0.12296207913000744</v>
      </c>
    </row>
    <row r="8632" spans="2:7" x14ac:dyDescent="0.25">
      <c r="B8632" s="98"/>
      <c r="F8632">
        <v>8628</v>
      </c>
      <c r="G8632" s="109">
        <f t="shared" ca="1" si="143"/>
        <v>0.14139043466685508</v>
      </c>
    </row>
    <row r="8633" spans="2:7" x14ac:dyDescent="0.25">
      <c r="B8633" s="98"/>
      <c r="F8633">
        <v>8629</v>
      </c>
      <c r="G8633" s="109">
        <f t="shared" ca="1" si="143"/>
        <v>2.2008610440104385E-2</v>
      </c>
    </row>
    <row r="8634" spans="2:7" x14ac:dyDescent="0.25">
      <c r="B8634" s="98"/>
      <c r="F8634">
        <v>8630</v>
      </c>
      <c r="G8634" s="109">
        <f t="shared" ca="1" si="143"/>
        <v>0.17080687147213958</v>
      </c>
    </row>
    <row r="8635" spans="2:7" x14ac:dyDescent="0.25">
      <c r="B8635" s="98"/>
      <c r="F8635">
        <v>8631</v>
      </c>
      <c r="G8635" s="109">
        <f t="shared" ca="1" si="143"/>
        <v>3.0341238315160529E-2</v>
      </c>
    </row>
    <row r="8636" spans="2:7" x14ac:dyDescent="0.25">
      <c r="B8636" s="98"/>
      <c r="F8636">
        <v>8632</v>
      </c>
      <c r="G8636" s="109">
        <f t="shared" ca="1" si="143"/>
        <v>-3.1317957754053993E-3</v>
      </c>
    </row>
    <row r="8637" spans="2:7" x14ac:dyDescent="0.25">
      <c r="B8637" s="98"/>
      <c r="F8637">
        <v>8633</v>
      </c>
      <c r="G8637" s="109">
        <f t="shared" ca="1" si="143"/>
        <v>5.0807331088237324E-2</v>
      </c>
    </row>
    <row r="8638" spans="2:7" x14ac:dyDescent="0.25">
      <c r="B8638" s="98"/>
      <c r="F8638">
        <v>8634</v>
      </c>
      <c r="G8638" s="109">
        <f t="shared" ca="1" si="143"/>
        <v>6.8401177441993546E-3</v>
      </c>
    </row>
    <row r="8639" spans="2:7" x14ac:dyDescent="0.25">
      <c r="B8639" s="98"/>
      <c r="F8639">
        <v>8635</v>
      </c>
      <c r="G8639" s="109">
        <f t="shared" ca="1" si="143"/>
        <v>-8.9861985396765556E-2</v>
      </c>
    </row>
    <row r="8640" spans="2:7" x14ac:dyDescent="0.25">
      <c r="B8640" s="98"/>
      <c r="F8640">
        <v>8636</v>
      </c>
      <c r="G8640" s="109">
        <f t="shared" ca="1" si="143"/>
        <v>-1.5140119473899351E-2</v>
      </c>
    </row>
    <row r="8641" spans="2:7" x14ac:dyDescent="0.25">
      <c r="B8641" s="98"/>
      <c r="F8641">
        <v>8637</v>
      </c>
      <c r="G8641" s="109">
        <f t="shared" ca="1" si="143"/>
        <v>4.34660920275841E-2</v>
      </c>
    </row>
    <row r="8642" spans="2:7" x14ac:dyDescent="0.25">
      <c r="B8642" s="98"/>
      <c r="F8642">
        <v>8638</v>
      </c>
      <c r="G8642" s="109">
        <f t="shared" ca="1" si="143"/>
        <v>0.1370121780385504</v>
      </c>
    </row>
    <row r="8643" spans="2:7" x14ac:dyDescent="0.25">
      <c r="B8643" s="98"/>
      <c r="F8643">
        <v>8639</v>
      </c>
      <c r="G8643" s="109">
        <f t="shared" ca="1" si="143"/>
        <v>8.6663273315380207E-2</v>
      </c>
    </row>
    <row r="8644" spans="2:7" x14ac:dyDescent="0.25">
      <c r="B8644" s="98"/>
      <c r="F8644">
        <v>8640</v>
      </c>
      <c r="G8644" s="109">
        <f t="shared" ca="1" si="143"/>
        <v>-1.710854933429809E-2</v>
      </c>
    </row>
    <row r="8645" spans="2:7" x14ac:dyDescent="0.25">
      <c r="B8645" s="98"/>
      <c r="F8645">
        <v>8641</v>
      </c>
      <c r="G8645" s="109">
        <f t="shared" ca="1" si="143"/>
        <v>6.2427351258151353E-3</v>
      </c>
    </row>
    <row r="8646" spans="2:7" x14ac:dyDescent="0.25">
      <c r="B8646" s="98"/>
      <c r="F8646">
        <v>8642</v>
      </c>
      <c r="G8646" s="109">
        <f t="shared" ref="G8646:G8709" ca="1" si="144">_xlfn.NORM.INV(RAND(),$M$5,$M$6)</f>
        <v>7.8483232228906658E-2</v>
      </c>
    </row>
    <row r="8647" spans="2:7" x14ac:dyDescent="0.25">
      <c r="B8647" s="98"/>
      <c r="F8647">
        <v>8643</v>
      </c>
      <c r="G8647" s="109">
        <f t="shared" ca="1" si="144"/>
        <v>0.10537492517559863</v>
      </c>
    </row>
    <row r="8648" spans="2:7" x14ac:dyDescent="0.25">
      <c r="B8648" s="98"/>
      <c r="F8648">
        <v>8644</v>
      </c>
      <c r="G8648" s="109">
        <f t="shared" ca="1" si="144"/>
        <v>-0.21932175287569944</v>
      </c>
    </row>
    <row r="8649" spans="2:7" x14ac:dyDescent="0.25">
      <c r="B8649" s="98"/>
      <c r="F8649">
        <v>8645</v>
      </c>
      <c r="G8649" s="109">
        <f t="shared" ca="1" si="144"/>
        <v>4.3103892800588635E-2</v>
      </c>
    </row>
    <row r="8650" spans="2:7" x14ac:dyDescent="0.25">
      <c r="B8650" s="98"/>
      <c r="F8650">
        <v>8646</v>
      </c>
      <c r="G8650" s="109">
        <f t="shared" ca="1" si="144"/>
        <v>-4.4126590583233122E-2</v>
      </c>
    </row>
    <row r="8651" spans="2:7" x14ac:dyDescent="0.25">
      <c r="B8651" s="98"/>
      <c r="F8651">
        <v>8647</v>
      </c>
      <c r="G8651" s="109">
        <f t="shared" ca="1" si="144"/>
        <v>0.18317043817101225</v>
      </c>
    </row>
    <row r="8652" spans="2:7" x14ac:dyDescent="0.25">
      <c r="B8652" s="98"/>
      <c r="F8652">
        <v>8648</v>
      </c>
      <c r="G8652" s="109">
        <f t="shared" ca="1" si="144"/>
        <v>0.14717383550673552</v>
      </c>
    </row>
    <row r="8653" spans="2:7" x14ac:dyDescent="0.25">
      <c r="B8653" s="98"/>
      <c r="F8653">
        <v>8649</v>
      </c>
      <c r="G8653" s="109">
        <f t="shared" ca="1" si="144"/>
        <v>0.1344490475003155</v>
      </c>
    </row>
    <row r="8654" spans="2:7" x14ac:dyDescent="0.25">
      <c r="B8654" s="98"/>
      <c r="F8654">
        <v>8650</v>
      </c>
      <c r="G8654" s="109">
        <f t="shared" ca="1" si="144"/>
        <v>0.15198290892827515</v>
      </c>
    </row>
    <row r="8655" spans="2:7" x14ac:dyDescent="0.25">
      <c r="B8655" s="98"/>
      <c r="F8655">
        <v>8651</v>
      </c>
      <c r="G8655" s="109">
        <f t="shared" ca="1" si="144"/>
        <v>-2.4333425563436081E-2</v>
      </c>
    </row>
    <row r="8656" spans="2:7" x14ac:dyDescent="0.25">
      <c r="B8656" s="98"/>
      <c r="F8656">
        <v>8652</v>
      </c>
      <c r="G8656" s="109">
        <f t="shared" ca="1" si="144"/>
        <v>0.11845078567757912</v>
      </c>
    </row>
    <row r="8657" spans="2:7" x14ac:dyDescent="0.25">
      <c r="B8657" s="98"/>
      <c r="F8657">
        <v>8653</v>
      </c>
      <c r="G8657" s="109">
        <f t="shared" ca="1" si="144"/>
        <v>0.10109116349612571</v>
      </c>
    </row>
    <row r="8658" spans="2:7" x14ac:dyDescent="0.25">
      <c r="B8658" s="98"/>
      <c r="F8658">
        <v>8654</v>
      </c>
      <c r="G8658" s="109">
        <f t="shared" ca="1" si="144"/>
        <v>-4.3077436961066404E-2</v>
      </c>
    </row>
    <row r="8659" spans="2:7" x14ac:dyDescent="0.25">
      <c r="B8659" s="98"/>
      <c r="F8659">
        <v>8655</v>
      </c>
      <c r="G8659" s="109">
        <f t="shared" ca="1" si="144"/>
        <v>-7.342762273161689E-2</v>
      </c>
    </row>
    <row r="8660" spans="2:7" x14ac:dyDescent="0.25">
      <c r="B8660" s="98"/>
      <c r="F8660">
        <v>8656</v>
      </c>
      <c r="G8660" s="109">
        <f t="shared" ca="1" si="144"/>
        <v>7.8815663519359397E-2</v>
      </c>
    </row>
    <row r="8661" spans="2:7" x14ac:dyDescent="0.25">
      <c r="B8661" s="98"/>
      <c r="F8661">
        <v>8657</v>
      </c>
      <c r="G8661" s="109">
        <f t="shared" ca="1" si="144"/>
        <v>-2.3359109649536941E-2</v>
      </c>
    </row>
    <row r="8662" spans="2:7" x14ac:dyDescent="0.25">
      <c r="B8662" s="98"/>
      <c r="F8662">
        <v>8658</v>
      </c>
      <c r="G8662" s="109">
        <f t="shared" ca="1" si="144"/>
        <v>4.2209603959494808E-2</v>
      </c>
    </row>
    <row r="8663" spans="2:7" x14ac:dyDescent="0.25">
      <c r="B8663" s="98"/>
      <c r="F8663">
        <v>8659</v>
      </c>
      <c r="G8663" s="109">
        <f t="shared" ca="1" si="144"/>
        <v>0.12508653630112793</v>
      </c>
    </row>
    <row r="8664" spans="2:7" x14ac:dyDescent="0.25">
      <c r="B8664" s="98"/>
      <c r="F8664">
        <v>8660</v>
      </c>
      <c r="G8664" s="109">
        <f t="shared" ca="1" si="144"/>
        <v>0.17759381399790136</v>
      </c>
    </row>
    <row r="8665" spans="2:7" x14ac:dyDescent="0.25">
      <c r="B8665" s="98"/>
      <c r="F8665">
        <v>8661</v>
      </c>
      <c r="G8665" s="109">
        <f t="shared" ca="1" si="144"/>
        <v>-3.1332619496132252E-2</v>
      </c>
    </row>
    <row r="8666" spans="2:7" x14ac:dyDescent="0.25">
      <c r="B8666" s="98"/>
      <c r="F8666">
        <v>8662</v>
      </c>
      <c r="G8666" s="109">
        <f t="shared" ca="1" si="144"/>
        <v>-1.3946407390019483E-2</v>
      </c>
    </row>
    <row r="8667" spans="2:7" x14ac:dyDescent="0.25">
      <c r="B8667" s="98"/>
      <c r="F8667">
        <v>8663</v>
      </c>
      <c r="G8667" s="109">
        <f t="shared" ca="1" si="144"/>
        <v>-1.9474330605089241E-2</v>
      </c>
    </row>
    <row r="8668" spans="2:7" x14ac:dyDescent="0.25">
      <c r="B8668" s="98"/>
      <c r="F8668">
        <v>8664</v>
      </c>
      <c r="G8668" s="109">
        <f t="shared" ca="1" si="144"/>
        <v>-1.7057741365219647E-2</v>
      </c>
    </row>
    <row r="8669" spans="2:7" x14ac:dyDescent="0.25">
      <c r="B8669" s="98"/>
      <c r="F8669">
        <v>8665</v>
      </c>
      <c r="G8669" s="109">
        <f t="shared" ca="1" si="144"/>
        <v>-0.15495080294516539</v>
      </c>
    </row>
    <row r="8670" spans="2:7" x14ac:dyDescent="0.25">
      <c r="B8670" s="98"/>
      <c r="F8670">
        <v>8666</v>
      </c>
      <c r="G8670" s="109">
        <f t="shared" ca="1" si="144"/>
        <v>0.19820253470885507</v>
      </c>
    </row>
    <row r="8671" spans="2:7" x14ac:dyDescent="0.25">
      <c r="B8671" s="98"/>
      <c r="F8671">
        <v>8667</v>
      </c>
      <c r="G8671" s="109">
        <f t="shared" ca="1" si="144"/>
        <v>6.1534026503326331E-2</v>
      </c>
    </row>
    <row r="8672" spans="2:7" x14ac:dyDescent="0.25">
      <c r="B8672" s="98"/>
      <c r="F8672">
        <v>8668</v>
      </c>
      <c r="G8672" s="109">
        <f t="shared" ca="1" si="144"/>
        <v>0.20969820306430703</v>
      </c>
    </row>
    <row r="8673" spans="2:7" x14ac:dyDescent="0.25">
      <c r="B8673" s="98"/>
      <c r="F8673">
        <v>8669</v>
      </c>
      <c r="G8673" s="109">
        <f t="shared" ca="1" si="144"/>
        <v>8.337898216060606E-2</v>
      </c>
    </row>
    <row r="8674" spans="2:7" x14ac:dyDescent="0.25">
      <c r="B8674" s="98"/>
      <c r="F8674">
        <v>8670</v>
      </c>
      <c r="G8674" s="109">
        <f t="shared" ca="1" si="144"/>
        <v>-1.4246674058148466E-2</v>
      </c>
    </row>
    <row r="8675" spans="2:7" x14ac:dyDescent="0.25">
      <c r="B8675" s="98"/>
      <c r="F8675">
        <v>8671</v>
      </c>
      <c r="G8675" s="109">
        <f t="shared" ca="1" si="144"/>
        <v>-0.14267940816170593</v>
      </c>
    </row>
    <row r="8676" spans="2:7" x14ac:dyDescent="0.25">
      <c r="B8676" s="98"/>
      <c r="F8676">
        <v>8672</v>
      </c>
      <c r="G8676" s="109">
        <f t="shared" ca="1" si="144"/>
        <v>0.19184377776041145</v>
      </c>
    </row>
    <row r="8677" spans="2:7" x14ac:dyDescent="0.25">
      <c r="B8677" s="98"/>
      <c r="F8677">
        <v>8673</v>
      </c>
      <c r="G8677" s="109">
        <f t="shared" ca="1" si="144"/>
        <v>-7.6834231767786754E-2</v>
      </c>
    </row>
    <row r="8678" spans="2:7" x14ac:dyDescent="0.25">
      <c r="B8678" s="98"/>
      <c r="F8678">
        <v>8674</v>
      </c>
      <c r="G8678" s="109">
        <f t="shared" ca="1" si="144"/>
        <v>0.16181636632496299</v>
      </c>
    </row>
    <row r="8679" spans="2:7" x14ac:dyDescent="0.25">
      <c r="B8679" s="98"/>
      <c r="F8679">
        <v>8675</v>
      </c>
      <c r="G8679" s="109">
        <f t="shared" ca="1" si="144"/>
        <v>8.5161055677833594E-2</v>
      </c>
    </row>
    <row r="8680" spans="2:7" x14ac:dyDescent="0.25">
      <c r="B8680" s="98"/>
      <c r="F8680">
        <v>8676</v>
      </c>
      <c r="G8680" s="109">
        <f t="shared" ca="1" si="144"/>
        <v>0.14513979082898365</v>
      </c>
    </row>
    <row r="8681" spans="2:7" x14ac:dyDescent="0.25">
      <c r="B8681" s="98"/>
      <c r="F8681">
        <v>8677</v>
      </c>
      <c r="G8681" s="109">
        <f t="shared" ca="1" si="144"/>
        <v>-0.14286354756486952</v>
      </c>
    </row>
    <row r="8682" spans="2:7" x14ac:dyDescent="0.25">
      <c r="B8682" s="98"/>
      <c r="F8682">
        <v>8678</v>
      </c>
      <c r="G8682" s="109">
        <f t="shared" ca="1" si="144"/>
        <v>3.705017393360073E-2</v>
      </c>
    </row>
    <row r="8683" spans="2:7" x14ac:dyDescent="0.25">
      <c r="B8683" s="98"/>
      <c r="F8683">
        <v>8679</v>
      </c>
      <c r="G8683" s="109">
        <f t="shared" ca="1" si="144"/>
        <v>0.17716541238258421</v>
      </c>
    </row>
    <row r="8684" spans="2:7" x14ac:dyDescent="0.25">
      <c r="B8684" s="98"/>
      <c r="F8684">
        <v>8680</v>
      </c>
      <c r="G8684" s="109">
        <f t="shared" ca="1" si="144"/>
        <v>5.3708340551538142E-2</v>
      </c>
    </row>
    <row r="8685" spans="2:7" x14ac:dyDescent="0.25">
      <c r="B8685" s="98"/>
      <c r="F8685">
        <v>8681</v>
      </c>
      <c r="G8685" s="109">
        <f t="shared" ca="1" si="144"/>
        <v>8.7187697066699932E-2</v>
      </c>
    </row>
    <row r="8686" spans="2:7" x14ac:dyDescent="0.25">
      <c r="B8686" s="98"/>
      <c r="F8686">
        <v>8682</v>
      </c>
      <c r="G8686" s="109">
        <f t="shared" ca="1" si="144"/>
        <v>5.1703172253319621E-2</v>
      </c>
    </row>
    <row r="8687" spans="2:7" x14ac:dyDescent="0.25">
      <c r="B8687" s="98"/>
      <c r="F8687">
        <v>8683</v>
      </c>
      <c r="G8687" s="109">
        <f t="shared" ca="1" si="144"/>
        <v>-6.7282094955986679E-2</v>
      </c>
    </row>
    <row r="8688" spans="2:7" x14ac:dyDescent="0.25">
      <c r="B8688" s="98"/>
      <c r="F8688">
        <v>8684</v>
      </c>
      <c r="G8688" s="109">
        <f t="shared" ca="1" si="144"/>
        <v>-5.190106238992738E-2</v>
      </c>
    </row>
    <row r="8689" spans="2:7" x14ac:dyDescent="0.25">
      <c r="B8689" s="98"/>
      <c r="F8689">
        <v>8685</v>
      </c>
      <c r="G8689" s="109">
        <f t="shared" ca="1" si="144"/>
        <v>3.0608215309862657E-2</v>
      </c>
    </row>
    <row r="8690" spans="2:7" x14ac:dyDescent="0.25">
      <c r="B8690" s="98"/>
      <c r="F8690">
        <v>8686</v>
      </c>
      <c r="G8690" s="109">
        <f t="shared" ca="1" si="144"/>
        <v>0.19338503205382296</v>
      </c>
    </row>
    <row r="8691" spans="2:7" x14ac:dyDescent="0.25">
      <c r="B8691" s="98"/>
      <c r="F8691">
        <v>8687</v>
      </c>
      <c r="G8691" s="109">
        <f t="shared" ca="1" si="144"/>
        <v>6.2217833823321148E-2</v>
      </c>
    </row>
    <row r="8692" spans="2:7" x14ac:dyDescent="0.25">
      <c r="B8692" s="98"/>
      <c r="F8692">
        <v>8688</v>
      </c>
      <c r="G8692" s="109">
        <f t="shared" ca="1" si="144"/>
        <v>-0.13865871633000759</v>
      </c>
    </row>
    <row r="8693" spans="2:7" x14ac:dyDescent="0.25">
      <c r="B8693" s="98"/>
      <c r="F8693">
        <v>8689</v>
      </c>
      <c r="G8693" s="109">
        <f t="shared" ca="1" si="144"/>
        <v>0.1090268125235969</v>
      </c>
    </row>
    <row r="8694" spans="2:7" x14ac:dyDescent="0.25">
      <c r="B8694" s="98"/>
      <c r="F8694">
        <v>8690</v>
      </c>
      <c r="G8694" s="109">
        <f t="shared" ca="1" si="144"/>
        <v>3.7329262137894191E-2</v>
      </c>
    </row>
    <row r="8695" spans="2:7" x14ac:dyDescent="0.25">
      <c r="B8695" s="98"/>
      <c r="F8695">
        <v>8691</v>
      </c>
      <c r="G8695" s="109">
        <f t="shared" ca="1" si="144"/>
        <v>6.2731591318857624E-2</v>
      </c>
    </row>
    <row r="8696" spans="2:7" x14ac:dyDescent="0.25">
      <c r="B8696" s="98"/>
      <c r="F8696">
        <v>8692</v>
      </c>
      <c r="G8696" s="109">
        <f t="shared" ca="1" si="144"/>
        <v>6.0610003965080282E-2</v>
      </c>
    </row>
    <row r="8697" spans="2:7" x14ac:dyDescent="0.25">
      <c r="B8697" s="98"/>
      <c r="F8697">
        <v>8693</v>
      </c>
      <c r="G8697" s="109">
        <f t="shared" ca="1" si="144"/>
        <v>0.12995311033166851</v>
      </c>
    </row>
    <row r="8698" spans="2:7" x14ac:dyDescent="0.25">
      <c r="B8698" s="98"/>
      <c r="F8698">
        <v>8694</v>
      </c>
      <c r="G8698" s="109">
        <f t="shared" ca="1" si="144"/>
        <v>9.553520596051937E-2</v>
      </c>
    </row>
    <row r="8699" spans="2:7" x14ac:dyDescent="0.25">
      <c r="B8699" s="98"/>
      <c r="F8699">
        <v>8695</v>
      </c>
      <c r="G8699" s="109">
        <f t="shared" ca="1" si="144"/>
        <v>0.17759058031490754</v>
      </c>
    </row>
    <row r="8700" spans="2:7" x14ac:dyDescent="0.25">
      <c r="B8700" s="98"/>
      <c r="F8700">
        <v>8696</v>
      </c>
      <c r="G8700" s="109">
        <f t="shared" ca="1" si="144"/>
        <v>7.3110481723852108E-2</v>
      </c>
    </row>
    <row r="8701" spans="2:7" x14ac:dyDescent="0.25">
      <c r="B8701" s="98"/>
      <c r="F8701">
        <v>8697</v>
      </c>
      <c r="G8701" s="109">
        <f t="shared" ca="1" si="144"/>
        <v>-8.9967714953699804E-2</v>
      </c>
    </row>
    <row r="8702" spans="2:7" x14ac:dyDescent="0.25">
      <c r="B8702" s="98"/>
      <c r="F8702">
        <v>8698</v>
      </c>
      <c r="G8702" s="109">
        <f t="shared" ca="1" si="144"/>
        <v>0.17587037180254039</v>
      </c>
    </row>
    <row r="8703" spans="2:7" x14ac:dyDescent="0.25">
      <c r="B8703" s="98"/>
      <c r="F8703">
        <v>8699</v>
      </c>
      <c r="G8703" s="109">
        <f t="shared" ca="1" si="144"/>
        <v>-0.2396909559688522</v>
      </c>
    </row>
    <row r="8704" spans="2:7" x14ac:dyDescent="0.25">
      <c r="B8704" s="98"/>
      <c r="F8704">
        <v>8700</v>
      </c>
      <c r="G8704" s="109">
        <f t="shared" ca="1" si="144"/>
        <v>0.11444965377643221</v>
      </c>
    </row>
    <row r="8705" spans="2:7" x14ac:dyDescent="0.25">
      <c r="B8705" s="98"/>
      <c r="F8705">
        <v>8701</v>
      </c>
      <c r="G8705" s="109">
        <f t="shared" ca="1" si="144"/>
        <v>2.0063913540458174E-2</v>
      </c>
    </row>
    <row r="8706" spans="2:7" x14ac:dyDescent="0.25">
      <c r="B8706" s="98"/>
      <c r="F8706">
        <v>8702</v>
      </c>
      <c r="G8706" s="109">
        <f t="shared" ca="1" si="144"/>
        <v>-2.7564799190407427E-2</v>
      </c>
    </row>
    <row r="8707" spans="2:7" x14ac:dyDescent="0.25">
      <c r="B8707" s="98"/>
      <c r="F8707">
        <v>8703</v>
      </c>
      <c r="G8707" s="109">
        <f t="shared" ca="1" si="144"/>
        <v>0.12277710672506417</v>
      </c>
    </row>
    <row r="8708" spans="2:7" x14ac:dyDescent="0.25">
      <c r="B8708" s="98"/>
      <c r="F8708">
        <v>8704</v>
      </c>
      <c r="G8708" s="109">
        <f t="shared" ca="1" si="144"/>
        <v>8.952686025500603E-2</v>
      </c>
    </row>
    <row r="8709" spans="2:7" x14ac:dyDescent="0.25">
      <c r="B8709" s="98"/>
      <c r="F8709">
        <v>8705</v>
      </c>
      <c r="G8709" s="109">
        <f t="shared" ca="1" si="144"/>
        <v>-0.16107776489561065</v>
      </c>
    </row>
    <row r="8710" spans="2:7" x14ac:dyDescent="0.25">
      <c r="B8710" s="98"/>
      <c r="F8710">
        <v>8706</v>
      </c>
      <c r="G8710" s="109">
        <f t="shared" ref="G8710:G8773" ca="1" si="145">_xlfn.NORM.INV(RAND(),$M$5,$M$6)</f>
        <v>-2.7257489772447269E-2</v>
      </c>
    </row>
    <row r="8711" spans="2:7" x14ac:dyDescent="0.25">
      <c r="B8711" s="98"/>
      <c r="F8711">
        <v>8707</v>
      </c>
      <c r="G8711" s="109">
        <f t="shared" ca="1" si="145"/>
        <v>0.263008476655687</v>
      </c>
    </row>
    <row r="8712" spans="2:7" x14ac:dyDescent="0.25">
      <c r="B8712" s="98"/>
      <c r="F8712">
        <v>8708</v>
      </c>
      <c r="G8712" s="109">
        <f t="shared" ca="1" si="145"/>
        <v>0.19048852452525261</v>
      </c>
    </row>
    <row r="8713" spans="2:7" x14ac:dyDescent="0.25">
      <c r="B8713" s="98"/>
      <c r="F8713">
        <v>8709</v>
      </c>
      <c r="G8713" s="109">
        <f t="shared" ca="1" si="145"/>
        <v>-5.1791449896156846E-3</v>
      </c>
    </row>
    <row r="8714" spans="2:7" x14ac:dyDescent="0.25">
      <c r="B8714" s="98"/>
      <c r="F8714">
        <v>8710</v>
      </c>
      <c r="G8714" s="109">
        <f t="shared" ca="1" si="145"/>
        <v>-1.6527459821084847E-2</v>
      </c>
    </row>
    <row r="8715" spans="2:7" x14ac:dyDescent="0.25">
      <c r="B8715" s="98"/>
      <c r="F8715">
        <v>8711</v>
      </c>
      <c r="G8715" s="109">
        <f t="shared" ca="1" si="145"/>
        <v>0.15144140505394854</v>
      </c>
    </row>
    <row r="8716" spans="2:7" x14ac:dyDescent="0.25">
      <c r="B8716" s="98"/>
      <c r="F8716">
        <v>8712</v>
      </c>
      <c r="G8716" s="109">
        <f t="shared" ca="1" si="145"/>
        <v>-0.13552786807470546</v>
      </c>
    </row>
    <row r="8717" spans="2:7" x14ac:dyDescent="0.25">
      <c r="B8717" s="98"/>
      <c r="F8717">
        <v>8713</v>
      </c>
      <c r="G8717" s="109">
        <f t="shared" ca="1" si="145"/>
        <v>0.14403861521589922</v>
      </c>
    </row>
    <row r="8718" spans="2:7" x14ac:dyDescent="0.25">
      <c r="B8718" s="98"/>
      <c r="F8718">
        <v>8714</v>
      </c>
      <c r="G8718" s="109">
        <f t="shared" ca="1" si="145"/>
        <v>9.1753803412599338E-2</v>
      </c>
    </row>
    <row r="8719" spans="2:7" x14ac:dyDescent="0.25">
      <c r="B8719" s="98"/>
      <c r="F8719">
        <v>8715</v>
      </c>
      <c r="G8719" s="109">
        <f t="shared" ca="1" si="145"/>
        <v>7.1085347821042047E-2</v>
      </c>
    </row>
    <row r="8720" spans="2:7" x14ac:dyDescent="0.25">
      <c r="B8720" s="98"/>
      <c r="F8720">
        <v>8716</v>
      </c>
      <c r="G8720" s="109">
        <f t="shared" ca="1" si="145"/>
        <v>0.20985445413238635</v>
      </c>
    </row>
    <row r="8721" spans="2:7" x14ac:dyDescent="0.25">
      <c r="B8721" s="98"/>
      <c r="F8721">
        <v>8717</v>
      </c>
      <c r="G8721" s="109">
        <f t="shared" ca="1" si="145"/>
        <v>0.17918755145323617</v>
      </c>
    </row>
    <row r="8722" spans="2:7" x14ac:dyDescent="0.25">
      <c r="B8722" s="98"/>
      <c r="F8722">
        <v>8718</v>
      </c>
      <c r="G8722" s="109">
        <f t="shared" ca="1" si="145"/>
        <v>7.9390183566492495E-2</v>
      </c>
    </row>
    <row r="8723" spans="2:7" x14ac:dyDescent="0.25">
      <c r="B8723" s="98"/>
      <c r="F8723">
        <v>8719</v>
      </c>
      <c r="G8723" s="109">
        <f t="shared" ca="1" si="145"/>
        <v>0.10972282115224198</v>
      </c>
    </row>
    <row r="8724" spans="2:7" x14ac:dyDescent="0.25">
      <c r="B8724" s="98"/>
      <c r="F8724">
        <v>8720</v>
      </c>
      <c r="G8724" s="109">
        <f t="shared" ca="1" si="145"/>
        <v>0.10256201135806201</v>
      </c>
    </row>
    <row r="8725" spans="2:7" x14ac:dyDescent="0.25">
      <c r="B8725" s="98"/>
      <c r="F8725">
        <v>8721</v>
      </c>
      <c r="G8725" s="109">
        <f t="shared" ca="1" si="145"/>
        <v>-5.6996324148337205E-2</v>
      </c>
    </row>
    <row r="8726" spans="2:7" x14ac:dyDescent="0.25">
      <c r="B8726" s="98"/>
      <c r="F8726">
        <v>8722</v>
      </c>
      <c r="G8726" s="109">
        <f t="shared" ca="1" si="145"/>
        <v>-7.8110165535692971E-2</v>
      </c>
    </row>
    <row r="8727" spans="2:7" x14ac:dyDescent="0.25">
      <c r="B8727" s="98"/>
      <c r="F8727">
        <v>8723</v>
      </c>
      <c r="G8727" s="109">
        <f t="shared" ca="1" si="145"/>
        <v>0.11520584007621808</v>
      </c>
    </row>
    <row r="8728" spans="2:7" x14ac:dyDescent="0.25">
      <c r="B8728" s="98"/>
      <c r="F8728">
        <v>8724</v>
      </c>
      <c r="G8728" s="109">
        <f t="shared" ca="1" si="145"/>
        <v>3.5377761503932389E-2</v>
      </c>
    </row>
    <row r="8729" spans="2:7" x14ac:dyDescent="0.25">
      <c r="B8729" s="98"/>
      <c r="F8729">
        <v>8725</v>
      </c>
      <c r="G8729" s="109">
        <f t="shared" ca="1" si="145"/>
        <v>2.8706361295162835E-2</v>
      </c>
    </row>
    <row r="8730" spans="2:7" x14ac:dyDescent="0.25">
      <c r="B8730" s="98"/>
      <c r="F8730">
        <v>8726</v>
      </c>
      <c r="G8730" s="109">
        <f t="shared" ca="1" si="145"/>
        <v>0.23266410776196755</v>
      </c>
    </row>
    <row r="8731" spans="2:7" x14ac:dyDescent="0.25">
      <c r="B8731" s="98"/>
      <c r="F8731">
        <v>8727</v>
      </c>
      <c r="G8731" s="109">
        <f t="shared" ca="1" si="145"/>
        <v>3.14383342971132E-2</v>
      </c>
    </row>
    <row r="8732" spans="2:7" x14ac:dyDescent="0.25">
      <c r="B8732" s="98"/>
      <c r="F8732">
        <v>8728</v>
      </c>
      <c r="G8732" s="109">
        <f t="shared" ca="1" si="145"/>
        <v>0.25540198721799423</v>
      </c>
    </row>
    <row r="8733" spans="2:7" x14ac:dyDescent="0.25">
      <c r="B8733" s="98"/>
      <c r="F8733">
        <v>8729</v>
      </c>
      <c r="G8733" s="109">
        <f t="shared" ca="1" si="145"/>
        <v>-3.9147467517581039E-2</v>
      </c>
    </row>
    <row r="8734" spans="2:7" x14ac:dyDescent="0.25">
      <c r="B8734" s="98"/>
      <c r="F8734">
        <v>8730</v>
      </c>
      <c r="G8734" s="109">
        <f t="shared" ca="1" si="145"/>
        <v>4.2021184232504963E-2</v>
      </c>
    </row>
    <row r="8735" spans="2:7" x14ac:dyDescent="0.25">
      <c r="B8735" s="98"/>
      <c r="F8735">
        <v>8731</v>
      </c>
      <c r="G8735" s="109">
        <f t="shared" ca="1" si="145"/>
        <v>0.29684139850383351</v>
      </c>
    </row>
    <row r="8736" spans="2:7" x14ac:dyDescent="0.25">
      <c r="B8736" s="98"/>
      <c r="F8736">
        <v>8732</v>
      </c>
      <c r="G8736" s="109">
        <f t="shared" ca="1" si="145"/>
        <v>0.11635945590934856</v>
      </c>
    </row>
    <row r="8737" spans="2:7" x14ac:dyDescent="0.25">
      <c r="B8737" s="98"/>
      <c r="F8737">
        <v>8733</v>
      </c>
      <c r="G8737" s="109">
        <f t="shared" ca="1" si="145"/>
        <v>1.4925138711582603E-2</v>
      </c>
    </row>
    <row r="8738" spans="2:7" x14ac:dyDescent="0.25">
      <c r="B8738" s="98"/>
      <c r="F8738">
        <v>8734</v>
      </c>
      <c r="G8738" s="109">
        <f t="shared" ca="1" si="145"/>
        <v>0.15199765255521736</v>
      </c>
    </row>
    <row r="8739" spans="2:7" x14ac:dyDescent="0.25">
      <c r="B8739" s="98"/>
      <c r="F8739">
        <v>8735</v>
      </c>
      <c r="G8739" s="109">
        <f t="shared" ca="1" si="145"/>
        <v>0.21832753037681046</v>
      </c>
    </row>
    <row r="8740" spans="2:7" x14ac:dyDescent="0.25">
      <c r="B8740" s="98"/>
      <c r="F8740">
        <v>8736</v>
      </c>
      <c r="G8740" s="109">
        <f t="shared" ca="1" si="145"/>
        <v>3.8724926743028479E-3</v>
      </c>
    </row>
    <row r="8741" spans="2:7" x14ac:dyDescent="0.25">
      <c r="B8741" s="98"/>
      <c r="F8741">
        <v>8737</v>
      </c>
      <c r="G8741" s="109">
        <f t="shared" ca="1" si="145"/>
        <v>-6.8212715019487571E-3</v>
      </c>
    </row>
    <row r="8742" spans="2:7" x14ac:dyDescent="0.25">
      <c r="B8742" s="98"/>
      <c r="F8742">
        <v>8738</v>
      </c>
      <c r="G8742" s="109">
        <f t="shared" ca="1" si="145"/>
        <v>8.4610292945737908E-2</v>
      </c>
    </row>
    <row r="8743" spans="2:7" x14ac:dyDescent="0.25">
      <c r="B8743" s="98"/>
      <c r="F8743">
        <v>8739</v>
      </c>
      <c r="G8743" s="109">
        <f t="shared" ca="1" si="145"/>
        <v>9.3568967155076593E-2</v>
      </c>
    </row>
    <row r="8744" spans="2:7" x14ac:dyDescent="0.25">
      <c r="B8744" s="98"/>
      <c r="F8744">
        <v>8740</v>
      </c>
      <c r="G8744" s="109">
        <f t="shared" ca="1" si="145"/>
        <v>8.5689718093100914E-2</v>
      </c>
    </row>
    <row r="8745" spans="2:7" x14ac:dyDescent="0.25">
      <c r="B8745" s="98"/>
      <c r="F8745">
        <v>8741</v>
      </c>
      <c r="G8745" s="109">
        <f t="shared" ca="1" si="145"/>
        <v>0.12734095695727715</v>
      </c>
    </row>
    <row r="8746" spans="2:7" x14ac:dyDescent="0.25">
      <c r="B8746" s="98"/>
      <c r="F8746">
        <v>8742</v>
      </c>
      <c r="G8746" s="109">
        <f t="shared" ca="1" si="145"/>
        <v>-0.20055676805281336</v>
      </c>
    </row>
    <row r="8747" spans="2:7" x14ac:dyDescent="0.25">
      <c r="B8747" s="98"/>
      <c r="F8747">
        <v>8743</v>
      </c>
      <c r="G8747" s="109">
        <f t="shared" ca="1" si="145"/>
        <v>-6.0685441050750077E-2</v>
      </c>
    </row>
    <row r="8748" spans="2:7" x14ac:dyDescent="0.25">
      <c r="B8748" s="98"/>
      <c r="F8748">
        <v>8744</v>
      </c>
      <c r="G8748" s="109">
        <f t="shared" ca="1" si="145"/>
        <v>0.12662343508109539</v>
      </c>
    </row>
    <row r="8749" spans="2:7" x14ac:dyDescent="0.25">
      <c r="B8749" s="98"/>
      <c r="F8749">
        <v>8745</v>
      </c>
      <c r="G8749" s="109">
        <f t="shared" ca="1" si="145"/>
        <v>0.10255318631174483</v>
      </c>
    </row>
    <row r="8750" spans="2:7" x14ac:dyDescent="0.25">
      <c r="B8750" s="98"/>
      <c r="F8750">
        <v>8746</v>
      </c>
      <c r="G8750" s="109">
        <f t="shared" ca="1" si="145"/>
        <v>9.6691861467649798E-2</v>
      </c>
    </row>
    <row r="8751" spans="2:7" x14ac:dyDescent="0.25">
      <c r="B8751" s="98"/>
      <c r="F8751">
        <v>8747</v>
      </c>
      <c r="G8751" s="109">
        <f t="shared" ca="1" si="145"/>
        <v>0.30684309380892905</v>
      </c>
    </row>
    <row r="8752" spans="2:7" x14ac:dyDescent="0.25">
      <c r="B8752" s="98"/>
      <c r="F8752">
        <v>8748</v>
      </c>
      <c r="G8752" s="109">
        <f t="shared" ca="1" si="145"/>
        <v>2.6308618455683268E-2</v>
      </c>
    </row>
    <row r="8753" spans="2:7" x14ac:dyDescent="0.25">
      <c r="B8753" s="98"/>
      <c r="F8753">
        <v>8749</v>
      </c>
      <c r="G8753" s="109">
        <f t="shared" ca="1" si="145"/>
        <v>0.10784441771860684</v>
      </c>
    </row>
    <row r="8754" spans="2:7" x14ac:dyDescent="0.25">
      <c r="B8754" s="98"/>
      <c r="F8754">
        <v>8750</v>
      </c>
      <c r="G8754" s="109">
        <f t="shared" ca="1" si="145"/>
        <v>-9.2324558410728938E-2</v>
      </c>
    </row>
    <row r="8755" spans="2:7" x14ac:dyDescent="0.25">
      <c r="B8755" s="98"/>
      <c r="F8755">
        <v>8751</v>
      </c>
      <c r="G8755" s="109">
        <f t="shared" ca="1" si="145"/>
        <v>0.23807357577819271</v>
      </c>
    </row>
    <row r="8756" spans="2:7" x14ac:dyDescent="0.25">
      <c r="B8756" s="98"/>
      <c r="F8756">
        <v>8752</v>
      </c>
      <c r="G8756" s="109">
        <f t="shared" ca="1" si="145"/>
        <v>0.19178565946124021</v>
      </c>
    </row>
    <row r="8757" spans="2:7" x14ac:dyDescent="0.25">
      <c r="B8757" s="98"/>
      <c r="F8757">
        <v>8753</v>
      </c>
      <c r="G8757" s="109">
        <f t="shared" ca="1" si="145"/>
        <v>-3.522252489720544E-2</v>
      </c>
    </row>
    <row r="8758" spans="2:7" x14ac:dyDescent="0.25">
      <c r="B8758" s="98"/>
      <c r="F8758">
        <v>8754</v>
      </c>
      <c r="G8758" s="109">
        <f t="shared" ca="1" si="145"/>
        <v>-1.8987563053267348E-2</v>
      </c>
    </row>
    <row r="8759" spans="2:7" x14ac:dyDescent="0.25">
      <c r="B8759" s="98"/>
      <c r="F8759">
        <v>8755</v>
      </c>
      <c r="G8759" s="109">
        <f t="shared" ca="1" si="145"/>
        <v>5.3271588682470887E-2</v>
      </c>
    </row>
    <row r="8760" spans="2:7" x14ac:dyDescent="0.25">
      <c r="B8760" s="98"/>
      <c r="F8760">
        <v>8756</v>
      </c>
      <c r="G8760" s="109">
        <f t="shared" ca="1" si="145"/>
        <v>6.6199372733568213E-2</v>
      </c>
    </row>
    <row r="8761" spans="2:7" x14ac:dyDescent="0.25">
      <c r="B8761" s="98"/>
      <c r="F8761">
        <v>8757</v>
      </c>
      <c r="G8761" s="109">
        <f t="shared" ca="1" si="145"/>
        <v>1.6360025708382304E-2</v>
      </c>
    </row>
    <row r="8762" spans="2:7" x14ac:dyDescent="0.25">
      <c r="B8762" s="98"/>
      <c r="F8762">
        <v>8758</v>
      </c>
      <c r="G8762" s="109">
        <f t="shared" ca="1" si="145"/>
        <v>-4.5311358977650484E-2</v>
      </c>
    </row>
    <row r="8763" spans="2:7" x14ac:dyDescent="0.25">
      <c r="B8763" s="98"/>
      <c r="F8763">
        <v>8759</v>
      </c>
      <c r="G8763" s="109">
        <f t="shared" ca="1" si="145"/>
        <v>-0.19531253483365768</v>
      </c>
    </row>
    <row r="8764" spans="2:7" x14ac:dyDescent="0.25">
      <c r="B8764" s="98"/>
      <c r="F8764">
        <v>8760</v>
      </c>
      <c r="G8764" s="109">
        <f t="shared" ca="1" si="145"/>
        <v>0.24626107549344695</v>
      </c>
    </row>
    <row r="8765" spans="2:7" x14ac:dyDescent="0.25">
      <c r="B8765" s="98"/>
      <c r="F8765">
        <v>8761</v>
      </c>
      <c r="G8765" s="109">
        <f t="shared" ca="1" si="145"/>
        <v>0.10868895112916775</v>
      </c>
    </row>
    <row r="8766" spans="2:7" x14ac:dyDescent="0.25">
      <c r="B8766" s="98"/>
      <c r="F8766">
        <v>8762</v>
      </c>
      <c r="G8766" s="109">
        <f t="shared" ca="1" si="145"/>
        <v>-1.2021075243604691E-2</v>
      </c>
    </row>
    <row r="8767" spans="2:7" x14ac:dyDescent="0.25">
      <c r="B8767" s="98"/>
      <c r="F8767">
        <v>8763</v>
      </c>
      <c r="G8767" s="109">
        <f t="shared" ca="1" si="145"/>
        <v>9.0449663096490912E-2</v>
      </c>
    </row>
    <row r="8768" spans="2:7" x14ac:dyDescent="0.25">
      <c r="B8768" s="98"/>
      <c r="F8768">
        <v>8764</v>
      </c>
      <c r="G8768" s="109">
        <f t="shared" ca="1" si="145"/>
        <v>2.5819207820458219E-2</v>
      </c>
    </row>
    <row r="8769" spans="2:7" x14ac:dyDescent="0.25">
      <c r="B8769" s="98"/>
      <c r="F8769">
        <v>8765</v>
      </c>
      <c r="G8769" s="109">
        <f t="shared" ca="1" si="145"/>
        <v>1.085322300344032E-2</v>
      </c>
    </row>
    <row r="8770" spans="2:7" x14ac:dyDescent="0.25">
      <c r="B8770" s="98"/>
      <c r="F8770">
        <v>8766</v>
      </c>
      <c r="G8770" s="109">
        <f t="shared" ca="1" si="145"/>
        <v>0.16523411633374746</v>
      </c>
    </row>
    <row r="8771" spans="2:7" x14ac:dyDescent="0.25">
      <c r="B8771" s="98"/>
      <c r="F8771">
        <v>8767</v>
      </c>
      <c r="G8771" s="109">
        <f t="shared" ca="1" si="145"/>
        <v>7.8231993186865814E-2</v>
      </c>
    </row>
    <row r="8772" spans="2:7" x14ac:dyDescent="0.25">
      <c r="B8772" s="98"/>
      <c r="F8772">
        <v>8768</v>
      </c>
      <c r="G8772" s="109">
        <f t="shared" ca="1" si="145"/>
        <v>-2.8066403773189613E-2</v>
      </c>
    </row>
    <row r="8773" spans="2:7" x14ac:dyDescent="0.25">
      <c r="B8773" s="98"/>
      <c r="F8773">
        <v>8769</v>
      </c>
      <c r="G8773" s="109">
        <f t="shared" ca="1" si="145"/>
        <v>4.8009233427385785E-2</v>
      </c>
    </row>
    <row r="8774" spans="2:7" x14ac:dyDescent="0.25">
      <c r="B8774" s="98"/>
      <c r="F8774">
        <v>8770</v>
      </c>
      <c r="G8774" s="109">
        <f t="shared" ref="G8774:G8837" ca="1" si="146">_xlfn.NORM.INV(RAND(),$M$5,$M$6)</f>
        <v>0.29630732926270531</v>
      </c>
    </row>
    <row r="8775" spans="2:7" x14ac:dyDescent="0.25">
      <c r="B8775" s="98"/>
      <c r="F8775">
        <v>8771</v>
      </c>
      <c r="G8775" s="109">
        <f t="shared" ca="1" si="146"/>
        <v>1.2448331230597333E-2</v>
      </c>
    </row>
    <row r="8776" spans="2:7" x14ac:dyDescent="0.25">
      <c r="B8776" s="98"/>
      <c r="F8776">
        <v>8772</v>
      </c>
      <c r="G8776" s="109">
        <f t="shared" ca="1" si="146"/>
        <v>6.5300833145462034E-2</v>
      </c>
    </row>
    <row r="8777" spans="2:7" x14ac:dyDescent="0.25">
      <c r="B8777" s="98"/>
      <c r="F8777">
        <v>8773</v>
      </c>
      <c r="G8777" s="109">
        <f t="shared" ca="1" si="146"/>
        <v>0.22779997024711124</v>
      </c>
    </row>
    <row r="8778" spans="2:7" x14ac:dyDescent="0.25">
      <c r="B8778" s="98"/>
      <c r="F8778">
        <v>8774</v>
      </c>
      <c r="G8778" s="109">
        <f t="shared" ca="1" si="146"/>
        <v>-6.0839559705118687E-2</v>
      </c>
    </row>
    <row r="8779" spans="2:7" x14ac:dyDescent="0.25">
      <c r="B8779" s="98"/>
      <c r="F8779">
        <v>8775</v>
      </c>
      <c r="G8779" s="109">
        <f t="shared" ca="1" si="146"/>
        <v>2.3960389130516336E-2</v>
      </c>
    </row>
    <row r="8780" spans="2:7" x14ac:dyDescent="0.25">
      <c r="B8780" s="98"/>
      <c r="F8780">
        <v>8776</v>
      </c>
      <c r="G8780" s="109">
        <f t="shared" ca="1" si="146"/>
        <v>-0.10163176676722151</v>
      </c>
    </row>
    <row r="8781" spans="2:7" x14ac:dyDescent="0.25">
      <c r="B8781" s="98"/>
      <c r="F8781">
        <v>8777</v>
      </c>
      <c r="G8781" s="109">
        <f t="shared" ca="1" si="146"/>
        <v>0.24580609855285951</v>
      </c>
    </row>
    <row r="8782" spans="2:7" x14ac:dyDescent="0.25">
      <c r="B8782" s="98"/>
      <c r="F8782">
        <v>8778</v>
      </c>
      <c r="G8782" s="109">
        <f t="shared" ca="1" si="146"/>
        <v>0.14722964935826066</v>
      </c>
    </row>
    <row r="8783" spans="2:7" x14ac:dyDescent="0.25">
      <c r="B8783" s="98"/>
      <c r="F8783">
        <v>8779</v>
      </c>
      <c r="G8783" s="109">
        <f t="shared" ca="1" si="146"/>
        <v>0.24563179152757109</v>
      </c>
    </row>
    <row r="8784" spans="2:7" x14ac:dyDescent="0.25">
      <c r="B8784" s="98"/>
      <c r="F8784">
        <v>8780</v>
      </c>
      <c r="G8784" s="109">
        <f t="shared" ca="1" si="146"/>
        <v>-8.3804734499495145E-3</v>
      </c>
    </row>
    <row r="8785" spans="2:7" x14ac:dyDescent="0.25">
      <c r="B8785" s="98"/>
      <c r="F8785">
        <v>8781</v>
      </c>
      <c r="G8785" s="109">
        <f t="shared" ca="1" si="146"/>
        <v>-3.9051353672677702E-2</v>
      </c>
    </row>
    <row r="8786" spans="2:7" x14ac:dyDescent="0.25">
      <c r="B8786" s="98"/>
      <c r="F8786">
        <v>8782</v>
      </c>
      <c r="G8786" s="109">
        <f t="shared" ca="1" si="146"/>
        <v>-1.3218323674258355E-2</v>
      </c>
    </row>
    <row r="8787" spans="2:7" x14ac:dyDescent="0.25">
      <c r="B8787" s="98"/>
      <c r="F8787">
        <v>8783</v>
      </c>
      <c r="G8787" s="109">
        <f t="shared" ca="1" si="146"/>
        <v>0.10146776536704874</v>
      </c>
    </row>
    <row r="8788" spans="2:7" x14ac:dyDescent="0.25">
      <c r="B8788" s="98"/>
      <c r="F8788">
        <v>8784</v>
      </c>
      <c r="G8788" s="109">
        <f t="shared" ca="1" si="146"/>
        <v>0.10111551228707558</v>
      </c>
    </row>
    <row r="8789" spans="2:7" x14ac:dyDescent="0.25">
      <c r="B8789" s="98"/>
      <c r="F8789">
        <v>8785</v>
      </c>
      <c r="G8789" s="109">
        <f t="shared" ca="1" si="146"/>
        <v>0.30110543270101353</v>
      </c>
    </row>
    <row r="8790" spans="2:7" x14ac:dyDescent="0.25">
      <c r="B8790" s="98"/>
      <c r="F8790">
        <v>8786</v>
      </c>
      <c r="G8790" s="109">
        <f t="shared" ca="1" si="146"/>
        <v>-1.9967480543482477E-3</v>
      </c>
    </row>
    <row r="8791" spans="2:7" x14ac:dyDescent="0.25">
      <c r="B8791" s="98"/>
      <c r="F8791">
        <v>8787</v>
      </c>
      <c r="G8791" s="109">
        <f t="shared" ca="1" si="146"/>
        <v>0.1737981412709621</v>
      </c>
    </row>
    <row r="8792" spans="2:7" x14ac:dyDescent="0.25">
      <c r="B8792" s="98"/>
      <c r="F8792">
        <v>8788</v>
      </c>
      <c r="G8792" s="109">
        <f t="shared" ca="1" si="146"/>
        <v>-0.2151507246199772</v>
      </c>
    </row>
    <row r="8793" spans="2:7" x14ac:dyDescent="0.25">
      <c r="B8793" s="98"/>
      <c r="F8793">
        <v>8789</v>
      </c>
      <c r="G8793" s="109">
        <f t="shared" ca="1" si="146"/>
        <v>5.1383436421991571E-2</v>
      </c>
    </row>
    <row r="8794" spans="2:7" x14ac:dyDescent="0.25">
      <c r="B8794" s="98"/>
      <c r="F8794">
        <v>8790</v>
      </c>
      <c r="G8794" s="109">
        <f t="shared" ca="1" si="146"/>
        <v>5.1416339092321364E-2</v>
      </c>
    </row>
    <row r="8795" spans="2:7" x14ac:dyDescent="0.25">
      <c r="B8795" s="98"/>
      <c r="F8795">
        <v>8791</v>
      </c>
      <c r="G8795" s="109">
        <f t="shared" ca="1" si="146"/>
        <v>0.20438667145338607</v>
      </c>
    </row>
    <row r="8796" spans="2:7" x14ac:dyDescent="0.25">
      <c r="B8796" s="98"/>
      <c r="F8796">
        <v>8792</v>
      </c>
      <c r="G8796" s="109">
        <f t="shared" ca="1" si="146"/>
        <v>9.9214182937719039E-3</v>
      </c>
    </row>
    <row r="8797" spans="2:7" x14ac:dyDescent="0.25">
      <c r="B8797" s="98"/>
      <c r="F8797">
        <v>8793</v>
      </c>
      <c r="G8797" s="109">
        <f t="shared" ca="1" si="146"/>
        <v>5.17209202359495E-2</v>
      </c>
    </row>
    <row r="8798" spans="2:7" x14ac:dyDescent="0.25">
      <c r="B8798" s="98"/>
      <c r="F8798">
        <v>8794</v>
      </c>
      <c r="G8798" s="109">
        <f t="shared" ca="1" si="146"/>
        <v>9.5219615106183472E-2</v>
      </c>
    </row>
    <row r="8799" spans="2:7" x14ac:dyDescent="0.25">
      <c r="B8799" s="98"/>
      <c r="F8799">
        <v>8795</v>
      </c>
      <c r="G8799" s="109">
        <f t="shared" ca="1" si="146"/>
        <v>7.9451402014110675E-2</v>
      </c>
    </row>
    <row r="8800" spans="2:7" x14ac:dyDescent="0.25">
      <c r="B8800" s="98"/>
      <c r="F8800">
        <v>8796</v>
      </c>
      <c r="G8800" s="109">
        <f t="shared" ca="1" si="146"/>
        <v>4.2520303946636133E-2</v>
      </c>
    </row>
    <row r="8801" spans="2:7" x14ac:dyDescent="0.25">
      <c r="B8801" s="98"/>
      <c r="F8801">
        <v>8797</v>
      </c>
      <c r="G8801" s="109">
        <f t="shared" ca="1" si="146"/>
        <v>5.9898088338067867E-2</v>
      </c>
    </row>
    <row r="8802" spans="2:7" x14ac:dyDescent="0.25">
      <c r="B8802" s="98"/>
      <c r="F8802">
        <v>8798</v>
      </c>
      <c r="G8802" s="109">
        <f t="shared" ca="1" si="146"/>
        <v>-8.9337958194104089E-3</v>
      </c>
    </row>
    <row r="8803" spans="2:7" x14ac:dyDescent="0.25">
      <c r="B8803" s="98"/>
      <c r="F8803">
        <v>8799</v>
      </c>
      <c r="G8803" s="109">
        <f t="shared" ca="1" si="146"/>
        <v>0.18040792009668882</v>
      </c>
    </row>
    <row r="8804" spans="2:7" x14ac:dyDescent="0.25">
      <c r="B8804" s="98"/>
      <c r="F8804">
        <v>8800</v>
      </c>
      <c r="G8804" s="109">
        <f t="shared" ca="1" si="146"/>
        <v>0.1897104433455496</v>
      </c>
    </row>
    <row r="8805" spans="2:7" x14ac:dyDescent="0.25">
      <c r="B8805" s="98"/>
      <c r="F8805">
        <v>8801</v>
      </c>
      <c r="G8805" s="109">
        <f t="shared" ca="1" si="146"/>
        <v>0.14127003035219032</v>
      </c>
    </row>
    <row r="8806" spans="2:7" x14ac:dyDescent="0.25">
      <c r="B8806" s="98"/>
      <c r="F8806">
        <v>8802</v>
      </c>
      <c r="G8806" s="109">
        <f t="shared" ca="1" si="146"/>
        <v>0.10717339780032312</v>
      </c>
    </row>
    <row r="8807" spans="2:7" x14ac:dyDescent="0.25">
      <c r="B8807" s="98"/>
      <c r="F8807">
        <v>8803</v>
      </c>
      <c r="G8807" s="109">
        <f t="shared" ca="1" si="146"/>
        <v>0.12770888300517139</v>
      </c>
    </row>
    <row r="8808" spans="2:7" x14ac:dyDescent="0.25">
      <c r="B8808" s="98"/>
      <c r="F8808">
        <v>8804</v>
      </c>
      <c r="G8808" s="109">
        <f t="shared" ca="1" si="146"/>
        <v>7.005615635311449E-2</v>
      </c>
    </row>
    <row r="8809" spans="2:7" x14ac:dyDescent="0.25">
      <c r="B8809" s="98"/>
      <c r="F8809">
        <v>8805</v>
      </c>
      <c r="G8809" s="109">
        <f t="shared" ca="1" si="146"/>
        <v>-2.7319266009765628E-3</v>
      </c>
    </row>
    <row r="8810" spans="2:7" x14ac:dyDescent="0.25">
      <c r="B8810" s="98"/>
      <c r="F8810">
        <v>8806</v>
      </c>
      <c r="G8810" s="109">
        <f t="shared" ca="1" si="146"/>
        <v>-3.5373017905482473E-2</v>
      </c>
    </row>
    <row r="8811" spans="2:7" x14ac:dyDescent="0.25">
      <c r="B8811" s="98"/>
      <c r="F8811">
        <v>8807</v>
      </c>
      <c r="G8811" s="109">
        <f t="shared" ca="1" si="146"/>
        <v>6.9680139617065151E-2</v>
      </c>
    </row>
    <row r="8812" spans="2:7" x14ac:dyDescent="0.25">
      <c r="B8812" s="98"/>
      <c r="F8812">
        <v>8808</v>
      </c>
      <c r="G8812" s="109">
        <f t="shared" ca="1" si="146"/>
        <v>0.1260592294333519</v>
      </c>
    </row>
    <row r="8813" spans="2:7" x14ac:dyDescent="0.25">
      <c r="B8813" s="98"/>
      <c r="F8813">
        <v>8809</v>
      </c>
      <c r="G8813" s="109">
        <f t="shared" ca="1" si="146"/>
        <v>7.6268315359161065E-2</v>
      </c>
    </row>
    <row r="8814" spans="2:7" x14ac:dyDescent="0.25">
      <c r="B8814" s="98"/>
      <c r="F8814">
        <v>8810</v>
      </c>
      <c r="G8814" s="109">
        <f t="shared" ca="1" si="146"/>
        <v>7.3897877713976629E-2</v>
      </c>
    </row>
    <row r="8815" spans="2:7" x14ac:dyDescent="0.25">
      <c r="B8815" s="98"/>
      <c r="F8815">
        <v>8811</v>
      </c>
      <c r="G8815" s="109">
        <f t="shared" ca="1" si="146"/>
        <v>2.1470639340606352E-2</v>
      </c>
    </row>
    <row r="8816" spans="2:7" x14ac:dyDescent="0.25">
      <c r="B8816" s="98"/>
      <c r="F8816">
        <v>8812</v>
      </c>
      <c r="G8816" s="109">
        <f t="shared" ca="1" si="146"/>
        <v>0.16117082723121695</v>
      </c>
    </row>
    <row r="8817" spans="2:7" x14ac:dyDescent="0.25">
      <c r="B8817" s="98"/>
      <c r="F8817">
        <v>8813</v>
      </c>
      <c r="G8817" s="109">
        <f t="shared" ca="1" si="146"/>
        <v>0.10081718571085407</v>
      </c>
    </row>
    <row r="8818" spans="2:7" x14ac:dyDescent="0.25">
      <c r="B8818" s="98"/>
      <c r="F8818">
        <v>8814</v>
      </c>
      <c r="G8818" s="109">
        <f t="shared" ca="1" si="146"/>
        <v>-6.1363827378556821E-3</v>
      </c>
    </row>
    <row r="8819" spans="2:7" x14ac:dyDescent="0.25">
      <c r="B8819" s="98"/>
      <c r="F8819">
        <v>8815</v>
      </c>
      <c r="G8819" s="109">
        <f t="shared" ca="1" si="146"/>
        <v>0.16005451470746726</v>
      </c>
    </row>
    <row r="8820" spans="2:7" x14ac:dyDescent="0.25">
      <c r="B8820" s="98"/>
      <c r="F8820">
        <v>8816</v>
      </c>
      <c r="G8820" s="109">
        <f t="shared" ca="1" si="146"/>
        <v>4.8463787355467747E-3</v>
      </c>
    </row>
    <row r="8821" spans="2:7" x14ac:dyDescent="0.25">
      <c r="B8821" s="98"/>
      <c r="F8821">
        <v>8817</v>
      </c>
      <c r="G8821" s="109">
        <f t="shared" ca="1" si="146"/>
        <v>4.3884292094893237E-2</v>
      </c>
    </row>
    <row r="8822" spans="2:7" x14ac:dyDescent="0.25">
      <c r="B8822" s="98"/>
      <c r="F8822">
        <v>8818</v>
      </c>
      <c r="G8822" s="109">
        <f t="shared" ca="1" si="146"/>
        <v>0.12217241661390443</v>
      </c>
    </row>
    <row r="8823" spans="2:7" x14ac:dyDescent="0.25">
      <c r="B8823" s="98"/>
      <c r="F8823">
        <v>8819</v>
      </c>
      <c r="G8823" s="109">
        <f t="shared" ca="1" si="146"/>
        <v>8.5367414417653109E-2</v>
      </c>
    </row>
    <row r="8824" spans="2:7" x14ac:dyDescent="0.25">
      <c r="B8824" s="98"/>
      <c r="F8824">
        <v>8820</v>
      </c>
      <c r="G8824" s="109">
        <f t="shared" ca="1" si="146"/>
        <v>0.14452900181282374</v>
      </c>
    </row>
    <row r="8825" spans="2:7" x14ac:dyDescent="0.25">
      <c r="B8825" s="98"/>
      <c r="F8825">
        <v>8821</v>
      </c>
      <c r="G8825" s="109">
        <f t="shared" ca="1" si="146"/>
        <v>0.13535207485016471</v>
      </c>
    </row>
    <row r="8826" spans="2:7" x14ac:dyDescent="0.25">
      <c r="B8826" s="98"/>
      <c r="F8826">
        <v>8822</v>
      </c>
      <c r="G8826" s="109">
        <f t="shared" ca="1" si="146"/>
        <v>5.3679557552193426E-2</v>
      </c>
    </row>
    <row r="8827" spans="2:7" x14ac:dyDescent="0.25">
      <c r="B8827" s="98"/>
      <c r="F8827">
        <v>8823</v>
      </c>
      <c r="G8827" s="109">
        <f t="shared" ca="1" si="146"/>
        <v>9.7271373281640622E-3</v>
      </c>
    </row>
    <row r="8828" spans="2:7" x14ac:dyDescent="0.25">
      <c r="B8828" s="98"/>
      <c r="F8828">
        <v>8824</v>
      </c>
      <c r="G8828" s="109">
        <f t="shared" ca="1" si="146"/>
        <v>5.7993697897382873E-4</v>
      </c>
    </row>
    <row r="8829" spans="2:7" x14ac:dyDescent="0.25">
      <c r="B8829" s="98"/>
      <c r="F8829">
        <v>8825</v>
      </c>
      <c r="G8829" s="109">
        <f t="shared" ca="1" si="146"/>
        <v>-3.1869898813620845E-2</v>
      </c>
    </row>
    <row r="8830" spans="2:7" x14ac:dyDescent="0.25">
      <c r="B8830" s="98"/>
      <c r="F8830">
        <v>8826</v>
      </c>
      <c r="G8830" s="109">
        <f t="shared" ca="1" si="146"/>
        <v>0.14989637190994132</v>
      </c>
    </row>
    <row r="8831" spans="2:7" x14ac:dyDescent="0.25">
      <c r="B8831" s="98"/>
      <c r="F8831">
        <v>8827</v>
      </c>
      <c r="G8831" s="109">
        <f t="shared" ca="1" si="146"/>
        <v>-7.9883009348283782E-3</v>
      </c>
    </row>
    <row r="8832" spans="2:7" x14ac:dyDescent="0.25">
      <c r="B8832" s="98"/>
      <c r="F8832">
        <v>8828</v>
      </c>
      <c r="G8832" s="109">
        <f t="shared" ca="1" si="146"/>
        <v>0.15853226668991677</v>
      </c>
    </row>
    <row r="8833" spans="2:7" x14ac:dyDescent="0.25">
      <c r="B8833" s="98"/>
      <c r="F8833">
        <v>8829</v>
      </c>
      <c r="G8833" s="109">
        <f t="shared" ca="1" si="146"/>
        <v>-2.4204602545812151E-2</v>
      </c>
    </row>
    <row r="8834" spans="2:7" x14ac:dyDescent="0.25">
      <c r="B8834" s="98"/>
      <c r="F8834">
        <v>8830</v>
      </c>
      <c r="G8834" s="109">
        <f t="shared" ca="1" si="146"/>
        <v>0.24871131743667396</v>
      </c>
    </row>
    <row r="8835" spans="2:7" x14ac:dyDescent="0.25">
      <c r="B8835" s="98"/>
      <c r="F8835">
        <v>8831</v>
      </c>
      <c r="G8835" s="109">
        <f t="shared" ca="1" si="146"/>
        <v>-0.12949659662583424</v>
      </c>
    </row>
    <row r="8836" spans="2:7" x14ac:dyDescent="0.25">
      <c r="B8836" s="98"/>
      <c r="F8836">
        <v>8832</v>
      </c>
      <c r="G8836" s="109">
        <f t="shared" ca="1" si="146"/>
        <v>0.16817704533013542</v>
      </c>
    </row>
    <row r="8837" spans="2:7" x14ac:dyDescent="0.25">
      <c r="B8837" s="98"/>
      <c r="F8837">
        <v>8833</v>
      </c>
      <c r="G8837" s="109">
        <f t="shared" ca="1" si="146"/>
        <v>0.21386759920136894</v>
      </c>
    </row>
    <row r="8838" spans="2:7" x14ac:dyDescent="0.25">
      <c r="B8838" s="98"/>
      <c r="F8838">
        <v>8834</v>
      </c>
      <c r="G8838" s="109">
        <f t="shared" ref="G8838:G8901" ca="1" si="147">_xlfn.NORM.INV(RAND(),$M$5,$M$6)</f>
        <v>0.21210292862176561</v>
      </c>
    </row>
    <row r="8839" spans="2:7" x14ac:dyDescent="0.25">
      <c r="B8839" s="98"/>
      <c r="F8839">
        <v>8835</v>
      </c>
      <c r="G8839" s="109">
        <f t="shared" ca="1" si="147"/>
        <v>7.7066261431330857E-2</v>
      </c>
    </row>
    <row r="8840" spans="2:7" x14ac:dyDescent="0.25">
      <c r="B8840" s="98"/>
      <c r="F8840">
        <v>8836</v>
      </c>
      <c r="G8840" s="109">
        <f t="shared" ca="1" si="147"/>
        <v>8.1954458850546683E-2</v>
      </c>
    </row>
    <row r="8841" spans="2:7" x14ac:dyDescent="0.25">
      <c r="B8841" s="98"/>
      <c r="F8841">
        <v>8837</v>
      </c>
      <c r="G8841" s="109">
        <f t="shared" ca="1" si="147"/>
        <v>2.9694786415115925E-2</v>
      </c>
    </row>
    <row r="8842" spans="2:7" x14ac:dyDescent="0.25">
      <c r="B8842" s="98"/>
      <c r="F8842">
        <v>8838</v>
      </c>
      <c r="G8842" s="109">
        <f t="shared" ca="1" si="147"/>
        <v>0.13872469723383818</v>
      </c>
    </row>
    <row r="8843" spans="2:7" x14ac:dyDescent="0.25">
      <c r="B8843" s="98"/>
      <c r="F8843">
        <v>8839</v>
      </c>
      <c r="G8843" s="109">
        <f t="shared" ca="1" si="147"/>
        <v>8.8514961561635935E-2</v>
      </c>
    </row>
    <row r="8844" spans="2:7" x14ac:dyDescent="0.25">
      <c r="B8844" s="98"/>
      <c r="F8844">
        <v>8840</v>
      </c>
      <c r="G8844" s="109">
        <f t="shared" ca="1" si="147"/>
        <v>-1.8743054223623823E-2</v>
      </c>
    </row>
    <row r="8845" spans="2:7" x14ac:dyDescent="0.25">
      <c r="B8845" s="98"/>
      <c r="F8845">
        <v>8841</v>
      </c>
      <c r="G8845" s="109">
        <f t="shared" ca="1" si="147"/>
        <v>5.1203839737569291E-2</v>
      </c>
    </row>
    <row r="8846" spans="2:7" x14ac:dyDescent="0.25">
      <c r="B8846" s="98"/>
      <c r="F8846">
        <v>8842</v>
      </c>
      <c r="G8846" s="109">
        <f t="shared" ca="1" si="147"/>
        <v>5.1669347171328359E-2</v>
      </c>
    </row>
    <row r="8847" spans="2:7" x14ac:dyDescent="0.25">
      <c r="B8847" s="98"/>
      <c r="F8847">
        <v>8843</v>
      </c>
      <c r="G8847" s="109">
        <f t="shared" ca="1" si="147"/>
        <v>-0.19750896996107542</v>
      </c>
    </row>
    <row r="8848" spans="2:7" x14ac:dyDescent="0.25">
      <c r="B8848" s="98"/>
      <c r="F8848">
        <v>8844</v>
      </c>
      <c r="G8848" s="109">
        <f t="shared" ca="1" si="147"/>
        <v>0.22987948608584374</v>
      </c>
    </row>
    <row r="8849" spans="2:7" x14ac:dyDescent="0.25">
      <c r="B8849" s="98"/>
      <c r="F8849">
        <v>8845</v>
      </c>
      <c r="G8849" s="109">
        <f t="shared" ca="1" si="147"/>
        <v>0.24434488609146821</v>
      </c>
    </row>
    <row r="8850" spans="2:7" x14ac:dyDescent="0.25">
      <c r="B8850" s="98"/>
      <c r="F8850">
        <v>8846</v>
      </c>
      <c r="G8850" s="109">
        <f t="shared" ca="1" si="147"/>
        <v>-5.4793087039445854E-3</v>
      </c>
    </row>
    <row r="8851" spans="2:7" x14ac:dyDescent="0.25">
      <c r="B8851" s="98"/>
      <c r="F8851">
        <v>8847</v>
      </c>
      <c r="G8851" s="109">
        <f t="shared" ca="1" si="147"/>
        <v>0.16694518944866482</v>
      </c>
    </row>
    <row r="8852" spans="2:7" x14ac:dyDescent="0.25">
      <c r="B8852" s="98"/>
      <c r="F8852">
        <v>8848</v>
      </c>
      <c r="G8852" s="109">
        <f t="shared" ca="1" si="147"/>
        <v>4.8948070802761479E-2</v>
      </c>
    </row>
    <row r="8853" spans="2:7" x14ac:dyDescent="0.25">
      <c r="B8853" s="98"/>
      <c r="F8853">
        <v>8849</v>
      </c>
      <c r="G8853" s="109">
        <f t="shared" ca="1" si="147"/>
        <v>0.19086236470689305</v>
      </c>
    </row>
    <row r="8854" spans="2:7" x14ac:dyDescent="0.25">
      <c r="B8854" s="98"/>
      <c r="F8854">
        <v>8850</v>
      </c>
      <c r="G8854" s="109">
        <f t="shared" ca="1" si="147"/>
        <v>1.4387711531124298E-2</v>
      </c>
    </row>
    <row r="8855" spans="2:7" x14ac:dyDescent="0.25">
      <c r="B8855" s="98"/>
      <c r="F8855">
        <v>8851</v>
      </c>
      <c r="G8855" s="109">
        <f t="shared" ca="1" si="147"/>
        <v>-3.5366051958877556E-2</v>
      </c>
    </row>
    <row r="8856" spans="2:7" x14ac:dyDescent="0.25">
      <c r="B8856" s="98"/>
      <c r="F8856">
        <v>8852</v>
      </c>
      <c r="G8856" s="109">
        <f t="shared" ca="1" si="147"/>
        <v>8.0879883962997473E-2</v>
      </c>
    </row>
    <row r="8857" spans="2:7" x14ac:dyDescent="0.25">
      <c r="B8857" s="98"/>
      <c r="F8857">
        <v>8853</v>
      </c>
      <c r="G8857" s="109">
        <f t="shared" ca="1" si="147"/>
        <v>0.165920253590679</v>
      </c>
    </row>
    <row r="8858" spans="2:7" x14ac:dyDescent="0.25">
      <c r="B8858" s="98"/>
      <c r="F8858">
        <v>8854</v>
      </c>
      <c r="G8858" s="109">
        <f t="shared" ca="1" si="147"/>
        <v>0.14457394590618461</v>
      </c>
    </row>
    <row r="8859" spans="2:7" x14ac:dyDescent="0.25">
      <c r="B8859" s="98"/>
      <c r="F8859">
        <v>8855</v>
      </c>
      <c r="G8859" s="109">
        <f t="shared" ca="1" si="147"/>
        <v>5.9863795550038436E-2</v>
      </c>
    </row>
    <row r="8860" spans="2:7" x14ac:dyDescent="0.25">
      <c r="B8860" s="98"/>
      <c r="F8860">
        <v>8856</v>
      </c>
      <c r="G8860" s="109">
        <f t="shared" ca="1" si="147"/>
        <v>-1.4642161570066273E-3</v>
      </c>
    </row>
    <row r="8861" spans="2:7" x14ac:dyDescent="0.25">
      <c r="B8861" s="98"/>
      <c r="F8861">
        <v>8857</v>
      </c>
      <c r="G8861" s="109">
        <f t="shared" ca="1" si="147"/>
        <v>4.7900940222179389E-2</v>
      </c>
    </row>
    <row r="8862" spans="2:7" x14ac:dyDescent="0.25">
      <c r="B8862" s="98"/>
      <c r="F8862">
        <v>8858</v>
      </c>
      <c r="G8862" s="109">
        <f t="shared" ca="1" si="147"/>
        <v>-6.4932827940068258E-2</v>
      </c>
    </row>
    <row r="8863" spans="2:7" x14ac:dyDescent="0.25">
      <c r="B8863" s="98"/>
      <c r="F8863">
        <v>8859</v>
      </c>
      <c r="G8863" s="109">
        <f t="shared" ca="1" si="147"/>
        <v>-3.2226461472881801E-2</v>
      </c>
    </row>
    <row r="8864" spans="2:7" x14ac:dyDescent="0.25">
      <c r="B8864" s="98"/>
      <c r="F8864">
        <v>8860</v>
      </c>
      <c r="G8864" s="109">
        <f t="shared" ca="1" si="147"/>
        <v>-1.9871765657517346E-2</v>
      </c>
    </row>
    <row r="8865" spans="2:7" x14ac:dyDescent="0.25">
      <c r="B8865" s="98"/>
      <c r="F8865">
        <v>8861</v>
      </c>
      <c r="G8865" s="109">
        <f t="shared" ca="1" si="147"/>
        <v>-1.4368263546089159E-2</v>
      </c>
    </row>
    <row r="8866" spans="2:7" x14ac:dyDescent="0.25">
      <c r="B8866" s="98"/>
      <c r="F8866">
        <v>8862</v>
      </c>
      <c r="G8866" s="109">
        <f t="shared" ca="1" si="147"/>
        <v>0.16762278265221506</v>
      </c>
    </row>
    <row r="8867" spans="2:7" x14ac:dyDescent="0.25">
      <c r="B8867" s="98"/>
      <c r="F8867">
        <v>8863</v>
      </c>
      <c r="G8867" s="109">
        <f t="shared" ca="1" si="147"/>
        <v>3.5551663409172526E-2</v>
      </c>
    </row>
    <row r="8868" spans="2:7" x14ac:dyDescent="0.25">
      <c r="B8868" s="98"/>
      <c r="F8868">
        <v>8864</v>
      </c>
      <c r="G8868" s="109">
        <f t="shared" ca="1" si="147"/>
        <v>4.5035180783596501E-2</v>
      </c>
    </row>
    <row r="8869" spans="2:7" x14ac:dyDescent="0.25">
      <c r="B8869" s="98"/>
      <c r="F8869">
        <v>8865</v>
      </c>
      <c r="G8869" s="109">
        <f t="shared" ca="1" si="147"/>
        <v>6.0631904975362721E-3</v>
      </c>
    </row>
    <row r="8870" spans="2:7" x14ac:dyDescent="0.25">
      <c r="B8870" s="98"/>
      <c r="F8870">
        <v>8866</v>
      </c>
      <c r="G8870" s="109">
        <f t="shared" ca="1" si="147"/>
        <v>-6.6778704937467015E-2</v>
      </c>
    </row>
    <row r="8871" spans="2:7" x14ac:dyDescent="0.25">
      <c r="B8871" s="98"/>
      <c r="F8871">
        <v>8867</v>
      </c>
      <c r="G8871" s="109">
        <f t="shared" ca="1" si="147"/>
        <v>2.9621989926512601E-2</v>
      </c>
    </row>
    <row r="8872" spans="2:7" x14ac:dyDescent="0.25">
      <c r="B8872" s="98"/>
      <c r="F8872">
        <v>8868</v>
      </c>
      <c r="G8872" s="109">
        <f t="shared" ca="1" si="147"/>
        <v>0.15449017898937895</v>
      </c>
    </row>
    <row r="8873" spans="2:7" x14ac:dyDescent="0.25">
      <c r="B8873" s="98"/>
      <c r="F8873">
        <v>8869</v>
      </c>
      <c r="G8873" s="109">
        <f t="shared" ca="1" si="147"/>
        <v>0.11473188832192394</v>
      </c>
    </row>
    <row r="8874" spans="2:7" x14ac:dyDescent="0.25">
      <c r="B8874" s="98"/>
      <c r="F8874">
        <v>8870</v>
      </c>
      <c r="G8874" s="109">
        <f t="shared" ca="1" si="147"/>
        <v>2.1970775930885783E-2</v>
      </c>
    </row>
    <row r="8875" spans="2:7" x14ac:dyDescent="0.25">
      <c r="B8875" s="98"/>
      <c r="F8875">
        <v>8871</v>
      </c>
      <c r="G8875" s="109">
        <f t="shared" ca="1" si="147"/>
        <v>0.22059002958205692</v>
      </c>
    </row>
    <row r="8876" spans="2:7" x14ac:dyDescent="0.25">
      <c r="B8876" s="98"/>
      <c r="F8876">
        <v>8872</v>
      </c>
      <c r="G8876" s="109">
        <f t="shared" ca="1" si="147"/>
        <v>0.16743717266551175</v>
      </c>
    </row>
    <row r="8877" spans="2:7" x14ac:dyDescent="0.25">
      <c r="B8877" s="98"/>
      <c r="F8877">
        <v>8873</v>
      </c>
      <c r="G8877" s="109">
        <f t="shared" ca="1" si="147"/>
        <v>0.13884143935470733</v>
      </c>
    </row>
    <row r="8878" spans="2:7" x14ac:dyDescent="0.25">
      <c r="B8878" s="98"/>
      <c r="F8878">
        <v>8874</v>
      </c>
      <c r="G8878" s="109">
        <f t="shared" ca="1" si="147"/>
        <v>3.007962209840476E-2</v>
      </c>
    </row>
    <row r="8879" spans="2:7" x14ac:dyDescent="0.25">
      <c r="B8879" s="98"/>
      <c r="F8879">
        <v>8875</v>
      </c>
      <c r="G8879" s="109">
        <f t="shared" ca="1" si="147"/>
        <v>0.12142172731320523</v>
      </c>
    </row>
    <row r="8880" spans="2:7" x14ac:dyDescent="0.25">
      <c r="B8880" s="98"/>
      <c r="F8880">
        <v>8876</v>
      </c>
      <c r="G8880" s="109">
        <f t="shared" ca="1" si="147"/>
        <v>-0.17553803261078604</v>
      </c>
    </row>
    <row r="8881" spans="2:7" x14ac:dyDescent="0.25">
      <c r="B8881" s="98"/>
      <c r="F8881">
        <v>8877</v>
      </c>
      <c r="G8881" s="109">
        <f t="shared" ca="1" si="147"/>
        <v>-4.275135774430254E-2</v>
      </c>
    </row>
    <row r="8882" spans="2:7" x14ac:dyDescent="0.25">
      <c r="B8882" s="98"/>
      <c r="F8882">
        <v>8878</v>
      </c>
      <c r="G8882" s="109">
        <f t="shared" ca="1" si="147"/>
        <v>0.11847085516747843</v>
      </c>
    </row>
    <row r="8883" spans="2:7" x14ac:dyDescent="0.25">
      <c r="B8883" s="98"/>
      <c r="F8883">
        <v>8879</v>
      </c>
      <c r="G8883" s="109">
        <f t="shared" ca="1" si="147"/>
        <v>0.160940004226163</v>
      </c>
    </row>
    <row r="8884" spans="2:7" x14ac:dyDescent="0.25">
      <c r="B8884" s="98"/>
      <c r="F8884">
        <v>8880</v>
      </c>
      <c r="G8884" s="109">
        <f t="shared" ca="1" si="147"/>
        <v>0.15912128296343547</v>
      </c>
    </row>
    <row r="8885" spans="2:7" x14ac:dyDescent="0.25">
      <c r="B8885" s="98"/>
      <c r="F8885">
        <v>8881</v>
      </c>
      <c r="G8885" s="109">
        <f t="shared" ca="1" si="147"/>
        <v>-0.13744083445786948</v>
      </c>
    </row>
    <row r="8886" spans="2:7" x14ac:dyDescent="0.25">
      <c r="B8886" s="98"/>
      <c r="F8886">
        <v>8882</v>
      </c>
      <c r="G8886" s="109">
        <f t="shared" ca="1" si="147"/>
        <v>7.7632428193343428E-2</v>
      </c>
    </row>
    <row r="8887" spans="2:7" x14ac:dyDescent="0.25">
      <c r="B8887" s="98"/>
      <c r="F8887">
        <v>8883</v>
      </c>
      <c r="G8887" s="109">
        <f t="shared" ca="1" si="147"/>
        <v>0.17513921718455649</v>
      </c>
    </row>
    <row r="8888" spans="2:7" x14ac:dyDescent="0.25">
      <c r="B8888" s="98"/>
      <c r="F8888">
        <v>8884</v>
      </c>
      <c r="G8888" s="109">
        <f t="shared" ca="1" si="147"/>
        <v>9.4848777787530522E-2</v>
      </c>
    </row>
    <row r="8889" spans="2:7" x14ac:dyDescent="0.25">
      <c r="B8889" s="98"/>
      <c r="F8889">
        <v>8885</v>
      </c>
      <c r="G8889" s="109">
        <f t="shared" ca="1" si="147"/>
        <v>8.5128104640198612E-2</v>
      </c>
    </row>
    <row r="8890" spans="2:7" x14ac:dyDescent="0.25">
      <c r="B8890" s="98"/>
      <c r="F8890">
        <v>8886</v>
      </c>
      <c r="G8890" s="109">
        <f t="shared" ca="1" si="147"/>
        <v>0.12234919298887004</v>
      </c>
    </row>
    <row r="8891" spans="2:7" x14ac:dyDescent="0.25">
      <c r="B8891" s="98"/>
      <c r="F8891">
        <v>8887</v>
      </c>
      <c r="G8891" s="109">
        <f t="shared" ca="1" si="147"/>
        <v>0.1403345071534296</v>
      </c>
    </row>
    <row r="8892" spans="2:7" x14ac:dyDescent="0.25">
      <c r="B8892" s="98"/>
      <c r="F8892">
        <v>8888</v>
      </c>
      <c r="G8892" s="109">
        <f t="shared" ca="1" si="147"/>
        <v>9.8289091439005244E-2</v>
      </c>
    </row>
    <row r="8893" spans="2:7" x14ac:dyDescent="0.25">
      <c r="B8893" s="98"/>
      <c r="F8893">
        <v>8889</v>
      </c>
      <c r="G8893" s="109">
        <f t="shared" ca="1" si="147"/>
        <v>-3.9642548646911926E-2</v>
      </c>
    </row>
    <row r="8894" spans="2:7" x14ac:dyDescent="0.25">
      <c r="B8894" s="98"/>
      <c r="F8894">
        <v>8890</v>
      </c>
      <c r="G8894" s="109">
        <f t="shared" ca="1" si="147"/>
        <v>-0.16056160769553157</v>
      </c>
    </row>
    <row r="8895" spans="2:7" x14ac:dyDescent="0.25">
      <c r="B8895" s="98"/>
      <c r="F8895">
        <v>8891</v>
      </c>
      <c r="G8895" s="109">
        <f t="shared" ca="1" si="147"/>
        <v>7.5086989240408658E-3</v>
      </c>
    </row>
    <row r="8896" spans="2:7" x14ac:dyDescent="0.25">
      <c r="B8896" s="98"/>
      <c r="F8896">
        <v>8892</v>
      </c>
      <c r="G8896" s="109">
        <f t="shared" ca="1" si="147"/>
        <v>-1.1768250626542881E-2</v>
      </c>
    </row>
    <row r="8897" spans="2:7" x14ac:dyDescent="0.25">
      <c r="B8897" s="98"/>
      <c r="F8897">
        <v>8893</v>
      </c>
      <c r="G8897" s="109">
        <f t="shared" ca="1" si="147"/>
        <v>0.13639375245066282</v>
      </c>
    </row>
    <row r="8898" spans="2:7" x14ac:dyDescent="0.25">
      <c r="B8898" s="98"/>
      <c r="F8898">
        <v>8894</v>
      </c>
      <c r="G8898" s="109">
        <f t="shared" ca="1" si="147"/>
        <v>0.11843036240240566</v>
      </c>
    </row>
    <row r="8899" spans="2:7" x14ac:dyDescent="0.25">
      <c r="B8899" s="98"/>
      <c r="F8899">
        <v>8895</v>
      </c>
      <c r="G8899" s="109">
        <f t="shared" ca="1" si="147"/>
        <v>7.8565038747548444E-2</v>
      </c>
    </row>
    <row r="8900" spans="2:7" x14ac:dyDescent="0.25">
      <c r="B8900" s="98"/>
      <c r="F8900">
        <v>8896</v>
      </c>
      <c r="G8900" s="109">
        <f t="shared" ca="1" si="147"/>
        <v>-5.7057237156334234E-2</v>
      </c>
    </row>
    <row r="8901" spans="2:7" x14ac:dyDescent="0.25">
      <c r="B8901" s="98"/>
      <c r="F8901">
        <v>8897</v>
      </c>
      <c r="G8901" s="109">
        <f t="shared" ca="1" si="147"/>
        <v>0.25593788662829575</v>
      </c>
    </row>
    <row r="8902" spans="2:7" x14ac:dyDescent="0.25">
      <c r="B8902" s="98"/>
      <c r="F8902">
        <v>8898</v>
      </c>
      <c r="G8902" s="109">
        <f t="shared" ref="G8902:G8965" ca="1" si="148">_xlfn.NORM.INV(RAND(),$M$5,$M$6)</f>
        <v>0.18495731739040411</v>
      </c>
    </row>
    <row r="8903" spans="2:7" x14ac:dyDescent="0.25">
      <c r="B8903" s="98"/>
      <c r="F8903">
        <v>8899</v>
      </c>
      <c r="G8903" s="109">
        <f t="shared" ca="1" si="148"/>
        <v>0.22491797764532967</v>
      </c>
    </row>
    <row r="8904" spans="2:7" x14ac:dyDescent="0.25">
      <c r="B8904" s="98"/>
      <c r="F8904">
        <v>8900</v>
      </c>
      <c r="G8904" s="109">
        <f t="shared" ca="1" si="148"/>
        <v>9.314935176899708E-2</v>
      </c>
    </row>
    <row r="8905" spans="2:7" x14ac:dyDescent="0.25">
      <c r="B8905" s="98"/>
      <c r="F8905">
        <v>8901</v>
      </c>
      <c r="G8905" s="109">
        <f t="shared" ca="1" si="148"/>
        <v>0.10982190943988707</v>
      </c>
    </row>
    <row r="8906" spans="2:7" x14ac:dyDescent="0.25">
      <c r="B8906" s="98"/>
      <c r="F8906">
        <v>8902</v>
      </c>
      <c r="G8906" s="109">
        <f t="shared" ca="1" si="148"/>
        <v>4.1749970467594343E-2</v>
      </c>
    </row>
    <row r="8907" spans="2:7" x14ac:dyDescent="0.25">
      <c r="B8907" s="98"/>
      <c r="F8907">
        <v>8903</v>
      </c>
      <c r="G8907" s="109">
        <f t="shared" ca="1" si="148"/>
        <v>0.23855473292949103</v>
      </c>
    </row>
    <row r="8908" spans="2:7" x14ac:dyDescent="0.25">
      <c r="B8908" s="98"/>
      <c r="F8908">
        <v>8904</v>
      </c>
      <c r="G8908" s="109">
        <f t="shared" ca="1" si="148"/>
        <v>1.9007253701488588E-2</v>
      </c>
    </row>
    <row r="8909" spans="2:7" x14ac:dyDescent="0.25">
      <c r="B8909" s="98"/>
      <c r="F8909">
        <v>8905</v>
      </c>
      <c r="G8909" s="109">
        <f t="shared" ca="1" si="148"/>
        <v>-8.7831974905774809E-3</v>
      </c>
    </row>
    <row r="8910" spans="2:7" x14ac:dyDescent="0.25">
      <c r="B8910" s="98"/>
      <c r="F8910">
        <v>8906</v>
      </c>
      <c r="G8910" s="109">
        <f t="shared" ca="1" si="148"/>
        <v>6.1417766706087742E-2</v>
      </c>
    </row>
    <row r="8911" spans="2:7" x14ac:dyDescent="0.25">
      <c r="B8911" s="98"/>
      <c r="F8911">
        <v>8907</v>
      </c>
      <c r="G8911" s="109">
        <f t="shared" ca="1" si="148"/>
        <v>2.078187887157501E-2</v>
      </c>
    </row>
    <row r="8912" spans="2:7" x14ac:dyDescent="0.25">
      <c r="B8912" s="98"/>
      <c r="F8912">
        <v>8908</v>
      </c>
      <c r="G8912" s="109">
        <f t="shared" ca="1" si="148"/>
        <v>3.5665197228253752E-2</v>
      </c>
    </row>
    <row r="8913" spans="2:7" x14ac:dyDescent="0.25">
      <c r="B8913" s="98"/>
      <c r="F8913">
        <v>8909</v>
      </c>
      <c r="G8913" s="109">
        <f t="shared" ca="1" si="148"/>
        <v>0.14327987783409507</v>
      </c>
    </row>
    <row r="8914" spans="2:7" x14ac:dyDescent="0.25">
      <c r="B8914" s="98"/>
      <c r="F8914">
        <v>8910</v>
      </c>
      <c r="G8914" s="109">
        <f t="shared" ca="1" si="148"/>
        <v>-5.6242927281047017E-2</v>
      </c>
    </row>
    <row r="8915" spans="2:7" x14ac:dyDescent="0.25">
      <c r="B8915" s="98"/>
      <c r="F8915">
        <v>8911</v>
      </c>
      <c r="G8915" s="109">
        <f t="shared" ca="1" si="148"/>
        <v>1.6984466763976039E-3</v>
      </c>
    </row>
    <row r="8916" spans="2:7" x14ac:dyDescent="0.25">
      <c r="B8916" s="98"/>
      <c r="F8916">
        <v>8912</v>
      </c>
      <c r="G8916" s="109">
        <f t="shared" ca="1" si="148"/>
        <v>5.4473929908500564E-2</v>
      </c>
    </row>
    <row r="8917" spans="2:7" x14ac:dyDescent="0.25">
      <c r="B8917" s="98"/>
      <c r="F8917">
        <v>8913</v>
      </c>
      <c r="G8917" s="109">
        <f t="shared" ca="1" si="148"/>
        <v>-8.8251405609871561E-2</v>
      </c>
    </row>
    <row r="8918" spans="2:7" x14ac:dyDescent="0.25">
      <c r="B8918" s="98"/>
      <c r="F8918">
        <v>8914</v>
      </c>
      <c r="G8918" s="109">
        <f t="shared" ca="1" si="148"/>
        <v>0.24215522992961747</v>
      </c>
    </row>
    <row r="8919" spans="2:7" x14ac:dyDescent="0.25">
      <c r="B8919" s="98"/>
      <c r="F8919">
        <v>8915</v>
      </c>
      <c r="G8919" s="109">
        <f t="shared" ca="1" si="148"/>
        <v>3.3183438258228296E-2</v>
      </c>
    </row>
    <row r="8920" spans="2:7" x14ac:dyDescent="0.25">
      <c r="B8920" s="98"/>
      <c r="F8920">
        <v>8916</v>
      </c>
      <c r="G8920" s="109">
        <f t="shared" ca="1" si="148"/>
        <v>7.0297890539756824E-2</v>
      </c>
    </row>
    <row r="8921" spans="2:7" x14ac:dyDescent="0.25">
      <c r="B8921" s="98"/>
      <c r="F8921">
        <v>8917</v>
      </c>
      <c r="G8921" s="109">
        <f t="shared" ca="1" si="148"/>
        <v>-7.2111165824002774E-3</v>
      </c>
    </row>
    <row r="8922" spans="2:7" x14ac:dyDescent="0.25">
      <c r="B8922" s="98"/>
      <c r="F8922">
        <v>8918</v>
      </c>
      <c r="G8922" s="109">
        <f t="shared" ca="1" si="148"/>
        <v>0.19057978291442834</v>
      </c>
    </row>
    <row r="8923" spans="2:7" x14ac:dyDescent="0.25">
      <c r="B8923" s="98"/>
      <c r="F8923">
        <v>8919</v>
      </c>
      <c r="G8923" s="109">
        <f t="shared" ca="1" si="148"/>
        <v>3.7850417492329334E-2</v>
      </c>
    </row>
    <row r="8924" spans="2:7" x14ac:dyDescent="0.25">
      <c r="B8924" s="98"/>
      <c r="F8924">
        <v>8920</v>
      </c>
      <c r="G8924" s="109">
        <f t="shared" ca="1" si="148"/>
        <v>2.2019938548524985E-2</v>
      </c>
    </row>
    <row r="8925" spans="2:7" x14ac:dyDescent="0.25">
      <c r="B8925" s="98"/>
      <c r="F8925">
        <v>8921</v>
      </c>
      <c r="G8925" s="109">
        <f t="shared" ca="1" si="148"/>
        <v>0.10331588909571136</v>
      </c>
    </row>
    <row r="8926" spans="2:7" x14ac:dyDescent="0.25">
      <c r="B8926" s="98"/>
      <c r="F8926">
        <v>8922</v>
      </c>
      <c r="G8926" s="109">
        <f t="shared" ca="1" si="148"/>
        <v>3.2247262316404429E-2</v>
      </c>
    </row>
    <row r="8927" spans="2:7" x14ac:dyDescent="0.25">
      <c r="B8927" s="98"/>
      <c r="F8927">
        <v>8923</v>
      </c>
      <c r="G8927" s="109">
        <f t="shared" ca="1" si="148"/>
        <v>-2.6727007788647991E-2</v>
      </c>
    </row>
    <row r="8928" spans="2:7" x14ac:dyDescent="0.25">
      <c r="B8928" s="98"/>
      <c r="F8928">
        <v>8924</v>
      </c>
      <c r="G8928" s="109">
        <f t="shared" ca="1" si="148"/>
        <v>0.26078999931542712</v>
      </c>
    </row>
    <row r="8929" spans="2:7" x14ac:dyDescent="0.25">
      <c r="B8929" s="98"/>
      <c r="F8929">
        <v>8925</v>
      </c>
      <c r="G8929" s="109">
        <f t="shared" ca="1" si="148"/>
        <v>0.14166807309231946</v>
      </c>
    </row>
    <row r="8930" spans="2:7" x14ac:dyDescent="0.25">
      <c r="B8930" s="98"/>
      <c r="F8930">
        <v>8926</v>
      </c>
      <c r="G8930" s="109">
        <f t="shared" ca="1" si="148"/>
        <v>0.22306499670246438</v>
      </c>
    </row>
    <row r="8931" spans="2:7" x14ac:dyDescent="0.25">
      <c r="B8931" s="98"/>
      <c r="F8931">
        <v>8927</v>
      </c>
      <c r="G8931" s="109">
        <f t="shared" ca="1" si="148"/>
        <v>0.10850777879543556</v>
      </c>
    </row>
    <row r="8932" spans="2:7" x14ac:dyDescent="0.25">
      <c r="B8932" s="98"/>
      <c r="F8932">
        <v>8928</v>
      </c>
      <c r="G8932" s="109">
        <f t="shared" ca="1" si="148"/>
        <v>-0.29869080040944318</v>
      </c>
    </row>
    <row r="8933" spans="2:7" x14ac:dyDescent="0.25">
      <c r="B8933" s="98"/>
      <c r="F8933">
        <v>8929</v>
      </c>
      <c r="G8933" s="109">
        <f t="shared" ca="1" si="148"/>
        <v>-6.7504991346606549E-2</v>
      </c>
    </row>
    <row r="8934" spans="2:7" x14ac:dyDescent="0.25">
      <c r="B8934" s="98"/>
      <c r="F8934">
        <v>8930</v>
      </c>
      <c r="G8934" s="109">
        <f t="shared" ca="1" si="148"/>
        <v>1.7392004020720737E-2</v>
      </c>
    </row>
    <row r="8935" spans="2:7" x14ac:dyDescent="0.25">
      <c r="B8935" s="98"/>
      <c r="F8935">
        <v>8931</v>
      </c>
      <c r="G8935" s="109">
        <f t="shared" ca="1" si="148"/>
        <v>-5.81773417836879E-3</v>
      </c>
    </row>
    <row r="8936" spans="2:7" x14ac:dyDescent="0.25">
      <c r="B8936" s="98"/>
      <c r="F8936">
        <v>8932</v>
      </c>
      <c r="G8936" s="109">
        <f t="shared" ca="1" si="148"/>
        <v>2.1454427159487692E-2</v>
      </c>
    </row>
    <row r="8937" spans="2:7" x14ac:dyDescent="0.25">
      <c r="B8937" s="98"/>
      <c r="F8937">
        <v>8933</v>
      </c>
      <c r="G8937" s="109">
        <f t="shared" ca="1" si="148"/>
        <v>0.17943069648608645</v>
      </c>
    </row>
    <row r="8938" spans="2:7" x14ac:dyDescent="0.25">
      <c r="B8938" s="98"/>
      <c r="F8938">
        <v>8934</v>
      </c>
      <c r="G8938" s="109">
        <f t="shared" ca="1" si="148"/>
        <v>-0.15249632429943905</v>
      </c>
    </row>
    <row r="8939" spans="2:7" x14ac:dyDescent="0.25">
      <c r="B8939" s="98"/>
      <c r="F8939">
        <v>8935</v>
      </c>
      <c r="G8939" s="109">
        <f t="shared" ca="1" si="148"/>
        <v>0.14897003665325032</v>
      </c>
    </row>
    <row r="8940" spans="2:7" x14ac:dyDescent="0.25">
      <c r="B8940" s="98"/>
      <c r="F8940">
        <v>8936</v>
      </c>
      <c r="G8940" s="109">
        <f t="shared" ca="1" si="148"/>
        <v>0.15098806795305941</v>
      </c>
    </row>
    <row r="8941" spans="2:7" x14ac:dyDescent="0.25">
      <c r="B8941" s="98"/>
      <c r="F8941">
        <v>8937</v>
      </c>
      <c r="G8941" s="109">
        <f t="shared" ca="1" si="148"/>
        <v>-7.0344840394007319E-2</v>
      </c>
    </row>
    <row r="8942" spans="2:7" x14ac:dyDescent="0.25">
      <c r="B8942" s="98"/>
      <c r="F8942">
        <v>8938</v>
      </c>
      <c r="G8942" s="109">
        <f t="shared" ca="1" si="148"/>
        <v>-0.15217628958929541</v>
      </c>
    </row>
    <row r="8943" spans="2:7" x14ac:dyDescent="0.25">
      <c r="B8943" s="98"/>
      <c r="F8943">
        <v>8939</v>
      </c>
      <c r="G8943" s="109">
        <f t="shared" ca="1" si="148"/>
        <v>3.7014458932028947E-2</v>
      </c>
    </row>
    <row r="8944" spans="2:7" x14ac:dyDescent="0.25">
      <c r="B8944" s="98"/>
      <c r="F8944">
        <v>8940</v>
      </c>
      <c r="G8944" s="109">
        <f t="shared" ca="1" si="148"/>
        <v>-7.3247625420519741E-2</v>
      </c>
    </row>
    <row r="8945" spans="2:7" x14ac:dyDescent="0.25">
      <c r="B8945" s="98"/>
      <c r="F8945">
        <v>8941</v>
      </c>
      <c r="G8945" s="109">
        <f t="shared" ca="1" si="148"/>
        <v>3.6889757477263023E-2</v>
      </c>
    </row>
    <row r="8946" spans="2:7" x14ac:dyDescent="0.25">
      <c r="B8946" s="98"/>
      <c r="F8946">
        <v>8942</v>
      </c>
      <c r="G8946" s="109">
        <f t="shared" ca="1" si="148"/>
        <v>4.2342911543986742E-2</v>
      </c>
    </row>
    <row r="8947" spans="2:7" x14ac:dyDescent="0.25">
      <c r="B8947" s="98"/>
      <c r="F8947">
        <v>8943</v>
      </c>
      <c r="G8947" s="109">
        <f t="shared" ca="1" si="148"/>
        <v>1.9125403162680646E-2</v>
      </c>
    </row>
    <row r="8948" spans="2:7" x14ac:dyDescent="0.25">
      <c r="B8948" s="98"/>
      <c r="F8948">
        <v>8944</v>
      </c>
      <c r="G8948" s="109">
        <f t="shared" ca="1" si="148"/>
        <v>0.20649045870244093</v>
      </c>
    </row>
    <row r="8949" spans="2:7" x14ac:dyDescent="0.25">
      <c r="B8949" s="98"/>
      <c r="F8949">
        <v>8945</v>
      </c>
      <c r="G8949" s="109">
        <f t="shared" ca="1" si="148"/>
        <v>0.15575217818655984</v>
      </c>
    </row>
    <row r="8950" spans="2:7" x14ac:dyDescent="0.25">
      <c r="B8950" s="98"/>
      <c r="F8950">
        <v>8946</v>
      </c>
      <c r="G8950" s="109">
        <f t="shared" ca="1" si="148"/>
        <v>9.6060071588929263E-3</v>
      </c>
    </row>
    <row r="8951" spans="2:7" x14ac:dyDescent="0.25">
      <c r="B8951" s="98"/>
      <c r="F8951">
        <v>8947</v>
      </c>
      <c r="G8951" s="109">
        <f t="shared" ca="1" si="148"/>
        <v>0.16894058828114267</v>
      </c>
    </row>
    <row r="8952" spans="2:7" x14ac:dyDescent="0.25">
      <c r="B8952" s="98"/>
      <c r="F8952">
        <v>8948</v>
      </c>
      <c r="G8952" s="109">
        <f t="shared" ca="1" si="148"/>
        <v>7.7325092396964723E-2</v>
      </c>
    </row>
    <row r="8953" spans="2:7" x14ac:dyDescent="0.25">
      <c r="B8953" s="98"/>
      <c r="F8953">
        <v>8949</v>
      </c>
      <c r="G8953" s="109">
        <f t="shared" ca="1" si="148"/>
        <v>3.2136630471044335E-2</v>
      </c>
    </row>
    <row r="8954" spans="2:7" x14ac:dyDescent="0.25">
      <c r="B8954" s="98"/>
      <c r="F8954">
        <v>8950</v>
      </c>
      <c r="G8954" s="109">
        <f t="shared" ca="1" si="148"/>
        <v>1.4556659845988813E-2</v>
      </c>
    </row>
    <row r="8955" spans="2:7" x14ac:dyDescent="0.25">
      <c r="B8955" s="98"/>
      <c r="F8955">
        <v>8951</v>
      </c>
      <c r="G8955" s="109">
        <f t="shared" ca="1" si="148"/>
        <v>0.11539972179793274</v>
      </c>
    </row>
    <row r="8956" spans="2:7" x14ac:dyDescent="0.25">
      <c r="B8956" s="98"/>
      <c r="F8956">
        <v>8952</v>
      </c>
      <c r="G8956" s="109">
        <f t="shared" ca="1" si="148"/>
        <v>-1.7281751992872296E-2</v>
      </c>
    </row>
    <row r="8957" spans="2:7" x14ac:dyDescent="0.25">
      <c r="B8957" s="98"/>
      <c r="F8957">
        <v>8953</v>
      </c>
      <c r="G8957" s="109">
        <f t="shared" ca="1" si="148"/>
        <v>-4.7818711041357792E-2</v>
      </c>
    </row>
    <row r="8958" spans="2:7" x14ac:dyDescent="0.25">
      <c r="B8958" s="98"/>
      <c r="F8958">
        <v>8954</v>
      </c>
      <c r="G8958" s="109">
        <f t="shared" ca="1" si="148"/>
        <v>9.0784440641266714E-2</v>
      </c>
    </row>
    <row r="8959" spans="2:7" x14ac:dyDescent="0.25">
      <c r="B8959" s="98"/>
      <c r="F8959">
        <v>8955</v>
      </c>
      <c r="G8959" s="109">
        <f t="shared" ca="1" si="148"/>
        <v>7.3175155933013464E-2</v>
      </c>
    </row>
    <row r="8960" spans="2:7" x14ac:dyDescent="0.25">
      <c r="B8960" s="98"/>
      <c r="F8960">
        <v>8956</v>
      </c>
      <c r="G8960" s="109">
        <f t="shared" ca="1" si="148"/>
        <v>9.154955316336115E-2</v>
      </c>
    </row>
    <row r="8961" spans="2:7" x14ac:dyDescent="0.25">
      <c r="B8961" s="98"/>
      <c r="F8961">
        <v>8957</v>
      </c>
      <c r="G8961" s="109">
        <f t="shared" ca="1" si="148"/>
        <v>-8.0889434053851419E-2</v>
      </c>
    </row>
    <row r="8962" spans="2:7" x14ac:dyDescent="0.25">
      <c r="B8962" s="98"/>
      <c r="F8962">
        <v>8958</v>
      </c>
      <c r="G8962" s="109">
        <f t="shared" ca="1" si="148"/>
        <v>-0.10468833730003825</v>
      </c>
    </row>
    <row r="8963" spans="2:7" x14ac:dyDescent="0.25">
      <c r="B8963" s="98"/>
      <c r="F8963">
        <v>8959</v>
      </c>
      <c r="G8963" s="109">
        <f t="shared" ca="1" si="148"/>
        <v>4.4906846395333523E-2</v>
      </c>
    </row>
    <row r="8964" spans="2:7" x14ac:dyDescent="0.25">
      <c r="B8964" s="98"/>
      <c r="F8964">
        <v>8960</v>
      </c>
      <c r="G8964" s="109">
        <f t="shared" ca="1" si="148"/>
        <v>-3.5885977773088398E-2</v>
      </c>
    </row>
    <row r="8965" spans="2:7" x14ac:dyDescent="0.25">
      <c r="B8965" s="98"/>
      <c r="F8965">
        <v>8961</v>
      </c>
      <c r="G8965" s="109">
        <f t="shared" ca="1" si="148"/>
        <v>-7.6688999379875833E-2</v>
      </c>
    </row>
    <row r="8966" spans="2:7" x14ac:dyDescent="0.25">
      <c r="B8966" s="98"/>
      <c r="F8966">
        <v>8962</v>
      </c>
      <c r="G8966" s="109">
        <f t="shared" ref="G8966:G9029" ca="1" si="149">_xlfn.NORM.INV(RAND(),$M$5,$M$6)</f>
        <v>4.648519964791293E-2</v>
      </c>
    </row>
    <row r="8967" spans="2:7" x14ac:dyDescent="0.25">
      <c r="B8967" s="98"/>
      <c r="F8967">
        <v>8963</v>
      </c>
      <c r="G8967" s="109">
        <f t="shared" ca="1" si="149"/>
        <v>-8.1399402998765538E-2</v>
      </c>
    </row>
    <row r="8968" spans="2:7" x14ac:dyDescent="0.25">
      <c r="B8968" s="98"/>
      <c r="F8968">
        <v>8964</v>
      </c>
      <c r="G8968" s="109">
        <f t="shared" ca="1" si="149"/>
        <v>-0.12892347461561682</v>
      </c>
    </row>
    <row r="8969" spans="2:7" x14ac:dyDescent="0.25">
      <c r="B8969" s="98"/>
      <c r="F8969">
        <v>8965</v>
      </c>
      <c r="G8969" s="109">
        <f t="shared" ca="1" si="149"/>
        <v>0.10231760464393758</v>
      </c>
    </row>
    <row r="8970" spans="2:7" x14ac:dyDescent="0.25">
      <c r="B8970" s="98"/>
      <c r="F8970">
        <v>8966</v>
      </c>
      <c r="G8970" s="109">
        <f t="shared" ca="1" si="149"/>
        <v>1.110450508996344E-3</v>
      </c>
    </row>
    <row r="8971" spans="2:7" x14ac:dyDescent="0.25">
      <c r="B8971" s="98"/>
      <c r="F8971">
        <v>8967</v>
      </c>
      <c r="G8971" s="109">
        <f t="shared" ca="1" si="149"/>
        <v>1.3988567496419732E-2</v>
      </c>
    </row>
    <row r="8972" spans="2:7" x14ac:dyDescent="0.25">
      <c r="B8972" s="98"/>
      <c r="F8972">
        <v>8968</v>
      </c>
      <c r="G8972" s="109">
        <f t="shared" ca="1" si="149"/>
        <v>4.6186141750325399E-2</v>
      </c>
    </row>
    <row r="8973" spans="2:7" x14ac:dyDescent="0.25">
      <c r="B8973" s="98"/>
      <c r="F8973">
        <v>8969</v>
      </c>
      <c r="G8973" s="109">
        <f t="shared" ca="1" si="149"/>
        <v>1.4813557076781461E-2</v>
      </c>
    </row>
    <row r="8974" spans="2:7" x14ac:dyDescent="0.25">
      <c r="B8974" s="98"/>
      <c r="F8974">
        <v>8970</v>
      </c>
      <c r="G8974" s="109">
        <f t="shared" ca="1" si="149"/>
        <v>9.3316042098573262E-3</v>
      </c>
    </row>
    <row r="8975" spans="2:7" x14ac:dyDescent="0.25">
      <c r="B8975" s="98"/>
      <c r="F8975">
        <v>8971</v>
      </c>
      <c r="G8975" s="109">
        <f t="shared" ca="1" si="149"/>
        <v>0.204856058721336</v>
      </c>
    </row>
    <row r="8976" spans="2:7" x14ac:dyDescent="0.25">
      <c r="B8976" s="98"/>
      <c r="F8976">
        <v>8972</v>
      </c>
      <c r="G8976" s="109">
        <f t="shared" ca="1" si="149"/>
        <v>0.20550993551853125</v>
      </c>
    </row>
    <row r="8977" spans="2:7" x14ac:dyDescent="0.25">
      <c r="B8977" s="98"/>
      <c r="F8977">
        <v>8973</v>
      </c>
      <c r="G8977" s="109">
        <f t="shared" ca="1" si="149"/>
        <v>0.3307076957198255</v>
      </c>
    </row>
    <row r="8978" spans="2:7" x14ac:dyDescent="0.25">
      <c r="B8978" s="98"/>
      <c r="F8978">
        <v>8974</v>
      </c>
      <c r="G8978" s="109">
        <f t="shared" ca="1" si="149"/>
        <v>-6.5746778232203776E-2</v>
      </c>
    </row>
    <row r="8979" spans="2:7" x14ac:dyDescent="0.25">
      <c r="B8979" s="98"/>
      <c r="F8979">
        <v>8975</v>
      </c>
      <c r="G8979" s="109">
        <f t="shared" ca="1" si="149"/>
        <v>0.2317964843336614</v>
      </c>
    </row>
    <row r="8980" spans="2:7" x14ac:dyDescent="0.25">
      <c r="B8980" s="98"/>
      <c r="F8980">
        <v>8976</v>
      </c>
      <c r="G8980" s="109">
        <f t="shared" ca="1" si="149"/>
        <v>-0.10383014045161314</v>
      </c>
    </row>
    <row r="8981" spans="2:7" x14ac:dyDescent="0.25">
      <c r="B8981" s="98"/>
      <c r="F8981">
        <v>8977</v>
      </c>
      <c r="G8981" s="109">
        <f t="shared" ca="1" si="149"/>
        <v>9.0904789013343312E-2</v>
      </c>
    </row>
    <row r="8982" spans="2:7" x14ac:dyDescent="0.25">
      <c r="B8982" s="98"/>
      <c r="F8982">
        <v>8978</v>
      </c>
      <c r="G8982" s="109">
        <f t="shared" ca="1" si="149"/>
        <v>-0.11913181986580117</v>
      </c>
    </row>
    <row r="8983" spans="2:7" x14ac:dyDescent="0.25">
      <c r="B8983" s="98"/>
      <c r="F8983">
        <v>8979</v>
      </c>
      <c r="G8983" s="109">
        <f t="shared" ca="1" si="149"/>
        <v>1.4234057603868533E-3</v>
      </c>
    </row>
    <row r="8984" spans="2:7" x14ac:dyDescent="0.25">
      <c r="B8984" s="98"/>
      <c r="F8984">
        <v>8980</v>
      </c>
      <c r="G8984" s="109">
        <f t="shared" ca="1" si="149"/>
        <v>5.101874993090541E-2</v>
      </c>
    </row>
    <row r="8985" spans="2:7" x14ac:dyDescent="0.25">
      <c r="B8985" s="98"/>
      <c r="F8985">
        <v>8981</v>
      </c>
      <c r="G8985" s="109">
        <f t="shared" ca="1" si="149"/>
        <v>0.10643231563922681</v>
      </c>
    </row>
    <row r="8986" spans="2:7" x14ac:dyDescent="0.25">
      <c r="B8986" s="98"/>
      <c r="F8986">
        <v>8982</v>
      </c>
      <c r="G8986" s="109">
        <f t="shared" ca="1" si="149"/>
        <v>0.24552215306405967</v>
      </c>
    </row>
    <row r="8987" spans="2:7" x14ac:dyDescent="0.25">
      <c r="B8987" s="98"/>
      <c r="F8987">
        <v>8983</v>
      </c>
      <c r="G8987" s="109">
        <f t="shared" ca="1" si="149"/>
        <v>-4.8234151730651431E-2</v>
      </c>
    </row>
    <row r="8988" spans="2:7" x14ac:dyDescent="0.25">
      <c r="B8988" s="98"/>
      <c r="F8988">
        <v>8984</v>
      </c>
      <c r="G8988" s="109">
        <f t="shared" ca="1" si="149"/>
        <v>-0.11648547649325423</v>
      </c>
    </row>
    <row r="8989" spans="2:7" x14ac:dyDescent="0.25">
      <c r="B8989" s="98"/>
      <c r="F8989">
        <v>8985</v>
      </c>
      <c r="G8989" s="109">
        <f t="shared" ca="1" si="149"/>
        <v>0.14836216106041872</v>
      </c>
    </row>
    <row r="8990" spans="2:7" x14ac:dyDescent="0.25">
      <c r="B8990" s="98"/>
      <c r="F8990">
        <v>8986</v>
      </c>
      <c r="G8990" s="109">
        <f t="shared" ca="1" si="149"/>
        <v>4.1537729660520682E-2</v>
      </c>
    </row>
    <row r="8991" spans="2:7" x14ac:dyDescent="0.25">
      <c r="B8991" s="98"/>
      <c r="F8991">
        <v>8987</v>
      </c>
      <c r="G8991" s="109">
        <f t="shared" ca="1" si="149"/>
        <v>-2.2484185705789125E-3</v>
      </c>
    </row>
    <row r="8992" spans="2:7" x14ac:dyDescent="0.25">
      <c r="B8992" s="98"/>
      <c r="F8992">
        <v>8988</v>
      </c>
      <c r="G8992" s="109">
        <f t="shared" ca="1" si="149"/>
        <v>0.13189793780126996</v>
      </c>
    </row>
    <row r="8993" spans="2:7" x14ac:dyDescent="0.25">
      <c r="B8993" s="98"/>
      <c r="F8993">
        <v>8989</v>
      </c>
      <c r="G8993" s="109">
        <f t="shared" ca="1" si="149"/>
        <v>0.22600463173788954</v>
      </c>
    </row>
    <row r="8994" spans="2:7" x14ac:dyDescent="0.25">
      <c r="B8994" s="98"/>
      <c r="F8994">
        <v>8990</v>
      </c>
      <c r="G8994" s="109">
        <f t="shared" ca="1" si="149"/>
        <v>-7.703345397997037E-2</v>
      </c>
    </row>
    <row r="8995" spans="2:7" x14ac:dyDescent="0.25">
      <c r="B8995" s="98"/>
      <c r="F8995">
        <v>8991</v>
      </c>
      <c r="G8995" s="109">
        <f t="shared" ca="1" si="149"/>
        <v>-4.5844019716218709E-2</v>
      </c>
    </row>
    <row r="8996" spans="2:7" x14ac:dyDescent="0.25">
      <c r="B8996" s="98"/>
      <c r="F8996">
        <v>8992</v>
      </c>
      <c r="G8996" s="109">
        <f t="shared" ca="1" si="149"/>
        <v>-3.5925291208745019E-3</v>
      </c>
    </row>
    <row r="8997" spans="2:7" x14ac:dyDescent="0.25">
      <c r="B8997" s="98"/>
      <c r="F8997">
        <v>8993</v>
      </c>
      <c r="G8997" s="109">
        <f t="shared" ca="1" si="149"/>
        <v>1.276098924396174E-3</v>
      </c>
    </row>
    <row r="8998" spans="2:7" x14ac:dyDescent="0.25">
      <c r="B8998" s="98"/>
      <c r="F8998">
        <v>8994</v>
      </c>
      <c r="G8998" s="109">
        <f t="shared" ca="1" si="149"/>
        <v>-1.9239598275496803E-2</v>
      </c>
    </row>
    <row r="8999" spans="2:7" x14ac:dyDescent="0.25">
      <c r="B8999" s="98"/>
      <c r="F8999">
        <v>8995</v>
      </c>
      <c r="G8999" s="109">
        <f t="shared" ca="1" si="149"/>
        <v>7.4998128913167983E-2</v>
      </c>
    </row>
    <row r="9000" spans="2:7" x14ac:dyDescent="0.25">
      <c r="B9000" s="98"/>
      <c r="F9000">
        <v>8996</v>
      </c>
      <c r="G9000" s="109">
        <f t="shared" ca="1" si="149"/>
        <v>0.10409561730403918</v>
      </c>
    </row>
    <row r="9001" spans="2:7" x14ac:dyDescent="0.25">
      <c r="B9001" s="98"/>
      <c r="F9001">
        <v>8997</v>
      </c>
      <c r="G9001" s="109">
        <f t="shared" ca="1" si="149"/>
        <v>0.16386135218545531</v>
      </c>
    </row>
    <row r="9002" spans="2:7" x14ac:dyDescent="0.25">
      <c r="B9002" s="98"/>
      <c r="F9002">
        <v>8998</v>
      </c>
      <c r="G9002" s="109">
        <f t="shared" ca="1" si="149"/>
        <v>6.6702654913940729E-2</v>
      </c>
    </row>
    <row r="9003" spans="2:7" x14ac:dyDescent="0.25">
      <c r="B9003" s="98"/>
      <c r="F9003">
        <v>8999</v>
      </c>
      <c r="G9003" s="109">
        <f t="shared" ca="1" si="149"/>
        <v>-4.0978783373852995E-2</v>
      </c>
    </row>
    <row r="9004" spans="2:7" x14ac:dyDescent="0.25">
      <c r="B9004" s="98"/>
      <c r="F9004">
        <v>9000</v>
      </c>
      <c r="G9004" s="109">
        <f t="shared" ca="1" si="149"/>
        <v>-0.14715438738829956</v>
      </c>
    </row>
    <row r="9005" spans="2:7" x14ac:dyDescent="0.25">
      <c r="B9005" s="98"/>
      <c r="F9005">
        <v>9001</v>
      </c>
      <c r="G9005" s="109">
        <f t="shared" ca="1" si="149"/>
        <v>4.8916375252423122E-2</v>
      </c>
    </row>
    <row r="9006" spans="2:7" x14ac:dyDescent="0.25">
      <c r="B9006" s="98"/>
      <c r="F9006">
        <v>9002</v>
      </c>
      <c r="G9006" s="109">
        <f t="shared" ca="1" si="149"/>
        <v>0.14783867667186285</v>
      </c>
    </row>
    <row r="9007" spans="2:7" x14ac:dyDescent="0.25">
      <c r="B9007" s="98"/>
      <c r="F9007">
        <v>9003</v>
      </c>
      <c r="G9007" s="109">
        <f t="shared" ca="1" si="149"/>
        <v>0.22838412544148889</v>
      </c>
    </row>
    <row r="9008" spans="2:7" x14ac:dyDescent="0.25">
      <c r="B9008" s="98"/>
      <c r="F9008">
        <v>9004</v>
      </c>
      <c r="G9008" s="109">
        <f t="shared" ca="1" si="149"/>
        <v>-7.5399254553283737E-2</v>
      </c>
    </row>
    <row r="9009" spans="2:7" x14ac:dyDescent="0.25">
      <c r="B9009" s="98"/>
      <c r="F9009">
        <v>9005</v>
      </c>
      <c r="G9009" s="109">
        <f t="shared" ca="1" si="149"/>
        <v>6.947503081185924E-2</v>
      </c>
    </row>
    <row r="9010" spans="2:7" x14ac:dyDescent="0.25">
      <c r="B9010" s="98"/>
      <c r="F9010">
        <v>9006</v>
      </c>
      <c r="G9010" s="109">
        <f t="shared" ca="1" si="149"/>
        <v>-5.1470549694771814E-2</v>
      </c>
    </row>
    <row r="9011" spans="2:7" x14ac:dyDescent="0.25">
      <c r="B9011" s="98"/>
      <c r="F9011">
        <v>9007</v>
      </c>
      <c r="G9011" s="109">
        <f t="shared" ca="1" si="149"/>
        <v>3.5784498653986252E-3</v>
      </c>
    </row>
    <row r="9012" spans="2:7" x14ac:dyDescent="0.25">
      <c r="B9012" s="98"/>
      <c r="F9012">
        <v>9008</v>
      </c>
      <c r="G9012" s="109">
        <f t="shared" ca="1" si="149"/>
        <v>0.1195003243101332</v>
      </c>
    </row>
    <row r="9013" spans="2:7" x14ac:dyDescent="0.25">
      <c r="B9013" s="98"/>
      <c r="F9013">
        <v>9009</v>
      </c>
      <c r="G9013" s="109">
        <f t="shared" ca="1" si="149"/>
        <v>-1.6184888555134253E-3</v>
      </c>
    </row>
    <row r="9014" spans="2:7" x14ac:dyDescent="0.25">
      <c r="B9014" s="98"/>
      <c r="F9014">
        <v>9010</v>
      </c>
      <c r="G9014" s="109">
        <f t="shared" ca="1" si="149"/>
        <v>7.3555188531665844E-2</v>
      </c>
    </row>
    <row r="9015" spans="2:7" x14ac:dyDescent="0.25">
      <c r="B9015" s="98"/>
      <c r="F9015">
        <v>9011</v>
      </c>
      <c r="G9015" s="109">
        <f t="shared" ca="1" si="149"/>
        <v>0.37443482778265069</v>
      </c>
    </row>
    <row r="9016" spans="2:7" x14ac:dyDescent="0.25">
      <c r="B9016" s="98"/>
      <c r="F9016">
        <v>9012</v>
      </c>
      <c r="G9016" s="109">
        <f t="shared" ca="1" si="149"/>
        <v>4.230007741754354E-2</v>
      </c>
    </row>
    <row r="9017" spans="2:7" x14ac:dyDescent="0.25">
      <c r="B9017" s="98"/>
      <c r="F9017">
        <v>9013</v>
      </c>
      <c r="G9017" s="109">
        <f t="shared" ca="1" si="149"/>
        <v>0.19617291932582848</v>
      </c>
    </row>
    <row r="9018" spans="2:7" x14ac:dyDescent="0.25">
      <c r="B9018" s="98"/>
      <c r="F9018">
        <v>9014</v>
      </c>
      <c r="G9018" s="109">
        <f t="shared" ca="1" si="149"/>
        <v>0.23741603392251848</v>
      </c>
    </row>
    <row r="9019" spans="2:7" x14ac:dyDescent="0.25">
      <c r="B9019" s="98"/>
      <c r="F9019">
        <v>9015</v>
      </c>
      <c r="G9019" s="109">
        <f t="shared" ca="1" si="149"/>
        <v>-8.5797675238546936E-2</v>
      </c>
    </row>
    <row r="9020" spans="2:7" x14ac:dyDescent="0.25">
      <c r="B9020" s="98"/>
      <c r="F9020">
        <v>9016</v>
      </c>
      <c r="G9020" s="109">
        <f t="shared" ca="1" si="149"/>
        <v>9.3887006650014704E-2</v>
      </c>
    </row>
    <row r="9021" spans="2:7" x14ac:dyDescent="0.25">
      <c r="B9021" s="98"/>
      <c r="F9021">
        <v>9017</v>
      </c>
      <c r="G9021" s="109">
        <f t="shared" ca="1" si="149"/>
        <v>5.955545156518488E-2</v>
      </c>
    </row>
    <row r="9022" spans="2:7" x14ac:dyDescent="0.25">
      <c r="B9022" s="98"/>
      <c r="F9022">
        <v>9018</v>
      </c>
      <c r="G9022" s="109">
        <f t="shared" ca="1" si="149"/>
        <v>-5.597428514891023E-2</v>
      </c>
    </row>
    <row r="9023" spans="2:7" x14ac:dyDescent="0.25">
      <c r="B9023" s="98"/>
      <c r="F9023">
        <v>9019</v>
      </c>
      <c r="G9023" s="109">
        <f t="shared" ca="1" si="149"/>
        <v>0.1507497001627422</v>
      </c>
    </row>
    <row r="9024" spans="2:7" x14ac:dyDescent="0.25">
      <c r="B9024" s="98"/>
      <c r="F9024">
        <v>9020</v>
      </c>
      <c r="G9024" s="109">
        <f t="shared" ca="1" si="149"/>
        <v>2.8904975790615961E-3</v>
      </c>
    </row>
    <row r="9025" spans="2:7" x14ac:dyDescent="0.25">
      <c r="B9025" s="98"/>
      <c r="F9025">
        <v>9021</v>
      </c>
      <c r="G9025" s="109">
        <f t="shared" ca="1" si="149"/>
        <v>6.2172273970881681E-2</v>
      </c>
    </row>
    <row r="9026" spans="2:7" x14ac:dyDescent="0.25">
      <c r="B9026" s="98"/>
      <c r="F9026">
        <v>9022</v>
      </c>
      <c r="G9026" s="109">
        <f t="shared" ca="1" si="149"/>
        <v>-5.0442857291476823E-2</v>
      </c>
    </row>
    <row r="9027" spans="2:7" x14ac:dyDescent="0.25">
      <c r="B9027" s="98"/>
      <c r="F9027">
        <v>9023</v>
      </c>
      <c r="G9027" s="109">
        <f t="shared" ca="1" si="149"/>
        <v>0.22245841296768942</v>
      </c>
    </row>
    <row r="9028" spans="2:7" x14ac:dyDescent="0.25">
      <c r="B9028" s="98"/>
      <c r="F9028">
        <v>9024</v>
      </c>
      <c r="G9028" s="109">
        <f t="shared" ca="1" si="149"/>
        <v>8.3163546228830376E-2</v>
      </c>
    </row>
    <row r="9029" spans="2:7" x14ac:dyDescent="0.25">
      <c r="B9029" s="98"/>
      <c r="F9029">
        <v>9025</v>
      </c>
      <c r="G9029" s="109">
        <f t="shared" ca="1" si="149"/>
        <v>4.5198893604377184E-2</v>
      </c>
    </row>
    <row r="9030" spans="2:7" x14ac:dyDescent="0.25">
      <c r="B9030" s="98"/>
      <c r="F9030">
        <v>9026</v>
      </c>
      <c r="G9030" s="109">
        <f t="shared" ref="G9030:G9093" ca="1" si="150">_xlfn.NORM.INV(RAND(),$M$5,$M$6)</f>
        <v>-0.11875592826577268</v>
      </c>
    </row>
    <row r="9031" spans="2:7" x14ac:dyDescent="0.25">
      <c r="B9031" s="98"/>
      <c r="F9031">
        <v>9027</v>
      </c>
      <c r="G9031" s="109">
        <f t="shared" ca="1" si="150"/>
        <v>1.8198777129065369E-2</v>
      </c>
    </row>
    <row r="9032" spans="2:7" x14ac:dyDescent="0.25">
      <c r="B9032" s="98"/>
      <c r="F9032">
        <v>9028</v>
      </c>
      <c r="G9032" s="109">
        <f t="shared" ca="1" si="150"/>
        <v>0.20110264390098587</v>
      </c>
    </row>
    <row r="9033" spans="2:7" x14ac:dyDescent="0.25">
      <c r="B9033" s="98"/>
      <c r="F9033">
        <v>9029</v>
      </c>
      <c r="G9033" s="109">
        <f t="shared" ca="1" si="150"/>
        <v>4.2632125612379633E-2</v>
      </c>
    </row>
    <row r="9034" spans="2:7" x14ac:dyDescent="0.25">
      <c r="B9034" s="98"/>
      <c r="F9034">
        <v>9030</v>
      </c>
      <c r="G9034" s="109">
        <f t="shared" ca="1" si="150"/>
        <v>7.6459665012285571E-2</v>
      </c>
    </row>
    <row r="9035" spans="2:7" x14ac:dyDescent="0.25">
      <c r="B9035" s="98"/>
      <c r="F9035">
        <v>9031</v>
      </c>
      <c r="G9035" s="109">
        <f t="shared" ca="1" si="150"/>
        <v>-1.5097696809728105E-2</v>
      </c>
    </row>
    <row r="9036" spans="2:7" x14ac:dyDescent="0.25">
      <c r="B9036" s="98"/>
      <c r="F9036">
        <v>9032</v>
      </c>
      <c r="G9036" s="109">
        <f t="shared" ca="1" si="150"/>
        <v>0.1212688677993272</v>
      </c>
    </row>
    <row r="9037" spans="2:7" x14ac:dyDescent="0.25">
      <c r="B9037" s="98"/>
      <c r="F9037">
        <v>9033</v>
      </c>
      <c r="G9037" s="109">
        <f t="shared" ca="1" si="150"/>
        <v>9.1409479270240346E-2</v>
      </c>
    </row>
    <row r="9038" spans="2:7" x14ac:dyDescent="0.25">
      <c r="B9038" s="98"/>
      <c r="F9038">
        <v>9034</v>
      </c>
      <c r="G9038" s="109">
        <f t="shared" ca="1" si="150"/>
        <v>8.3467476546723249E-3</v>
      </c>
    </row>
    <row r="9039" spans="2:7" x14ac:dyDescent="0.25">
      <c r="B9039" s="98"/>
      <c r="F9039">
        <v>9035</v>
      </c>
      <c r="G9039" s="109">
        <f t="shared" ca="1" si="150"/>
        <v>0.13876847034868539</v>
      </c>
    </row>
    <row r="9040" spans="2:7" x14ac:dyDescent="0.25">
      <c r="B9040" s="98"/>
      <c r="F9040">
        <v>9036</v>
      </c>
      <c r="G9040" s="109">
        <f t="shared" ca="1" si="150"/>
        <v>4.5285765722448079E-2</v>
      </c>
    </row>
    <row r="9041" spans="2:7" x14ac:dyDescent="0.25">
      <c r="B9041" s="98"/>
      <c r="F9041">
        <v>9037</v>
      </c>
      <c r="G9041" s="109">
        <f t="shared" ca="1" si="150"/>
        <v>0.31048169782268042</v>
      </c>
    </row>
    <row r="9042" spans="2:7" x14ac:dyDescent="0.25">
      <c r="B9042" s="98"/>
      <c r="F9042">
        <v>9038</v>
      </c>
      <c r="G9042" s="109">
        <f t="shared" ca="1" si="150"/>
        <v>5.237407770197329E-3</v>
      </c>
    </row>
    <row r="9043" spans="2:7" x14ac:dyDescent="0.25">
      <c r="B9043" s="98"/>
      <c r="F9043">
        <v>9039</v>
      </c>
      <c r="G9043" s="109">
        <f t="shared" ca="1" si="150"/>
        <v>-1.2469990609867525E-2</v>
      </c>
    </row>
    <row r="9044" spans="2:7" x14ac:dyDescent="0.25">
      <c r="B9044" s="98"/>
      <c r="F9044">
        <v>9040</v>
      </c>
      <c r="G9044" s="109">
        <f t="shared" ca="1" si="150"/>
        <v>8.8029651312881457E-2</v>
      </c>
    </row>
    <row r="9045" spans="2:7" x14ac:dyDescent="0.25">
      <c r="B9045" s="98"/>
      <c r="F9045">
        <v>9041</v>
      </c>
      <c r="G9045" s="109">
        <f t="shared" ca="1" si="150"/>
        <v>3.8165460634179416E-2</v>
      </c>
    </row>
    <row r="9046" spans="2:7" x14ac:dyDescent="0.25">
      <c r="B9046" s="98"/>
      <c r="F9046">
        <v>9042</v>
      </c>
      <c r="G9046" s="109">
        <f t="shared" ca="1" si="150"/>
        <v>9.5901033547637071E-3</v>
      </c>
    </row>
    <row r="9047" spans="2:7" x14ac:dyDescent="0.25">
      <c r="B9047" s="98"/>
      <c r="F9047">
        <v>9043</v>
      </c>
      <c r="G9047" s="109">
        <f t="shared" ca="1" si="150"/>
        <v>0.10748386296026127</v>
      </c>
    </row>
    <row r="9048" spans="2:7" x14ac:dyDescent="0.25">
      <c r="B9048" s="98"/>
      <c r="F9048">
        <v>9044</v>
      </c>
      <c r="G9048" s="109">
        <f t="shared" ca="1" si="150"/>
        <v>-0.20870316888161139</v>
      </c>
    </row>
    <row r="9049" spans="2:7" x14ac:dyDescent="0.25">
      <c r="B9049" s="98"/>
      <c r="F9049">
        <v>9045</v>
      </c>
      <c r="G9049" s="109">
        <f t="shared" ca="1" si="150"/>
        <v>0.16697300115328073</v>
      </c>
    </row>
    <row r="9050" spans="2:7" x14ac:dyDescent="0.25">
      <c r="B9050" s="98"/>
      <c r="F9050">
        <v>9046</v>
      </c>
      <c r="G9050" s="109">
        <f t="shared" ca="1" si="150"/>
        <v>-2.1359850824809803E-3</v>
      </c>
    </row>
    <row r="9051" spans="2:7" x14ac:dyDescent="0.25">
      <c r="B9051" s="98"/>
      <c r="F9051">
        <v>9047</v>
      </c>
      <c r="G9051" s="109">
        <f t="shared" ca="1" si="150"/>
        <v>-0.11245200147198704</v>
      </c>
    </row>
    <row r="9052" spans="2:7" x14ac:dyDescent="0.25">
      <c r="B9052" s="98"/>
      <c r="F9052">
        <v>9048</v>
      </c>
      <c r="G9052" s="109">
        <f t="shared" ca="1" si="150"/>
        <v>1.399034192251257E-3</v>
      </c>
    </row>
    <row r="9053" spans="2:7" x14ac:dyDescent="0.25">
      <c r="B9053" s="98"/>
      <c r="F9053">
        <v>9049</v>
      </c>
      <c r="G9053" s="109">
        <f t="shared" ca="1" si="150"/>
        <v>0.10748952503594714</v>
      </c>
    </row>
    <row r="9054" spans="2:7" x14ac:dyDescent="0.25">
      <c r="B9054" s="98"/>
      <c r="F9054">
        <v>9050</v>
      </c>
      <c r="G9054" s="109">
        <f t="shared" ca="1" si="150"/>
        <v>0.13135929630296878</v>
      </c>
    </row>
    <row r="9055" spans="2:7" x14ac:dyDescent="0.25">
      <c r="B9055" s="98"/>
      <c r="F9055">
        <v>9051</v>
      </c>
      <c r="G9055" s="109">
        <f t="shared" ca="1" si="150"/>
        <v>0.14087401772529357</v>
      </c>
    </row>
    <row r="9056" spans="2:7" x14ac:dyDescent="0.25">
      <c r="B9056" s="98"/>
      <c r="F9056">
        <v>9052</v>
      </c>
      <c r="G9056" s="109">
        <f t="shared" ca="1" si="150"/>
        <v>0.13226417846691427</v>
      </c>
    </row>
    <row r="9057" spans="2:7" x14ac:dyDescent="0.25">
      <c r="B9057" s="98"/>
      <c r="F9057">
        <v>9053</v>
      </c>
      <c r="G9057" s="109">
        <f t="shared" ca="1" si="150"/>
        <v>0.14078457709650455</v>
      </c>
    </row>
    <row r="9058" spans="2:7" x14ac:dyDescent="0.25">
      <c r="B9058" s="98"/>
      <c r="F9058">
        <v>9054</v>
      </c>
      <c r="G9058" s="109">
        <f t="shared" ca="1" si="150"/>
        <v>6.9105501157673749E-2</v>
      </c>
    </row>
    <row r="9059" spans="2:7" x14ac:dyDescent="0.25">
      <c r="B9059" s="98"/>
      <c r="F9059">
        <v>9055</v>
      </c>
      <c r="G9059" s="109">
        <f t="shared" ca="1" si="150"/>
        <v>-2.9996342346590849E-3</v>
      </c>
    </row>
    <row r="9060" spans="2:7" x14ac:dyDescent="0.25">
      <c r="B9060" s="98"/>
      <c r="F9060">
        <v>9056</v>
      </c>
      <c r="G9060" s="109">
        <f t="shared" ca="1" si="150"/>
        <v>0.17258081650033402</v>
      </c>
    </row>
    <row r="9061" spans="2:7" x14ac:dyDescent="0.25">
      <c r="B9061" s="98"/>
      <c r="F9061">
        <v>9057</v>
      </c>
      <c r="G9061" s="109">
        <f t="shared" ca="1" si="150"/>
        <v>7.8832735326172715E-2</v>
      </c>
    </row>
    <row r="9062" spans="2:7" x14ac:dyDescent="0.25">
      <c r="B9062" s="98"/>
      <c r="F9062">
        <v>9058</v>
      </c>
      <c r="G9062" s="109">
        <f t="shared" ca="1" si="150"/>
        <v>0.18982250716145832</v>
      </c>
    </row>
    <row r="9063" spans="2:7" x14ac:dyDescent="0.25">
      <c r="B9063" s="98"/>
      <c r="F9063">
        <v>9059</v>
      </c>
      <c r="G9063" s="109">
        <f t="shared" ca="1" si="150"/>
        <v>1.1381537102303364E-2</v>
      </c>
    </row>
    <row r="9064" spans="2:7" x14ac:dyDescent="0.25">
      <c r="B9064" s="98"/>
      <c r="F9064">
        <v>9060</v>
      </c>
      <c r="G9064" s="109">
        <f t="shared" ca="1" si="150"/>
        <v>0.21925657651122932</v>
      </c>
    </row>
    <row r="9065" spans="2:7" x14ac:dyDescent="0.25">
      <c r="B9065" s="98"/>
      <c r="F9065">
        <v>9061</v>
      </c>
      <c r="G9065" s="109">
        <f t="shared" ca="1" si="150"/>
        <v>-7.4501228515928802E-2</v>
      </c>
    </row>
    <row r="9066" spans="2:7" x14ac:dyDescent="0.25">
      <c r="B9066" s="98"/>
      <c r="F9066">
        <v>9062</v>
      </c>
      <c r="G9066" s="109">
        <f t="shared" ca="1" si="150"/>
        <v>0.17901709664046667</v>
      </c>
    </row>
    <row r="9067" spans="2:7" x14ac:dyDescent="0.25">
      <c r="B9067" s="98"/>
      <c r="F9067">
        <v>9063</v>
      </c>
      <c r="G9067" s="109">
        <f t="shared" ca="1" si="150"/>
        <v>0.14203300843549527</v>
      </c>
    </row>
    <row r="9068" spans="2:7" x14ac:dyDescent="0.25">
      <c r="B9068" s="98"/>
      <c r="F9068">
        <v>9064</v>
      </c>
      <c r="G9068" s="109">
        <f t="shared" ca="1" si="150"/>
        <v>-9.2656893638911067E-2</v>
      </c>
    </row>
    <row r="9069" spans="2:7" x14ac:dyDescent="0.25">
      <c r="B9069" s="98"/>
      <c r="F9069">
        <v>9065</v>
      </c>
      <c r="G9069" s="109">
        <f t="shared" ca="1" si="150"/>
        <v>0.2318101191354206</v>
      </c>
    </row>
    <row r="9070" spans="2:7" x14ac:dyDescent="0.25">
      <c r="B9070" s="98"/>
      <c r="F9070">
        <v>9066</v>
      </c>
      <c r="G9070" s="109">
        <f t="shared" ca="1" si="150"/>
        <v>7.3141890970059339E-2</v>
      </c>
    </row>
    <row r="9071" spans="2:7" x14ac:dyDescent="0.25">
      <c r="B9071" s="98"/>
      <c r="F9071">
        <v>9067</v>
      </c>
      <c r="G9071" s="109">
        <f t="shared" ca="1" si="150"/>
        <v>4.8806461132774308E-2</v>
      </c>
    </row>
    <row r="9072" spans="2:7" x14ac:dyDescent="0.25">
      <c r="B9072" s="98"/>
      <c r="F9072">
        <v>9068</v>
      </c>
      <c r="G9072" s="109">
        <f t="shared" ca="1" si="150"/>
        <v>0.16105565066885963</v>
      </c>
    </row>
    <row r="9073" spans="2:7" x14ac:dyDescent="0.25">
      <c r="B9073" s="98"/>
      <c r="F9073">
        <v>9069</v>
      </c>
      <c r="G9073" s="109">
        <f t="shared" ca="1" si="150"/>
        <v>6.9916620087836723E-2</v>
      </c>
    </row>
    <row r="9074" spans="2:7" x14ac:dyDescent="0.25">
      <c r="B9074" s="98"/>
      <c r="F9074">
        <v>9070</v>
      </c>
      <c r="G9074" s="109">
        <f t="shared" ca="1" si="150"/>
        <v>-2.0626718171988578E-2</v>
      </c>
    </row>
    <row r="9075" spans="2:7" x14ac:dyDescent="0.25">
      <c r="B9075" s="98"/>
      <c r="F9075">
        <v>9071</v>
      </c>
      <c r="G9075" s="109">
        <f t="shared" ca="1" si="150"/>
        <v>6.7086999644198467E-2</v>
      </c>
    </row>
    <row r="9076" spans="2:7" x14ac:dyDescent="0.25">
      <c r="B9076" s="98"/>
      <c r="F9076">
        <v>9072</v>
      </c>
      <c r="G9076" s="109">
        <f t="shared" ca="1" si="150"/>
        <v>-9.8874204368939053E-2</v>
      </c>
    </row>
    <row r="9077" spans="2:7" x14ac:dyDescent="0.25">
      <c r="B9077" s="98"/>
      <c r="F9077">
        <v>9073</v>
      </c>
      <c r="G9077" s="109">
        <f t="shared" ca="1" si="150"/>
        <v>8.1422600998423036E-2</v>
      </c>
    </row>
    <row r="9078" spans="2:7" x14ac:dyDescent="0.25">
      <c r="B9078" s="98"/>
      <c r="F9078">
        <v>9074</v>
      </c>
      <c r="G9078" s="109">
        <f t="shared" ca="1" si="150"/>
        <v>4.7405256613303866E-2</v>
      </c>
    </row>
    <row r="9079" spans="2:7" x14ac:dyDescent="0.25">
      <c r="B9079" s="98"/>
      <c r="F9079">
        <v>9075</v>
      </c>
      <c r="G9079" s="109">
        <f t="shared" ca="1" si="150"/>
        <v>0.17358956401057457</v>
      </c>
    </row>
    <row r="9080" spans="2:7" x14ac:dyDescent="0.25">
      <c r="B9080" s="98"/>
      <c r="F9080">
        <v>9076</v>
      </c>
      <c r="G9080" s="109">
        <f t="shared" ca="1" si="150"/>
        <v>0.35232919127079959</v>
      </c>
    </row>
    <row r="9081" spans="2:7" x14ac:dyDescent="0.25">
      <c r="B9081" s="98"/>
      <c r="F9081">
        <v>9077</v>
      </c>
      <c r="G9081" s="109">
        <f t="shared" ca="1" si="150"/>
        <v>-9.0829308992040406E-2</v>
      </c>
    </row>
    <row r="9082" spans="2:7" x14ac:dyDescent="0.25">
      <c r="B9082" s="98"/>
      <c r="F9082">
        <v>9078</v>
      </c>
      <c r="G9082" s="109">
        <f t="shared" ca="1" si="150"/>
        <v>0.1680963565344708</v>
      </c>
    </row>
    <row r="9083" spans="2:7" x14ac:dyDescent="0.25">
      <c r="B9083" s="98"/>
      <c r="F9083">
        <v>9079</v>
      </c>
      <c r="G9083" s="109">
        <f t="shared" ca="1" si="150"/>
        <v>-1.078138064175814E-2</v>
      </c>
    </row>
    <row r="9084" spans="2:7" x14ac:dyDescent="0.25">
      <c r="B9084" s="98"/>
      <c r="F9084">
        <v>9080</v>
      </c>
      <c r="G9084" s="109">
        <f t="shared" ca="1" si="150"/>
        <v>7.3570582433005599E-2</v>
      </c>
    </row>
    <row r="9085" spans="2:7" x14ac:dyDescent="0.25">
      <c r="B9085" s="98"/>
      <c r="F9085">
        <v>9081</v>
      </c>
      <c r="G9085" s="109">
        <f t="shared" ca="1" si="150"/>
        <v>-7.9530500641387183E-2</v>
      </c>
    </row>
    <row r="9086" spans="2:7" x14ac:dyDescent="0.25">
      <c r="B9086" s="98"/>
      <c r="F9086">
        <v>9082</v>
      </c>
      <c r="G9086" s="109">
        <f t="shared" ca="1" si="150"/>
        <v>-9.8704598793122281E-2</v>
      </c>
    </row>
    <row r="9087" spans="2:7" x14ac:dyDescent="0.25">
      <c r="B9087" s="98"/>
      <c r="F9087">
        <v>9083</v>
      </c>
      <c r="G9087" s="109">
        <f t="shared" ca="1" si="150"/>
        <v>3.6282537142526168E-2</v>
      </c>
    </row>
    <row r="9088" spans="2:7" x14ac:dyDescent="0.25">
      <c r="B9088" s="98"/>
      <c r="F9088">
        <v>9084</v>
      </c>
      <c r="G9088" s="109">
        <f t="shared" ca="1" si="150"/>
        <v>2.8156756769893761E-2</v>
      </c>
    </row>
    <row r="9089" spans="2:7" x14ac:dyDescent="0.25">
      <c r="B9089" s="98"/>
      <c r="F9089">
        <v>9085</v>
      </c>
      <c r="G9089" s="109">
        <f t="shared" ca="1" si="150"/>
        <v>6.1317403904525836E-2</v>
      </c>
    </row>
    <row r="9090" spans="2:7" x14ac:dyDescent="0.25">
      <c r="B9090" s="98"/>
      <c r="F9090">
        <v>9086</v>
      </c>
      <c r="G9090" s="109">
        <f t="shared" ca="1" si="150"/>
        <v>4.982217516883812E-2</v>
      </c>
    </row>
    <row r="9091" spans="2:7" x14ac:dyDescent="0.25">
      <c r="B9091" s="98"/>
      <c r="F9091">
        <v>9087</v>
      </c>
      <c r="G9091" s="109">
        <f t="shared" ca="1" si="150"/>
        <v>0.21530675818242012</v>
      </c>
    </row>
    <row r="9092" spans="2:7" x14ac:dyDescent="0.25">
      <c r="B9092" s="98"/>
      <c r="F9092">
        <v>9088</v>
      </c>
      <c r="G9092" s="109">
        <f t="shared" ca="1" si="150"/>
        <v>1.3788853177497583E-2</v>
      </c>
    </row>
    <row r="9093" spans="2:7" x14ac:dyDescent="0.25">
      <c r="B9093" s="98"/>
      <c r="F9093">
        <v>9089</v>
      </c>
      <c r="G9093" s="109">
        <f t="shared" ca="1" si="150"/>
        <v>-8.3314413567468312E-2</v>
      </c>
    </row>
    <row r="9094" spans="2:7" x14ac:dyDescent="0.25">
      <c r="B9094" s="98"/>
      <c r="F9094">
        <v>9090</v>
      </c>
      <c r="G9094" s="109">
        <f t="shared" ref="G9094:G9157" ca="1" si="151">_xlfn.NORM.INV(RAND(),$M$5,$M$6)</f>
        <v>-6.2749194070821135E-2</v>
      </c>
    </row>
    <row r="9095" spans="2:7" x14ac:dyDescent="0.25">
      <c r="B9095" s="98"/>
      <c r="F9095">
        <v>9091</v>
      </c>
      <c r="G9095" s="109">
        <f t="shared" ca="1" si="151"/>
        <v>5.9019310147468459E-2</v>
      </c>
    </row>
    <row r="9096" spans="2:7" x14ac:dyDescent="0.25">
      <c r="B9096" s="98"/>
      <c r="F9096">
        <v>9092</v>
      </c>
      <c r="G9096" s="109">
        <f t="shared" ca="1" si="151"/>
        <v>0.14149968096320678</v>
      </c>
    </row>
    <row r="9097" spans="2:7" x14ac:dyDescent="0.25">
      <c r="B9097" s="98"/>
      <c r="F9097">
        <v>9093</v>
      </c>
      <c r="G9097" s="109">
        <f t="shared" ca="1" si="151"/>
        <v>-0.14506814364828419</v>
      </c>
    </row>
    <row r="9098" spans="2:7" x14ac:dyDescent="0.25">
      <c r="B9098" s="98"/>
      <c r="F9098">
        <v>9094</v>
      </c>
      <c r="G9098" s="109">
        <f t="shared" ca="1" si="151"/>
        <v>0.4134981218859119</v>
      </c>
    </row>
    <row r="9099" spans="2:7" x14ac:dyDescent="0.25">
      <c r="B9099" s="98"/>
      <c r="F9099">
        <v>9095</v>
      </c>
      <c r="G9099" s="109">
        <f t="shared" ca="1" si="151"/>
        <v>-1.4205640125670105E-2</v>
      </c>
    </row>
    <row r="9100" spans="2:7" x14ac:dyDescent="0.25">
      <c r="B9100" s="98"/>
      <c r="F9100">
        <v>9096</v>
      </c>
      <c r="G9100" s="109">
        <f t="shared" ca="1" si="151"/>
        <v>0.16103476957756718</v>
      </c>
    </row>
    <row r="9101" spans="2:7" x14ac:dyDescent="0.25">
      <c r="B9101" s="98"/>
      <c r="F9101">
        <v>9097</v>
      </c>
      <c r="G9101" s="109">
        <f t="shared" ca="1" si="151"/>
        <v>3.5661640115433851E-2</v>
      </c>
    </row>
    <row r="9102" spans="2:7" x14ac:dyDescent="0.25">
      <c r="B9102" s="98"/>
      <c r="F9102">
        <v>9098</v>
      </c>
      <c r="G9102" s="109">
        <f t="shared" ca="1" si="151"/>
        <v>-4.967184489507441E-2</v>
      </c>
    </row>
    <row r="9103" spans="2:7" x14ac:dyDescent="0.25">
      <c r="B9103" s="98"/>
      <c r="F9103">
        <v>9099</v>
      </c>
      <c r="G9103" s="109">
        <f t="shared" ca="1" si="151"/>
        <v>-1.4027697783673319E-2</v>
      </c>
    </row>
    <row r="9104" spans="2:7" x14ac:dyDescent="0.25">
      <c r="B9104" s="98"/>
      <c r="F9104">
        <v>9100</v>
      </c>
      <c r="G9104" s="109">
        <f t="shared" ca="1" si="151"/>
        <v>0.11238251070156714</v>
      </c>
    </row>
    <row r="9105" spans="2:7" x14ac:dyDescent="0.25">
      <c r="B9105" s="98"/>
      <c r="F9105">
        <v>9101</v>
      </c>
      <c r="G9105" s="109">
        <f t="shared" ca="1" si="151"/>
        <v>0.13071548613976774</v>
      </c>
    </row>
    <row r="9106" spans="2:7" x14ac:dyDescent="0.25">
      <c r="B9106" s="98"/>
      <c r="F9106">
        <v>9102</v>
      </c>
      <c r="G9106" s="109">
        <f t="shared" ca="1" si="151"/>
        <v>0.28001014928812895</v>
      </c>
    </row>
    <row r="9107" spans="2:7" x14ac:dyDescent="0.25">
      <c r="B9107" s="98"/>
      <c r="F9107">
        <v>9103</v>
      </c>
      <c r="G9107" s="109">
        <f t="shared" ca="1" si="151"/>
        <v>0.15759449678633186</v>
      </c>
    </row>
    <row r="9108" spans="2:7" x14ac:dyDescent="0.25">
      <c r="B9108" s="98"/>
      <c r="F9108">
        <v>9104</v>
      </c>
      <c r="G9108" s="109">
        <f t="shared" ca="1" si="151"/>
        <v>-3.2754771582449368E-2</v>
      </c>
    </row>
    <row r="9109" spans="2:7" x14ac:dyDescent="0.25">
      <c r="B9109" s="98"/>
      <c r="F9109">
        <v>9105</v>
      </c>
      <c r="G9109" s="109">
        <f t="shared" ca="1" si="151"/>
        <v>0.21508001700669105</v>
      </c>
    </row>
    <row r="9110" spans="2:7" x14ac:dyDescent="0.25">
      <c r="B9110" s="98"/>
      <c r="F9110">
        <v>9106</v>
      </c>
      <c r="G9110" s="109">
        <f t="shared" ca="1" si="151"/>
        <v>0.11341473195428327</v>
      </c>
    </row>
    <row r="9111" spans="2:7" x14ac:dyDescent="0.25">
      <c r="B9111" s="98"/>
      <c r="F9111">
        <v>9107</v>
      </c>
      <c r="G9111" s="109">
        <f t="shared" ca="1" si="151"/>
        <v>5.4902870206569886E-2</v>
      </c>
    </row>
    <row r="9112" spans="2:7" x14ac:dyDescent="0.25">
      <c r="B9112" s="98"/>
      <c r="F9112">
        <v>9108</v>
      </c>
      <c r="G9112" s="109">
        <f t="shared" ca="1" si="151"/>
        <v>4.0735534875654303E-2</v>
      </c>
    </row>
    <row r="9113" spans="2:7" x14ac:dyDescent="0.25">
      <c r="B9113" s="98"/>
      <c r="F9113">
        <v>9109</v>
      </c>
      <c r="G9113" s="109">
        <f t="shared" ca="1" si="151"/>
        <v>-7.4685507694606509E-2</v>
      </c>
    </row>
    <row r="9114" spans="2:7" x14ac:dyDescent="0.25">
      <c r="B9114" s="98"/>
      <c r="F9114">
        <v>9110</v>
      </c>
      <c r="G9114" s="109">
        <f t="shared" ca="1" si="151"/>
        <v>-6.6796455026896129E-2</v>
      </c>
    </row>
    <row r="9115" spans="2:7" x14ac:dyDescent="0.25">
      <c r="B9115" s="98"/>
      <c r="F9115">
        <v>9111</v>
      </c>
      <c r="G9115" s="109">
        <f t="shared" ca="1" si="151"/>
        <v>5.1681757076351177E-2</v>
      </c>
    </row>
    <row r="9116" spans="2:7" x14ac:dyDescent="0.25">
      <c r="B9116" s="98"/>
      <c r="F9116">
        <v>9112</v>
      </c>
      <c r="G9116" s="109">
        <f t="shared" ca="1" si="151"/>
        <v>0.32716848081149463</v>
      </c>
    </row>
    <row r="9117" spans="2:7" x14ac:dyDescent="0.25">
      <c r="B9117" s="98"/>
      <c r="F9117">
        <v>9113</v>
      </c>
      <c r="G9117" s="109">
        <f t="shared" ca="1" si="151"/>
        <v>-0.1137823997157776</v>
      </c>
    </row>
    <row r="9118" spans="2:7" x14ac:dyDescent="0.25">
      <c r="B9118" s="98"/>
      <c r="F9118">
        <v>9114</v>
      </c>
      <c r="G9118" s="109">
        <f t="shared" ca="1" si="151"/>
        <v>-5.0855515914578361E-2</v>
      </c>
    </row>
    <row r="9119" spans="2:7" x14ac:dyDescent="0.25">
      <c r="B9119" s="98"/>
      <c r="F9119">
        <v>9115</v>
      </c>
      <c r="G9119" s="109">
        <f t="shared" ca="1" si="151"/>
        <v>6.8477247855522366E-2</v>
      </c>
    </row>
    <row r="9120" spans="2:7" x14ac:dyDescent="0.25">
      <c r="B9120" s="98"/>
      <c r="F9120">
        <v>9116</v>
      </c>
      <c r="G9120" s="109">
        <f t="shared" ca="1" si="151"/>
        <v>3.3837418859808843E-2</v>
      </c>
    </row>
    <row r="9121" spans="2:7" x14ac:dyDescent="0.25">
      <c r="B9121" s="98"/>
      <c r="F9121">
        <v>9117</v>
      </c>
      <c r="G9121" s="109">
        <f t="shared" ca="1" si="151"/>
        <v>-1.3733401071967966E-2</v>
      </c>
    </row>
    <row r="9122" spans="2:7" x14ac:dyDescent="0.25">
      <c r="B9122" s="98"/>
      <c r="F9122">
        <v>9118</v>
      </c>
      <c r="G9122" s="109">
        <f t="shared" ca="1" si="151"/>
        <v>7.3700535382561785E-2</v>
      </c>
    </row>
    <row r="9123" spans="2:7" x14ac:dyDescent="0.25">
      <c r="B9123" s="98"/>
      <c r="F9123">
        <v>9119</v>
      </c>
      <c r="G9123" s="109">
        <f t="shared" ca="1" si="151"/>
        <v>1.6765645608013274E-2</v>
      </c>
    </row>
    <row r="9124" spans="2:7" x14ac:dyDescent="0.25">
      <c r="B9124" s="98"/>
      <c r="F9124">
        <v>9120</v>
      </c>
      <c r="G9124" s="109">
        <f t="shared" ca="1" si="151"/>
        <v>-7.9047025080631245E-2</v>
      </c>
    </row>
    <row r="9125" spans="2:7" x14ac:dyDescent="0.25">
      <c r="B9125" s="98"/>
      <c r="F9125">
        <v>9121</v>
      </c>
      <c r="G9125" s="109">
        <f t="shared" ca="1" si="151"/>
        <v>5.9772312180244369E-2</v>
      </c>
    </row>
    <row r="9126" spans="2:7" x14ac:dyDescent="0.25">
      <c r="B9126" s="98"/>
      <c r="F9126">
        <v>9122</v>
      </c>
      <c r="G9126" s="109">
        <f t="shared" ca="1" si="151"/>
        <v>6.3472938498888257E-2</v>
      </c>
    </row>
    <row r="9127" spans="2:7" x14ac:dyDescent="0.25">
      <c r="B9127" s="98"/>
      <c r="F9127">
        <v>9123</v>
      </c>
      <c r="G9127" s="109">
        <f t="shared" ca="1" si="151"/>
        <v>6.1796709831084248E-2</v>
      </c>
    </row>
    <row r="9128" spans="2:7" x14ac:dyDescent="0.25">
      <c r="B9128" s="98"/>
      <c r="F9128">
        <v>9124</v>
      </c>
      <c r="G9128" s="109">
        <f t="shared" ca="1" si="151"/>
        <v>-4.5566498696843205E-2</v>
      </c>
    </row>
    <row r="9129" spans="2:7" x14ac:dyDescent="0.25">
      <c r="B9129" s="98"/>
      <c r="F9129">
        <v>9125</v>
      </c>
      <c r="G9129" s="109">
        <f t="shared" ca="1" si="151"/>
        <v>4.7063421226284076E-2</v>
      </c>
    </row>
    <row r="9130" spans="2:7" x14ac:dyDescent="0.25">
      <c r="B9130" s="98"/>
      <c r="F9130">
        <v>9126</v>
      </c>
      <c r="G9130" s="109">
        <f t="shared" ca="1" si="151"/>
        <v>2.475579433104955E-2</v>
      </c>
    </row>
    <row r="9131" spans="2:7" x14ac:dyDescent="0.25">
      <c r="B9131" s="98"/>
      <c r="F9131">
        <v>9127</v>
      </c>
      <c r="G9131" s="109">
        <f t="shared" ca="1" si="151"/>
        <v>0.12491394022627328</v>
      </c>
    </row>
    <row r="9132" spans="2:7" x14ac:dyDescent="0.25">
      <c r="B9132" s="98"/>
      <c r="F9132">
        <v>9128</v>
      </c>
      <c r="G9132" s="109">
        <f t="shared" ca="1" si="151"/>
        <v>3.8446444991073025E-2</v>
      </c>
    </row>
    <row r="9133" spans="2:7" x14ac:dyDescent="0.25">
      <c r="B9133" s="98"/>
      <c r="F9133">
        <v>9129</v>
      </c>
      <c r="G9133" s="109">
        <f t="shared" ca="1" si="151"/>
        <v>0.1944599356293748</v>
      </c>
    </row>
    <row r="9134" spans="2:7" x14ac:dyDescent="0.25">
      <c r="B9134" s="98"/>
      <c r="F9134">
        <v>9130</v>
      </c>
      <c r="G9134" s="109">
        <f t="shared" ca="1" si="151"/>
        <v>-8.1435498985956936E-2</v>
      </c>
    </row>
    <row r="9135" spans="2:7" x14ac:dyDescent="0.25">
      <c r="B9135" s="98"/>
      <c r="F9135">
        <v>9131</v>
      </c>
      <c r="G9135" s="109">
        <f t="shared" ca="1" si="151"/>
        <v>-6.8138543072559246E-2</v>
      </c>
    </row>
    <row r="9136" spans="2:7" x14ac:dyDescent="0.25">
      <c r="B9136" s="98"/>
      <c r="F9136">
        <v>9132</v>
      </c>
      <c r="G9136" s="109">
        <f t="shared" ca="1" si="151"/>
        <v>-0.15189541607529949</v>
      </c>
    </row>
    <row r="9137" spans="2:7" x14ac:dyDescent="0.25">
      <c r="B9137" s="98"/>
      <c r="F9137">
        <v>9133</v>
      </c>
      <c r="G9137" s="109">
        <f t="shared" ca="1" si="151"/>
        <v>-7.9508330074798364E-2</v>
      </c>
    </row>
    <row r="9138" spans="2:7" x14ac:dyDescent="0.25">
      <c r="B9138" s="98"/>
      <c r="F9138">
        <v>9134</v>
      </c>
      <c r="G9138" s="109">
        <f t="shared" ca="1" si="151"/>
        <v>-0.17879927784546729</v>
      </c>
    </row>
    <row r="9139" spans="2:7" x14ac:dyDescent="0.25">
      <c r="B9139" s="98"/>
      <c r="F9139">
        <v>9135</v>
      </c>
      <c r="G9139" s="109">
        <f t="shared" ca="1" si="151"/>
        <v>1.1468647979287344E-3</v>
      </c>
    </row>
    <row r="9140" spans="2:7" x14ac:dyDescent="0.25">
      <c r="B9140" s="98"/>
      <c r="F9140">
        <v>9136</v>
      </c>
      <c r="G9140" s="109">
        <f t="shared" ca="1" si="151"/>
        <v>-5.9512449041029855E-2</v>
      </c>
    </row>
    <row r="9141" spans="2:7" x14ac:dyDescent="0.25">
      <c r="B9141" s="98"/>
      <c r="F9141">
        <v>9137</v>
      </c>
      <c r="G9141" s="109">
        <f t="shared" ca="1" si="151"/>
        <v>0.1488152502484397</v>
      </c>
    </row>
    <row r="9142" spans="2:7" x14ac:dyDescent="0.25">
      <c r="B9142" s="98"/>
      <c r="F9142">
        <v>9138</v>
      </c>
      <c r="G9142" s="109">
        <f t="shared" ca="1" si="151"/>
        <v>-0.11148516454782224</v>
      </c>
    </row>
    <row r="9143" spans="2:7" x14ac:dyDescent="0.25">
      <c r="B9143" s="98"/>
      <c r="F9143">
        <v>9139</v>
      </c>
      <c r="G9143" s="109">
        <f t="shared" ca="1" si="151"/>
        <v>7.6263954444721782E-2</v>
      </c>
    </row>
    <row r="9144" spans="2:7" x14ac:dyDescent="0.25">
      <c r="B9144" s="98"/>
      <c r="F9144">
        <v>9140</v>
      </c>
      <c r="G9144" s="109">
        <f t="shared" ca="1" si="151"/>
        <v>0.11484020609657529</v>
      </c>
    </row>
    <row r="9145" spans="2:7" x14ac:dyDescent="0.25">
      <c r="B9145" s="98"/>
      <c r="F9145">
        <v>9141</v>
      </c>
      <c r="G9145" s="109">
        <f t="shared" ca="1" si="151"/>
        <v>9.4623388566828975E-2</v>
      </c>
    </row>
    <row r="9146" spans="2:7" x14ac:dyDescent="0.25">
      <c r="B9146" s="98"/>
      <c r="F9146">
        <v>9142</v>
      </c>
      <c r="G9146" s="109">
        <f t="shared" ca="1" si="151"/>
        <v>3.4931758190161782E-2</v>
      </c>
    </row>
    <row r="9147" spans="2:7" x14ac:dyDescent="0.25">
      <c r="B9147" s="98"/>
      <c r="F9147">
        <v>9143</v>
      </c>
      <c r="G9147" s="109">
        <f t="shared" ca="1" si="151"/>
        <v>0.1770791697528093</v>
      </c>
    </row>
    <row r="9148" spans="2:7" x14ac:dyDescent="0.25">
      <c r="B9148" s="98"/>
      <c r="F9148">
        <v>9144</v>
      </c>
      <c r="G9148" s="109">
        <f t="shared" ca="1" si="151"/>
        <v>7.405452302041575E-2</v>
      </c>
    </row>
    <row r="9149" spans="2:7" x14ac:dyDescent="0.25">
      <c r="B9149" s="98"/>
      <c r="F9149">
        <v>9145</v>
      </c>
      <c r="G9149" s="109">
        <f t="shared" ca="1" si="151"/>
        <v>2.7367018948775572E-2</v>
      </c>
    </row>
    <row r="9150" spans="2:7" x14ac:dyDescent="0.25">
      <c r="B9150" s="98"/>
      <c r="F9150">
        <v>9146</v>
      </c>
      <c r="G9150" s="109">
        <f t="shared" ca="1" si="151"/>
        <v>9.8219341206994687E-2</v>
      </c>
    </row>
    <row r="9151" spans="2:7" x14ac:dyDescent="0.25">
      <c r="B9151" s="98"/>
      <c r="F9151">
        <v>9147</v>
      </c>
      <c r="G9151" s="109">
        <f t="shared" ca="1" si="151"/>
        <v>0.16908472817103917</v>
      </c>
    </row>
    <row r="9152" spans="2:7" x14ac:dyDescent="0.25">
      <c r="B9152" s="98"/>
      <c r="F9152">
        <v>9148</v>
      </c>
      <c r="G9152" s="109">
        <f t="shared" ca="1" si="151"/>
        <v>0.16781642543924707</v>
      </c>
    </row>
    <row r="9153" spans="2:7" x14ac:dyDescent="0.25">
      <c r="B9153" s="98"/>
      <c r="F9153">
        <v>9149</v>
      </c>
      <c r="G9153" s="109">
        <f t="shared" ca="1" si="151"/>
        <v>-4.9553951498996454E-2</v>
      </c>
    </row>
    <row r="9154" spans="2:7" x14ac:dyDescent="0.25">
      <c r="B9154" s="98"/>
      <c r="F9154">
        <v>9150</v>
      </c>
      <c r="G9154" s="109">
        <f t="shared" ca="1" si="151"/>
        <v>4.3590561339855678E-2</v>
      </c>
    </row>
    <row r="9155" spans="2:7" x14ac:dyDescent="0.25">
      <c r="B9155" s="98"/>
      <c r="F9155">
        <v>9151</v>
      </c>
      <c r="G9155" s="109">
        <f t="shared" ca="1" si="151"/>
        <v>-6.745493884546995E-2</v>
      </c>
    </row>
    <row r="9156" spans="2:7" x14ac:dyDescent="0.25">
      <c r="B9156" s="98"/>
      <c r="F9156">
        <v>9152</v>
      </c>
      <c r="G9156" s="109">
        <f t="shared" ca="1" si="151"/>
        <v>-6.9885730988620484E-2</v>
      </c>
    </row>
    <row r="9157" spans="2:7" x14ac:dyDescent="0.25">
      <c r="B9157" s="98"/>
      <c r="F9157">
        <v>9153</v>
      </c>
      <c r="G9157" s="109">
        <f t="shared" ca="1" si="151"/>
        <v>2.6260376407575364E-2</v>
      </c>
    </row>
    <row r="9158" spans="2:7" x14ac:dyDescent="0.25">
      <c r="B9158" s="98"/>
      <c r="F9158">
        <v>9154</v>
      </c>
      <c r="G9158" s="109">
        <f t="shared" ref="G9158:G9221" ca="1" si="152">_xlfn.NORM.INV(RAND(),$M$5,$M$6)</f>
        <v>4.8445553062617656E-2</v>
      </c>
    </row>
    <row r="9159" spans="2:7" x14ac:dyDescent="0.25">
      <c r="B9159" s="98"/>
      <c r="F9159">
        <v>9155</v>
      </c>
      <c r="G9159" s="109">
        <f t="shared" ca="1" si="152"/>
        <v>7.5821537490828206E-2</v>
      </c>
    </row>
    <row r="9160" spans="2:7" x14ac:dyDescent="0.25">
      <c r="B9160" s="98"/>
      <c r="F9160">
        <v>9156</v>
      </c>
      <c r="G9160" s="109">
        <f t="shared" ca="1" si="152"/>
        <v>4.4055110447174896E-2</v>
      </c>
    </row>
    <row r="9161" spans="2:7" x14ac:dyDescent="0.25">
      <c r="B9161" s="98"/>
      <c r="F9161">
        <v>9157</v>
      </c>
      <c r="G9161" s="109">
        <f t="shared" ca="1" si="152"/>
        <v>0.13154031666328742</v>
      </c>
    </row>
    <row r="9162" spans="2:7" x14ac:dyDescent="0.25">
      <c r="B9162" s="98"/>
      <c r="F9162">
        <v>9158</v>
      </c>
      <c r="G9162" s="109">
        <f t="shared" ca="1" si="152"/>
        <v>2.9473096288373871E-2</v>
      </c>
    </row>
    <row r="9163" spans="2:7" x14ac:dyDescent="0.25">
      <c r="B9163" s="98"/>
      <c r="F9163">
        <v>9159</v>
      </c>
      <c r="G9163" s="109">
        <f t="shared" ca="1" si="152"/>
        <v>-0.12133612268526718</v>
      </c>
    </row>
    <row r="9164" spans="2:7" x14ac:dyDescent="0.25">
      <c r="B9164" s="98"/>
      <c r="F9164">
        <v>9160</v>
      </c>
      <c r="G9164" s="109">
        <f t="shared" ca="1" si="152"/>
        <v>-8.388336938056358E-2</v>
      </c>
    </row>
    <row r="9165" spans="2:7" x14ac:dyDescent="0.25">
      <c r="B9165" s="98"/>
      <c r="F9165">
        <v>9161</v>
      </c>
      <c r="G9165" s="109">
        <f t="shared" ca="1" si="152"/>
        <v>8.2556805453224816E-2</v>
      </c>
    </row>
    <row r="9166" spans="2:7" x14ac:dyDescent="0.25">
      <c r="B9166" s="98"/>
      <c r="F9166">
        <v>9162</v>
      </c>
      <c r="G9166" s="109">
        <f t="shared" ca="1" si="152"/>
        <v>2.4082724949220546E-2</v>
      </c>
    </row>
    <row r="9167" spans="2:7" x14ac:dyDescent="0.25">
      <c r="B9167" s="98"/>
      <c r="F9167">
        <v>9163</v>
      </c>
      <c r="G9167" s="109">
        <f t="shared" ca="1" si="152"/>
        <v>0.12443965964990757</v>
      </c>
    </row>
    <row r="9168" spans="2:7" x14ac:dyDescent="0.25">
      <c r="B9168" s="98"/>
      <c r="F9168">
        <v>9164</v>
      </c>
      <c r="G9168" s="109">
        <f t="shared" ca="1" si="152"/>
        <v>-2.995648219008519E-2</v>
      </c>
    </row>
    <row r="9169" spans="2:7" x14ac:dyDescent="0.25">
      <c r="B9169" s="98"/>
      <c r="F9169">
        <v>9165</v>
      </c>
      <c r="G9169" s="109">
        <f t="shared" ca="1" si="152"/>
        <v>0.14339380110386474</v>
      </c>
    </row>
    <row r="9170" spans="2:7" x14ac:dyDescent="0.25">
      <c r="B9170" s="98"/>
      <c r="F9170">
        <v>9166</v>
      </c>
      <c r="G9170" s="109">
        <f t="shared" ca="1" si="152"/>
        <v>-2.1217126282954801E-2</v>
      </c>
    </row>
    <row r="9171" spans="2:7" x14ac:dyDescent="0.25">
      <c r="B9171" s="98"/>
      <c r="F9171">
        <v>9167</v>
      </c>
      <c r="G9171" s="109">
        <f t="shared" ca="1" si="152"/>
        <v>-3.7604352258077886E-2</v>
      </c>
    </row>
    <row r="9172" spans="2:7" x14ac:dyDescent="0.25">
      <c r="B9172" s="98"/>
      <c r="F9172">
        <v>9168</v>
      </c>
      <c r="G9172" s="109">
        <f t="shared" ca="1" si="152"/>
        <v>0.15520928391779665</v>
      </c>
    </row>
    <row r="9173" spans="2:7" x14ac:dyDescent="0.25">
      <c r="B9173" s="98"/>
      <c r="F9173">
        <v>9169</v>
      </c>
      <c r="G9173" s="109">
        <f t="shared" ca="1" si="152"/>
        <v>-4.8234275352379993E-2</v>
      </c>
    </row>
    <row r="9174" spans="2:7" x14ac:dyDescent="0.25">
      <c r="B9174" s="98"/>
      <c r="F9174">
        <v>9170</v>
      </c>
      <c r="G9174" s="109">
        <f t="shared" ca="1" si="152"/>
        <v>9.0922593817205161E-2</v>
      </c>
    </row>
    <row r="9175" spans="2:7" x14ac:dyDescent="0.25">
      <c r="B9175" s="98"/>
      <c r="F9175">
        <v>9171</v>
      </c>
      <c r="G9175" s="109">
        <f t="shared" ca="1" si="152"/>
        <v>0.11363278451882922</v>
      </c>
    </row>
    <row r="9176" spans="2:7" x14ac:dyDescent="0.25">
      <c r="B9176" s="98"/>
      <c r="F9176">
        <v>9172</v>
      </c>
      <c r="G9176" s="109">
        <f t="shared" ca="1" si="152"/>
        <v>-4.8477888701860455E-2</v>
      </c>
    </row>
    <row r="9177" spans="2:7" x14ac:dyDescent="0.25">
      <c r="B9177" s="98"/>
      <c r="F9177">
        <v>9173</v>
      </c>
      <c r="G9177" s="109">
        <f t="shared" ca="1" si="152"/>
        <v>-4.501286602680396E-2</v>
      </c>
    </row>
    <row r="9178" spans="2:7" x14ac:dyDescent="0.25">
      <c r="B9178" s="98"/>
      <c r="F9178">
        <v>9174</v>
      </c>
      <c r="G9178" s="109">
        <f t="shared" ca="1" si="152"/>
        <v>0.1334630834695914</v>
      </c>
    </row>
    <row r="9179" spans="2:7" x14ac:dyDescent="0.25">
      <c r="B9179" s="98"/>
      <c r="F9179">
        <v>9175</v>
      </c>
      <c r="G9179" s="109">
        <f t="shared" ca="1" si="152"/>
        <v>-4.4842129663793945E-2</v>
      </c>
    </row>
    <row r="9180" spans="2:7" x14ac:dyDescent="0.25">
      <c r="B9180" s="98"/>
      <c r="F9180">
        <v>9176</v>
      </c>
      <c r="G9180" s="109">
        <f t="shared" ca="1" si="152"/>
        <v>5.7709613393229289E-2</v>
      </c>
    </row>
    <row r="9181" spans="2:7" x14ac:dyDescent="0.25">
      <c r="B9181" s="98"/>
      <c r="F9181">
        <v>9177</v>
      </c>
      <c r="G9181" s="109">
        <f t="shared" ca="1" si="152"/>
        <v>1.2995797076274192E-2</v>
      </c>
    </row>
    <row r="9182" spans="2:7" x14ac:dyDescent="0.25">
      <c r="B9182" s="98"/>
      <c r="F9182">
        <v>9178</v>
      </c>
      <c r="G9182" s="109">
        <f t="shared" ca="1" si="152"/>
        <v>-8.2778849802650031E-2</v>
      </c>
    </row>
    <row r="9183" spans="2:7" x14ac:dyDescent="0.25">
      <c r="B9183" s="98"/>
      <c r="F9183">
        <v>9179</v>
      </c>
      <c r="G9183" s="109">
        <f t="shared" ca="1" si="152"/>
        <v>-6.1402676985424995E-3</v>
      </c>
    </row>
    <row r="9184" spans="2:7" x14ac:dyDescent="0.25">
      <c r="B9184" s="98"/>
      <c r="F9184">
        <v>9180</v>
      </c>
      <c r="G9184" s="109">
        <f t="shared" ca="1" si="152"/>
        <v>7.9936514295681479E-2</v>
      </c>
    </row>
    <row r="9185" spans="2:7" x14ac:dyDescent="0.25">
      <c r="B9185" s="98"/>
      <c r="F9185">
        <v>9181</v>
      </c>
      <c r="G9185" s="109">
        <f t="shared" ca="1" si="152"/>
        <v>0.10718636808857214</v>
      </c>
    </row>
    <row r="9186" spans="2:7" x14ac:dyDescent="0.25">
      <c r="B9186" s="98"/>
      <c r="F9186">
        <v>9182</v>
      </c>
      <c r="G9186" s="109">
        <f t="shared" ca="1" si="152"/>
        <v>-7.3498604723688063E-2</v>
      </c>
    </row>
    <row r="9187" spans="2:7" x14ac:dyDescent="0.25">
      <c r="B9187" s="98"/>
      <c r="F9187">
        <v>9183</v>
      </c>
      <c r="G9187" s="109">
        <f t="shared" ca="1" si="152"/>
        <v>0.16270341817521461</v>
      </c>
    </row>
    <row r="9188" spans="2:7" x14ac:dyDescent="0.25">
      <c r="B9188" s="98"/>
      <c r="F9188">
        <v>9184</v>
      </c>
      <c r="G9188" s="109">
        <f t="shared" ca="1" si="152"/>
        <v>8.5158271685494141E-3</v>
      </c>
    </row>
    <row r="9189" spans="2:7" x14ac:dyDescent="0.25">
      <c r="B9189" s="98"/>
      <c r="F9189">
        <v>9185</v>
      </c>
      <c r="G9189" s="109">
        <f t="shared" ca="1" si="152"/>
        <v>0.15461190880396575</v>
      </c>
    </row>
    <row r="9190" spans="2:7" x14ac:dyDescent="0.25">
      <c r="B9190" s="98"/>
      <c r="F9190">
        <v>9186</v>
      </c>
      <c r="G9190" s="109">
        <f t="shared" ca="1" si="152"/>
        <v>0.15995988242061854</v>
      </c>
    </row>
    <row r="9191" spans="2:7" x14ac:dyDescent="0.25">
      <c r="B9191" s="98"/>
      <c r="F9191">
        <v>9187</v>
      </c>
      <c r="G9191" s="109">
        <f t="shared" ca="1" si="152"/>
        <v>0.15387277594239857</v>
      </c>
    </row>
    <row r="9192" spans="2:7" x14ac:dyDescent="0.25">
      <c r="B9192" s="98"/>
      <c r="F9192">
        <v>9188</v>
      </c>
      <c r="G9192" s="109">
        <f t="shared" ca="1" si="152"/>
        <v>8.7998749707988988E-4</v>
      </c>
    </row>
    <row r="9193" spans="2:7" x14ac:dyDescent="0.25">
      <c r="B9193" s="98"/>
      <c r="F9193">
        <v>9189</v>
      </c>
      <c r="G9193" s="109">
        <f t="shared" ca="1" si="152"/>
        <v>4.3733988402605839E-2</v>
      </c>
    </row>
    <row r="9194" spans="2:7" x14ac:dyDescent="0.25">
      <c r="B9194" s="98"/>
      <c r="F9194">
        <v>9190</v>
      </c>
      <c r="G9194" s="109">
        <f t="shared" ca="1" si="152"/>
        <v>0.1838699563134728</v>
      </c>
    </row>
    <row r="9195" spans="2:7" x14ac:dyDescent="0.25">
      <c r="B9195" s="98"/>
      <c r="F9195">
        <v>9191</v>
      </c>
      <c r="G9195" s="109">
        <f t="shared" ca="1" si="152"/>
        <v>-0.18031708419424192</v>
      </c>
    </row>
    <row r="9196" spans="2:7" x14ac:dyDescent="0.25">
      <c r="B9196" s="98"/>
      <c r="F9196">
        <v>9192</v>
      </c>
      <c r="G9196" s="109">
        <f t="shared" ca="1" si="152"/>
        <v>0.10376736164135608</v>
      </c>
    </row>
    <row r="9197" spans="2:7" x14ac:dyDescent="0.25">
      <c r="B9197" s="98"/>
      <c r="F9197">
        <v>9193</v>
      </c>
      <c r="G9197" s="109">
        <f t="shared" ca="1" si="152"/>
        <v>7.7571853662465301E-2</v>
      </c>
    </row>
    <row r="9198" spans="2:7" x14ac:dyDescent="0.25">
      <c r="B9198" s="98"/>
      <c r="F9198">
        <v>9194</v>
      </c>
      <c r="G9198" s="109">
        <f t="shared" ca="1" si="152"/>
        <v>1.5877854666004054E-2</v>
      </c>
    </row>
    <row r="9199" spans="2:7" x14ac:dyDescent="0.25">
      <c r="B9199" s="98"/>
      <c r="F9199">
        <v>9195</v>
      </c>
      <c r="G9199" s="109">
        <f t="shared" ca="1" si="152"/>
        <v>-2.163448394551791E-2</v>
      </c>
    </row>
    <row r="9200" spans="2:7" x14ac:dyDescent="0.25">
      <c r="B9200" s="98"/>
      <c r="F9200">
        <v>9196</v>
      </c>
      <c r="G9200" s="109">
        <f t="shared" ca="1" si="152"/>
        <v>0.17085957597131979</v>
      </c>
    </row>
    <row r="9201" spans="2:7" x14ac:dyDescent="0.25">
      <c r="B9201" s="98"/>
      <c r="F9201">
        <v>9197</v>
      </c>
      <c r="G9201" s="109">
        <f t="shared" ca="1" si="152"/>
        <v>-5.37703876446535E-2</v>
      </c>
    </row>
    <row r="9202" spans="2:7" x14ac:dyDescent="0.25">
      <c r="B9202" s="98"/>
      <c r="F9202">
        <v>9198</v>
      </c>
      <c r="G9202" s="109">
        <f t="shared" ca="1" si="152"/>
        <v>0.16178626273488175</v>
      </c>
    </row>
    <row r="9203" spans="2:7" x14ac:dyDescent="0.25">
      <c r="B9203" s="98"/>
      <c r="F9203">
        <v>9199</v>
      </c>
      <c r="G9203" s="109">
        <f t="shared" ca="1" si="152"/>
        <v>-9.9078039410392879E-3</v>
      </c>
    </row>
    <row r="9204" spans="2:7" x14ac:dyDescent="0.25">
      <c r="B9204" s="98"/>
      <c r="F9204">
        <v>9200</v>
      </c>
      <c r="G9204" s="109">
        <f t="shared" ca="1" si="152"/>
        <v>2.1999914975398015E-2</v>
      </c>
    </row>
    <row r="9205" spans="2:7" x14ac:dyDescent="0.25">
      <c r="B9205" s="98"/>
      <c r="F9205">
        <v>9201</v>
      </c>
      <c r="G9205" s="109">
        <f t="shared" ca="1" si="152"/>
        <v>-3.0873435705638802E-2</v>
      </c>
    </row>
    <row r="9206" spans="2:7" x14ac:dyDescent="0.25">
      <c r="B9206" s="98"/>
      <c r="F9206">
        <v>9202</v>
      </c>
      <c r="G9206" s="109">
        <f t="shared" ca="1" si="152"/>
        <v>0.10913578378124981</v>
      </c>
    </row>
    <row r="9207" spans="2:7" x14ac:dyDescent="0.25">
      <c r="B9207" s="98"/>
      <c r="F9207">
        <v>9203</v>
      </c>
      <c r="G9207" s="109">
        <f t="shared" ca="1" si="152"/>
        <v>-5.3540127991568584E-2</v>
      </c>
    </row>
    <row r="9208" spans="2:7" x14ac:dyDescent="0.25">
      <c r="B9208" s="98"/>
      <c r="F9208">
        <v>9204</v>
      </c>
      <c r="G9208" s="109">
        <f t="shared" ca="1" si="152"/>
        <v>7.6530934511109372E-2</v>
      </c>
    </row>
    <row r="9209" spans="2:7" x14ac:dyDescent="0.25">
      <c r="B9209" s="98"/>
      <c r="F9209">
        <v>9205</v>
      </c>
      <c r="G9209" s="109">
        <f t="shared" ca="1" si="152"/>
        <v>4.3787409325838064E-2</v>
      </c>
    </row>
    <row r="9210" spans="2:7" x14ac:dyDescent="0.25">
      <c r="B9210" s="98"/>
      <c r="F9210">
        <v>9206</v>
      </c>
      <c r="G9210" s="109">
        <f t="shared" ca="1" si="152"/>
        <v>0.19075557950783256</v>
      </c>
    </row>
    <row r="9211" spans="2:7" x14ac:dyDescent="0.25">
      <c r="B9211" s="98"/>
      <c r="F9211">
        <v>9207</v>
      </c>
      <c r="G9211" s="109">
        <f t="shared" ca="1" si="152"/>
        <v>-3.7608770004203623E-2</v>
      </c>
    </row>
    <row r="9212" spans="2:7" x14ac:dyDescent="0.25">
      <c r="B9212" s="98"/>
      <c r="F9212">
        <v>9208</v>
      </c>
      <c r="G9212" s="109">
        <f t="shared" ca="1" si="152"/>
        <v>1.3618519872832253E-2</v>
      </c>
    </row>
    <row r="9213" spans="2:7" x14ac:dyDescent="0.25">
      <c r="B9213" s="98"/>
      <c r="F9213">
        <v>9209</v>
      </c>
      <c r="G9213" s="109">
        <f t="shared" ca="1" si="152"/>
        <v>-6.8094263408506717E-2</v>
      </c>
    </row>
    <row r="9214" spans="2:7" x14ac:dyDescent="0.25">
      <c r="B9214" s="98"/>
      <c r="F9214">
        <v>9210</v>
      </c>
      <c r="G9214" s="109">
        <f t="shared" ca="1" si="152"/>
        <v>-7.6763605671514926E-2</v>
      </c>
    </row>
    <row r="9215" spans="2:7" x14ac:dyDescent="0.25">
      <c r="B9215" s="98"/>
      <c r="F9215">
        <v>9211</v>
      </c>
      <c r="G9215" s="109">
        <f t="shared" ca="1" si="152"/>
        <v>7.5134918061416631E-2</v>
      </c>
    </row>
    <row r="9216" spans="2:7" x14ac:dyDescent="0.25">
      <c r="B9216" s="98"/>
      <c r="F9216">
        <v>9212</v>
      </c>
      <c r="G9216" s="109">
        <f t="shared" ca="1" si="152"/>
        <v>2.362319742270242E-2</v>
      </c>
    </row>
    <row r="9217" spans="2:7" x14ac:dyDescent="0.25">
      <c r="B9217" s="98"/>
      <c r="F9217">
        <v>9213</v>
      </c>
      <c r="G9217" s="109">
        <f t="shared" ca="1" si="152"/>
        <v>5.4873941850332612E-2</v>
      </c>
    </row>
    <row r="9218" spans="2:7" x14ac:dyDescent="0.25">
      <c r="B9218" s="98"/>
      <c r="F9218">
        <v>9214</v>
      </c>
      <c r="G9218" s="109">
        <f t="shared" ca="1" si="152"/>
        <v>5.7244023388011232E-2</v>
      </c>
    </row>
    <row r="9219" spans="2:7" x14ac:dyDescent="0.25">
      <c r="B9219" s="98"/>
      <c r="F9219">
        <v>9215</v>
      </c>
      <c r="G9219" s="109">
        <f t="shared" ca="1" si="152"/>
        <v>2.1404642383578285E-2</v>
      </c>
    </row>
    <row r="9220" spans="2:7" x14ac:dyDescent="0.25">
      <c r="B9220" s="98"/>
      <c r="F9220">
        <v>9216</v>
      </c>
      <c r="G9220" s="109">
        <f t="shared" ca="1" si="152"/>
        <v>8.6373337706614331E-2</v>
      </c>
    </row>
    <row r="9221" spans="2:7" x14ac:dyDescent="0.25">
      <c r="B9221" s="98"/>
      <c r="F9221">
        <v>9217</v>
      </c>
      <c r="G9221" s="109">
        <f t="shared" ca="1" si="152"/>
        <v>0.14008333948573737</v>
      </c>
    </row>
    <row r="9222" spans="2:7" x14ac:dyDescent="0.25">
      <c r="B9222" s="98"/>
      <c r="F9222">
        <v>9218</v>
      </c>
      <c r="G9222" s="109">
        <f t="shared" ref="G9222:G9285" ca="1" si="153">_xlfn.NORM.INV(RAND(),$M$5,$M$6)</f>
        <v>9.7418930829271236E-2</v>
      </c>
    </row>
    <row r="9223" spans="2:7" x14ac:dyDescent="0.25">
      <c r="B9223" s="98"/>
      <c r="F9223">
        <v>9219</v>
      </c>
      <c r="G9223" s="109">
        <f t="shared" ca="1" si="153"/>
        <v>-4.1231726746301989E-2</v>
      </c>
    </row>
    <row r="9224" spans="2:7" x14ac:dyDescent="0.25">
      <c r="B9224" s="98"/>
      <c r="F9224">
        <v>9220</v>
      </c>
      <c r="G9224" s="109">
        <f t="shared" ca="1" si="153"/>
        <v>6.4630056499980937E-2</v>
      </c>
    </row>
    <row r="9225" spans="2:7" x14ac:dyDescent="0.25">
      <c r="B9225" s="98"/>
      <c r="F9225">
        <v>9221</v>
      </c>
      <c r="G9225" s="109">
        <f t="shared" ca="1" si="153"/>
        <v>-5.3279889194129168E-2</v>
      </c>
    </row>
    <row r="9226" spans="2:7" x14ac:dyDescent="0.25">
      <c r="B9226" s="98"/>
      <c r="F9226">
        <v>9222</v>
      </c>
      <c r="G9226" s="109">
        <f t="shared" ca="1" si="153"/>
        <v>0.11948456406488545</v>
      </c>
    </row>
    <row r="9227" spans="2:7" x14ac:dyDescent="0.25">
      <c r="B9227" s="98"/>
      <c r="F9227">
        <v>9223</v>
      </c>
      <c r="G9227" s="109">
        <f t="shared" ca="1" si="153"/>
        <v>-2.2584789041224698E-2</v>
      </c>
    </row>
    <row r="9228" spans="2:7" x14ac:dyDescent="0.25">
      <c r="B9228" s="98"/>
      <c r="F9228">
        <v>9224</v>
      </c>
      <c r="G9228" s="109">
        <f t="shared" ca="1" si="153"/>
        <v>5.4687318580428752E-2</v>
      </c>
    </row>
    <row r="9229" spans="2:7" x14ac:dyDescent="0.25">
      <c r="B9229" s="98"/>
      <c r="F9229">
        <v>9225</v>
      </c>
      <c r="G9229" s="109">
        <f t="shared" ca="1" si="153"/>
        <v>-7.9277258834967418E-2</v>
      </c>
    </row>
    <row r="9230" spans="2:7" x14ac:dyDescent="0.25">
      <c r="B9230" s="98"/>
      <c r="F9230">
        <v>9226</v>
      </c>
      <c r="G9230" s="109">
        <f t="shared" ca="1" si="153"/>
        <v>0.12763191536953478</v>
      </c>
    </row>
    <row r="9231" spans="2:7" x14ac:dyDescent="0.25">
      <c r="B9231" s="98"/>
      <c r="F9231">
        <v>9227</v>
      </c>
      <c r="G9231" s="109">
        <f t="shared" ca="1" si="153"/>
        <v>-2.7019002822496849E-2</v>
      </c>
    </row>
    <row r="9232" spans="2:7" x14ac:dyDescent="0.25">
      <c r="B9232" s="98"/>
      <c r="F9232">
        <v>9228</v>
      </c>
      <c r="G9232" s="109">
        <f t="shared" ca="1" si="153"/>
        <v>-8.6350893247465338E-3</v>
      </c>
    </row>
    <row r="9233" spans="2:7" x14ac:dyDescent="0.25">
      <c r="B9233" s="98"/>
      <c r="F9233">
        <v>9229</v>
      </c>
      <c r="G9233" s="109">
        <f t="shared" ca="1" si="153"/>
        <v>0.13354210676263301</v>
      </c>
    </row>
    <row r="9234" spans="2:7" x14ac:dyDescent="0.25">
      <c r="B9234" s="98"/>
      <c r="F9234">
        <v>9230</v>
      </c>
      <c r="G9234" s="109">
        <f t="shared" ca="1" si="153"/>
        <v>-9.8566179118681249E-2</v>
      </c>
    </row>
    <row r="9235" spans="2:7" x14ac:dyDescent="0.25">
      <c r="B9235" s="98"/>
      <c r="F9235">
        <v>9231</v>
      </c>
      <c r="G9235" s="109">
        <f t="shared" ca="1" si="153"/>
        <v>-3.0871816825813705E-2</v>
      </c>
    </row>
    <row r="9236" spans="2:7" x14ac:dyDescent="0.25">
      <c r="B9236" s="98"/>
      <c r="F9236">
        <v>9232</v>
      </c>
      <c r="G9236" s="109">
        <f t="shared" ca="1" si="153"/>
        <v>0.10224187511409336</v>
      </c>
    </row>
    <row r="9237" spans="2:7" x14ac:dyDescent="0.25">
      <c r="B9237" s="98"/>
      <c r="F9237">
        <v>9233</v>
      </c>
      <c r="G9237" s="109">
        <f t="shared" ca="1" si="153"/>
        <v>0.17036279752633904</v>
      </c>
    </row>
    <row r="9238" spans="2:7" x14ac:dyDescent="0.25">
      <c r="B9238" s="98"/>
      <c r="F9238">
        <v>9234</v>
      </c>
      <c r="G9238" s="109">
        <f t="shared" ca="1" si="153"/>
        <v>0.22313371586910224</v>
      </c>
    </row>
    <row r="9239" spans="2:7" x14ac:dyDescent="0.25">
      <c r="B9239" s="98"/>
      <c r="F9239">
        <v>9235</v>
      </c>
      <c r="G9239" s="109">
        <f t="shared" ca="1" si="153"/>
        <v>-3.1041384228385066E-2</v>
      </c>
    </row>
    <row r="9240" spans="2:7" x14ac:dyDescent="0.25">
      <c r="B9240" s="98"/>
      <c r="F9240">
        <v>9236</v>
      </c>
      <c r="G9240" s="109">
        <f t="shared" ca="1" si="153"/>
        <v>8.8786258441584484E-2</v>
      </c>
    </row>
    <row r="9241" spans="2:7" x14ac:dyDescent="0.25">
      <c r="B9241" s="98"/>
      <c r="F9241">
        <v>9237</v>
      </c>
      <c r="G9241" s="109">
        <f t="shared" ca="1" si="153"/>
        <v>-4.2117661707662568E-2</v>
      </c>
    </row>
    <row r="9242" spans="2:7" x14ac:dyDescent="0.25">
      <c r="B9242" s="98"/>
      <c r="F9242">
        <v>9238</v>
      </c>
      <c r="G9242" s="109">
        <f t="shared" ca="1" si="153"/>
        <v>-0.10438087399160066</v>
      </c>
    </row>
    <row r="9243" spans="2:7" x14ac:dyDescent="0.25">
      <c r="B9243" s="98"/>
      <c r="F9243">
        <v>9239</v>
      </c>
      <c r="G9243" s="109">
        <f t="shared" ca="1" si="153"/>
        <v>7.5109629862225413E-2</v>
      </c>
    </row>
    <row r="9244" spans="2:7" x14ac:dyDescent="0.25">
      <c r="B9244" s="98"/>
      <c r="F9244">
        <v>9240</v>
      </c>
      <c r="G9244" s="109">
        <f t="shared" ca="1" si="153"/>
        <v>1.6032733364127937E-2</v>
      </c>
    </row>
    <row r="9245" spans="2:7" x14ac:dyDescent="0.25">
      <c r="B9245" s="98"/>
      <c r="F9245">
        <v>9241</v>
      </c>
      <c r="G9245" s="109">
        <f t="shared" ca="1" si="153"/>
        <v>0.12872052201227333</v>
      </c>
    </row>
    <row r="9246" spans="2:7" x14ac:dyDescent="0.25">
      <c r="B9246" s="98"/>
      <c r="F9246">
        <v>9242</v>
      </c>
      <c r="G9246" s="109">
        <f t="shared" ca="1" si="153"/>
        <v>0.19768620079323851</v>
      </c>
    </row>
    <row r="9247" spans="2:7" x14ac:dyDescent="0.25">
      <c r="B9247" s="98"/>
      <c r="F9247">
        <v>9243</v>
      </c>
      <c r="G9247" s="109">
        <f t="shared" ca="1" si="153"/>
        <v>9.7538021917534357E-2</v>
      </c>
    </row>
    <row r="9248" spans="2:7" x14ac:dyDescent="0.25">
      <c r="B9248" s="98"/>
      <c r="F9248">
        <v>9244</v>
      </c>
      <c r="G9248" s="109">
        <f t="shared" ca="1" si="153"/>
        <v>0.18056761937661597</v>
      </c>
    </row>
    <row r="9249" spans="2:7" x14ac:dyDescent="0.25">
      <c r="B9249" s="98"/>
      <c r="F9249">
        <v>9245</v>
      </c>
      <c r="G9249" s="109">
        <f t="shared" ca="1" si="153"/>
        <v>0.16375516987804761</v>
      </c>
    </row>
    <row r="9250" spans="2:7" x14ac:dyDescent="0.25">
      <c r="B9250" s="98"/>
      <c r="F9250">
        <v>9246</v>
      </c>
      <c r="G9250" s="109">
        <f t="shared" ca="1" si="153"/>
        <v>6.7068144328362903E-2</v>
      </c>
    </row>
    <row r="9251" spans="2:7" x14ac:dyDescent="0.25">
      <c r="B9251" s="98"/>
      <c r="F9251">
        <v>9247</v>
      </c>
      <c r="G9251" s="109">
        <f t="shared" ca="1" si="153"/>
        <v>7.0726680973799999E-2</v>
      </c>
    </row>
    <row r="9252" spans="2:7" x14ac:dyDescent="0.25">
      <c r="B9252" s="98"/>
      <c r="F9252">
        <v>9248</v>
      </c>
      <c r="G9252" s="109">
        <f t="shared" ca="1" si="153"/>
        <v>1.4372436732603383E-2</v>
      </c>
    </row>
    <row r="9253" spans="2:7" x14ac:dyDescent="0.25">
      <c r="B9253" s="98"/>
      <c r="F9253">
        <v>9249</v>
      </c>
      <c r="G9253" s="109">
        <f t="shared" ca="1" si="153"/>
        <v>-3.4663276068624863E-2</v>
      </c>
    </row>
    <row r="9254" spans="2:7" x14ac:dyDescent="0.25">
      <c r="B9254" s="98"/>
      <c r="F9254">
        <v>9250</v>
      </c>
      <c r="G9254" s="109">
        <f t="shared" ca="1" si="153"/>
        <v>3.7076647732819587E-3</v>
      </c>
    </row>
    <row r="9255" spans="2:7" x14ac:dyDescent="0.25">
      <c r="B9255" s="98"/>
      <c r="F9255">
        <v>9251</v>
      </c>
      <c r="G9255" s="109">
        <f t="shared" ca="1" si="153"/>
        <v>1.5275751631256603E-2</v>
      </c>
    </row>
    <row r="9256" spans="2:7" x14ac:dyDescent="0.25">
      <c r="B9256" s="98"/>
      <c r="F9256">
        <v>9252</v>
      </c>
      <c r="G9256" s="109">
        <f t="shared" ca="1" si="153"/>
        <v>0.16422449272738734</v>
      </c>
    </row>
    <row r="9257" spans="2:7" x14ac:dyDescent="0.25">
      <c r="B9257" s="98"/>
      <c r="F9257">
        <v>9253</v>
      </c>
      <c r="G9257" s="109">
        <f t="shared" ca="1" si="153"/>
        <v>0.11427151134681697</v>
      </c>
    </row>
    <row r="9258" spans="2:7" x14ac:dyDescent="0.25">
      <c r="B9258" s="98"/>
      <c r="F9258">
        <v>9254</v>
      </c>
      <c r="G9258" s="109">
        <f t="shared" ca="1" si="153"/>
        <v>-1.8414707750266102E-2</v>
      </c>
    </row>
    <row r="9259" spans="2:7" x14ac:dyDescent="0.25">
      <c r="B9259" s="98"/>
      <c r="F9259">
        <v>9255</v>
      </c>
      <c r="G9259" s="109">
        <f t="shared" ca="1" si="153"/>
        <v>0.20418701380802673</v>
      </c>
    </row>
    <row r="9260" spans="2:7" x14ac:dyDescent="0.25">
      <c r="B9260" s="98"/>
      <c r="F9260">
        <v>9256</v>
      </c>
      <c r="G9260" s="109">
        <f t="shared" ca="1" si="153"/>
        <v>0.18758887548879849</v>
      </c>
    </row>
    <row r="9261" spans="2:7" x14ac:dyDescent="0.25">
      <c r="B9261" s="98"/>
      <c r="F9261">
        <v>9257</v>
      </c>
      <c r="G9261" s="109">
        <f t="shared" ca="1" si="153"/>
        <v>3.1354384651878071E-2</v>
      </c>
    </row>
    <row r="9262" spans="2:7" x14ac:dyDescent="0.25">
      <c r="B9262" s="98"/>
      <c r="F9262">
        <v>9258</v>
      </c>
      <c r="G9262" s="109">
        <f t="shared" ca="1" si="153"/>
        <v>0.19259980420214806</v>
      </c>
    </row>
    <row r="9263" spans="2:7" x14ac:dyDescent="0.25">
      <c r="B9263" s="98"/>
      <c r="F9263">
        <v>9259</v>
      </c>
      <c r="G9263" s="109">
        <f t="shared" ca="1" si="153"/>
        <v>7.1203727541562054E-2</v>
      </c>
    </row>
    <row r="9264" spans="2:7" x14ac:dyDescent="0.25">
      <c r="B9264" s="98"/>
      <c r="F9264">
        <v>9260</v>
      </c>
      <c r="G9264" s="109">
        <f t="shared" ca="1" si="153"/>
        <v>5.9037422247607461E-2</v>
      </c>
    </row>
    <row r="9265" spans="2:7" x14ac:dyDescent="0.25">
      <c r="B9265" s="98"/>
      <c r="F9265">
        <v>9261</v>
      </c>
      <c r="G9265" s="109">
        <f t="shared" ca="1" si="153"/>
        <v>8.5510842263049142E-2</v>
      </c>
    </row>
    <row r="9266" spans="2:7" x14ac:dyDescent="0.25">
      <c r="B9266" s="98"/>
      <c r="F9266">
        <v>9262</v>
      </c>
      <c r="G9266" s="109">
        <f t="shared" ca="1" si="153"/>
        <v>0.10181445785354426</v>
      </c>
    </row>
    <row r="9267" spans="2:7" x14ac:dyDescent="0.25">
      <c r="B9267" s="98"/>
      <c r="F9267">
        <v>9263</v>
      </c>
      <c r="G9267" s="109">
        <f t="shared" ca="1" si="153"/>
        <v>0.1541057083830773</v>
      </c>
    </row>
    <row r="9268" spans="2:7" x14ac:dyDescent="0.25">
      <c r="B9268" s="98"/>
      <c r="F9268">
        <v>9264</v>
      </c>
      <c r="G9268" s="109">
        <f t="shared" ca="1" si="153"/>
        <v>-9.6309135832905082E-2</v>
      </c>
    </row>
    <row r="9269" spans="2:7" x14ac:dyDescent="0.25">
      <c r="B9269" s="98"/>
      <c r="F9269">
        <v>9265</v>
      </c>
      <c r="G9269" s="109">
        <f t="shared" ca="1" si="153"/>
        <v>-6.8771371339066842E-2</v>
      </c>
    </row>
    <row r="9270" spans="2:7" x14ac:dyDescent="0.25">
      <c r="B9270" s="98"/>
      <c r="F9270">
        <v>9266</v>
      </c>
      <c r="G9270" s="109">
        <f t="shared" ca="1" si="153"/>
        <v>6.1050260786806164E-2</v>
      </c>
    </row>
    <row r="9271" spans="2:7" x14ac:dyDescent="0.25">
      <c r="B9271" s="98"/>
      <c r="F9271">
        <v>9267</v>
      </c>
      <c r="G9271" s="109">
        <f t="shared" ca="1" si="153"/>
        <v>5.0108732787162782E-2</v>
      </c>
    </row>
    <row r="9272" spans="2:7" x14ac:dyDescent="0.25">
      <c r="B9272" s="98"/>
      <c r="F9272">
        <v>9268</v>
      </c>
      <c r="G9272" s="109">
        <f t="shared" ca="1" si="153"/>
        <v>8.4424138299623031E-3</v>
      </c>
    </row>
    <row r="9273" spans="2:7" x14ac:dyDescent="0.25">
      <c r="B9273" s="98"/>
      <c r="F9273">
        <v>9269</v>
      </c>
      <c r="G9273" s="109">
        <f t="shared" ca="1" si="153"/>
        <v>6.2319886687339648E-2</v>
      </c>
    </row>
    <row r="9274" spans="2:7" x14ac:dyDescent="0.25">
      <c r="B9274" s="98"/>
      <c r="F9274">
        <v>9270</v>
      </c>
      <c r="G9274" s="109">
        <f t="shared" ca="1" si="153"/>
        <v>-8.3990211445742549E-2</v>
      </c>
    </row>
    <row r="9275" spans="2:7" x14ac:dyDescent="0.25">
      <c r="B9275" s="98"/>
      <c r="F9275">
        <v>9271</v>
      </c>
      <c r="G9275" s="109">
        <f t="shared" ca="1" si="153"/>
        <v>-7.7896278867019678E-2</v>
      </c>
    </row>
    <row r="9276" spans="2:7" x14ac:dyDescent="0.25">
      <c r="B9276" s="98"/>
      <c r="F9276">
        <v>9272</v>
      </c>
      <c r="G9276" s="109">
        <f t="shared" ca="1" si="153"/>
        <v>5.0147230227221583E-2</v>
      </c>
    </row>
    <row r="9277" spans="2:7" x14ac:dyDescent="0.25">
      <c r="B9277" s="98"/>
      <c r="F9277">
        <v>9273</v>
      </c>
      <c r="G9277" s="109">
        <f t="shared" ca="1" si="153"/>
        <v>5.9655013126995345E-2</v>
      </c>
    </row>
    <row r="9278" spans="2:7" x14ac:dyDescent="0.25">
      <c r="B9278" s="98"/>
      <c r="F9278">
        <v>9274</v>
      </c>
      <c r="G9278" s="109">
        <f t="shared" ca="1" si="153"/>
        <v>9.6036222293978707E-2</v>
      </c>
    </row>
    <row r="9279" spans="2:7" x14ac:dyDescent="0.25">
      <c r="B9279" s="98"/>
      <c r="F9279">
        <v>9275</v>
      </c>
      <c r="G9279" s="109">
        <f t="shared" ca="1" si="153"/>
        <v>6.7961084920810377E-3</v>
      </c>
    </row>
    <row r="9280" spans="2:7" x14ac:dyDescent="0.25">
      <c r="B9280" s="98"/>
      <c r="F9280">
        <v>9276</v>
      </c>
      <c r="G9280" s="109">
        <f t="shared" ca="1" si="153"/>
        <v>1.3952351891503754E-2</v>
      </c>
    </row>
    <row r="9281" spans="2:7" x14ac:dyDescent="0.25">
      <c r="B9281" s="98"/>
      <c r="F9281">
        <v>9277</v>
      </c>
      <c r="G9281" s="109">
        <f t="shared" ca="1" si="153"/>
        <v>-2.5608165985414238E-2</v>
      </c>
    </row>
    <row r="9282" spans="2:7" x14ac:dyDescent="0.25">
      <c r="B9282" s="98"/>
      <c r="F9282">
        <v>9278</v>
      </c>
      <c r="G9282" s="109">
        <f t="shared" ca="1" si="153"/>
        <v>0.10956408250348668</v>
      </c>
    </row>
    <row r="9283" spans="2:7" x14ac:dyDescent="0.25">
      <c r="B9283" s="98"/>
      <c r="F9283">
        <v>9279</v>
      </c>
      <c r="G9283" s="109">
        <f t="shared" ca="1" si="153"/>
        <v>3.3663846815455263E-2</v>
      </c>
    </row>
    <row r="9284" spans="2:7" x14ac:dyDescent="0.25">
      <c r="B9284" s="98"/>
      <c r="F9284">
        <v>9280</v>
      </c>
      <c r="G9284" s="109">
        <f t="shared" ca="1" si="153"/>
        <v>-3.3833022175176392E-2</v>
      </c>
    </row>
    <row r="9285" spans="2:7" x14ac:dyDescent="0.25">
      <c r="B9285" s="98"/>
      <c r="F9285">
        <v>9281</v>
      </c>
      <c r="G9285" s="109">
        <f t="shared" ca="1" si="153"/>
        <v>0.15970336719868</v>
      </c>
    </row>
    <row r="9286" spans="2:7" x14ac:dyDescent="0.25">
      <c r="B9286" s="98"/>
      <c r="F9286">
        <v>9282</v>
      </c>
      <c r="G9286" s="109">
        <f t="shared" ref="G9286:G9349" ca="1" si="154">_xlfn.NORM.INV(RAND(),$M$5,$M$6)</f>
        <v>0.12153983352536643</v>
      </c>
    </row>
    <row r="9287" spans="2:7" x14ac:dyDescent="0.25">
      <c r="B9287" s="98"/>
      <c r="F9287">
        <v>9283</v>
      </c>
      <c r="G9287" s="109">
        <f t="shared" ca="1" si="154"/>
        <v>0.11848059965109545</v>
      </c>
    </row>
    <row r="9288" spans="2:7" x14ac:dyDescent="0.25">
      <c r="B9288" s="98"/>
      <c r="F9288">
        <v>9284</v>
      </c>
      <c r="G9288" s="109">
        <f t="shared" ca="1" si="154"/>
        <v>0.10604113894253814</v>
      </c>
    </row>
    <row r="9289" spans="2:7" x14ac:dyDescent="0.25">
      <c r="B9289" s="98"/>
      <c r="F9289">
        <v>9285</v>
      </c>
      <c r="G9289" s="109">
        <f t="shared" ca="1" si="154"/>
        <v>5.5556419236141151E-2</v>
      </c>
    </row>
    <row r="9290" spans="2:7" x14ac:dyDescent="0.25">
      <c r="B9290" s="98"/>
      <c r="F9290">
        <v>9286</v>
      </c>
      <c r="G9290" s="109">
        <f t="shared" ca="1" si="154"/>
        <v>0.22491572728813652</v>
      </c>
    </row>
    <row r="9291" spans="2:7" x14ac:dyDescent="0.25">
      <c r="B9291" s="98"/>
      <c r="F9291">
        <v>9287</v>
      </c>
      <c r="G9291" s="109">
        <f t="shared" ca="1" si="154"/>
        <v>-8.9485591309511545E-3</v>
      </c>
    </row>
    <row r="9292" spans="2:7" x14ac:dyDescent="0.25">
      <c r="B9292" s="98"/>
      <c r="F9292">
        <v>9288</v>
      </c>
      <c r="G9292" s="109">
        <f t="shared" ca="1" si="154"/>
        <v>-8.7674623148212713E-2</v>
      </c>
    </row>
    <row r="9293" spans="2:7" x14ac:dyDescent="0.25">
      <c r="B9293" s="98"/>
      <c r="F9293">
        <v>9289</v>
      </c>
      <c r="G9293" s="109">
        <f t="shared" ca="1" si="154"/>
        <v>0.31481309979078925</v>
      </c>
    </row>
    <row r="9294" spans="2:7" x14ac:dyDescent="0.25">
      <c r="B9294" s="98"/>
      <c r="F9294">
        <v>9290</v>
      </c>
      <c r="G9294" s="109">
        <f t="shared" ca="1" si="154"/>
        <v>0.10469259730523184</v>
      </c>
    </row>
    <row r="9295" spans="2:7" x14ac:dyDescent="0.25">
      <c r="B9295" s="98"/>
      <c r="F9295">
        <v>9291</v>
      </c>
      <c r="G9295" s="109">
        <f t="shared" ca="1" si="154"/>
        <v>0.20606334491066547</v>
      </c>
    </row>
    <row r="9296" spans="2:7" x14ac:dyDescent="0.25">
      <c r="B9296" s="98"/>
      <c r="F9296">
        <v>9292</v>
      </c>
      <c r="G9296" s="109">
        <f t="shared" ca="1" si="154"/>
        <v>-0.17631666481358044</v>
      </c>
    </row>
    <row r="9297" spans="2:7" x14ac:dyDescent="0.25">
      <c r="B9297" s="98"/>
      <c r="F9297">
        <v>9293</v>
      </c>
      <c r="G9297" s="109">
        <f t="shared" ca="1" si="154"/>
        <v>-3.0342861031263921E-2</v>
      </c>
    </row>
    <row r="9298" spans="2:7" x14ac:dyDescent="0.25">
      <c r="B9298" s="98"/>
      <c r="F9298">
        <v>9294</v>
      </c>
      <c r="G9298" s="109">
        <f t="shared" ca="1" si="154"/>
        <v>-1.0162819216202656E-2</v>
      </c>
    </row>
    <row r="9299" spans="2:7" x14ac:dyDescent="0.25">
      <c r="B9299" s="98"/>
      <c r="F9299">
        <v>9295</v>
      </c>
      <c r="G9299" s="109">
        <f t="shared" ca="1" si="154"/>
        <v>-8.5306400931398504E-2</v>
      </c>
    </row>
    <row r="9300" spans="2:7" x14ac:dyDescent="0.25">
      <c r="B9300" s="98"/>
      <c r="F9300">
        <v>9296</v>
      </c>
      <c r="G9300" s="109">
        <f t="shared" ca="1" si="154"/>
        <v>-0.21865507654135924</v>
      </c>
    </row>
    <row r="9301" spans="2:7" x14ac:dyDescent="0.25">
      <c r="B9301" s="98"/>
      <c r="F9301">
        <v>9297</v>
      </c>
      <c r="G9301" s="109">
        <f t="shared" ca="1" si="154"/>
        <v>0.13000876715618878</v>
      </c>
    </row>
    <row r="9302" spans="2:7" x14ac:dyDescent="0.25">
      <c r="B9302" s="98"/>
      <c r="F9302">
        <v>9298</v>
      </c>
      <c r="G9302" s="109">
        <f t="shared" ca="1" si="154"/>
        <v>0.11501988903612341</v>
      </c>
    </row>
    <row r="9303" spans="2:7" x14ac:dyDescent="0.25">
      <c r="B9303" s="98"/>
      <c r="F9303">
        <v>9299</v>
      </c>
      <c r="G9303" s="109">
        <f t="shared" ca="1" si="154"/>
        <v>-7.031928508000676E-3</v>
      </c>
    </row>
    <row r="9304" spans="2:7" x14ac:dyDescent="0.25">
      <c r="B9304" s="98"/>
      <c r="F9304">
        <v>9300</v>
      </c>
      <c r="G9304" s="109">
        <f t="shared" ca="1" si="154"/>
        <v>-0.167561889711625</v>
      </c>
    </row>
    <row r="9305" spans="2:7" x14ac:dyDescent="0.25">
      <c r="B9305" s="98"/>
      <c r="F9305">
        <v>9301</v>
      </c>
      <c r="G9305" s="109">
        <f t="shared" ca="1" si="154"/>
        <v>3.3061104764007324E-2</v>
      </c>
    </row>
    <row r="9306" spans="2:7" x14ac:dyDescent="0.25">
      <c r="B9306" s="98"/>
      <c r="F9306">
        <v>9302</v>
      </c>
      <c r="G9306" s="109">
        <f t="shared" ca="1" si="154"/>
        <v>0.23359319377076115</v>
      </c>
    </row>
    <row r="9307" spans="2:7" x14ac:dyDescent="0.25">
      <c r="B9307" s="98"/>
      <c r="F9307">
        <v>9303</v>
      </c>
      <c r="G9307" s="109">
        <f t="shared" ca="1" si="154"/>
        <v>-0.11059420355604015</v>
      </c>
    </row>
    <row r="9308" spans="2:7" x14ac:dyDescent="0.25">
      <c r="B9308" s="98"/>
      <c r="F9308">
        <v>9304</v>
      </c>
      <c r="G9308" s="109">
        <f t="shared" ca="1" si="154"/>
        <v>-0.12279587820069233</v>
      </c>
    </row>
    <row r="9309" spans="2:7" x14ac:dyDescent="0.25">
      <c r="B9309" s="98"/>
      <c r="F9309">
        <v>9305</v>
      </c>
      <c r="G9309" s="109">
        <f t="shared" ca="1" si="154"/>
        <v>0.20884137415481557</v>
      </c>
    </row>
    <row r="9310" spans="2:7" x14ac:dyDescent="0.25">
      <c r="B9310" s="98"/>
      <c r="F9310">
        <v>9306</v>
      </c>
      <c r="G9310" s="109">
        <f t="shared" ca="1" si="154"/>
        <v>6.7264040276055356E-2</v>
      </c>
    </row>
    <row r="9311" spans="2:7" x14ac:dyDescent="0.25">
      <c r="B9311" s="98"/>
      <c r="F9311">
        <v>9307</v>
      </c>
      <c r="G9311" s="109">
        <f t="shared" ca="1" si="154"/>
        <v>0.16085404044181489</v>
      </c>
    </row>
    <row r="9312" spans="2:7" x14ac:dyDescent="0.25">
      <c r="B9312" s="98"/>
      <c r="F9312">
        <v>9308</v>
      </c>
      <c r="G9312" s="109">
        <f t="shared" ca="1" si="154"/>
        <v>-0.13499930369541607</v>
      </c>
    </row>
    <row r="9313" spans="2:7" x14ac:dyDescent="0.25">
      <c r="B9313" s="98"/>
      <c r="F9313">
        <v>9309</v>
      </c>
      <c r="G9313" s="109">
        <f t="shared" ca="1" si="154"/>
        <v>-7.8666604399073442E-3</v>
      </c>
    </row>
    <row r="9314" spans="2:7" x14ac:dyDescent="0.25">
      <c r="B9314" s="98"/>
      <c r="F9314">
        <v>9310</v>
      </c>
      <c r="G9314" s="109">
        <f t="shared" ca="1" si="154"/>
        <v>5.9304928165322228E-2</v>
      </c>
    </row>
    <row r="9315" spans="2:7" x14ac:dyDescent="0.25">
      <c r="B9315" s="98"/>
      <c r="F9315">
        <v>9311</v>
      </c>
      <c r="G9315" s="109">
        <f t="shared" ca="1" si="154"/>
        <v>0.10481691688608225</v>
      </c>
    </row>
    <row r="9316" spans="2:7" x14ac:dyDescent="0.25">
      <c r="B9316" s="98"/>
      <c r="F9316">
        <v>9312</v>
      </c>
      <c r="G9316" s="109">
        <f t="shared" ca="1" si="154"/>
        <v>0.14087980689903956</v>
      </c>
    </row>
    <row r="9317" spans="2:7" x14ac:dyDescent="0.25">
      <c r="B9317" s="98"/>
      <c r="F9317">
        <v>9313</v>
      </c>
      <c r="G9317" s="109">
        <f t="shared" ca="1" si="154"/>
        <v>8.8263074068083244E-2</v>
      </c>
    </row>
    <row r="9318" spans="2:7" x14ac:dyDescent="0.25">
      <c r="B9318" s="98"/>
      <c r="F9318">
        <v>9314</v>
      </c>
      <c r="G9318" s="109">
        <f t="shared" ca="1" si="154"/>
        <v>0.15457168987638792</v>
      </c>
    </row>
    <row r="9319" spans="2:7" x14ac:dyDescent="0.25">
      <c r="B9319" s="98"/>
      <c r="F9319">
        <v>9315</v>
      </c>
      <c r="G9319" s="109">
        <f t="shared" ca="1" si="154"/>
        <v>5.8319805580616238E-2</v>
      </c>
    </row>
    <row r="9320" spans="2:7" x14ac:dyDescent="0.25">
      <c r="B9320" s="98"/>
      <c r="F9320">
        <v>9316</v>
      </c>
      <c r="G9320" s="109">
        <f t="shared" ca="1" si="154"/>
        <v>0.17580015925229475</v>
      </c>
    </row>
    <row r="9321" spans="2:7" x14ac:dyDescent="0.25">
      <c r="B9321" s="98"/>
      <c r="F9321">
        <v>9317</v>
      </c>
      <c r="G9321" s="109">
        <f t="shared" ca="1" si="154"/>
        <v>-7.1353178293751887E-2</v>
      </c>
    </row>
    <row r="9322" spans="2:7" x14ac:dyDescent="0.25">
      <c r="B9322" s="98"/>
      <c r="F9322">
        <v>9318</v>
      </c>
      <c r="G9322" s="109">
        <f t="shared" ca="1" si="154"/>
        <v>0.12884613379849488</v>
      </c>
    </row>
    <row r="9323" spans="2:7" x14ac:dyDescent="0.25">
      <c r="B9323" s="98"/>
      <c r="F9323">
        <v>9319</v>
      </c>
      <c r="G9323" s="109">
        <f t="shared" ca="1" si="154"/>
        <v>-9.4779805360845362E-2</v>
      </c>
    </row>
    <row r="9324" spans="2:7" x14ac:dyDescent="0.25">
      <c r="B9324" s="98"/>
      <c r="F9324">
        <v>9320</v>
      </c>
      <c r="G9324" s="109">
        <f t="shared" ca="1" si="154"/>
        <v>3.0489235236799767E-2</v>
      </c>
    </row>
    <row r="9325" spans="2:7" x14ac:dyDescent="0.25">
      <c r="B9325" s="98"/>
      <c r="F9325">
        <v>9321</v>
      </c>
      <c r="G9325" s="109">
        <f t="shared" ca="1" si="154"/>
        <v>-0.13948842284801527</v>
      </c>
    </row>
    <row r="9326" spans="2:7" x14ac:dyDescent="0.25">
      <c r="B9326" s="98"/>
      <c r="F9326">
        <v>9322</v>
      </c>
      <c r="G9326" s="109">
        <f t="shared" ca="1" si="154"/>
        <v>-4.3645991150044722E-2</v>
      </c>
    </row>
    <row r="9327" spans="2:7" x14ac:dyDescent="0.25">
      <c r="B9327" s="98"/>
      <c r="F9327">
        <v>9323</v>
      </c>
      <c r="G9327" s="109">
        <f t="shared" ca="1" si="154"/>
        <v>1.7505753005058643E-2</v>
      </c>
    </row>
    <row r="9328" spans="2:7" x14ac:dyDescent="0.25">
      <c r="B9328" s="98"/>
      <c r="F9328">
        <v>9324</v>
      </c>
      <c r="G9328" s="109">
        <f t="shared" ca="1" si="154"/>
        <v>-1.6666517665792156E-2</v>
      </c>
    </row>
    <row r="9329" spans="2:7" x14ac:dyDescent="0.25">
      <c r="B9329" s="98"/>
      <c r="F9329">
        <v>9325</v>
      </c>
      <c r="G9329" s="109">
        <f t="shared" ca="1" si="154"/>
        <v>8.1916528232296199E-2</v>
      </c>
    </row>
    <row r="9330" spans="2:7" x14ac:dyDescent="0.25">
      <c r="B9330" s="98"/>
      <c r="F9330">
        <v>9326</v>
      </c>
      <c r="G9330" s="109">
        <f t="shared" ca="1" si="154"/>
        <v>7.7104599879917052E-3</v>
      </c>
    </row>
    <row r="9331" spans="2:7" x14ac:dyDescent="0.25">
      <c r="B9331" s="98"/>
      <c r="F9331">
        <v>9327</v>
      </c>
      <c r="G9331" s="109">
        <f t="shared" ca="1" si="154"/>
        <v>2.5344187076625269E-2</v>
      </c>
    </row>
    <row r="9332" spans="2:7" x14ac:dyDescent="0.25">
      <c r="B9332" s="98"/>
      <c r="F9332">
        <v>9328</v>
      </c>
      <c r="G9332" s="109">
        <f t="shared" ca="1" si="154"/>
        <v>-4.2831365196809801E-2</v>
      </c>
    </row>
    <row r="9333" spans="2:7" x14ac:dyDescent="0.25">
      <c r="B9333" s="98"/>
      <c r="F9333">
        <v>9329</v>
      </c>
      <c r="G9333" s="109">
        <f t="shared" ca="1" si="154"/>
        <v>0.17299915541863348</v>
      </c>
    </row>
    <row r="9334" spans="2:7" x14ac:dyDescent="0.25">
      <c r="B9334" s="98"/>
      <c r="F9334">
        <v>9330</v>
      </c>
      <c r="G9334" s="109">
        <f t="shared" ca="1" si="154"/>
        <v>4.8418687858166637E-2</v>
      </c>
    </row>
    <row r="9335" spans="2:7" x14ac:dyDescent="0.25">
      <c r="B9335" s="98"/>
      <c r="F9335">
        <v>9331</v>
      </c>
      <c r="G9335" s="109">
        <f t="shared" ca="1" si="154"/>
        <v>9.7544601672975295E-3</v>
      </c>
    </row>
    <row r="9336" spans="2:7" x14ac:dyDescent="0.25">
      <c r="B9336" s="98"/>
      <c r="F9336">
        <v>9332</v>
      </c>
      <c r="G9336" s="109">
        <f t="shared" ca="1" si="154"/>
        <v>6.8889305904099751E-2</v>
      </c>
    </row>
    <row r="9337" spans="2:7" x14ac:dyDescent="0.25">
      <c r="B9337" s="98"/>
      <c r="F9337">
        <v>9333</v>
      </c>
      <c r="G9337" s="109">
        <f t="shared" ca="1" si="154"/>
        <v>-7.9335100776328896E-2</v>
      </c>
    </row>
    <row r="9338" spans="2:7" x14ac:dyDescent="0.25">
      <c r="B9338" s="98"/>
      <c r="F9338">
        <v>9334</v>
      </c>
      <c r="G9338" s="109">
        <f t="shared" ca="1" si="154"/>
        <v>0.12499229940124057</v>
      </c>
    </row>
    <row r="9339" spans="2:7" x14ac:dyDescent="0.25">
      <c r="B9339" s="98"/>
      <c r="F9339">
        <v>9335</v>
      </c>
      <c r="G9339" s="109">
        <f t="shared" ca="1" si="154"/>
        <v>0.15111839628270618</v>
      </c>
    </row>
    <row r="9340" spans="2:7" x14ac:dyDescent="0.25">
      <c r="B9340" s="98"/>
      <c r="F9340">
        <v>9336</v>
      </c>
      <c r="G9340" s="109">
        <f t="shared" ca="1" si="154"/>
        <v>0.13127793147983607</v>
      </c>
    </row>
    <row r="9341" spans="2:7" x14ac:dyDescent="0.25">
      <c r="B9341" s="98"/>
      <c r="F9341">
        <v>9337</v>
      </c>
      <c r="G9341" s="109">
        <f t="shared" ca="1" si="154"/>
        <v>4.8330692202290047E-2</v>
      </c>
    </row>
    <row r="9342" spans="2:7" x14ac:dyDescent="0.25">
      <c r="B9342" s="98"/>
      <c r="F9342">
        <v>9338</v>
      </c>
      <c r="G9342" s="109">
        <f t="shared" ca="1" si="154"/>
        <v>7.2194590788753538E-2</v>
      </c>
    </row>
    <row r="9343" spans="2:7" x14ac:dyDescent="0.25">
      <c r="B9343" s="98"/>
      <c r="F9343">
        <v>9339</v>
      </c>
      <c r="G9343" s="109">
        <f t="shared" ca="1" si="154"/>
        <v>-5.8911886224418772E-2</v>
      </c>
    </row>
    <row r="9344" spans="2:7" x14ac:dyDescent="0.25">
      <c r="B9344" s="98"/>
      <c r="F9344">
        <v>9340</v>
      </c>
      <c r="G9344" s="109">
        <f t="shared" ca="1" si="154"/>
        <v>5.4224950425759894E-2</v>
      </c>
    </row>
    <row r="9345" spans="2:7" x14ac:dyDescent="0.25">
      <c r="B9345" s="98"/>
      <c r="F9345">
        <v>9341</v>
      </c>
      <c r="G9345" s="109">
        <f t="shared" ca="1" si="154"/>
        <v>9.1464171333285813E-2</v>
      </c>
    </row>
    <row r="9346" spans="2:7" x14ac:dyDescent="0.25">
      <c r="B9346" s="98"/>
      <c r="F9346">
        <v>9342</v>
      </c>
      <c r="G9346" s="109">
        <f t="shared" ca="1" si="154"/>
        <v>-1.2495703991335511E-3</v>
      </c>
    </row>
    <row r="9347" spans="2:7" x14ac:dyDescent="0.25">
      <c r="B9347" s="98"/>
      <c r="F9347">
        <v>9343</v>
      </c>
      <c r="G9347" s="109">
        <f t="shared" ca="1" si="154"/>
        <v>-2.6233300674269655E-2</v>
      </c>
    </row>
    <row r="9348" spans="2:7" x14ac:dyDescent="0.25">
      <c r="B9348" s="98"/>
      <c r="F9348">
        <v>9344</v>
      </c>
      <c r="G9348" s="109">
        <f t="shared" ca="1" si="154"/>
        <v>-9.0639206024005173E-2</v>
      </c>
    </row>
    <row r="9349" spans="2:7" x14ac:dyDescent="0.25">
      <c r="B9349" s="98"/>
      <c r="F9349">
        <v>9345</v>
      </c>
      <c r="G9349" s="109">
        <f t="shared" ca="1" si="154"/>
        <v>-4.5341877706233172E-2</v>
      </c>
    </row>
    <row r="9350" spans="2:7" x14ac:dyDescent="0.25">
      <c r="B9350" s="98"/>
      <c r="F9350">
        <v>9346</v>
      </c>
      <c r="G9350" s="109">
        <f t="shared" ref="G9350:G9413" ca="1" si="155">_xlfn.NORM.INV(RAND(),$M$5,$M$6)</f>
        <v>2.3936857232125922E-2</v>
      </c>
    </row>
    <row r="9351" spans="2:7" x14ac:dyDescent="0.25">
      <c r="B9351" s="98"/>
      <c r="F9351">
        <v>9347</v>
      </c>
      <c r="G9351" s="109">
        <f t="shared" ca="1" si="155"/>
        <v>-0.15963075508082381</v>
      </c>
    </row>
    <row r="9352" spans="2:7" x14ac:dyDescent="0.25">
      <c r="B9352" s="98"/>
      <c r="F9352">
        <v>9348</v>
      </c>
      <c r="G9352" s="109">
        <f t="shared" ca="1" si="155"/>
        <v>7.131547691387452E-2</v>
      </c>
    </row>
    <row r="9353" spans="2:7" x14ac:dyDescent="0.25">
      <c r="B9353" s="98"/>
      <c r="F9353">
        <v>9349</v>
      </c>
      <c r="G9353" s="109">
        <f t="shared" ca="1" si="155"/>
        <v>0.19726097750194665</v>
      </c>
    </row>
    <row r="9354" spans="2:7" x14ac:dyDescent="0.25">
      <c r="B9354" s="98"/>
      <c r="F9354">
        <v>9350</v>
      </c>
      <c r="G9354" s="109">
        <f t="shared" ca="1" si="155"/>
        <v>3.0685266791334216E-2</v>
      </c>
    </row>
    <row r="9355" spans="2:7" x14ac:dyDescent="0.25">
      <c r="B9355" s="98"/>
      <c r="F9355">
        <v>9351</v>
      </c>
      <c r="G9355" s="109">
        <f t="shared" ca="1" si="155"/>
        <v>9.2551408675333263E-2</v>
      </c>
    </row>
    <row r="9356" spans="2:7" x14ac:dyDescent="0.25">
      <c r="B9356" s="98"/>
      <c r="F9356">
        <v>9352</v>
      </c>
      <c r="G9356" s="109">
        <f t="shared" ca="1" si="155"/>
        <v>3.5889164183087394E-2</v>
      </c>
    </row>
    <row r="9357" spans="2:7" x14ac:dyDescent="0.25">
      <c r="B9357" s="98"/>
      <c r="F9357">
        <v>9353</v>
      </c>
      <c r="G9357" s="109">
        <f t="shared" ca="1" si="155"/>
        <v>0.19379631146961879</v>
      </c>
    </row>
    <row r="9358" spans="2:7" x14ac:dyDescent="0.25">
      <c r="B9358" s="98"/>
      <c r="F9358">
        <v>9354</v>
      </c>
      <c r="G9358" s="109">
        <f t="shared" ca="1" si="155"/>
        <v>-3.9319105451659717E-2</v>
      </c>
    </row>
    <row r="9359" spans="2:7" x14ac:dyDescent="0.25">
      <c r="B9359" s="98"/>
      <c r="F9359">
        <v>9355</v>
      </c>
      <c r="G9359" s="109">
        <f t="shared" ca="1" si="155"/>
        <v>9.3649377723169225E-2</v>
      </c>
    </row>
    <row r="9360" spans="2:7" x14ac:dyDescent="0.25">
      <c r="B9360" s="98"/>
      <c r="F9360">
        <v>9356</v>
      </c>
      <c r="G9360" s="109">
        <f t="shared" ca="1" si="155"/>
        <v>-0.25206439096852129</v>
      </c>
    </row>
    <row r="9361" spans="2:7" x14ac:dyDescent="0.25">
      <c r="B9361" s="98"/>
      <c r="F9361">
        <v>9357</v>
      </c>
      <c r="G9361" s="109">
        <f t="shared" ca="1" si="155"/>
        <v>-9.2645203189653844E-2</v>
      </c>
    </row>
    <row r="9362" spans="2:7" x14ac:dyDescent="0.25">
      <c r="B9362" s="98"/>
      <c r="F9362">
        <v>9358</v>
      </c>
      <c r="G9362" s="109">
        <f t="shared" ca="1" si="155"/>
        <v>0.22063551997776759</v>
      </c>
    </row>
    <row r="9363" spans="2:7" x14ac:dyDescent="0.25">
      <c r="B9363" s="98"/>
      <c r="F9363">
        <v>9359</v>
      </c>
      <c r="G9363" s="109">
        <f t="shared" ca="1" si="155"/>
        <v>0.10414554343358325</v>
      </c>
    </row>
    <row r="9364" spans="2:7" x14ac:dyDescent="0.25">
      <c r="B9364" s="98"/>
      <c r="F9364">
        <v>9360</v>
      </c>
      <c r="G9364" s="109">
        <f t="shared" ca="1" si="155"/>
        <v>0.2326617282320011</v>
      </c>
    </row>
    <row r="9365" spans="2:7" x14ac:dyDescent="0.25">
      <c r="B9365" s="98"/>
      <c r="F9365">
        <v>9361</v>
      </c>
      <c r="G9365" s="109">
        <f t="shared" ca="1" si="155"/>
        <v>-3.8967300627218177E-2</v>
      </c>
    </row>
    <row r="9366" spans="2:7" x14ac:dyDescent="0.25">
      <c r="B9366" s="98"/>
      <c r="F9366">
        <v>9362</v>
      </c>
      <c r="G9366" s="109">
        <f t="shared" ca="1" si="155"/>
        <v>-8.3688182642505979E-2</v>
      </c>
    </row>
    <row r="9367" spans="2:7" x14ac:dyDescent="0.25">
      <c r="B9367" s="98"/>
      <c r="F9367">
        <v>9363</v>
      </c>
      <c r="G9367" s="109">
        <f t="shared" ca="1" si="155"/>
        <v>0.30446311042645413</v>
      </c>
    </row>
    <row r="9368" spans="2:7" x14ac:dyDescent="0.25">
      <c r="B9368" s="98"/>
      <c r="F9368">
        <v>9364</v>
      </c>
      <c r="G9368" s="109">
        <f t="shared" ca="1" si="155"/>
        <v>-3.9890859476273549E-2</v>
      </c>
    </row>
    <row r="9369" spans="2:7" x14ac:dyDescent="0.25">
      <c r="B9369" s="98"/>
      <c r="F9369">
        <v>9365</v>
      </c>
      <c r="G9369" s="109">
        <f t="shared" ca="1" si="155"/>
        <v>1.0674567493840277E-2</v>
      </c>
    </row>
    <row r="9370" spans="2:7" x14ac:dyDescent="0.25">
      <c r="B9370" s="98"/>
      <c r="F9370">
        <v>9366</v>
      </c>
      <c r="G9370" s="109">
        <f t="shared" ca="1" si="155"/>
        <v>9.2139851116741611E-2</v>
      </c>
    </row>
    <row r="9371" spans="2:7" x14ac:dyDescent="0.25">
      <c r="B9371" s="98"/>
      <c r="F9371">
        <v>9367</v>
      </c>
      <c r="G9371" s="109">
        <f t="shared" ca="1" si="155"/>
        <v>2.8637110056957966E-2</v>
      </c>
    </row>
    <row r="9372" spans="2:7" x14ac:dyDescent="0.25">
      <c r="B9372" s="98"/>
      <c r="F9372">
        <v>9368</v>
      </c>
      <c r="G9372" s="109">
        <f t="shared" ca="1" si="155"/>
        <v>3.2273431409326113E-2</v>
      </c>
    </row>
    <row r="9373" spans="2:7" x14ac:dyDescent="0.25">
      <c r="B9373" s="98"/>
      <c r="F9373">
        <v>9369</v>
      </c>
      <c r="G9373" s="109">
        <f t="shared" ca="1" si="155"/>
        <v>-7.5091497310994487E-2</v>
      </c>
    </row>
    <row r="9374" spans="2:7" x14ac:dyDescent="0.25">
      <c r="B9374" s="98"/>
      <c r="F9374">
        <v>9370</v>
      </c>
      <c r="G9374" s="109">
        <f t="shared" ca="1" si="155"/>
        <v>0.16600226209652025</v>
      </c>
    </row>
    <row r="9375" spans="2:7" x14ac:dyDescent="0.25">
      <c r="B9375" s="98"/>
      <c r="F9375">
        <v>9371</v>
      </c>
      <c r="G9375" s="109">
        <f t="shared" ca="1" si="155"/>
        <v>0.11784378804470311</v>
      </c>
    </row>
    <row r="9376" spans="2:7" x14ac:dyDescent="0.25">
      <c r="B9376" s="98"/>
      <c r="F9376">
        <v>9372</v>
      </c>
      <c r="G9376" s="109">
        <f t="shared" ca="1" si="155"/>
        <v>-7.0502618013711646E-2</v>
      </c>
    </row>
    <row r="9377" spans="2:7" x14ac:dyDescent="0.25">
      <c r="B9377" s="98"/>
      <c r="F9377">
        <v>9373</v>
      </c>
      <c r="G9377" s="109">
        <f t="shared" ca="1" si="155"/>
        <v>8.6384228601539659E-2</v>
      </c>
    </row>
    <row r="9378" spans="2:7" x14ac:dyDescent="0.25">
      <c r="B9378" s="98"/>
      <c r="F9378">
        <v>9374</v>
      </c>
      <c r="G9378" s="109">
        <f t="shared" ca="1" si="155"/>
        <v>1.7518150771391742E-2</v>
      </c>
    </row>
    <row r="9379" spans="2:7" x14ac:dyDescent="0.25">
      <c r="B9379" s="98"/>
      <c r="F9379">
        <v>9375</v>
      </c>
      <c r="G9379" s="109">
        <f t="shared" ca="1" si="155"/>
        <v>0.1622295457064834</v>
      </c>
    </row>
    <row r="9380" spans="2:7" x14ac:dyDescent="0.25">
      <c r="B9380" s="98"/>
      <c r="F9380">
        <v>9376</v>
      </c>
      <c r="G9380" s="109">
        <f t="shared" ca="1" si="155"/>
        <v>4.3580274937134858E-2</v>
      </c>
    </row>
    <row r="9381" spans="2:7" x14ac:dyDescent="0.25">
      <c r="B9381" s="98"/>
      <c r="F9381">
        <v>9377</v>
      </c>
      <c r="G9381" s="109">
        <f t="shared" ca="1" si="155"/>
        <v>1.105780602604009E-3</v>
      </c>
    </row>
    <row r="9382" spans="2:7" x14ac:dyDescent="0.25">
      <c r="B9382" s="98"/>
      <c r="F9382">
        <v>9378</v>
      </c>
      <c r="G9382" s="109">
        <f t="shared" ca="1" si="155"/>
        <v>-6.4413303600395211E-2</v>
      </c>
    </row>
    <row r="9383" spans="2:7" x14ac:dyDescent="0.25">
      <c r="B9383" s="98"/>
      <c r="F9383">
        <v>9379</v>
      </c>
      <c r="G9383" s="109">
        <f t="shared" ca="1" si="155"/>
        <v>-0.15556226098817927</v>
      </c>
    </row>
    <row r="9384" spans="2:7" x14ac:dyDescent="0.25">
      <c r="B9384" s="98"/>
      <c r="F9384">
        <v>9380</v>
      </c>
      <c r="G9384" s="109">
        <f t="shared" ca="1" si="155"/>
        <v>7.4774930910009973E-2</v>
      </c>
    </row>
    <row r="9385" spans="2:7" x14ac:dyDescent="0.25">
      <c r="B9385" s="98"/>
      <c r="F9385">
        <v>9381</v>
      </c>
      <c r="G9385" s="109">
        <f t="shared" ca="1" si="155"/>
        <v>6.0590768283920245E-2</v>
      </c>
    </row>
    <row r="9386" spans="2:7" x14ac:dyDescent="0.25">
      <c r="B9386" s="98"/>
      <c r="F9386">
        <v>9382</v>
      </c>
      <c r="G9386" s="109">
        <f t="shared" ca="1" si="155"/>
        <v>-5.46351926817292E-2</v>
      </c>
    </row>
    <row r="9387" spans="2:7" x14ac:dyDescent="0.25">
      <c r="B9387" s="98"/>
      <c r="F9387">
        <v>9383</v>
      </c>
      <c r="G9387" s="109">
        <f t="shared" ca="1" si="155"/>
        <v>-4.3492197777713335E-2</v>
      </c>
    </row>
    <row r="9388" spans="2:7" x14ac:dyDescent="0.25">
      <c r="B9388" s="98"/>
      <c r="F9388">
        <v>9384</v>
      </c>
      <c r="G9388" s="109">
        <f t="shared" ca="1" si="155"/>
        <v>0.20805772677175166</v>
      </c>
    </row>
    <row r="9389" spans="2:7" x14ac:dyDescent="0.25">
      <c r="B9389" s="98"/>
      <c r="F9389">
        <v>9385</v>
      </c>
      <c r="G9389" s="109">
        <f t="shared" ca="1" si="155"/>
        <v>-1.3460741299378562E-2</v>
      </c>
    </row>
    <row r="9390" spans="2:7" x14ac:dyDescent="0.25">
      <c r="B9390" s="98"/>
      <c r="F9390">
        <v>9386</v>
      </c>
      <c r="G9390" s="109">
        <f t="shared" ca="1" si="155"/>
        <v>0.13263207614063291</v>
      </c>
    </row>
    <row r="9391" spans="2:7" x14ac:dyDescent="0.25">
      <c r="B9391" s="98"/>
      <c r="F9391">
        <v>9387</v>
      </c>
      <c r="G9391" s="109">
        <f t="shared" ca="1" si="155"/>
        <v>9.455812729538382E-2</v>
      </c>
    </row>
    <row r="9392" spans="2:7" x14ac:dyDescent="0.25">
      <c r="B9392" s="98"/>
      <c r="F9392">
        <v>9388</v>
      </c>
      <c r="G9392" s="109">
        <f t="shared" ca="1" si="155"/>
        <v>4.6122819522097583E-2</v>
      </c>
    </row>
    <row r="9393" spans="2:7" x14ac:dyDescent="0.25">
      <c r="B9393" s="98"/>
      <c r="F9393">
        <v>9389</v>
      </c>
      <c r="G9393" s="109">
        <f t="shared" ca="1" si="155"/>
        <v>0.15828835273896794</v>
      </c>
    </row>
    <row r="9394" spans="2:7" x14ac:dyDescent="0.25">
      <c r="B9394" s="98"/>
      <c r="F9394">
        <v>9390</v>
      </c>
      <c r="G9394" s="109">
        <f t="shared" ca="1" si="155"/>
        <v>0.10022300686377619</v>
      </c>
    </row>
    <row r="9395" spans="2:7" x14ac:dyDescent="0.25">
      <c r="B9395" s="98"/>
      <c r="F9395">
        <v>9391</v>
      </c>
      <c r="G9395" s="109">
        <f t="shared" ca="1" si="155"/>
        <v>2.723665704015021E-2</v>
      </c>
    </row>
    <row r="9396" spans="2:7" x14ac:dyDescent="0.25">
      <c r="B9396" s="98"/>
      <c r="F9396">
        <v>9392</v>
      </c>
      <c r="G9396" s="109">
        <f t="shared" ca="1" si="155"/>
        <v>8.9591965379804059E-2</v>
      </c>
    </row>
    <row r="9397" spans="2:7" x14ac:dyDescent="0.25">
      <c r="B9397" s="98"/>
      <c r="F9397">
        <v>9393</v>
      </c>
      <c r="G9397" s="109">
        <f t="shared" ca="1" si="155"/>
        <v>5.2723866094773544E-3</v>
      </c>
    </row>
    <row r="9398" spans="2:7" x14ac:dyDescent="0.25">
      <c r="B9398" s="98"/>
      <c r="F9398">
        <v>9394</v>
      </c>
      <c r="G9398" s="109">
        <f t="shared" ca="1" si="155"/>
        <v>-1.4409859656413587E-2</v>
      </c>
    </row>
    <row r="9399" spans="2:7" x14ac:dyDescent="0.25">
      <c r="B9399" s="98"/>
      <c r="F9399">
        <v>9395</v>
      </c>
      <c r="G9399" s="109">
        <f t="shared" ca="1" si="155"/>
        <v>-2.0729690455306982E-2</v>
      </c>
    </row>
    <row r="9400" spans="2:7" x14ac:dyDescent="0.25">
      <c r="B9400" s="98"/>
      <c r="F9400">
        <v>9396</v>
      </c>
      <c r="G9400" s="109">
        <f t="shared" ca="1" si="155"/>
        <v>8.6879695403819512E-2</v>
      </c>
    </row>
    <row r="9401" spans="2:7" x14ac:dyDescent="0.25">
      <c r="B9401" s="98"/>
      <c r="F9401">
        <v>9397</v>
      </c>
      <c r="G9401" s="109">
        <f t="shared" ca="1" si="155"/>
        <v>0.15492536170744081</v>
      </c>
    </row>
    <row r="9402" spans="2:7" x14ac:dyDescent="0.25">
      <c r="B9402" s="98"/>
      <c r="F9402">
        <v>9398</v>
      </c>
      <c r="G9402" s="109">
        <f t="shared" ca="1" si="155"/>
        <v>-2.8848001700501252E-2</v>
      </c>
    </row>
    <row r="9403" spans="2:7" x14ac:dyDescent="0.25">
      <c r="B9403" s="98"/>
      <c r="F9403">
        <v>9399</v>
      </c>
      <c r="G9403" s="109">
        <f t="shared" ca="1" si="155"/>
        <v>0.14185121451321389</v>
      </c>
    </row>
    <row r="9404" spans="2:7" x14ac:dyDescent="0.25">
      <c r="B9404" s="98"/>
      <c r="F9404">
        <v>9400</v>
      </c>
      <c r="G9404" s="109">
        <f t="shared" ca="1" si="155"/>
        <v>5.0376248821092012E-2</v>
      </c>
    </row>
    <row r="9405" spans="2:7" x14ac:dyDescent="0.25">
      <c r="B9405" s="98"/>
      <c r="F9405">
        <v>9401</v>
      </c>
      <c r="G9405" s="109">
        <f t="shared" ca="1" si="155"/>
        <v>4.3880006997195541E-2</v>
      </c>
    </row>
    <row r="9406" spans="2:7" x14ac:dyDescent="0.25">
      <c r="B9406" s="98"/>
      <c r="F9406">
        <v>9402</v>
      </c>
      <c r="G9406" s="109">
        <f t="shared" ca="1" si="155"/>
        <v>-3.1509322086788472E-3</v>
      </c>
    </row>
    <row r="9407" spans="2:7" x14ac:dyDescent="0.25">
      <c r="B9407" s="98"/>
      <c r="F9407">
        <v>9403</v>
      </c>
      <c r="G9407" s="109">
        <f t="shared" ca="1" si="155"/>
        <v>-0.10955426274320219</v>
      </c>
    </row>
    <row r="9408" spans="2:7" x14ac:dyDescent="0.25">
      <c r="B9408" s="98"/>
      <c r="F9408">
        <v>9404</v>
      </c>
      <c r="G9408" s="109">
        <f t="shared" ca="1" si="155"/>
        <v>1.6813275289472688E-2</v>
      </c>
    </row>
    <row r="9409" spans="2:7" x14ac:dyDescent="0.25">
      <c r="B9409" s="98"/>
      <c r="F9409">
        <v>9405</v>
      </c>
      <c r="G9409" s="109">
        <f t="shared" ca="1" si="155"/>
        <v>1.5484722171024472E-2</v>
      </c>
    </row>
    <row r="9410" spans="2:7" x14ac:dyDescent="0.25">
      <c r="B9410" s="98"/>
      <c r="F9410">
        <v>9406</v>
      </c>
      <c r="G9410" s="109">
        <f t="shared" ca="1" si="155"/>
        <v>-1.6180112484559445E-2</v>
      </c>
    </row>
    <row r="9411" spans="2:7" x14ac:dyDescent="0.25">
      <c r="B9411" s="98"/>
      <c r="F9411">
        <v>9407</v>
      </c>
      <c r="G9411" s="109">
        <f t="shared" ca="1" si="155"/>
        <v>0.14899571818728802</v>
      </c>
    </row>
    <row r="9412" spans="2:7" x14ac:dyDescent="0.25">
      <c r="B9412" s="98"/>
      <c r="F9412">
        <v>9408</v>
      </c>
      <c r="G9412" s="109">
        <f t="shared" ca="1" si="155"/>
        <v>4.3870696302198843E-2</v>
      </c>
    </row>
    <row r="9413" spans="2:7" x14ac:dyDescent="0.25">
      <c r="B9413" s="98"/>
      <c r="F9413">
        <v>9409</v>
      </c>
      <c r="G9413" s="109">
        <f t="shared" ca="1" si="155"/>
        <v>-3.3053574762512306E-2</v>
      </c>
    </row>
    <row r="9414" spans="2:7" x14ac:dyDescent="0.25">
      <c r="B9414" s="98"/>
      <c r="F9414">
        <v>9410</v>
      </c>
      <c r="G9414" s="109">
        <f t="shared" ref="G9414:G9477" ca="1" si="156">_xlfn.NORM.INV(RAND(),$M$5,$M$6)</f>
        <v>0.1291821666983628</v>
      </c>
    </row>
    <row r="9415" spans="2:7" x14ac:dyDescent="0.25">
      <c r="B9415" s="98"/>
      <c r="F9415">
        <v>9411</v>
      </c>
      <c r="G9415" s="109">
        <f t="shared" ca="1" si="156"/>
        <v>5.5514980939831982E-3</v>
      </c>
    </row>
    <row r="9416" spans="2:7" x14ac:dyDescent="0.25">
      <c r="B9416" s="98"/>
      <c r="F9416">
        <v>9412</v>
      </c>
      <c r="G9416" s="109">
        <f t="shared" ca="1" si="156"/>
        <v>2.6628176435254513E-2</v>
      </c>
    </row>
    <row r="9417" spans="2:7" x14ac:dyDescent="0.25">
      <c r="B9417" s="98"/>
      <c r="F9417">
        <v>9413</v>
      </c>
      <c r="G9417" s="109">
        <f t="shared" ca="1" si="156"/>
        <v>-3.2402194553225391E-3</v>
      </c>
    </row>
    <row r="9418" spans="2:7" x14ac:dyDescent="0.25">
      <c r="B9418" s="98"/>
      <c r="F9418">
        <v>9414</v>
      </c>
      <c r="G9418" s="109">
        <f t="shared" ca="1" si="156"/>
        <v>0.10831725539746812</v>
      </c>
    </row>
    <row r="9419" spans="2:7" x14ac:dyDescent="0.25">
      <c r="B9419" s="98"/>
      <c r="F9419">
        <v>9415</v>
      </c>
      <c r="G9419" s="109">
        <f t="shared" ca="1" si="156"/>
        <v>-0.17953669263155292</v>
      </c>
    </row>
    <row r="9420" spans="2:7" x14ac:dyDescent="0.25">
      <c r="B9420" s="98"/>
      <c r="F9420">
        <v>9416</v>
      </c>
      <c r="G9420" s="109">
        <f t="shared" ca="1" si="156"/>
        <v>3.9333616363634041E-2</v>
      </c>
    </row>
    <row r="9421" spans="2:7" x14ac:dyDescent="0.25">
      <c r="B9421" s="98"/>
      <c r="F9421">
        <v>9417</v>
      </c>
      <c r="G9421" s="109">
        <f t="shared" ca="1" si="156"/>
        <v>6.2182366681603915E-2</v>
      </c>
    </row>
    <row r="9422" spans="2:7" x14ac:dyDescent="0.25">
      <c r="B9422" s="98"/>
      <c r="F9422">
        <v>9418</v>
      </c>
      <c r="G9422" s="109">
        <f t="shared" ca="1" si="156"/>
        <v>0.10992414260427835</v>
      </c>
    </row>
    <row r="9423" spans="2:7" x14ac:dyDescent="0.25">
      <c r="B9423" s="98"/>
      <c r="F9423">
        <v>9419</v>
      </c>
      <c r="G9423" s="109">
        <f t="shared" ca="1" si="156"/>
        <v>0.12198811938452193</v>
      </c>
    </row>
    <row r="9424" spans="2:7" x14ac:dyDescent="0.25">
      <c r="B9424" s="98"/>
      <c r="F9424">
        <v>9420</v>
      </c>
      <c r="G9424" s="109">
        <f t="shared" ca="1" si="156"/>
        <v>0.28833075003216585</v>
      </c>
    </row>
    <row r="9425" spans="2:7" x14ac:dyDescent="0.25">
      <c r="B9425" s="98"/>
      <c r="F9425">
        <v>9421</v>
      </c>
      <c r="G9425" s="109">
        <f t="shared" ca="1" si="156"/>
        <v>4.5536204153197542E-2</v>
      </c>
    </row>
    <row r="9426" spans="2:7" x14ac:dyDescent="0.25">
      <c r="B9426" s="98"/>
      <c r="F9426">
        <v>9422</v>
      </c>
      <c r="G9426" s="109">
        <f t="shared" ca="1" si="156"/>
        <v>0.2169260420610617</v>
      </c>
    </row>
    <row r="9427" spans="2:7" x14ac:dyDescent="0.25">
      <c r="B9427" s="98"/>
      <c r="F9427">
        <v>9423</v>
      </c>
      <c r="G9427" s="109">
        <f t="shared" ca="1" si="156"/>
        <v>4.1979659036009601E-2</v>
      </c>
    </row>
    <row r="9428" spans="2:7" x14ac:dyDescent="0.25">
      <c r="B9428" s="98"/>
      <c r="F9428">
        <v>9424</v>
      </c>
      <c r="G9428" s="109">
        <f t="shared" ca="1" si="156"/>
        <v>9.2448602553327791E-2</v>
      </c>
    </row>
    <row r="9429" spans="2:7" x14ac:dyDescent="0.25">
      <c r="B9429" s="98"/>
      <c r="F9429">
        <v>9425</v>
      </c>
      <c r="G9429" s="109">
        <f t="shared" ca="1" si="156"/>
        <v>2.3474117667727688E-2</v>
      </c>
    </row>
    <row r="9430" spans="2:7" x14ac:dyDescent="0.25">
      <c r="B9430" s="98"/>
      <c r="F9430">
        <v>9426</v>
      </c>
      <c r="G9430" s="109">
        <f t="shared" ca="1" si="156"/>
        <v>1.5174895034761056E-2</v>
      </c>
    </row>
    <row r="9431" spans="2:7" x14ac:dyDescent="0.25">
      <c r="B9431" s="98"/>
      <c r="F9431">
        <v>9427</v>
      </c>
      <c r="G9431" s="109">
        <f t="shared" ca="1" si="156"/>
        <v>0.20172540930333827</v>
      </c>
    </row>
    <row r="9432" spans="2:7" x14ac:dyDescent="0.25">
      <c r="B9432" s="98"/>
      <c r="F9432">
        <v>9428</v>
      </c>
      <c r="G9432" s="109">
        <f t="shared" ca="1" si="156"/>
        <v>8.7440836107469166E-2</v>
      </c>
    </row>
    <row r="9433" spans="2:7" x14ac:dyDescent="0.25">
      <c r="B9433" s="98"/>
      <c r="F9433">
        <v>9429</v>
      </c>
      <c r="G9433" s="109">
        <f t="shared" ca="1" si="156"/>
        <v>0.13818670576453856</v>
      </c>
    </row>
    <row r="9434" spans="2:7" x14ac:dyDescent="0.25">
      <c r="B9434" s="98"/>
      <c r="F9434">
        <v>9430</v>
      </c>
      <c r="G9434" s="109">
        <f t="shared" ca="1" si="156"/>
        <v>-6.8420782976838609E-2</v>
      </c>
    </row>
    <row r="9435" spans="2:7" x14ac:dyDescent="0.25">
      <c r="B9435" s="98"/>
      <c r="F9435">
        <v>9431</v>
      </c>
      <c r="G9435" s="109">
        <f t="shared" ca="1" si="156"/>
        <v>3.3728978265387261E-3</v>
      </c>
    </row>
    <row r="9436" spans="2:7" x14ac:dyDescent="0.25">
      <c r="B9436" s="98"/>
      <c r="F9436">
        <v>9432</v>
      </c>
      <c r="G9436" s="109">
        <f t="shared" ca="1" si="156"/>
        <v>0.28734202454407826</v>
      </c>
    </row>
    <row r="9437" spans="2:7" x14ac:dyDescent="0.25">
      <c r="B9437" s="98"/>
      <c r="F9437">
        <v>9433</v>
      </c>
      <c r="G9437" s="109">
        <f t="shared" ca="1" si="156"/>
        <v>-3.9267525269235132E-2</v>
      </c>
    </row>
    <row r="9438" spans="2:7" x14ac:dyDescent="0.25">
      <c r="B9438" s="98"/>
      <c r="F9438">
        <v>9434</v>
      </c>
      <c r="G9438" s="109">
        <f t="shared" ca="1" si="156"/>
        <v>-1.2966060831214363E-2</v>
      </c>
    </row>
    <row r="9439" spans="2:7" x14ac:dyDescent="0.25">
      <c r="B9439" s="98"/>
      <c r="F9439">
        <v>9435</v>
      </c>
      <c r="G9439" s="109">
        <f t="shared" ca="1" si="156"/>
        <v>0.21928481748928907</v>
      </c>
    </row>
    <row r="9440" spans="2:7" x14ac:dyDescent="0.25">
      <c r="B9440" s="98"/>
      <c r="F9440">
        <v>9436</v>
      </c>
      <c r="G9440" s="109">
        <f t="shared" ca="1" si="156"/>
        <v>3.9496040206965254E-2</v>
      </c>
    </row>
    <row r="9441" spans="2:7" x14ac:dyDescent="0.25">
      <c r="B9441" s="98"/>
      <c r="F9441">
        <v>9437</v>
      </c>
      <c r="G9441" s="109">
        <f t="shared" ca="1" si="156"/>
        <v>-1.4956356517255492E-2</v>
      </c>
    </row>
    <row r="9442" spans="2:7" x14ac:dyDescent="0.25">
      <c r="B9442" s="98"/>
      <c r="F9442">
        <v>9438</v>
      </c>
      <c r="G9442" s="109">
        <f t="shared" ca="1" si="156"/>
        <v>-7.8987350317763952E-2</v>
      </c>
    </row>
    <row r="9443" spans="2:7" x14ac:dyDescent="0.25">
      <c r="B9443" s="98"/>
      <c r="F9443">
        <v>9439</v>
      </c>
      <c r="G9443" s="109">
        <f t="shared" ca="1" si="156"/>
        <v>1.3625397100313491E-3</v>
      </c>
    </row>
    <row r="9444" spans="2:7" x14ac:dyDescent="0.25">
      <c r="B9444" s="98"/>
      <c r="F9444">
        <v>9440</v>
      </c>
      <c r="G9444" s="109">
        <f t="shared" ca="1" si="156"/>
        <v>9.7789769266116211E-2</v>
      </c>
    </row>
    <row r="9445" spans="2:7" x14ac:dyDescent="0.25">
      <c r="B9445" s="98"/>
      <c r="F9445">
        <v>9441</v>
      </c>
      <c r="G9445" s="109">
        <f t="shared" ca="1" si="156"/>
        <v>-0.12793799490814733</v>
      </c>
    </row>
    <row r="9446" spans="2:7" x14ac:dyDescent="0.25">
      <c r="B9446" s="98"/>
      <c r="F9446">
        <v>9442</v>
      </c>
      <c r="G9446" s="109">
        <f t="shared" ca="1" si="156"/>
        <v>9.7943183550213392E-2</v>
      </c>
    </row>
    <row r="9447" spans="2:7" x14ac:dyDescent="0.25">
      <c r="B9447" s="98"/>
      <c r="F9447">
        <v>9443</v>
      </c>
      <c r="G9447" s="109">
        <f t="shared" ca="1" si="156"/>
        <v>6.703316012641658E-2</v>
      </c>
    </row>
    <row r="9448" spans="2:7" x14ac:dyDescent="0.25">
      <c r="B9448" s="98"/>
      <c r="F9448">
        <v>9444</v>
      </c>
      <c r="G9448" s="109">
        <f t="shared" ca="1" si="156"/>
        <v>-3.7757371015672919E-2</v>
      </c>
    </row>
    <row r="9449" spans="2:7" x14ac:dyDescent="0.25">
      <c r="B9449" s="98"/>
      <c r="F9449">
        <v>9445</v>
      </c>
      <c r="G9449" s="109">
        <f t="shared" ca="1" si="156"/>
        <v>3.4095837738468332E-2</v>
      </c>
    </row>
    <row r="9450" spans="2:7" x14ac:dyDescent="0.25">
      <c r="B9450" s="98"/>
      <c r="F9450">
        <v>9446</v>
      </c>
      <c r="G9450" s="109">
        <f t="shared" ca="1" si="156"/>
        <v>-0.13309492934930545</v>
      </c>
    </row>
    <row r="9451" spans="2:7" x14ac:dyDescent="0.25">
      <c r="B9451" s="98"/>
      <c r="F9451">
        <v>9447</v>
      </c>
      <c r="G9451" s="109">
        <f t="shared" ca="1" si="156"/>
        <v>-2.4469091190953349E-2</v>
      </c>
    </row>
    <row r="9452" spans="2:7" x14ac:dyDescent="0.25">
      <c r="B9452" s="98"/>
      <c r="F9452">
        <v>9448</v>
      </c>
      <c r="G9452" s="109">
        <f t="shared" ca="1" si="156"/>
        <v>0.2287340474515791</v>
      </c>
    </row>
    <row r="9453" spans="2:7" x14ac:dyDescent="0.25">
      <c r="B9453" s="98"/>
      <c r="F9453">
        <v>9449</v>
      </c>
      <c r="G9453" s="109">
        <f t="shared" ca="1" si="156"/>
        <v>0.17738245254948337</v>
      </c>
    </row>
    <row r="9454" spans="2:7" x14ac:dyDescent="0.25">
      <c r="B9454" s="98"/>
      <c r="F9454">
        <v>9450</v>
      </c>
      <c r="G9454" s="109">
        <f t="shared" ca="1" si="156"/>
        <v>-1.5657762575183094E-2</v>
      </c>
    </row>
    <row r="9455" spans="2:7" x14ac:dyDescent="0.25">
      <c r="B9455" s="98"/>
      <c r="F9455">
        <v>9451</v>
      </c>
      <c r="G9455" s="109">
        <f t="shared" ca="1" si="156"/>
        <v>-7.4782420748824366E-2</v>
      </c>
    </row>
    <row r="9456" spans="2:7" x14ac:dyDescent="0.25">
      <c r="B9456" s="98"/>
      <c r="F9456">
        <v>9452</v>
      </c>
      <c r="G9456" s="109">
        <f t="shared" ca="1" si="156"/>
        <v>0.13668992172214242</v>
      </c>
    </row>
    <row r="9457" spans="2:7" x14ac:dyDescent="0.25">
      <c r="B9457" s="98"/>
      <c r="F9457">
        <v>9453</v>
      </c>
      <c r="G9457" s="109">
        <f t="shared" ca="1" si="156"/>
        <v>0.21155378370594069</v>
      </c>
    </row>
    <row r="9458" spans="2:7" x14ac:dyDescent="0.25">
      <c r="B9458" s="98"/>
      <c r="F9458">
        <v>9454</v>
      </c>
      <c r="G9458" s="109">
        <f t="shared" ca="1" si="156"/>
        <v>-0.23597158688314035</v>
      </c>
    </row>
    <row r="9459" spans="2:7" x14ac:dyDescent="0.25">
      <c r="B9459" s="98"/>
      <c r="F9459">
        <v>9455</v>
      </c>
      <c r="G9459" s="109">
        <f t="shared" ca="1" si="156"/>
        <v>-5.363880299323287E-2</v>
      </c>
    </row>
    <row r="9460" spans="2:7" x14ac:dyDescent="0.25">
      <c r="B9460" s="98"/>
      <c r="F9460">
        <v>9456</v>
      </c>
      <c r="G9460" s="109">
        <f t="shared" ca="1" si="156"/>
        <v>0.23236870882025862</v>
      </c>
    </row>
    <row r="9461" spans="2:7" x14ac:dyDescent="0.25">
      <c r="B9461" s="98"/>
      <c r="F9461">
        <v>9457</v>
      </c>
      <c r="G9461" s="109">
        <f t="shared" ca="1" si="156"/>
        <v>-5.9770714860995666E-2</v>
      </c>
    </row>
    <row r="9462" spans="2:7" x14ac:dyDescent="0.25">
      <c r="B9462" s="98"/>
      <c r="F9462">
        <v>9458</v>
      </c>
      <c r="G9462" s="109">
        <f t="shared" ca="1" si="156"/>
        <v>4.5195107434062368E-2</v>
      </c>
    </row>
    <row r="9463" spans="2:7" x14ac:dyDescent="0.25">
      <c r="B9463" s="98"/>
      <c r="F9463">
        <v>9459</v>
      </c>
      <c r="G9463" s="109">
        <f t="shared" ca="1" si="156"/>
        <v>8.2613851113767678E-2</v>
      </c>
    </row>
    <row r="9464" spans="2:7" x14ac:dyDescent="0.25">
      <c r="B9464" s="98"/>
      <c r="F9464">
        <v>9460</v>
      </c>
      <c r="G9464" s="109">
        <f t="shared" ca="1" si="156"/>
        <v>4.0418971106858506E-2</v>
      </c>
    </row>
    <row r="9465" spans="2:7" x14ac:dyDescent="0.25">
      <c r="B9465" s="98"/>
      <c r="F9465">
        <v>9461</v>
      </c>
      <c r="G9465" s="109">
        <f t="shared" ca="1" si="156"/>
        <v>-0.17929953146737199</v>
      </c>
    </row>
    <row r="9466" spans="2:7" x14ac:dyDescent="0.25">
      <c r="B9466" s="98"/>
      <c r="F9466">
        <v>9462</v>
      </c>
      <c r="G9466" s="109">
        <f t="shared" ca="1" si="156"/>
        <v>-1.1056488117674235E-2</v>
      </c>
    </row>
    <row r="9467" spans="2:7" x14ac:dyDescent="0.25">
      <c r="B9467" s="98"/>
      <c r="F9467">
        <v>9463</v>
      </c>
      <c r="G9467" s="109">
        <f t="shared" ca="1" si="156"/>
        <v>5.3735727988815915E-2</v>
      </c>
    </row>
    <row r="9468" spans="2:7" x14ac:dyDescent="0.25">
      <c r="B9468" s="98"/>
      <c r="F9468">
        <v>9464</v>
      </c>
      <c r="G9468" s="109">
        <f t="shared" ca="1" si="156"/>
        <v>-2.874550444145553E-2</v>
      </c>
    </row>
    <row r="9469" spans="2:7" x14ac:dyDescent="0.25">
      <c r="B9469" s="98"/>
      <c r="F9469">
        <v>9465</v>
      </c>
      <c r="G9469" s="109">
        <f t="shared" ca="1" si="156"/>
        <v>4.9307726219889783E-2</v>
      </c>
    </row>
    <row r="9470" spans="2:7" x14ac:dyDescent="0.25">
      <c r="B9470" s="98"/>
      <c r="F9470">
        <v>9466</v>
      </c>
      <c r="G9470" s="109">
        <f t="shared" ca="1" si="156"/>
        <v>0.10218944164384197</v>
      </c>
    </row>
    <row r="9471" spans="2:7" x14ac:dyDescent="0.25">
      <c r="B9471" s="98"/>
      <c r="F9471">
        <v>9467</v>
      </c>
      <c r="G9471" s="109">
        <f t="shared" ca="1" si="156"/>
        <v>0.12245167986549134</v>
      </c>
    </row>
    <row r="9472" spans="2:7" x14ac:dyDescent="0.25">
      <c r="B9472" s="98"/>
      <c r="F9472">
        <v>9468</v>
      </c>
      <c r="G9472" s="109">
        <f t="shared" ca="1" si="156"/>
        <v>-4.7748983390096464E-3</v>
      </c>
    </row>
    <row r="9473" spans="2:7" x14ac:dyDescent="0.25">
      <c r="B9473" s="98"/>
      <c r="F9473">
        <v>9469</v>
      </c>
      <c r="G9473" s="109">
        <f t="shared" ca="1" si="156"/>
        <v>-4.4255649081363674E-2</v>
      </c>
    </row>
    <row r="9474" spans="2:7" x14ac:dyDescent="0.25">
      <c r="B9474" s="98"/>
      <c r="F9474">
        <v>9470</v>
      </c>
      <c r="G9474" s="109">
        <f t="shared" ca="1" si="156"/>
        <v>-9.5571001931075192E-2</v>
      </c>
    </row>
    <row r="9475" spans="2:7" x14ac:dyDescent="0.25">
      <c r="B9475" s="98"/>
      <c r="F9475">
        <v>9471</v>
      </c>
      <c r="G9475" s="109">
        <f t="shared" ca="1" si="156"/>
        <v>-6.993976880460491E-2</v>
      </c>
    </row>
    <row r="9476" spans="2:7" x14ac:dyDescent="0.25">
      <c r="B9476" s="98"/>
      <c r="F9476">
        <v>9472</v>
      </c>
      <c r="G9476" s="109">
        <f t="shared" ca="1" si="156"/>
        <v>5.078884465147572E-3</v>
      </c>
    </row>
    <row r="9477" spans="2:7" x14ac:dyDescent="0.25">
      <c r="B9477" s="98"/>
      <c r="F9477">
        <v>9473</v>
      </c>
      <c r="G9477" s="109">
        <f t="shared" ca="1" si="156"/>
        <v>-4.0137611621365574E-2</v>
      </c>
    </row>
    <row r="9478" spans="2:7" x14ac:dyDescent="0.25">
      <c r="B9478" s="98"/>
      <c r="F9478">
        <v>9474</v>
      </c>
      <c r="G9478" s="109">
        <f t="shared" ref="G9478:G9541" ca="1" si="157">_xlfn.NORM.INV(RAND(),$M$5,$M$6)</f>
        <v>-0.13279029809325837</v>
      </c>
    </row>
    <row r="9479" spans="2:7" x14ac:dyDescent="0.25">
      <c r="B9479" s="98"/>
      <c r="F9479">
        <v>9475</v>
      </c>
      <c r="G9479" s="109">
        <f t="shared" ca="1" si="157"/>
        <v>-0.1964524671662789</v>
      </c>
    </row>
    <row r="9480" spans="2:7" x14ac:dyDescent="0.25">
      <c r="B9480" s="98"/>
      <c r="F9480">
        <v>9476</v>
      </c>
      <c r="G9480" s="109">
        <f t="shared" ca="1" si="157"/>
        <v>0.15365436230707277</v>
      </c>
    </row>
    <row r="9481" spans="2:7" x14ac:dyDescent="0.25">
      <c r="B9481" s="98"/>
      <c r="F9481">
        <v>9477</v>
      </c>
      <c r="G9481" s="109">
        <f t="shared" ca="1" si="157"/>
        <v>-2.9329956136171606E-2</v>
      </c>
    </row>
    <row r="9482" spans="2:7" x14ac:dyDescent="0.25">
      <c r="B9482" s="98"/>
      <c r="F9482">
        <v>9478</v>
      </c>
      <c r="G9482" s="109">
        <f t="shared" ca="1" si="157"/>
        <v>7.3571931420016529E-2</v>
      </c>
    </row>
    <row r="9483" spans="2:7" x14ac:dyDescent="0.25">
      <c r="B9483" s="98"/>
      <c r="F9483">
        <v>9479</v>
      </c>
      <c r="G9483" s="109">
        <f t="shared" ca="1" si="157"/>
        <v>-9.2336761010040944E-2</v>
      </c>
    </row>
    <row r="9484" spans="2:7" x14ac:dyDescent="0.25">
      <c r="B9484" s="98"/>
      <c r="F9484">
        <v>9480</v>
      </c>
      <c r="G9484" s="109">
        <f t="shared" ca="1" si="157"/>
        <v>-0.13390308588692196</v>
      </c>
    </row>
    <row r="9485" spans="2:7" x14ac:dyDescent="0.25">
      <c r="B9485" s="98"/>
      <c r="F9485">
        <v>9481</v>
      </c>
      <c r="G9485" s="109">
        <f t="shared" ca="1" si="157"/>
        <v>0.10176810230560027</v>
      </c>
    </row>
    <row r="9486" spans="2:7" x14ac:dyDescent="0.25">
      <c r="B9486" s="98"/>
      <c r="F9486">
        <v>9482</v>
      </c>
      <c r="G9486" s="109">
        <f t="shared" ca="1" si="157"/>
        <v>2.1944394302722398E-2</v>
      </c>
    </row>
    <row r="9487" spans="2:7" x14ac:dyDescent="0.25">
      <c r="B9487" s="98"/>
      <c r="F9487">
        <v>9483</v>
      </c>
      <c r="G9487" s="109">
        <f t="shared" ca="1" si="157"/>
        <v>0.14625486267959148</v>
      </c>
    </row>
    <row r="9488" spans="2:7" x14ac:dyDescent="0.25">
      <c r="B9488" s="98"/>
      <c r="F9488">
        <v>9484</v>
      </c>
      <c r="G9488" s="109">
        <f t="shared" ca="1" si="157"/>
        <v>-9.3547908117120313E-2</v>
      </c>
    </row>
    <row r="9489" spans="2:7" x14ac:dyDescent="0.25">
      <c r="B9489" s="98"/>
      <c r="F9489">
        <v>9485</v>
      </c>
      <c r="G9489" s="109">
        <f t="shared" ca="1" si="157"/>
        <v>2.1159689743195625E-2</v>
      </c>
    </row>
    <row r="9490" spans="2:7" x14ac:dyDescent="0.25">
      <c r="B9490" s="98"/>
      <c r="F9490">
        <v>9486</v>
      </c>
      <c r="G9490" s="109">
        <f t="shared" ca="1" si="157"/>
        <v>2.8029149828503564E-2</v>
      </c>
    </row>
    <row r="9491" spans="2:7" x14ac:dyDescent="0.25">
      <c r="B9491" s="98"/>
      <c r="F9491">
        <v>9487</v>
      </c>
      <c r="G9491" s="109">
        <f t="shared" ca="1" si="157"/>
        <v>6.0348745729074199E-2</v>
      </c>
    </row>
    <row r="9492" spans="2:7" x14ac:dyDescent="0.25">
      <c r="B9492" s="98"/>
      <c r="F9492">
        <v>9488</v>
      </c>
      <c r="G9492" s="109">
        <f t="shared" ca="1" si="157"/>
        <v>-3.3402733431572948E-2</v>
      </c>
    </row>
    <row r="9493" spans="2:7" x14ac:dyDescent="0.25">
      <c r="B9493" s="98"/>
      <c r="F9493">
        <v>9489</v>
      </c>
      <c r="G9493" s="109">
        <f t="shared" ca="1" si="157"/>
        <v>8.5253633302412382E-3</v>
      </c>
    </row>
    <row r="9494" spans="2:7" x14ac:dyDescent="0.25">
      <c r="B9494" s="98"/>
      <c r="F9494">
        <v>9490</v>
      </c>
      <c r="G9494" s="109">
        <f t="shared" ca="1" si="157"/>
        <v>6.0167915201723217E-2</v>
      </c>
    </row>
    <row r="9495" spans="2:7" x14ac:dyDescent="0.25">
      <c r="B9495" s="98"/>
      <c r="F9495">
        <v>9491</v>
      </c>
      <c r="G9495" s="109">
        <f t="shared" ca="1" si="157"/>
        <v>6.893085827680609E-2</v>
      </c>
    </row>
    <row r="9496" spans="2:7" x14ac:dyDescent="0.25">
      <c r="B9496" s="98"/>
      <c r="F9496">
        <v>9492</v>
      </c>
      <c r="G9496" s="109">
        <f t="shared" ca="1" si="157"/>
        <v>0.1572622257134631</v>
      </c>
    </row>
    <row r="9497" spans="2:7" x14ac:dyDescent="0.25">
      <c r="B9497" s="98"/>
      <c r="F9497">
        <v>9493</v>
      </c>
      <c r="G9497" s="109">
        <f t="shared" ca="1" si="157"/>
        <v>0.20220506109529668</v>
      </c>
    </row>
    <row r="9498" spans="2:7" x14ac:dyDescent="0.25">
      <c r="B9498" s="98"/>
      <c r="F9498">
        <v>9494</v>
      </c>
      <c r="G9498" s="109">
        <f t="shared" ca="1" si="157"/>
        <v>0.17199844515887841</v>
      </c>
    </row>
    <row r="9499" spans="2:7" x14ac:dyDescent="0.25">
      <c r="B9499" s="98"/>
      <c r="F9499">
        <v>9495</v>
      </c>
      <c r="G9499" s="109">
        <f t="shared" ca="1" si="157"/>
        <v>1.705438848341494E-2</v>
      </c>
    </row>
    <row r="9500" spans="2:7" x14ac:dyDescent="0.25">
      <c r="B9500" s="98"/>
      <c r="F9500">
        <v>9496</v>
      </c>
      <c r="G9500" s="109">
        <f t="shared" ca="1" si="157"/>
        <v>-7.5521993997924031E-3</v>
      </c>
    </row>
    <row r="9501" spans="2:7" x14ac:dyDescent="0.25">
      <c r="B9501" s="98"/>
      <c r="F9501">
        <v>9497</v>
      </c>
      <c r="G9501" s="109">
        <f t="shared" ca="1" si="157"/>
        <v>0.22783516957739425</v>
      </c>
    </row>
    <row r="9502" spans="2:7" x14ac:dyDescent="0.25">
      <c r="B9502" s="98"/>
      <c r="F9502">
        <v>9498</v>
      </c>
      <c r="G9502" s="109">
        <f t="shared" ca="1" si="157"/>
        <v>-2.4643174884648178E-2</v>
      </c>
    </row>
    <row r="9503" spans="2:7" x14ac:dyDescent="0.25">
      <c r="B9503" s="98"/>
      <c r="F9503">
        <v>9499</v>
      </c>
      <c r="G9503" s="109">
        <f t="shared" ca="1" si="157"/>
        <v>7.1257960463694106E-2</v>
      </c>
    </row>
    <row r="9504" spans="2:7" x14ac:dyDescent="0.25">
      <c r="B9504" s="98"/>
      <c r="F9504">
        <v>9500</v>
      </c>
      <c r="G9504" s="109">
        <f t="shared" ca="1" si="157"/>
        <v>-0.11931467091050883</v>
      </c>
    </row>
    <row r="9505" spans="2:7" x14ac:dyDescent="0.25">
      <c r="B9505" s="98"/>
      <c r="F9505">
        <v>9501</v>
      </c>
      <c r="G9505" s="109">
        <f t="shared" ca="1" si="157"/>
        <v>0.22026275936188328</v>
      </c>
    </row>
    <row r="9506" spans="2:7" x14ac:dyDescent="0.25">
      <c r="B9506" s="98"/>
      <c r="F9506">
        <v>9502</v>
      </c>
      <c r="G9506" s="109">
        <f t="shared" ca="1" si="157"/>
        <v>4.8414776909453699E-2</v>
      </c>
    </row>
    <row r="9507" spans="2:7" x14ac:dyDescent="0.25">
      <c r="B9507" s="98"/>
      <c r="F9507">
        <v>9503</v>
      </c>
      <c r="G9507" s="109">
        <f t="shared" ca="1" si="157"/>
        <v>0.1187284345079843</v>
      </c>
    </row>
    <row r="9508" spans="2:7" x14ac:dyDescent="0.25">
      <c r="B9508" s="98"/>
      <c r="F9508">
        <v>9504</v>
      </c>
      <c r="G9508" s="109">
        <f t="shared" ca="1" si="157"/>
        <v>0.11411545807004612</v>
      </c>
    </row>
    <row r="9509" spans="2:7" x14ac:dyDescent="0.25">
      <c r="B9509" s="98"/>
      <c r="F9509">
        <v>9505</v>
      </c>
      <c r="G9509" s="109">
        <f t="shared" ca="1" si="157"/>
        <v>8.6023251754953192E-2</v>
      </c>
    </row>
    <row r="9510" spans="2:7" x14ac:dyDescent="0.25">
      <c r="B9510" s="98"/>
      <c r="F9510">
        <v>9506</v>
      </c>
      <c r="G9510" s="109">
        <f t="shared" ca="1" si="157"/>
        <v>0.23539420680706691</v>
      </c>
    </row>
    <row r="9511" spans="2:7" x14ac:dyDescent="0.25">
      <c r="B9511" s="98"/>
      <c r="F9511">
        <v>9507</v>
      </c>
      <c r="G9511" s="109">
        <f t="shared" ca="1" si="157"/>
        <v>-7.7374973599568825E-2</v>
      </c>
    </row>
    <row r="9512" spans="2:7" x14ac:dyDescent="0.25">
      <c r="B9512" s="98"/>
      <c r="F9512">
        <v>9508</v>
      </c>
      <c r="G9512" s="109">
        <f t="shared" ca="1" si="157"/>
        <v>8.8529931185859362E-2</v>
      </c>
    </row>
    <row r="9513" spans="2:7" x14ac:dyDescent="0.25">
      <c r="B9513" s="98"/>
      <c r="F9513">
        <v>9509</v>
      </c>
      <c r="G9513" s="109">
        <f t="shared" ca="1" si="157"/>
        <v>-0.1685564809631499</v>
      </c>
    </row>
    <row r="9514" spans="2:7" x14ac:dyDescent="0.25">
      <c r="B9514" s="98"/>
      <c r="F9514">
        <v>9510</v>
      </c>
      <c r="G9514" s="109">
        <f t="shared" ca="1" si="157"/>
        <v>0.13586062849929403</v>
      </c>
    </row>
    <row r="9515" spans="2:7" x14ac:dyDescent="0.25">
      <c r="B9515" s="98"/>
      <c r="F9515">
        <v>9511</v>
      </c>
      <c r="G9515" s="109">
        <f t="shared" ca="1" si="157"/>
        <v>0.236042867625266</v>
      </c>
    </row>
    <row r="9516" spans="2:7" x14ac:dyDescent="0.25">
      <c r="B9516" s="98"/>
      <c r="F9516">
        <v>9512</v>
      </c>
      <c r="G9516" s="109">
        <f t="shared" ca="1" si="157"/>
        <v>0.16703238383422009</v>
      </c>
    </row>
    <row r="9517" spans="2:7" x14ac:dyDescent="0.25">
      <c r="B9517" s="98"/>
      <c r="F9517">
        <v>9513</v>
      </c>
      <c r="G9517" s="109">
        <f t="shared" ca="1" si="157"/>
        <v>4.1834543599534937E-3</v>
      </c>
    </row>
    <row r="9518" spans="2:7" x14ac:dyDescent="0.25">
      <c r="B9518" s="98"/>
      <c r="F9518">
        <v>9514</v>
      </c>
      <c r="G9518" s="109">
        <f t="shared" ca="1" si="157"/>
        <v>5.8922228619054579E-2</v>
      </c>
    </row>
    <row r="9519" spans="2:7" x14ac:dyDescent="0.25">
      <c r="B9519" s="98"/>
      <c r="F9519">
        <v>9515</v>
      </c>
      <c r="G9519" s="109">
        <f t="shared" ca="1" si="157"/>
        <v>3.7114058899333224E-4</v>
      </c>
    </row>
    <row r="9520" spans="2:7" x14ac:dyDescent="0.25">
      <c r="B9520" s="98"/>
      <c r="F9520">
        <v>9516</v>
      </c>
      <c r="G9520" s="109">
        <f t="shared" ca="1" si="157"/>
        <v>0.10102569455511867</v>
      </c>
    </row>
    <row r="9521" spans="2:7" x14ac:dyDescent="0.25">
      <c r="B9521" s="98"/>
      <c r="F9521">
        <v>9517</v>
      </c>
      <c r="G9521" s="109">
        <f t="shared" ca="1" si="157"/>
        <v>3.7321834322643924E-2</v>
      </c>
    </row>
    <row r="9522" spans="2:7" x14ac:dyDescent="0.25">
      <c r="B9522" s="98"/>
      <c r="F9522">
        <v>9518</v>
      </c>
      <c r="G9522" s="109">
        <f t="shared" ca="1" si="157"/>
        <v>3.1543206549426404E-2</v>
      </c>
    </row>
    <row r="9523" spans="2:7" x14ac:dyDescent="0.25">
      <c r="B9523" s="98"/>
      <c r="F9523">
        <v>9519</v>
      </c>
      <c r="G9523" s="109">
        <f t="shared" ca="1" si="157"/>
        <v>-1.8433300062453153E-2</v>
      </c>
    </row>
    <row r="9524" spans="2:7" x14ac:dyDescent="0.25">
      <c r="B9524" s="98"/>
      <c r="F9524">
        <v>9520</v>
      </c>
      <c r="G9524" s="109">
        <f t="shared" ca="1" si="157"/>
        <v>3.3664154007974317E-2</v>
      </c>
    </row>
    <row r="9525" spans="2:7" x14ac:dyDescent="0.25">
      <c r="B9525" s="98"/>
      <c r="F9525">
        <v>9521</v>
      </c>
      <c r="G9525" s="109">
        <f t="shared" ca="1" si="157"/>
        <v>-0.16830590574313742</v>
      </c>
    </row>
    <row r="9526" spans="2:7" x14ac:dyDescent="0.25">
      <c r="B9526" s="98"/>
      <c r="F9526">
        <v>9522</v>
      </c>
      <c r="G9526" s="109">
        <f t="shared" ca="1" si="157"/>
        <v>-6.2769571009242936E-2</v>
      </c>
    </row>
    <row r="9527" spans="2:7" x14ac:dyDescent="0.25">
      <c r="B9527" s="98"/>
      <c r="F9527">
        <v>9523</v>
      </c>
      <c r="G9527" s="109">
        <f t="shared" ca="1" si="157"/>
        <v>-6.1394064890344643E-2</v>
      </c>
    </row>
    <row r="9528" spans="2:7" x14ac:dyDescent="0.25">
      <c r="B9528" s="98"/>
      <c r="F9528">
        <v>9524</v>
      </c>
      <c r="G9528" s="109">
        <f t="shared" ca="1" si="157"/>
        <v>6.8936589853466415E-3</v>
      </c>
    </row>
    <row r="9529" spans="2:7" x14ac:dyDescent="0.25">
      <c r="B9529" s="98"/>
      <c r="F9529">
        <v>9525</v>
      </c>
      <c r="G9529" s="109">
        <f t="shared" ca="1" si="157"/>
        <v>0.16089510457430292</v>
      </c>
    </row>
    <row r="9530" spans="2:7" x14ac:dyDescent="0.25">
      <c r="B9530" s="98"/>
      <c r="F9530">
        <v>9526</v>
      </c>
      <c r="G9530" s="109">
        <f t="shared" ca="1" si="157"/>
        <v>-3.5311076440903769E-3</v>
      </c>
    </row>
    <row r="9531" spans="2:7" x14ac:dyDescent="0.25">
      <c r="B9531" s="98"/>
      <c r="F9531">
        <v>9527</v>
      </c>
      <c r="G9531" s="109">
        <f t="shared" ca="1" si="157"/>
        <v>0.26352976932436689</v>
      </c>
    </row>
    <row r="9532" spans="2:7" x14ac:dyDescent="0.25">
      <c r="B9532" s="98"/>
      <c r="F9532">
        <v>9528</v>
      </c>
      <c r="G9532" s="109">
        <f t="shared" ca="1" si="157"/>
        <v>-0.22057186190147626</v>
      </c>
    </row>
    <row r="9533" spans="2:7" x14ac:dyDescent="0.25">
      <c r="B9533" s="98"/>
      <c r="F9533">
        <v>9529</v>
      </c>
      <c r="G9533" s="109">
        <f t="shared" ca="1" si="157"/>
        <v>0.21091073107578912</v>
      </c>
    </row>
    <row r="9534" spans="2:7" x14ac:dyDescent="0.25">
      <c r="B9534" s="98"/>
      <c r="F9534">
        <v>9530</v>
      </c>
      <c r="G9534" s="109">
        <f t="shared" ca="1" si="157"/>
        <v>0.16877592504087258</v>
      </c>
    </row>
    <row r="9535" spans="2:7" x14ac:dyDescent="0.25">
      <c r="B9535" s="98"/>
      <c r="F9535">
        <v>9531</v>
      </c>
      <c r="G9535" s="109">
        <f t="shared" ca="1" si="157"/>
        <v>0.1962776050826644</v>
      </c>
    </row>
    <row r="9536" spans="2:7" x14ac:dyDescent="0.25">
      <c r="B9536" s="98"/>
      <c r="F9536">
        <v>9532</v>
      </c>
      <c r="G9536" s="109">
        <f t="shared" ca="1" si="157"/>
        <v>-0.11850255500775998</v>
      </c>
    </row>
    <row r="9537" spans="2:7" x14ac:dyDescent="0.25">
      <c r="B9537" s="98"/>
      <c r="F9537">
        <v>9533</v>
      </c>
      <c r="G9537" s="109">
        <f t="shared" ca="1" si="157"/>
        <v>7.6471416391544048E-2</v>
      </c>
    </row>
    <row r="9538" spans="2:7" x14ac:dyDescent="0.25">
      <c r="B9538" s="98"/>
      <c r="F9538">
        <v>9534</v>
      </c>
      <c r="G9538" s="109">
        <f t="shared" ca="1" si="157"/>
        <v>5.6780793932649301E-3</v>
      </c>
    </row>
    <row r="9539" spans="2:7" x14ac:dyDescent="0.25">
      <c r="B9539" s="98"/>
      <c r="F9539">
        <v>9535</v>
      </c>
      <c r="G9539" s="109">
        <f t="shared" ca="1" si="157"/>
        <v>0.15279119683201775</v>
      </c>
    </row>
    <row r="9540" spans="2:7" x14ac:dyDescent="0.25">
      <c r="B9540" s="98"/>
      <c r="F9540">
        <v>9536</v>
      </c>
      <c r="G9540" s="109">
        <f t="shared" ca="1" si="157"/>
        <v>0.21442153575633305</v>
      </c>
    </row>
    <row r="9541" spans="2:7" x14ac:dyDescent="0.25">
      <c r="B9541" s="98"/>
      <c r="F9541">
        <v>9537</v>
      </c>
      <c r="G9541" s="109">
        <f t="shared" ca="1" si="157"/>
        <v>0.21586429242400335</v>
      </c>
    </row>
    <row r="9542" spans="2:7" x14ac:dyDescent="0.25">
      <c r="B9542" s="98"/>
      <c r="F9542">
        <v>9538</v>
      </c>
      <c r="G9542" s="109">
        <f t="shared" ref="G9542:G9605" ca="1" si="158">_xlfn.NORM.INV(RAND(),$M$5,$M$6)</f>
        <v>4.190349652827656E-2</v>
      </c>
    </row>
    <row r="9543" spans="2:7" x14ac:dyDescent="0.25">
      <c r="B9543" s="98"/>
      <c r="F9543">
        <v>9539</v>
      </c>
      <c r="G9543" s="109">
        <f t="shared" ca="1" si="158"/>
        <v>-3.0086543071308869E-2</v>
      </c>
    </row>
    <row r="9544" spans="2:7" x14ac:dyDescent="0.25">
      <c r="B9544" s="98"/>
      <c r="F9544">
        <v>9540</v>
      </c>
      <c r="G9544" s="109">
        <f t="shared" ca="1" si="158"/>
        <v>-4.4650500323130282E-2</v>
      </c>
    </row>
    <row r="9545" spans="2:7" x14ac:dyDescent="0.25">
      <c r="B9545" s="98"/>
      <c r="F9545">
        <v>9541</v>
      </c>
      <c r="G9545" s="109">
        <f t="shared" ca="1" si="158"/>
        <v>0.41429020903082336</v>
      </c>
    </row>
    <row r="9546" spans="2:7" x14ac:dyDescent="0.25">
      <c r="B9546" s="98"/>
      <c r="F9546">
        <v>9542</v>
      </c>
      <c r="G9546" s="109">
        <f t="shared" ca="1" si="158"/>
        <v>8.4026263349079283E-2</v>
      </c>
    </row>
    <row r="9547" spans="2:7" x14ac:dyDescent="0.25">
      <c r="B9547" s="98"/>
      <c r="F9547">
        <v>9543</v>
      </c>
      <c r="G9547" s="109">
        <f t="shared" ca="1" si="158"/>
        <v>0.13311474163406495</v>
      </c>
    </row>
    <row r="9548" spans="2:7" x14ac:dyDescent="0.25">
      <c r="B9548" s="98"/>
      <c r="F9548">
        <v>9544</v>
      </c>
      <c r="G9548" s="109">
        <f t="shared" ca="1" si="158"/>
        <v>-2.1248729311967446E-3</v>
      </c>
    </row>
    <row r="9549" spans="2:7" x14ac:dyDescent="0.25">
      <c r="B9549" s="98"/>
      <c r="F9549">
        <v>9545</v>
      </c>
      <c r="G9549" s="109">
        <f t="shared" ca="1" si="158"/>
        <v>0.12179299211201683</v>
      </c>
    </row>
    <row r="9550" spans="2:7" x14ac:dyDescent="0.25">
      <c r="B9550" s="98"/>
      <c r="F9550">
        <v>9546</v>
      </c>
      <c r="G9550" s="109">
        <f t="shared" ca="1" si="158"/>
        <v>-4.2711732549354148E-2</v>
      </c>
    </row>
    <row r="9551" spans="2:7" x14ac:dyDescent="0.25">
      <c r="B9551" s="98"/>
      <c r="F9551">
        <v>9547</v>
      </c>
      <c r="G9551" s="109">
        <f t="shared" ca="1" si="158"/>
        <v>4.7816240745290048E-2</v>
      </c>
    </row>
    <row r="9552" spans="2:7" x14ac:dyDescent="0.25">
      <c r="B9552" s="98"/>
      <c r="F9552">
        <v>9548</v>
      </c>
      <c r="G9552" s="109">
        <f t="shared" ca="1" si="158"/>
        <v>1.3602394004576551E-2</v>
      </c>
    </row>
    <row r="9553" spans="2:7" x14ac:dyDescent="0.25">
      <c r="B9553" s="98"/>
      <c r="F9553">
        <v>9549</v>
      </c>
      <c r="G9553" s="109">
        <f t="shared" ca="1" si="158"/>
        <v>4.2623287739908325E-2</v>
      </c>
    </row>
    <row r="9554" spans="2:7" x14ac:dyDescent="0.25">
      <c r="B9554" s="98"/>
      <c r="F9554">
        <v>9550</v>
      </c>
      <c r="G9554" s="109">
        <f t="shared" ca="1" si="158"/>
        <v>1.0933469867950511E-2</v>
      </c>
    </row>
    <row r="9555" spans="2:7" x14ac:dyDescent="0.25">
      <c r="B9555" s="98"/>
      <c r="F9555">
        <v>9551</v>
      </c>
      <c r="G9555" s="109">
        <f t="shared" ca="1" si="158"/>
        <v>-6.5237424200907612E-2</v>
      </c>
    </row>
    <row r="9556" spans="2:7" x14ac:dyDescent="0.25">
      <c r="B9556" s="98"/>
      <c r="F9556">
        <v>9552</v>
      </c>
      <c r="G9556" s="109">
        <f t="shared" ca="1" si="158"/>
        <v>8.5094831231845441E-3</v>
      </c>
    </row>
    <row r="9557" spans="2:7" x14ac:dyDescent="0.25">
      <c r="B9557" s="98"/>
      <c r="F9557">
        <v>9553</v>
      </c>
      <c r="G9557" s="109">
        <f t="shared" ca="1" si="158"/>
        <v>0.19712853458295027</v>
      </c>
    </row>
    <row r="9558" spans="2:7" x14ac:dyDescent="0.25">
      <c r="B9558" s="98"/>
      <c r="F9558">
        <v>9554</v>
      </c>
      <c r="G9558" s="109">
        <f t="shared" ca="1" si="158"/>
        <v>-0.12767726176554373</v>
      </c>
    </row>
    <row r="9559" spans="2:7" x14ac:dyDescent="0.25">
      <c r="B9559" s="98"/>
      <c r="F9559">
        <v>9555</v>
      </c>
      <c r="G9559" s="109">
        <f t="shared" ca="1" si="158"/>
        <v>2.4058081185137019E-2</v>
      </c>
    </row>
    <row r="9560" spans="2:7" x14ac:dyDescent="0.25">
      <c r="B9560" s="98"/>
      <c r="F9560">
        <v>9556</v>
      </c>
      <c r="G9560" s="109">
        <f t="shared" ca="1" si="158"/>
        <v>0.17009939616656028</v>
      </c>
    </row>
    <row r="9561" spans="2:7" x14ac:dyDescent="0.25">
      <c r="B9561" s="98"/>
      <c r="F9561">
        <v>9557</v>
      </c>
      <c r="G9561" s="109">
        <f t="shared" ca="1" si="158"/>
        <v>0.24660565497544829</v>
      </c>
    </row>
    <row r="9562" spans="2:7" x14ac:dyDescent="0.25">
      <c r="B9562" s="98"/>
      <c r="F9562">
        <v>9558</v>
      </c>
      <c r="G9562" s="109">
        <f t="shared" ca="1" si="158"/>
        <v>-5.2254045449224587E-2</v>
      </c>
    </row>
    <row r="9563" spans="2:7" x14ac:dyDescent="0.25">
      <c r="B9563" s="98"/>
      <c r="F9563">
        <v>9559</v>
      </c>
      <c r="G9563" s="109">
        <f t="shared" ca="1" si="158"/>
        <v>8.6801709809202071E-3</v>
      </c>
    </row>
    <row r="9564" spans="2:7" x14ac:dyDescent="0.25">
      <c r="B9564" s="98"/>
      <c r="F9564">
        <v>9560</v>
      </c>
      <c r="G9564" s="109">
        <f t="shared" ca="1" si="158"/>
        <v>0.1578935090372614</v>
      </c>
    </row>
    <row r="9565" spans="2:7" x14ac:dyDescent="0.25">
      <c r="B9565" s="98"/>
      <c r="F9565">
        <v>9561</v>
      </c>
      <c r="G9565" s="109">
        <f t="shared" ca="1" si="158"/>
        <v>9.8358292158791882E-2</v>
      </c>
    </row>
    <row r="9566" spans="2:7" x14ac:dyDescent="0.25">
      <c r="B9566" s="98"/>
      <c r="F9566">
        <v>9562</v>
      </c>
      <c r="G9566" s="109">
        <f t="shared" ca="1" si="158"/>
        <v>0.20326697737323263</v>
      </c>
    </row>
    <row r="9567" spans="2:7" x14ac:dyDescent="0.25">
      <c r="B9567" s="98"/>
      <c r="F9567">
        <v>9563</v>
      </c>
      <c r="G9567" s="109">
        <f t="shared" ca="1" si="158"/>
        <v>0.12268934916719001</v>
      </c>
    </row>
    <row r="9568" spans="2:7" x14ac:dyDescent="0.25">
      <c r="B9568" s="98"/>
      <c r="F9568">
        <v>9564</v>
      </c>
      <c r="G9568" s="109">
        <f t="shared" ca="1" si="158"/>
        <v>-5.4173263689003825E-2</v>
      </c>
    </row>
    <row r="9569" spans="2:7" x14ac:dyDescent="0.25">
      <c r="B9569" s="98"/>
      <c r="F9569">
        <v>9565</v>
      </c>
      <c r="G9569" s="109">
        <f t="shared" ca="1" si="158"/>
        <v>-0.17326786054529314</v>
      </c>
    </row>
    <row r="9570" spans="2:7" x14ac:dyDescent="0.25">
      <c r="B9570" s="98"/>
      <c r="F9570">
        <v>9566</v>
      </c>
      <c r="G9570" s="109">
        <f t="shared" ca="1" si="158"/>
        <v>0.12577687018011466</v>
      </c>
    </row>
    <row r="9571" spans="2:7" x14ac:dyDescent="0.25">
      <c r="B9571" s="98"/>
      <c r="F9571">
        <v>9567</v>
      </c>
      <c r="G9571" s="109">
        <f t="shared" ca="1" si="158"/>
        <v>-0.12694534535060314</v>
      </c>
    </row>
    <row r="9572" spans="2:7" x14ac:dyDescent="0.25">
      <c r="B9572" s="98"/>
      <c r="F9572">
        <v>9568</v>
      </c>
      <c r="G9572" s="109">
        <f t="shared" ca="1" si="158"/>
        <v>1.9175745343361215E-2</v>
      </c>
    </row>
    <row r="9573" spans="2:7" x14ac:dyDescent="0.25">
      <c r="B9573" s="98"/>
      <c r="F9573">
        <v>9569</v>
      </c>
      <c r="G9573" s="109">
        <f t="shared" ca="1" si="158"/>
        <v>5.6982592706916288E-2</v>
      </c>
    </row>
    <row r="9574" spans="2:7" x14ac:dyDescent="0.25">
      <c r="B9574" s="98"/>
      <c r="F9574">
        <v>9570</v>
      </c>
      <c r="G9574" s="109">
        <f t="shared" ca="1" si="158"/>
        <v>0.11805877972179926</v>
      </c>
    </row>
    <row r="9575" spans="2:7" x14ac:dyDescent="0.25">
      <c r="B9575" s="98"/>
      <c r="F9575">
        <v>9571</v>
      </c>
      <c r="G9575" s="109">
        <f t="shared" ca="1" si="158"/>
        <v>0.24948574204201868</v>
      </c>
    </row>
    <row r="9576" spans="2:7" x14ac:dyDescent="0.25">
      <c r="B9576" s="98"/>
      <c r="F9576">
        <v>9572</v>
      </c>
      <c r="G9576" s="109">
        <f t="shared" ca="1" si="158"/>
        <v>-7.2024526219329407E-3</v>
      </c>
    </row>
    <row r="9577" spans="2:7" x14ac:dyDescent="0.25">
      <c r="B9577" s="98"/>
      <c r="F9577">
        <v>9573</v>
      </c>
      <c r="G9577" s="109">
        <f t="shared" ca="1" si="158"/>
        <v>-0.19542684293035212</v>
      </c>
    </row>
    <row r="9578" spans="2:7" x14ac:dyDescent="0.25">
      <c r="B9578" s="98"/>
      <c r="F9578">
        <v>9574</v>
      </c>
      <c r="G9578" s="109">
        <f t="shared" ca="1" si="158"/>
        <v>-5.4456651531075637E-3</v>
      </c>
    </row>
    <row r="9579" spans="2:7" x14ac:dyDescent="0.25">
      <c r="B9579" s="98"/>
      <c r="F9579">
        <v>9575</v>
      </c>
      <c r="G9579" s="109">
        <f t="shared" ca="1" si="158"/>
        <v>6.9975789744680883E-2</v>
      </c>
    </row>
    <row r="9580" spans="2:7" x14ac:dyDescent="0.25">
      <c r="B9580" s="98"/>
      <c r="F9580">
        <v>9576</v>
      </c>
      <c r="G9580" s="109">
        <f t="shared" ca="1" si="158"/>
        <v>1.6848014969692432E-3</v>
      </c>
    </row>
    <row r="9581" spans="2:7" x14ac:dyDescent="0.25">
      <c r="B9581" s="98"/>
      <c r="F9581">
        <v>9577</v>
      </c>
      <c r="G9581" s="109">
        <f t="shared" ca="1" si="158"/>
        <v>0.17418333294516053</v>
      </c>
    </row>
    <row r="9582" spans="2:7" x14ac:dyDescent="0.25">
      <c r="B9582" s="98"/>
      <c r="F9582">
        <v>9578</v>
      </c>
      <c r="G9582" s="109">
        <f t="shared" ca="1" si="158"/>
        <v>0.20614200162524848</v>
      </c>
    </row>
    <row r="9583" spans="2:7" x14ac:dyDescent="0.25">
      <c r="B9583" s="98"/>
      <c r="F9583">
        <v>9579</v>
      </c>
      <c r="G9583" s="109">
        <f t="shared" ca="1" si="158"/>
        <v>0.21594581779482941</v>
      </c>
    </row>
    <row r="9584" spans="2:7" x14ac:dyDescent="0.25">
      <c r="B9584" s="98"/>
      <c r="F9584">
        <v>9580</v>
      </c>
      <c r="G9584" s="109">
        <f t="shared" ca="1" si="158"/>
        <v>0.20409851146432678</v>
      </c>
    </row>
    <row r="9585" spans="2:7" x14ac:dyDescent="0.25">
      <c r="B9585" s="98"/>
      <c r="F9585">
        <v>9581</v>
      </c>
      <c r="G9585" s="109">
        <f t="shared" ca="1" si="158"/>
        <v>0.14146278944883195</v>
      </c>
    </row>
    <row r="9586" spans="2:7" x14ac:dyDescent="0.25">
      <c r="B9586" s="98"/>
      <c r="F9586">
        <v>9582</v>
      </c>
      <c r="G9586" s="109">
        <f t="shared" ca="1" si="158"/>
        <v>4.6322989427563632E-2</v>
      </c>
    </row>
    <row r="9587" spans="2:7" x14ac:dyDescent="0.25">
      <c r="B9587" s="98"/>
      <c r="F9587">
        <v>9583</v>
      </c>
      <c r="G9587" s="109">
        <f t="shared" ca="1" si="158"/>
        <v>-4.2115742572099185E-2</v>
      </c>
    </row>
    <row r="9588" spans="2:7" x14ac:dyDescent="0.25">
      <c r="B9588" s="98"/>
      <c r="F9588">
        <v>9584</v>
      </c>
      <c r="G9588" s="109">
        <f t="shared" ca="1" si="158"/>
        <v>0.18890898438078602</v>
      </c>
    </row>
    <row r="9589" spans="2:7" x14ac:dyDescent="0.25">
      <c r="B9589" s="98"/>
      <c r="F9589">
        <v>9585</v>
      </c>
      <c r="G9589" s="109">
        <f t="shared" ca="1" si="158"/>
        <v>6.6059917915072403E-2</v>
      </c>
    </row>
    <row r="9590" spans="2:7" x14ac:dyDescent="0.25">
      <c r="B9590" s="98"/>
      <c r="F9590">
        <v>9586</v>
      </c>
      <c r="G9590" s="109">
        <f t="shared" ca="1" si="158"/>
        <v>7.465909583724753E-2</v>
      </c>
    </row>
    <row r="9591" spans="2:7" x14ac:dyDescent="0.25">
      <c r="B9591" s="98"/>
      <c r="F9591">
        <v>9587</v>
      </c>
      <c r="G9591" s="109">
        <f t="shared" ca="1" si="158"/>
        <v>0.20112461504874624</v>
      </c>
    </row>
    <row r="9592" spans="2:7" x14ac:dyDescent="0.25">
      <c r="B9592" s="98"/>
      <c r="F9592">
        <v>9588</v>
      </c>
      <c r="G9592" s="109">
        <f t="shared" ca="1" si="158"/>
        <v>-3.0198224527989231E-2</v>
      </c>
    </row>
    <row r="9593" spans="2:7" x14ac:dyDescent="0.25">
      <c r="B9593" s="98"/>
      <c r="F9593">
        <v>9589</v>
      </c>
      <c r="G9593" s="109">
        <f t="shared" ca="1" si="158"/>
        <v>6.5919981900270527E-2</v>
      </c>
    </row>
    <row r="9594" spans="2:7" x14ac:dyDescent="0.25">
      <c r="B9594" s="98"/>
      <c r="F9594">
        <v>9590</v>
      </c>
      <c r="G9594" s="109">
        <f t="shared" ca="1" si="158"/>
        <v>0.11649114659083497</v>
      </c>
    </row>
    <row r="9595" spans="2:7" x14ac:dyDescent="0.25">
      <c r="B9595" s="98"/>
      <c r="F9595">
        <v>9591</v>
      </c>
      <c r="G9595" s="109">
        <f t="shared" ca="1" si="158"/>
        <v>0.23150004357042975</v>
      </c>
    </row>
    <row r="9596" spans="2:7" x14ac:dyDescent="0.25">
      <c r="B9596" s="98"/>
      <c r="F9596">
        <v>9592</v>
      </c>
      <c r="G9596" s="109">
        <f t="shared" ca="1" si="158"/>
        <v>0.19520113247512472</v>
      </c>
    </row>
    <row r="9597" spans="2:7" x14ac:dyDescent="0.25">
      <c r="B9597" s="98"/>
      <c r="F9597">
        <v>9593</v>
      </c>
      <c r="G9597" s="109">
        <f t="shared" ca="1" si="158"/>
        <v>0.21863358450252823</v>
      </c>
    </row>
    <row r="9598" spans="2:7" x14ac:dyDescent="0.25">
      <c r="B9598" s="98"/>
      <c r="F9598">
        <v>9594</v>
      </c>
      <c r="G9598" s="109">
        <f t="shared" ca="1" si="158"/>
        <v>3.6851091498331309E-3</v>
      </c>
    </row>
    <row r="9599" spans="2:7" x14ac:dyDescent="0.25">
      <c r="B9599" s="98"/>
      <c r="F9599">
        <v>9595</v>
      </c>
      <c r="G9599" s="109">
        <f t="shared" ca="1" si="158"/>
        <v>-2.7165881773264941E-2</v>
      </c>
    </row>
    <row r="9600" spans="2:7" x14ac:dyDescent="0.25">
      <c r="B9600" s="98"/>
      <c r="F9600">
        <v>9596</v>
      </c>
      <c r="G9600" s="109">
        <f t="shared" ca="1" si="158"/>
        <v>-2.6769684458222628E-2</v>
      </c>
    </row>
    <row r="9601" spans="2:7" x14ac:dyDescent="0.25">
      <c r="B9601" s="98"/>
      <c r="F9601">
        <v>9597</v>
      </c>
      <c r="G9601" s="109">
        <f t="shared" ca="1" si="158"/>
        <v>-1.9363272626203049E-2</v>
      </c>
    </row>
    <row r="9602" spans="2:7" x14ac:dyDescent="0.25">
      <c r="B9602" s="98"/>
      <c r="F9602">
        <v>9598</v>
      </c>
      <c r="G9602" s="109">
        <f t="shared" ca="1" si="158"/>
        <v>6.6298224799255415E-2</v>
      </c>
    </row>
    <row r="9603" spans="2:7" x14ac:dyDescent="0.25">
      <c r="B9603" s="98"/>
      <c r="F9603">
        <v>9599</v>
      </c>
      <c r="G9603" s="109">
        <f t="shared" ca="1" si="158"/>
        <v>-0.13602425112779931</v>
      </c>
    </row>
    <row r="9604" spans="2:7" x14ac:dyDescent="0.25">
      <c r="B9604" s="98"/>
      <c r="F9604">
        <v>9600</v>
      </c>
      <c r="G9604" s="109">
        <f t="shared" ca="1" si="158"/>
        <v>0.17574461616983106</v>
      </c>
    </row>
    <row r="9605" spans="2:7" x14ac:dyDescent="0.25">
      <c r="B9605" s="98"/>
      <c r="F9605">
        <v>9601</v>
      </c>
      <c r="G9605" s="109">
        <f t="shared" ca="1" si="158"/>
        <v>3.5085097649473623E-2</v>
      </c>
    </row>
    <row r="9606" spans="2:7" x14ac:dyDescent="0.25">
      <c r="B9606" s="98"/>
      <c r="F9606">
        <v>9602</v>
      </c>
      <c r="G9606" s="109">
        <f t="shared" ref="G9606:G9669" ca="1" si="159">_xlfn.NORM.INV(RAND(),$M$5,$M$6)</f>
        <v>0.26324981732320274</v>
      </c>
    </row>
    <row r="9607" spans="2:7" x14ac:dyDescent="0.25">
      <c r="B9607" s="98"/>
      <c r="F9607">
        <v>9603</v>
      </c>
      <c r="G9607" s="109">
        <f t="shared" ca="1" si="159"/>
        <v>2.3599172174612059E-2</v>
      </c>
    </row>
    <row r="9608" spans="2:7" x14ac:dyDescent="0.25">
      <c r="B9608" s="98"/>
      <c r="F9608">
        <v>9604</v>
      </c>
      <c r="G9608" s="109">
        <f t="shared" ca="1" si="159"/>
        <v>-1.8091649898457768E-2</v>
      </c>
    </row>
    <row r="9609" spans="2:7" x14ac:dyDescent="0.25">
      <c r="B9609" s="98"/>
      <c r="F9609">
        <v>9605</v>
      </c>
      <c r="G9609" s="109">
        <f t="shared" ca="1" si="159"/>
        <v>3.1353510199423271E-2</v>
      </c>
    </row>
    <row r="9610" spans="2:7" x14ac:dyDescent="0.25">
      <c r="B9610" s="98"/>
      <c r="F9610">
        <v>9606</v>
      </c>
      <c r="G9610" s="109">
        <f t="shared" ca="1" si="159"/>
        <v>1.5408019805282305E-2</v>
      </c>
    </row>
    <row r="9611" spans="2:7" x14ac:dyDescent="0.25">
      <c r="B9611" s="98"/>
      <c r="F9611">
        <v>9607</v>
      </c>
      <c r="G9611" s="109">
        <f t="shared" ca="1" si="159"/>
        <v>4.9716602735793348E-2</v>
      </c>
    </row>
    <row r="9612" spans="2:7" x14ac:dyDescent="0.25">
      <c r="B9612" s="98"/>
      <c r="F9612">
        <v>9608</v>
      </c>
      <c r="G9612" s="109">
        <f t="shared" ca="1" si="159"/>
        <v>0.17278741809361131</v>
      </c>
    </row>
    <row r="9613" spans="2:7" x14ac:dyDescent="0.25">
      <c r="B9613" s="98"/>
      <c r="F9613">
        <v>9609</v>
      </c>
      <c r="G9613" s="109">
        <f t="shared" ca="1" si="159"/>
        <v>-0.1463168615394243</v>
      </c>
    </row>
    <row r="9614" spans="2:7" x14ac:dyDescent="0.25">
      <c r="B9614" s="98"/>
      <c r="F9614">
        <v>9610</v>
      </c>
      <c r="G9614" s="109">
        <f t="shared" ca="1" si="159"/>
        <v>-6.2646859638839758E-2</v>
      </c>
    </row>
    <row r="9615" spans="2:7" x14ac:dyDescent="0.25">
      <c r="B9615" s="98"/>
      <c r="F9615">
        <v>9611</v>
      </c>
      <c r="G9615" s="109">
        <f t="shared" ca="1" si="159"/>
        <v>-9.6137828733562011E-2</v>
      </c>
    </row>
    <row r="9616" spans="2:7" x14ac:dyDescent="0.25">
      <c r="B9616" s="98"/>
      <c r="F9616">
        <v>9612</v>
      </c>
      <c r="G9616" s="109">
        <f t="shared" ca="1" si="159"/>
        <v>6.24027963006836E-3</v>
      </c>
    </row>
    <row r="9617" spans="2:7" x14ac:dyDescent="0.25">
      <c r="B9617" s="98"/>
      <c r="F9617">
        <v>9613</v>
      </c>
      <c r="G9617" s="109">
        <f t="shared" ca="1" si="159"/>
        <v>-5.1742235420206256E-2</v>
      </c>
    </row>
    <row r="9618" spans="2:7" x14ac:dyDescent="0.25">
      <c r="B9618" s="98"/>
      <c r="F9618">
        <v>9614</v>
      </c>
      <c r="G9618" s="109">
        <f t="shared" ca="1" si="159"/>
        <v>-0.13941318335777814</v>
      </c>
    </row>
    <row r="9619" spans="2:7" x14ac:dyDescent="0.25">
      <c r="B9619" s="98"/>
      <c r="F9619">
        <v>9615</v>
      </c>
      <c r="G9619" s="109">
        <f t="shared" ca="1" si="159"/>
        <v>-8.4840707252857403E-2</v>
      </c>
    </row>
    <row r="9620" spans="2:7" x14ac:dyDescent="0.25">
      <c r="B9620" s="98"/>
      <c r="F9620">
        <v>9616</v>
      </c>
      <c r="G9620" s="109">
        <f t="shared" ca="1" si="159"/>
        <v>1.6146380408618641E-3</v>
      </c>
    </row>
    <row r="9621" spans="2:7" x14ac:dyDescent="0.25">
      <c r="B9621" s="98"/>
      <c r="F9621">
        <v>9617</v>
      </c>
      <c r="G9621" s="109">
        <f t="shared" ca="1" si="159"/>
        <v>7.5331909261565466E-2</v>
      </c>
    </row>
    <row r="9622" spans="2:7" x14ac:dyDescent="0.25">
      <c r="B9622" s="98"/>
      <c r="F9622">
        <v>9618</v>
      </c>
      <c r="G9622" s="109">
        <f t="shared" ca="1" si="159"/>
        <v>0.13823440820810218</v>
      </c>
    </row>
    <row r="9623" spans="2:7" x14ac:dyDescent="0.25">
      <c r="B9623" s="98"/>
      <c r="F9623">
        <v>9619</v>
      </c>
      <c r="G9623" s="109">
        <f t="shared" ca="1" si="159"/>
        <v>0.20224388038882396</v>
      </c>
    </row>
    <row r="9624" spans="2:7" x14ac:dyDescent="0.25">
      <c r="B9624" s="98"/>
      <c r="F9624">
        <v>9620</v>
      </c>
      <c r="G9624" s="109">
        <f t="shared" ca="1" si="159"/>
        <v>8.2256402915449639E-2</v>
      </c>
    </row>
    <row r="9625" spans="2:7" x14ac:dyDescent="0.25">
      <c r="B9625" s="98"/>
      <c r="F9625">
        <v>9621</v>
      </c>
      <c r="G9625" s="109">
        <f t="shared" ca="1" si="159"/>
        <v>-0.10898799531905</v>
      </c>
    </row>
    <row r="9626" spans="2:7" x14ac:dyDescent="0.25">
      <c r="B9626" s="98"/>
      <c r="F9626">
        <v>9622</v>
      </c>
      <c r="G9626" s="109">
        <f t="shared" ca="1" si="159"/>
        <v>-0.15892696248363275</v>
      </c>
    </row>
    <row r="9627" spans="2:7" x14ac:dyDescent="0.25">
      <c r="B9627" s="98"/>
      <c r="F9627">
        <v>9623</v>
      </c>
      <c r="G9627" s="109">
        <f t="shared" ca="1" si="159"/>
        <v>0.12038316960416004</v>
      </c>
    </row>
    <row r="9628" spans="2:7" x14ac:dyDescent="0.25">
      <c r="B9628" s="98"/>
      <c r="F9628">
        <v>9624</v>
      </c>
      <c r="G9628" s="109">
        <f t="shared" ca="1" si="159"/>
        <v>-2.1755876136247909E-2</v>
      </c>
    </row>
    <row r="9629" spans="2:7" x14ac:dyDescent="0.25">
      <c r="B9629" s="98"/>
      <c r="F9629">
        <v>9625</v>
      </c>
      <c r="G9629" s="109">
        <f t="shared" ca="1" si="159"/>
        <v>6.3712632265811794E-2</v>
      </c>
    </row>
    <row r="9630" spans="2:7" x14ac:dyDescent="0.25">
      <c r="B9630" s="98"/>
      <c r="F9630">
        <v>9626</v>
      </c>
      <c r="G9630" s="109">
        <f t="shared" ca="1" si="159"/>
        <v>8.3845900821775454E-2</v>
      </c>
    </row>
    <row r="9631" spans="2:7" x14ac:dyDescent="0.25">
      <c r="B9631" s="98"/>
      <c r="F9631">
        <v>9627</v>
      </c>
      <c r="G9631" s="109">
        <f t="shared" ca="1" si="159"/>
        <v>7.3712275971988567E-2</v>
      </c>
    </row>
    <row r="9632" spans="2:7" x14ac:dyDescent="0.25">
      <c r="B9632" s="98"/>
      <c r="F9632">
        <v>9628</v>
      </c>
      <c r="G9632" s="109">
        <f t="shared" ca="1" si="159"/>
        <v>0.1154985186387589</v>
      </c>
    </row>
    <row r="9633" spans="2:7" x14ac:dyDescent="0.25">
      <c r="B9633" s="98"/>
      <c r="F9633">
        <v>9629</v>
      </c>
      <c r="G9633" s="109">
        <f t="shared" ca="1" si="159"/>
        <v>-0.13041274430381883</v>
      </c>
    </row>
    <row r="9634" spans="2:7" x14ac:dyDescent="0.25">
      <c r="B9634" s="98"/>
      <c r="F9634">
        <v>9630</v>
      </c>
      <c r="G9634" s="109">
        <f t="shared" ca="1" si="159"/>
        <v>8.9537305816328197E-2</v>
      </c>
    </row>
    <row r="9635" spans="2:7" x14ac:dyDescent="0.25">
      <c r="B9635" s="98"/>
      <c r="F9635">
        <v>9631</v>
      </c>
      <c r="G9635" s="109">
        <f t="shared" ca="1" si="159"/>
        <v>2.8920899164669691E-2</v>
      </c>
    </row>
    <row r="9636" spans="2:7" x14ac:dyDescent="0.25">
      <c r="B9636" s="98"/>
      <c r="F9636">
        <v>9632</v>
      </c>
      <c r="G9636" s="109">
        <f t="shared" ca="1" si="159"/>
        <v>4.1960824800758856E-2</v>
      </c>
    </row>
    <row r="9637" spans="2:7" x14ac:dyDescent="0.25">
      <c r="B9637" s="98"/>
      <c r="F9637">
        <v>9633</v>
      </c>
      <c r="G9637" s="109">
        <f t="shared" ca="1" si="159"/>
        <v>4.7323016719827991E-2</v>
      </c>
    </row>
    <row r="9638" spans="2:7" x14ac:dyDescent="0.25">
      <c r="B9638" s="98"/>
      <c r="F9638">
        <v>9634</v>
      </c>
      <c r="G9638" s="109">
        <f t="shared" ca="1" si="159"/>
        <v>-5.3011824621241321E-3</v>
      </c>
    </row>
    <row r="9639" spans="2:7" x14ac:dyDescent="0.25">
      <c r="B9639" s="98"/>
      <c r="F9639">
        <v>9635</v>
      </c>
      <c r="G9639" s="109">
        <f t="shared" ca="1" si="159"/>
        <v>0.34426679864073095</v>
      </c>
    </row>
    <row r="9640" spans="2:7" x14ac:dyDescent="0.25">
      <c r="B9640" s="98"/>
      <c r="F9640">
        <v>9636</v>
      </c>
      <c r="G9640" s="109">
        <f t="shared" ca="1" si="159"/>
        <v>-2.7393703225299604E-2</v>
      </c>
    </row>
    <row r="9641" spans="2:7" x14ac:dyDescent="0.25">
      <c r="B9641" s="98"/>
      <c r="F9641">
        <v>9637</v>
      </c>
      <c r="G9641" s="109">
        <f t="shared" ca="1" si="159"/>
        <v>9.6405237615010103E-2</v>
      </c>
    </row>
    <row r="9642" spans="2:7" x14ac:dyDescent="0.25">
      <c r="B9642" s="98"/>
      <c r="F9642">
        <v>9638</v>
      </c>
      <c r="G9642" s="109">
        <f t="shared" ca="1" si="159"/>
        <v>3.202083056172253E-2</v>
      </c>
    </row>
    <row r="9643" spans="2:7" x14ac:dyDescent="0.25">
      <c r="B9643" s="98"/>
      <c r="F9643">
        <v>9639</v>
      </c>
      <c r="G9643" s="109">
        <f t="shared" ca="1" si="159"/>
        <v>0.12293945654980036</v>
      </c>
    </row>
    <row r="9644" spans="2:7" x14ac:dyDescent="0.25">
      <c r="B9644" s="98"/>
      <c r="F9644">
        <v>9640</v>
      </c>
      <c r="G9644" s="109">
        <f t="shared" ca="1" si="159"/>
        <v>6.3978578536383529E-2</v>
      </c>
    </row>
    <row r="9645" spans="2:7" x14ac:dyDescent="0.25">
      <c r="B9645" s="98"/>
      <c r="F9645">
        <v>9641</v>
      </c>
      <c r="G9645" s="109">
        <f t="shared" ca="1" si="159"/>
        <v>0.10235462153239261</v>
      </c>
    </row>
    <row r="9646" spans="2:7" x14ac:dyDescent="0.25">
      <c r="B9646" s="98"/>
      <c r="F9646">
        <v>9642</v>
      </c>
      <c r="G9646" s="109">
        <f t="shared" ca="1" si="159"/>
        <v>-1.7304675521246746E-2</v>
      </c>
    </row>
    <row r="9647" spans="2:7" x14ac:dyDescent="0.25">
      <c r="B9647" s="98"/>
      <c r="F9647">
        <v>9643</v>
      </c>
      <c r="G9647" s="109">
        <f t="shared" ca="1" si="159"/>
        <v>1.6708188476004519E-2</v>
      </c>
    </row>
    <row r="9648" spans="2:7" x14ac:dyDescent="0.25">
      <c r="B9648" s="98"/>
      <c r="F9648">
        <v>9644</v>
      </c>
      <c r="G9648" s="109">
        <f t="shared" ca="1" si="159"/>
        <v>5.1262188339900282E-2</v>
      </c>
    </row>
    <row r="9649" spans="2:7" x14ac:dyDescent="0.25">
      <c r="B9649" s="98"/>
      <c r="F9649">
        <v>9645</v>
      </c>
      <c r="G9649" s="109">
        <f t="shared" ca="1" si="159"/>
        <v>-2.8083744002216832E-2</v>
      </c>
    </row>
    <row r="9650" spans="2:7" x14ac:dyDescent="0.25">
      <c r="B9650" s="98"/>
      <c r="F9650">
        <v>9646</v>
      </c>
      <c r="G9650" s="109">
        <f t="shared" ca="1" si="159"/>
        <v>3.0697964359587073E-2</v>
      </c>
    </row>
    <row r="9651" spans="2:7" x14ac:dyDescent="0.25">
      <c r="B9651" s="98"/>
      <c r="F9651">
        <v>9647</v>
      </c>
      <c r="G9651" s="109">
        <f t="shared" ca="1" si="159"/>
        <v>4.5392921021483137E-2</v>
      </c>
    </row>
    <row r="9652" spans="2:7" x14ac:dyDescent="0.25">
      <c r="B9652" s="98"/>
      <c r="F9652">
        <v>9648</v>
      </c>
      <c r="G9652" s="109">
        <f t="shared" ca="1" si="159"/>
        <v>-1.137746203541367E-2</v>
      </c>
    </row>
    <row r="9653" spans="2:7" x14ac:dyDescent="0.25">
      <c r="B9653" s="98"/>
      <c r="F9653">
        <v>9649</v>
      </c>
      <c r="G9653" s="109">
        <f t="shared" ca="1" si="159"/>
        <v>4.4161494293389433E-2</v>
      </c>
    </row>
    <row r="9654" spans="2:7" x14ac:dyDescent="0.25">
      <c r="B9654" s="98"/>
      <c r="F9654">
        <v>9650</v>
      </c>
      <c r="G9654" s="109">
        <f t="shared" ca="1" si="159"/>
        <v>9.4442936030425348E-2</v>
      </c>
    </row>
    <row r="9655" spans="2:7" x14ac:dyDescent="0.25">
      <c r="B9655" s="98"/>
      <c r="F9655">
        <v>9651</v>
      </c>
      <c r="G9655" s="109">
        <f t="shared" ca="1" si="159"/>
        <v>3.3960349818330571E-2</v>
      </c>
    </row>
    <row r="9656" spans="2:7" x14ac:dyDescent="0.25">
      <c r="B9656" s="98"/>
      <c r="F9656">
        <v>9652</v>
      </c>
      <c r="G9656" s="109">
        <f t="shared" ca="1" si="159"/>
        <v>0.21062948141385351</v>
      </c>
    </row>
    <row r="9657" spans="2:7" x14ac:dyDescent="0.25">
      <c r="B9657" s="98"/>
      <c r="F9657">
        <v>9653</v>
      </c>
      <c r="G9657" s="109">
        <f t="shared" ca="1" si="159"/>
        <v>6.227496969892813E-2</v>
      </c>
    </row>
    <row r="9658" spans="2:7" x14ac:dyDescent="0.25">
      <c r="B9658" s="98"/>
      <c r="F9658">
        <v>9654</v>
      </c>
      <c r="G9658" s="109">
        <f t="shared" ca="1" si="159"/>
        <v>4.1108960886081861E-3</v>
      </c>
    </row>
    <row r="9659" spans="2:7" x14ac:dyDescent="0.25">
      <c r="B9659" s="98"/>
      <c r="F9659">
        <v>9655</v>
      </c>
      <c r="G9659" s="109">
        <f t="shared" ca="1" si="159"/>
        <v>0.11015472634644506</v>
      </c>
    </row>
    <row r="9660" spans="2:7" x14ac:dyDescent="0.25">
      <c r="B9660" s="98"/>
      <c r="F9660">
        <v>9656</v>
      </c>
      <c r="G9660" s="109">
        <f t="shared" ca="1" si="159"/>
        <v>-2.1868577779983314E-2</v>
      </c>
    </row>
    <row r="9661" spans="2:7" x14ac:dyDescent="0.25">
      <c r="B9661" s="98"/>
      <c r="F9661">
        <v>9657</v>
      </c>
      <c r="G9661" s="109">
        <f t="shared" ca="1" si="159"/>
        <v>3.2317040312645269E-2</v>
      </c>
    </row>
    <row r="9662" spans="2:7" x14ac:dyDescent="0.25">
      <c r="B9662" s="98"/>
      <c r="F9662">
        <v>9658</v>
      </c>
      <c r="G9662" s="109">
        <f t="shared" ca="1" si="159"/>
        <v>-3.215666535370347E-2</v>
      </c>
    </row>
    <row r="9663" spans="2:7" x14ac:dyDescent="0.25">
      <c r="B9663" s="98"/>
      <c r="F9663">
        <v>9659</v>
      </c>
      <c r="G9663" s="109">
        <f t="shared" ca="1" si="159"/>
        <v>-0.12835858986972642</v>
      </c>
    </row>
    <row r="9664" spans="2:7" x14ac:dyDescent="0.25">
      <c r="B9664" s="98"/>
      <c r="F9664">
        <v>9660</v>
      </c>
      <c r="G9664" s="109">
        <f t="shared" ca="1" si="159"/>
        <v>-6.2870490104713753E-2</v>
      </c>
    </row>
    <row r="9665" spans="2:7" x14ac:dyDescent="0.25">
      <c r="B9665" s="98"/>
      <c r="F9665">
        <v>9661</v>
      </c>
      <c r="G9665" s="109">
        <f t="shared" ca="1" si="159"/>
        <v>1.276812905169266E-2</v>
      </c>
    </row>
    <row r="9666" spans="2:7" x14ac:dyDescent="0.25">
      <c r="B9666" s="98"/>
      <c r="F9666">
        <v>9662</v>
      </c>
      <c r="G9666" s="109">
        <f t="shared" ca="1" si="159"/>
        <v>-3.4187770334147341E-2</v>
      </c>
    </row>
    <row r="9667" spans="2:7" x14ac:dyDescent="0.25">
      <c r="B9667" s="98"/>
      <c r="F9667">
        <v>9663</v>
      </c>
      <c r="G9667" s="109">
        <f t="shared" ca="1" si="159"/>
        <v>4.4371930791753916E-2</v>
      </c>
    </row>
    <row r="9668" spans="2:7" x14ac:dyDescent="0.25">
      <c r="B9668" s="98"/>
      <c r="F9668">
        <v>9664</v>
      </c>
      <c r="G9668" s="109">
        <f t="shared" ca="1" si="159"/>
        <v>0.10908890307486853</v>
      </c>
    </row>
    <row r="9669" spans="2:7" x14ac:dyDescent="0.25">
      <c r="B9669" s="98"/>
      <c r="F9669">
        <v>9665</v>
      </c>
      <c r="G9669" s="109">
        <f t="shared" ca="1" si="159"/>
        <v>4.7536058423856872E-2</v>
      </c>
    </row>
    <row r="9670" spans="2:7" x14ac:dyDescent="0.25">
      <c r="B9670" s="98"/>
      <c r="F9670">
        <v>9666</v>
      </c>
      <c r="G9670" s="109">
        <f t="shared" ref="G9670:G9733" ca="1" si="160">_xlfn.NORM.INV(RAND(),$M$5,$M$6)</f>
        <v>-2.6875375611212157E-3</v>
      </c>
    </row>
    <row r="9671" spans="2:7" x14ac:dyDescent="0.25">
      <c r="B9671" s="98"/>
      <c r="F9671">
        <v>9667</v>
      </c>
      <c r="G9671" s="109">
        <f t="shared" ca="1" si="160"/>
        <v>-3.1735965321979004E-2</v>
      </c>
    </row>
    <row r="9672" spans="2:7" x14ac:dyDescent="0.25">
      <c r="B9672" s="98"/>
      <c r="F9672">
        <v>9668</v>
      </c>
      <c r="G9672" s="109">
        <f t="shared" ca="1" si="160"/>
        <v>0.10864578717629182</v>
      </c>
    </row>
    <row r="9673" spans="2:7" x14ac:dyDescent="0.25">
      <c r="B9673" s="98"/>
      <c r="F9673">
        <v>9669</v>
      </c>
      <c r="G9673" s="109">
        <f t="shared" ca="1" si="160"/>
        <v>-3.7256642497561832E-2</v>
      </c>
    </row>
    <row r="9674" spans="2:7" x14ac:dyDescent="0.25">
      <c r="B9674" s="98"/>
      <c r="F9674">
        <v>9670</v>
      </c>
      <c r="G9674" s="109">
        <f t="shared" ca="1" si="160"/>
        <v>0.11319026345367734</v>
      </c>
    </row>
    <row r="9675" spans="2:7" x14ac:dyDescent="0.25">
      <c r="B9675" s="98"/>
      <c r="F9675">
        <v>9671</v>
      </c>
      <c r="G9675" s="109">
        <f t="shared" ca="1" si="160"/>
        <v>3.5780103966694447E-2</v>
      </c>
    </row>
    <row r="9676" spans="2:7" x14ac:dyDescent="0.25">
      <c r="B9676" s="98"/>
      <c r="F9676">
        <v>9672</v>
      </c>
      <c r="G9676" s="109">
        <f t="shared" ca="1" si="160"/>
        <v>0.15060858082279369</v>
      </c>
    </row>
    <row r="9677" spans="2:7" x14ac:dyDescent="0.25">
      <c r="B9677" s="98"/>
      <c r="F9677">
        <v>9673</v>
      </c>
      <c r="G9677" s="109">
        <f t="shared" ca="1" si="160"/>
        <v>-1.8603340366249096E-2</v>
      </c>
    </row>
    <row r="9678" spans="2:7" x14ac:dyDescent="0.25">
      <c r="B9678" s="98"/>
      <c r="F9678">
        <v>9674</v>
      </c>
      <c r="G9678" s="109">
        <f t="shared" ca="1" si="160"/>
        <v>0.11642263513369502</v>
      </c>
    </row>
    <row r="9679" spans="2:7" x14ac:dyDescent="0.25">
      <c r="B9679" s="98"/>
      <c r="F9679">
        <v>9675</v>
      </c>
      <c r="G9679" s="109">
        <f t="shared" ca="1" si="160"/>
        <v>8.9726375103666059E-2</v>
      </c>
    </row>
    <row r="9680" spans="2:7" x14ac:dyDescent="0.25">
      <c r="B9680" s="98"/>
      <c r="F9680">
        <v>9676</v>
      </c>
      <c r="G9680" s="109">
        <f t="shared" ca="1" si="160"/>
        <v>0.13467615982646697</v>
      </c>
    </row>
    <row r="9681" spans="2:7" x14ac:dyDescent="0.25">
      <c r="B9681" s="98"/>
      <c r="F9681">
        <v>9677</v>
      </c>
      <c r="G9681" s="109">
        <f t="shared" ca="1" si="160"/>
        <v>3.5756671564947468E-2</v>
      </c>
    </row>
    <row r="9682" spans="2:7" x14ac:dyDescent="0.25">
      <c r="B9682" s="98"/>
      <c r="F9682">
        <v>9678</v>
      </c>
      <c r="G9682" s="109">
        <f t="shared" ca="1" si="160"/>
        <v>3.6330246050789827E-2</v>
      </c>
    </row>
    <row r="9683" spans="2:7" x14ac:dyDescent="0.25">
      <c r="B9683" s="98"/>
      <c r="F9683">
        <v>9679</v>
      </c>
      <c r="G9683" s="109">
        <f t="shared" ca="1" si="160"/>
        <v>-1.5557855827655676E-2</v>
      </c>
    </row>
    <row r="9684" spans="2:7" x14ac:dyDescent="0.25">
      <c r="B9684" s="98"/>
      <c r="F9684">
        <v>9680</v>
      </c>
      <c r="G9684" s="109">
        <f t="shared" ca="1" si="160"/>
        <v>-4.2767215572602796E-2</v>
      </c>
    </row>
    <row r="9685" spans="2:7" x14ac:dyDescent="0.25">
      <c r="B9685" s="98"/>
      <c r="F9685">
        <v>9681</v>
      </c>
      <c r="G9685" s="109">
        <f t="shared" ca="1" si="160"/>
        <v>9.6189510262186764E-2</v>
      </c>
    </row>
    <row r="9686" spans="2:7" x14ac:dyDescent="0.25">
      <c r="B9686" s="98"/>
      <c r="F9686">
        <v>9682</v>
      </c>
      <c r="G9686" s="109">
        <f t="shared" ca="1" si="160"/>
        <v>0.12218013734298266</v>
      </c>
    </row>
    <row r="9687" spans="2:7" x14ac:dyDescent="0.25">
      <c r="B9687" s="98"/>
      <c r="F9687">
        <v>9683</v>
      </c>
      <c r="G9687" s="109">
        <f t="shared" ca="1" si="160"/>
        <v>2.4555159357196241E-2</v>
      </c>
    </row>
    <row r="9688" spans="2:7" x14ac:dyDescent="0.25">
      <c r="B9688" s="98"/>
      <c r="F9688">
        <v>9684</v>
      </c>
      <c r="G9688" s="109">
        <f t="shared" ca="1" si="160"/>
        <v>4.3398356342641768E-2</v>
      </c>
    </row>
    <row r="9689" spans="2:7" x14ac:dyDescent="0.25">
      <c r="B9689" s="98"/>
      <c r="F9689">
        <v>9685</v>
      </c>
      <c r="G9689" s="109">
        <f t="shared" ca="1" si="160"/>
        <v>0.45594011241922733</v>
      </c>
    </row>
    <row r="9690" spans="2:7" x14ac:dyDescent="0.25">
      <c r="B9690" s="98"/>
      <c r="F9690">
        <v>9686</v>
      </c>
      <c r="G9690" s="109">
        <f t="shared" ca="1" si="160"/>
        <v>-7.051339863714641E-2</v>
      </c>
    </row>
    <row r="9691" spans="2:7" x14ac:dyDescent="0.25">
      <c r="B9691" s="98"/>
      <c r="F9691">
        <v>9687</v>
      </c>
      <c r="G9691" s="109">
        <f t="shared" ca="1" si="160"/>
        <v>9.1858928608799448E-3</v>
      </c>
    </row>
    <row r="9692" spans="2:7" x14ac:dyDescent="0.25">
      <c r="B9692" s="98"/>
      <c r="F9692">
        <v>9688</v>
      </c>
      <c r="G9692" s="109">
        <f t="shared" ca="1" si="160"/>
        <v>-4.4069135227550724E-2</v>
      </c>
    </row>
    <row r="9693" spans="2:7" x14ac:dyDescent="0.25">
      <c r="B9693" s="98"/>
      <c r="F9693">
        <v>9689</v>
      </c>
      <c r="G9693" s="109">
        <f t="shared" ca="1" si="160"/>
        <v>-3.9288020131810486E-2</v>
      </c>
    </row>
    <row r="9694" spans="2:7" x14ac:dyDescent="0.25">
      <c r="B9694" s="98"/>
      <c r="F9694">
        <v>9690</v>
      </c>
      <c r="G9694" s="109">
        <f t="shared" ca="1" si="160"/>
        <v>0.10008028265321907</v>
      </c>
    </row>
    <row r="9695" spans="2:7" x14ac:dyDescent="0.25">
      <c r="B9695" s="98"/>
      <c r="F9695">
        <v>9691</v>
      </c>
      <c r="G9695" s="109">
        <f t="shared" ca="1" si="160"/>
        <v>0.25301619588907837</v>
      </c>
    </row>
    <row r="9696" spans="2:7" x14ac:dyDescent="0.25">
      <c r="B9696" s="98"/>
      <c r="F9696">
        <v>9692</v>
      </c>
      <c r="G9696" s="109">
        <f t="shared" ca="1" si="160"/>
        <v>-0.12830981106582195</v>
      </c>
    </row>
    <row r="9697" spans="2:7" x14ac:dyDescent="0.25">
      <c r="B9697" s="98"/>
      <c r="F9697">
        <v>9693</v>
      </c>
      <c r="G9697" s="109">
        <f t="shared" ca="1" si="160"/>
        <v>0.11885113962628328</v>
      </c>
    </row>
    <row r="9698" spans="2:7" x14ac:dyDescent="0.25">
      <c r="B9698" s="98"/>
      <c r="F9698">
        <v>9694</v>
      </c>
      <c r="G9698" s="109">
        <f t="shared" ca="1" si="160"/>
        <v>0.15257271548816376</v>
      </c>
    </row>
    <row r="9699" spans="2:7" x14ac:dyDescent="0.25">
      <c r="B9699" s="98"/>
      <c r="F9699">
        <v>9695</v>
      </c>
      <c r="G9699" s="109">
        <f t="shared" ca="1" si="160"/>
        <v>-3.5695778475507742E-2</v>
      </c>
    </row>
    <row r="9700" spans="2:7" x14ac:dyDescent="0.25">
      <c r="B9700" s="98"/>
      <c r="F9700">
        <v>9696</v>
      </c>
      <c r="G9700" s="109">
        <f t="shared" ca="1" si="160"/>
        <v>3.168872010707828E-2</v>
      </c>
    </row>
    <row r="9701" spans="2:7" x14ac:dyDescent="0.25">
      <c r="B9701" s="98"/>
      <c r="F9701">
        <v>9697</v>
      </c>
      <c r="G9701" s="109">
        <f t="shared" ca="1" si="160"/>
        <v>0.19488926782857235</v>
      </c>
    </row>
    <row r="9702" spans="2:7" x14ac:dyDescent="0.25">
      <c r="B9702" s="98"/>
      <c r="F9702">
        <v>9698</v>
      </c>
      <c r="G9702" s="109">
        <f t="shared" ca="1" si="160"/>
        <v>0.16391633025823907</v>
      </c>
    </row>
    <row r="9703" spans="2:7" x14ac:dyDescent="0.25">
      <c r="B9703" s="98"/>
      <c r="F9703">
        <v>9699</v>
      </c>
      <c r="G9703" s="109">
        <f t="shared" ca="1" si="160"/>
        <v>0.21673063275138232</v>
      </c>
    </row>
    <row r="9704" spans="2:7" x14ac:dyDescent="0.25">
      <c r="B9704" s="98"/>
      <c r="F9704">
        <v>9700</v>
      </c>
      <c r="G9704" s="109">
        <f t="shared" ca="1" si="160"/>
        <v>-0.16225055529177096</v>
      </c>
    </row>
    <row r="9705" spans="2:7" x14ac:dyDescent="0.25">
      <c r="B9705" s="98"/>
      <c r="F9705">
        <v>9701</v>
      </c>
      <c r="G9705" s="109">
        <f t="shared" ca="1" si="160"/>
        <v>-1.6636812197987433E-2</v>
      </c>
    </row>
    <row r="9706" spans="2:7" x14ac:dyDescent="0.25">
      <c r="B9706" s="98"/>
      <c r="F9706">
        <v>9702</v>
      </c>
      <c r="G9706" s="109">
        <f t="shared" ca="1" si="160"/>
        <v>-0.19143216240664784</v>
      </c>
    </row>
    <row r="9707" spans="2:7" x14ac:dyDescent="0.25">
      <c r="B9707" s="98"/>
      <c r="F9707">
        <v>9703</v>
      </c>
      <c r="G9707" s="109">
        <f t="shared" ca="1" si="160"/>
        <v>5.1987459644127418E-2</v>
      </c>
    </row>
    <row r="9708" spans="2:7" x14ac:dyDescent="0.25">
      <c r="B9708" s="98"/>
      <c r="F9708">
        <v>9704</v>
      </c>
      <c r="G9708" s="109">
        <f t="shared" ca="1" si="160"/>
        <v>0.24839249495810739</v>
      </c>
    </row>
    <row r="9709" spans="2:7" x14ac:dyDescent="0.25">
      <c r="B9709" s="98"/>
      <c r="F9709">
        <v>9705</v>
      </c>
      <c r="G9709" s="109">
        <f t="shared" ca="1" si="160"/>
        <v>0.11231974613211146</v>
      </c>
    </row>
    <row r="9710" spans="2:7" x14ac:dyDescent="0.25">
      <c r="B9710" s="98"/>
      <c r="F9710">
        <v>9706</v>
      </c>
      <c r="G9710" s="109">
        <f t="shared" ca="1" si="160"/>
        <v>-7.2193029957910299E-2</v>
      </c>
    </row>
    <row r="9711" spans="2:7" x14ac:dyDescent="0.25">
      <c r="B9711" s="98"/>
      <c r="F9711">
        <v>9707</v>
      </c>
      <c r="G9711" s="109">
        <f t="shared" ca="1" si="160"/>
        <v>-0.12286192003583098</v>
      </c>
    </row>
    <row r="9712" spans="2:7" x14ac:dyDescent="0.25">
      <c r="B9712" s="98"/>
      <c r="F9712">
        <v>9708</v>
      </c>
      <c r="G9712" s="109">
        <f t="shared" ca="1" si="160"/>
        <v>3.2249353596738452E-2</v>
      </c>
    </row>
    <row r="9713" spans="2:7" x14ac:dyDescent="0.25">
      <c r="B9713" s="98"/>
      <c r="F9713">
        <v>9709</v>
      </c>
      <c r="G9713" s="109">
        <f t="shared" ca="1" si="160"/>
        <v>0.24439003501727624</v>
      </c>
    </row>
    <row r="9714" spans="2:7" x14ac:dyDescent="0.25">
      <c r="B9714" s="98"/>
      <c r="F9714">
        <v>9710</v>
      </c>
      <c r="G9714" s="109">
        <f t="shared" ca="1" si="160"/>
        <v>0.14017662096971023</v>
      </c>
    </row>
    <row r="9715" spans="2:7" x14ac:dyDescent="0.25">
      <c r="B9715" s="98"/>
      <c r="F9715">
        <v>9711</v>
      </c>
      <c r="G9715" s="109">
        <f t="shared" ca="1" si="160"/>
        <v>0.1200860112842539</v>
      </c>
    </row>
    <row r="9716" spans="2:7" x14ac:dyDescent="0.25">
      <c r="B9716" s="98"/>
      <c r="F9716">
        <v>9712</v>
      </c>
      <c r="G9716" s="109">
        <f t="shared" ca="1" si="160"/>
        <v>-0.14079631210207316</v>
      </c>
    </row>
    <row r="9717" spans="2:7" x14ac:dyDescent="0.25">
      <c r="B9717" s="98"/>
      <c r="F9717">
        <v>9713</v>
      </c>
      <c r="G9717" s="109">
        <f t="shared" ca="1" si="160"/>
        <v>-3.8692001073133545E-2</v>
      </c>
    </row>
    <row r="9718" spans="2:7" x14ac:dyDescent="0.25">
      <c r="B9718" s="98"/>
      <c r="F9718">
        <v>9714</v>
      </c>
      <c r="G9718" s="109">
        <f t="shared" ca="1" si="160"/>
        <v>-8.3571635556221699E-2</v>
      </c>
    </row>
    <row r="9719" spans="2:7" x14ac:dyDescent="0.25">
      <c r="B9719" s="98"/>
      <c r="F9719">
        <v>9715</v>
      </c>
      <c r="G9719" s="109">
        <f t="shared" ca="1" si="160"/>
        <v>0.13703504487970852</v>
      </c>
    </row>
    <row r="9720" spans="2:7" x14ac:dyDescent="0.25">
      <c r="B9720" s="98"/>
      <c r="F9720">
        <v>9716</v>
      </c>
      <c r="G9720" s="109">
        <f t="shared" ca="1" si="160"/>
        <v>0.16461949537046783</v>
      </c>
    </row>
    <row r="9721" spans="2:7" x14ac:dyDescent="0.25">
      <c r="B9721" s="98"/>
      <c r="F9721">
        <v>9717</v>
      </c>
      <c r="G9721" s="109">
        <f t="shared" ca="1" si="160"/>
        <v>0.13993151441305895</v>
      </c>
    </row>
    <row r="9722" spans="2:7" x14ac:dyDescent="0.25">
      <c r="B9722" s="98"/>
      <c r="F9722">
        <v>9718</v>
      </c>
      <c r="G9722" s="109">
        <f t="shared" ca="1" si="160"/>
        <v>2.4719663621532949E-2</v>
      </c>
    </row>
    <row r="9723" spans="2:7" x14ac:dyDescent="0.25">
      <c r="B9723" s="98"/>
      <c r="F9723">
        <v>9719</v>
      </c>
      <c r="G9723" s="109">
        <f t="shared" ca="1" si="160"/>
        <v>5.6975389888097264E-2</v>
      </c>
    </row>
    <row r="9724" spans="2:7" x14ac:dyDescent="0.25">
      <c r="B9724" s="98"/>
      <c r="F9724">
        <v>9720</v>
      </c>
      <c r="G9724" s="109">
        <f t="shared" ca="1" si="160"/>
        <v>-1.6353221852305776E-2</v>
      </c>
    </row>
    <row r="9725" spans="2:7" x14ac:dyDescent="0.25">
      <c r="B9725" s="98"/>
      <c r="F9725">
        <v>9721</v>
      </c>
      <c r="G9725" s="109">
        <f t="shared" ca="1" si="160"/>
        <v>-7.727402784987332E-2</v>
      </c>
    </row>
    <row r="9726" spans="2:7" x14ac:dyDescent="0.25">
      <c r="B9726" s="98"/>
      <c r="F9726">
        <v>9722</v>
      </c>
      <c r="G9726" s="109">
        <f t="shared" ca="1" si="160"/>
        <v>2.7336289352516262E-2</v>
      </c>
    </row>
    <row r="9727" spans="2:7" x14ac:dyDescent="0.25">
      <c r="B9727" s="98"/>
      <c r="F9727">
        <v>9723</v>
      </c>
      <c r="G9727" s="109">
        <f t="shared" ca="1" si="160"/>
        <v>-8.1368585420154502E-2</v>
      </c>
    </row>
    <row r="9728" spans="2:7" x14ac:dyDescent="0.25">
      <c r="B9728" s="98"/>
      <c r="F9728">
        <v>9724</v>
      </c>
      <c r="G9728" s="109">
        <f t="shared" ca="1" si="160"/>
        <v>0.362259170155036</v>
      </c>
    </row>
    <row r="9729" spans="2:7" x14ac:dyDescent="0.25">
      <c r="B9729" s="98"/>
      <c r="F9729">
        <v>9725</v>
      </c>
      <c r="G9729" s="109">
        <f t="shared" ca="1" si="160"/>
        <v>-5.4694417596735587E-2</v>
      </c>
    </row>
    <row r="9730" spans="2:7" x14ac:dyDescent="0.25">
      <c r="B9730" s="98"/>
      <c r="F9730">
        <v>9726</v>
      </c>
      <c r="G9730" s="109">
        <f t="shared" ca="1" si="160"/>
        <v>5.2396425247746251E-2</v>
      </c>
    </row>
    <row r="9731" spans="2:7" x14ac:dyDescent="0.25">
      <c r="B9731" s="98"/>
      <c r="F9731">
        <v>9727</v>
      </c>
      <c r="G9731" s="109">
        <f t="shared" ca="1" si="160"/>
        <v>6.722495737508688E-3</v>
      </c>
    </row>
    <row r="9732" spans="2:7" x14ac:dyDescent="0.25">
      <c r="B9732" s="98"/>
      <c r="F9732">
        <v>9728</v>
      </c>
      <c r="G9732" s="109">
        <f t="shared" ca="1" si="160"/>
        <v>-9.7453209192863641E-2</v>
      </c>
    </row>
    <row r="9733" spans="2:7" x14ac:dyDescent="0.25">
      <c r="B9733" s="98"/>
      <c r="F9733">
        <v>9729</v>
      </c>
      <c r="G9733" s="109">
        <f t="shared" ca="1" si="160"/>
        <v>0.21458030583912485</v>
      </c>
    </row>
    <row r="9734" spans="2:7" x14ac:dyDescent="0.25">
      <c r="B9734" s="98"/>
      <c r="F9734">
        <v>9730</v>
      </c>
      <c r="G9734" s="109">
        <f t="shared" ref="G9734:G9797" ca="1" si="161">_xlfn.NORM.INV(RAND(),$M$5,$M$6)</f>
        <v>9.3731204968424492E-2</v>
      </c>
    </row>
    <row r="9735" spans="2:7" x14ac:dyDescent="0.25">
      <c r="B9735" s="98"/>
      <c r="F9735">
        <v>9731</v>
      </c>
      <c r="G9735" s="109">
        <f t="shared" ca="1" si="161"/>
        <v>0.11075946472580921</v>
      </c>
    </row>
    <row r="9736" spans="2:7" x14ac:dyDescent="0.25">
      <c r="B9736" s="98"/>
      <c r="F9736">
        <v>9732</v>
      </c>
      <c r="G9736" s="109">
        <f t="shared" ca="1" si="161"/>
        <v>-0.11642509547856415</v>
      </c>
    </row>
    <row r="9737" spans="2:7" x14ac:dyDescent="0.25">
      <c r="B9737" s="98"/>
      <c r="F9737">
        <v>9733</v>
      </c>
      <c r="G9737" s="109">
        <f t="shared" ca="1" si="161"/>
        <v>-9.064943579490474E-2</v>
      </c>
    </row>
    <row r="9738" spans="2:7" x14ac:dyDescent="0.25">
      <c r="B9738" s="98"/>
      <c r="F9738">
        <v>9734</v>
      </c>
      <c r="G9738" s="109">
        <f t="shared" ca="1" si="161"/>
        <v>1.4324056670676336E-2</v>
      </c>
    </row>
    <row r="9739" spans="2:7" x14ac:dyDescent="0.25">
      <c r="B9739" s="98"/>
      <c r="F9739">
        <v>9735</v>
      </c>
      <c r="G9739" s="109">
        <f t="shared" ca="1" si="161"/>
        <v>0.10800223822383742</v>
      </c>
    </row>
    <row r="9740" spans="2:7" x14ac:dyDescent="0.25">
      <c r="B9740" s="98"/>
      <c r="F9740">
        <v>9736</v>
      </c>
      <c r="G9740" s="109">
        <f t="shared" ca="1" si="161"/>
        <v>-0.10666495591445609</v>
      </c>
    </row>
    <row r="9741" spans="2:7" x14ac:dyDescent="0.25">
      <c r="B9741" s="98"/>
      <c r="F9741">
        <v>9737</v>
      </c>
      <c r="G9741" s="109">
        <f t="shared" ca="1" si="161"/>
        <v>1.1443756326352431E-2</v>
      </c>
    </row>
    <row r="9742" spans="2:7" x14ac:dyDescent="0.25">
      <c r="B9742" s="98"/>
      <c r="F9742">
        <v>9738</v>
      </c>
      <c r="G9742" s="109">
        <f t="shared" ca="1" si="161"/>
        <v>7.2073269797631484E-2</v>
      </c>
    </row>
    <row r="9743" spans="2:7" x14ac:dyDescent="0.25">
      <c r="B9743" s="98"/>
      <c r="F9743">
        <v>9739</v>
      </c>
      <c r="G9743" s="109">
        <f t="shared" ca="1" si="161"/>
        <v>-0.12593488673565167</v>
      </c>
    </row>
    <row r="9744" spans="2:7" x14ac:dyDescent="0.25">
      <c r="B9744" s="98"/>
      <c r="F9744">
        <v>9740</v>
      </c>
      <c r="G9744" s="109">
        <f t="shared" ca="1" si="161"/>
        <v>-9.0001154411166837E-2</v>
      </c>
    </row>
    <row r="9745" spans="2:7" x14ac:dyDescent="0.25">
      <c r="B9745" s="98"/>
      <c r="F9745">
        <v>9741</v>
      </c>
      <c r="G9745" s="109">
        <f t="shared" ca="1" si="161"/>
        <v>4.4057322207604097E-2</v>
      </c>
    </row>
    <row r="9746" spans="2:7" x14ac:dyDescent="0.25">
      <c r="B9746" s="98"/>
      <c r="F9746">
        <v>9742</v>
      </c>
      <c r="G9746" s="109">
        <f t="shared" ca="1" si="161"/>
        <v>0.12007517303711132</v>
      </c>
    </row>
    <row r="9747" spans="2:7" x14ac:dyDescent="0.25">
      <c r="B9747" s="98"/>
      <c r="F9747">
        <v>9743</v>
      </c>
      <c r="G9747" s="109">
        <f t="shared" ca="1" si="161"/>
        <v>0.15363057890726706</v>
      </c>
    </row>
    <row r="9748" spans="2:7" x14ac:dyDescent="0.25">
      <c r="B9748" s="98"/>
      <c r="F9748">
        <v>9744</v>
      </c>
      <c r="G9748" s="109">
        <f t="shared" ca="1" si="161"/>
        <v>5.4843780447022469E-3</v>
      </c>
    </row>
    <row r="9749" spans="2:7" x14ac:dyDescent="0.25">
      <c r="B9749" s="98"/>
      <c r="F9749">
        <v>9745</v>
      </c>
      <c r="G9749" s="109">
        <f t="shared" ca="1" si="161"/>
        <v>-6.4554544433309005E-2</v>
      </c>
    </row>
    <row r="9750" spans="2:7" x14ac:dyDescent="0.25">
      <c r="B9750" s="98"/>
      <c r="F9750">
        <v>9746</v>
      </c>
      <c r="G9750" s="109">
        <f t="shared" ca="1" si="161"/>
        <v>-1.2211803347917306E-2</v>
      </c>
    </row>
    <row r="9751" spans="2:7" x14ac:dyDescent="0.25">
      <c r="B9751" s="98"/>
      <c r="F9751">
        <v>9747</v>
      </c>
      <c r="G9751" s="109">
        <f t="shared" ca="1" si="161"/>
        <v>8.9936368299465941E-2</v>
      </c>
    </row>
    <row r="9752" spans="2:7" x14ac:dyDescent="0.25">
      <c r="B9752" s="98"/>
      <c r="F9752">
        <v>9748</v>
      </c>
      <c r="G9752" s="109">
        <f t="shared" ca="1" si="161"/>
        <v>0.14605591814392271</v>
      </c>
    </row>
    <row r="9753" spans="2:7" x14ac:dyDescent="0.25">
      <c r="B9753" s="98"/>
      <c r="F9753">
        <v>9749</v>
      </c>
      <c r="G9753" s="109">
        <f t="shared" ca="1" si="161"/>
        <v>7.4583183734296649E-2</v>
      </c>
    </row>
    <row r="9754" spans="2:7" x14ac:dyDescent="0.25">
      <c r="B9754" s="98"/>
      <c r="F9754">
        <v>9750</v>
      </c>
      <c r="G9754" s="109">
        <f t="shared" ca="1" si="161"/>
        <v>7.7534509153752054E-2</v>
      </c>
    </row>
    <row r="9755" spans="2:7" x14ac:dyDescent="0.25">
      <c r="B9755" s="98"/>
      <c r="F9755">
        <v>9751</v>
      </c>
      <c r="G9755" s="109">
        <f t="shared" ca="1" si="161"/>
        <v>0.15491630601744794</v>
      </c>
    </row>
    <row r="9756" spans="2:7" x14ac:dyDescent="0.25">
      <c r="B9756" s="98"/>
      <c r="F9756">
        <v>9752</v>
      </c>
      <c r="G9756" s="109">
        <f t="shared" ca="1" si="161"/>
        <v>-2.8611227047301985E-2</v>
      </c>
    </row>
    <row r="9757" spans="2:7" x14ac:dyDescent="0.25">
      <c r="B9757" s="98"/>
      <c r="F9757">
        <v>9753</v>
      </c>
      <c r="G9757" s="109">
        <f t="shared" ca="1" si="161"/>
        <v>0.17091095644278614</v>
      </c>
    </row>
    <row r="9758" spans="2:7" x14ac:dyDescent="0.25">
      <c r="B9758" s="98"/>
      <c r="F9758">
        <v>9754</v>
      </c>
      <c r="G9758" s="109">
        <f t="shared" ca="1" si="161"/>
        <v>0.20134870243718966</v>
      </c>
    </row>
    <row r="9759" spans="2:7" x14ac:dyDescent="0.25">
      <c r="B9759" s="98"/>
      <c r="F9759">
        <v>9755</v>
      </c>
      <c r="G9759" s="109">
        <f t="shared" ca="1" si="161"/>
        <v>0.10800646110052552</v>
      </c>
    </row>
    <row r="9760" spans="2:7" x14ac:dyDescent="0.25">
      <c r="B9760" s="98"/>
      <c r="F9760">
        <v>9756</v>
      </c>
      <c r="G9760" s="109">
        <f t="shared" ca="1" si="161"/>
        <v>0.11901335049575831</v>
      </c>
    </row>
    <row r="9761" spans="2:7" x14ac:dyDescent="0.25">
      <c r="B9761" s="98"/>
      <c r="F9761">
        <v>9757</v>
      </c>
      <c r="G9761" s="109">
        <f t="shared" ca="1" si="161"/>
        <v>0.20774648740199264</v>
      </c>
    </row>
    <row r="9762" spans="2:7" x14ac:dyDescent="0.25">
      <c r="B9762" s="98"/>
      <c r="F9762">
        <v>9758</v>
      </c>
      <c r="G9762" s="109">
        <f t="shared" ca="1" si="161"/>
        <v>0.23574147511375354</v>
      </c>
    </row>
    <row r="9763" spans="2:7" x14ac:dyDescent="0.25">
      <c r="B9763" s="98"/>
      <c r="F9763">
        <v>9759</v>
      </c>
      <c r="G9763" s="109">
        <f t="shared" ca="1" si="161"/>
        <v>0.15382623040575433</v>
      </c>
    </row>
    <row r="9764" spans="2:7" x14ac:dyDescent="0.25">
      <c r="B9764" s="98"/>
      <c r="F9764">
        <v>9760</v>
      </c>
      <c r="G9764" s="109">
        <f t="shared" ca="1" si="161"/>
        <v>4.4426164495961366E-2</v>
      </c>
    </row>
    <row r="9765" spans="2:7" x14ac:dyDescent="0.25">
      <c r="B9765" s="98"/>
      <c r="F9765">
        <v>9761</v>
      </c>
      <c r="G9765" s="109">
        <f t="shared" ca="1" si="161"/>
        <v>-0.12807376010258881</v>
      </c>
    </row>
    <row r="9766" spans="2:7" x14ac:dyDescent="0.25">
      <c r="B9766" s="98"/>
      <c r="F9766">
        <v>9762</v>
      </c>
      <c r="G9766" s="109">
        <f t="shared" ca="1" si="161"/>
        <v>-3.3946511307966581E-2</v>
      </c>
    </row>
    <row r="9767" spans="2:7" x14ac:dyDescent="0.25">
      <c r="B9767" s="98"/>
      <c r="F9767">
        <v>9763</v>
      </c>
      <c r="G9767" s="109">
        <f t="shared" ca="1" si="161"/>
        <v>0.10268894630105782</v>
      </c>
    </row>
    <row r="9768" spans="2:7" x14ac:dyDescent="0.25">
      <c r="B9768" s="98"/>
      <c r="F9768">
        <v>9764</v>
      </c>
      <c r="G9768" s="109">
        <f t="shared" ca="1" si="161"/>
        <v>6.0791021041762996E-2</v>
      </c>
    </row>
    <row r="9769" spans="2:7" x14ac:dyDescent="0.25">
      <c r="B9769" s="98"/>
      <c r="F9769">
        <v>9765</v>
      </c>
      <c r="G9769" s="109">
        <f t="shared" ca="1" si="161"/>
        <v>-3.1932656850223812E-2</v>
      </c>
    </row>
    <row r="9770" spans="2:7" x14ac:dyDescent="0.25">
      <c r="B9770" s="98"/>
      <c r="F9770">
        <v>9766</v>
      </c>
      <c r="G9770" s="109">
        <f t="shared" ca="1" si="161"/>
        <v>9.2672521898417987E-3</v>
      </c>
    </row>
    <row r="9771" spans="2:7" x14ac:dyDescent="0.25">
      <c r="B9771" s="98"/>
      <c r="F9771">
        <v>9767</v>
      </c>
      <c r="G9771" s="109">
        <f t="shared" ca="1" si="161"/>
        <v>0.17195335031502085</v>
      </c>
    </row>
    <row r="9772" spans="2:7" x14ac:dyDescent="0.25">
      <c r="B9772" s="98"/>
      <c r="F9772">
        <v>9768</v>
      </c>
      <c r="G9772" s="109">
        <f t="shared" ca="1" si="161"/>
        <v>-2.8999794751425265E-3</v>
      </c>
    </row>
    <row r="9773" spans="2:7" x14ac:dyDescent="0.25">
      <c r="B9773" s="98"/>
      <c r="F9773">
        <v>9769</v>
      </c>
      <c r="G9773" s="109">
        <f t="shared" ca="1" si="161"/>
        <v>-4.0178784447263735E-2</v>
      </c>
    </row>
    <row r="9774" spans="2:7" x14ac:dyDescent="0.25">
      <c r="B9774" s="98"/>
      <c r="F9774">
        <v>9770</v>
      </c>
      <c r="G9774" s="109">
        <f t="shared" ca="1" si="161"/>
        <v>8.5009004000674127E-2</v>
      </c>
    </row>
    <row r="9775" spans="2:7" x14ac:dyDescent="0.25">
      <c r="B9775" s="98"/>
      <c r="F9775">
        <v>9771</v>
      </c>
      <c r="G9775" s="109">
        <f t="shared" ca="1" si="161"/>
        <v>9.6504637383931363E-3</v>
      </c>
    </row>
    <row r="9776" spans="2:7" x14ac:dyDescent="0.25">
      <c r="B9776" s="98"/>
      <c r="F9776">
        <v>9772</v>
      </c>
      <c r="G9776" s="109">
        <f t="shared" ca="1" si="161"/>
        <v>0.14798061402535923</v>
      </c>
    </row>
    <row r="9777" spans="2:7" x14ac:dyDescent="0.25">
      <c r="B9777" s="98"/>
      <c r="F9777">
        <v>9773</v>
      </c>
      <c r="G9777" s="109">
        <f t="shared" ca="1" si="161"/>
        <v>7.8528088292069559E-2</v>
      </c>
    </row>
    <row r="9778" spans="2:7" x14ac:dyDescent="0.25">
      <c r="B9778" s="98"/>
      <c r="F9778">
        <v>9774</v>
      </c>
      <c r="G9778" s="109">
        <f t="shared" ca="1" si="161"/>
        <v>6.5810369095707824E-2</v>
      </c>
    </row>
    <row r="9779" spans="2:7" x14ac:dyDescent="0.25">
      <c r="B9779" s="98"/>
      <c r="F9779">
        <v>9775</v>
      </c>
      <c r="G9779" s="109">
        <f t="shared" ca="1" si="161"/>
        <v>0.1677893030709216</v>
      </c>
    </row>
    <row r="9780" spans="2:7" x14ac:dyDescent="0.25">
      <c r="B9780" s="98"/>
      <c r="F9780">
        <v>9776</v>
      </c>
      <c r="G9780" s="109">
        <f t="shared" ca="1" si="161"/>
        <v>-3.8817925263235742E-2</v>
      </c>
    </row>
    <row r="9781" spans="2:7" x14ac:dyDescent="0.25">
      <c r="B9781" s="98"/>
      <c r="F9781">
        <v>9777</v>
      </c>
      <c r="G9781" s="109">
        <f t="shared" ca="1" si="161"/>
        <v>0.17688814649106532</v>
      </c>
    </row>
    <row r="9782" spans="2:7" x14ac:dyDescent="0.25">
      <c r="B9782" s="98"/>
      <c r="F9782">
        <v>9778</v>
      </c>
      <c r="G9782" s="109">
        <f t="shared" ca="1" si="161"/>
        <v>-4.1023981643615579E-2</v>
      </c>
    </row>
    <row r="9783" spans="2:7" x14ac:dyDescent="0.25">
      <c r="B9783" s="98"/>
      <c r="F9783">
        <v>9779</v>
      </c>
      <c r="G9783" s="109">
        <f t="shared" ca="1" si="161"/>
        <v>8.055447814252481E-2</v>
      </c>
    </row>
    <row r="9784" spans="2:7" x14ac:dyDescent="0.25">
      <c r="B9784" s="98"/>
      <c r="F9784">
        <v>9780</v>
      </c>
      <c r="G9784" s="109">
        <f t="shared" ca="1" si="161"/>
        <v>-8.6733896263488028E-2</v>
      </c>
    </row>
    <row r="9785" spans="2:7" x14ac:dyDescent="0.25">
      <c r="B9785" s="98"/>
      <c r="F9785">
        <v>9781</v>
      </c>
      <c r="G9785" s="109">
        <f t="shared" ca="1" si="161"/>
        <v>-2.8140532388970033E-3</v>
      </c>
    </row>
    <row r="9786" spans="2:7" x14ac:dyDescent="0.25">
      <c r="B9786" s="98"/>
      <c r="F9786">
        <v>9782</v>
      </c>
      <c r="G9786" s="109">
        <f t="shared" ca="1" si="161"/>
        <v>6.2794628700434452E-2</v>
      </c>
    </row>
    <row r="9787" spans="2:7" x14ac:dyDescent="0.25">
      <c r="B9787" s="98"/>
      <c r="F9787">
        <v>9783</v>
      </c>
      <c r="G9787" s="109">
        <f t="shared" ca="1" si="161"/>
        <v>0.19511326551251662</v>
      </c>
    </row>
    <row r="9788" spans="2:7" x14ac:dyDescent="0.25">
      <c r="B9788" s="98"/>
      <c r="F9788">
        <v>9784</v>
      </c>
      <c r="G9788" s="109">
        <f t="shared" ca="1" si="161"/>
        <v>-0.16011471754535661</v>
      </c>
    </row>
    <row r="9789" spans="2:7" x14ac:dyDescent="0.25">
      <c r="B9789" s="98"/>
      <c r="F9789">
        <v>9785</v>
      </c>
      <c r="G9789" s="109">
        <f t="shared" ca="1" si="161"/>
        <v>-3.0775536019548022E-2</v>
      </c>
    </row>
    <row r="9790" spans="2:7" x14ac:dyDescent="0.25">
      <c r="B9790" s="98"/>
      <c r="F9790">
        <v>9786</v>
      </c>
      <c r="G9790" s="109">
        <f t="shared" ca="1" si="161"/>
        <v>-1.9185412178751207E-2</v>
      </c>
    </row>
    <row r="9791" spans="2:7" x14ac:dyDescent="0.25">
      <c r="B9791" s="98"/>
      <c r="F9791">
        <v>9787</v>
      </c>
      <c r="G9791" s="109">
        <f t="shared" ca="1" si="161"/>
        <v>0.14735013951860393</v>
      </c>
    </row>
    <row r="9792" spans="2:7" x14ac:dyDescent="0.25">
      <c r="B9792" s="98"/>
      <c r="F9792">
        <v>9788</v>
      </c>
      <c r="G9792" s="109">
        <f t="shared" ca="1" si="161"/>
        <v>-5.0712170538728313E-2</v>
      </c>
    </row>
    <row r="9793" spans="2:7" x14ac:dyDescent="0.25">
      <c r="B9793" s="98"/>
      <c r="F9793">
        <v>9789</v>
      </c>
      <c r="G9793" s="109">
        <f t="shared" ca="1" si="161"/>
        <v>7.1591238159747286E-3</v>
      </c>
    </row>
    <row r="9794" spans="2:7" x14ac:dyDescent="0.25">
      <c r="B9794" s="98"/>
      <c r="F9794">
        <v>9790</v>
      </c>
      <c r="G9794" s="109">
        <f t="shared" ca="1" si="161"/>
        <v>-8.3161729920488356E-2</v>
      </c>
    </row>
    <row r="9795" spans="2:7" x14ac:dyDescent="0.25">
      <c r="B9795" s="98"/>
      <c r="F9795">
        <v>9791</v>
      </c>
      <c r="G9795" s="109">
        <f t="shared" ca="1" si="161"/>
        <v>0.19193939206631061</v>
      </c>
    </row>
    <row r="9796" spans="2:7" x14ac:dyDescent="0.25">
      <c r="B9796" s="98"/>
      <c r="F9796">
        <v>9792</v>
      </c>
      <c r="G9796" s="109">
        <f t="shared" ca="1" si="161"/>
        <v>-2.3531633517551803E-2</v>
      </c>
    </row>
    <row r="9797" spans="2:7" x14ac:dyDescent="0.25">
      <c r="B9797" s="98"/>
      <c r="F9797">
        <v>9793</v>
      </c>
      <c r="G9797" s="109">
        <f t="shared" ca="1" si="161"/>
        <v>2.612612363531483E-2</v>
      </c>
    </row>
    <row r="9798" spans="2:7" x14ac:dyDescent="0.25">
      <c r="B9798" s="98"/>
      <c r="F9798">
        <v>9794</v>
      </c>
      <c r="G9798" s="109">
        <f t="shared" ref="G9798:G9861" ca="1" si="162">_xlfn.NORM.INV(RAND(),$M$5,$M$6)</f>
        <v>4.0742755496171276E-2</v>
      </c>
    </row>
    <row r="9799" spans="2:7" x14ac:dyDescent="0.25">
      <c r="B9799" s="98"/>
      <c r="F9799">
        <v>9795</v>
      </c>
      <c r="G9799" s="109">
        <f t="shared" ca="1" si="162"/>
        <v>6.3885657624967243E-3</v>
      </c>
    </row>
    <row r="9800" spans="2:7" x14ac:dyDescent="0.25">
      <c r="B9800" s="98"/>
      <c r="F9800">
        <v>9796</v>
      </c>
      <c r="G9800" s="109">
        <f t="shared" ca="1" si="162"/>
        <v>-1.5730292494929889E-2</v>
      </c>
    </row>
    <row r="9801" spans="2:7" x14ac:dyDescent="0.25">
      <c r="B9801" s="98"/>
      <c r="F9801">
        <v>9797</v>
      </c>
      <c r="G9801" s="109">
        <f t="shared" ca="1" si="162"/>
        <v>-6.5635052333306979E-2</v>
      </c>
    </row>
    <row r="9802" spans="2:7" x14ac:dyDescent="0.25">
      <c r="B9802" s="98"/>
      <c r="F9802">
        <v>9798</v>
      </c>
      <c r="G9802" s="109">
        <f t="shared" ca="1" si="162"/>
        <v>8.335440684155393E-2</v>
      </c>
    </row>
    <row r="9803" spans="2:7" x14ac:dyDescent="0.25">
      <c r="B9803" s="98"/>
      <c r="F9803">
        <v>9799</v>
      </c>
      <c r="G9803" s="109">
        <f t="shared" ca="1" si="162"/>
        <v>5.9555903913285489E-2</v>
      </c>
    </row>
    <row r="9804" spans="2:7" x14ac:dyDescent="0.25">
      <c r="B9804" s="98"/>
      <c r="F9804">
        <v>9800</v>
      </c>
      <c r="G9804" s="109">
        <f t="shared" ca="1" si="162"/>
        <v>0.18051233805949035</v>
      </c>
    </row>
    <row r="9805" spans="2:7" x14ac:dyDescent="0.25">
      <c r="B9805" s="98"/>
      <c r="F9805">
        <v>9801</v>
      </c>
      <c r="G9805" s="109">
        <f t="shared" ca="1" si="162"/>
        <v>-1.431272635377815E-2</v>
      </c>
    </row>
    <row r="9806" spans="2:7" x14ac:dyDescent="0.25">
      <c r="B9806" s="98"/>
      <c r="F9806">
        <v>9802</v>
      </c>
      <c r="G9806" s="109">
        <f t="shared" ca="1" si="162"/>
        <v>5.3140906037408141E-2</v>
      </c>
    </row>
    <row r="9807" spans="2:7" x14ac:dyDescent="0.25">
      <c r="B9807" s="98"/>
      <c r="F9807">
        <v>9803</v>
      </c>
      <c r="G9807" s="109">
        <f t="shared" ca="1" si="162"/>
        <v>3.3722545239372875E-2</v>
      </c>
    </row>
    <row r="9808" spans="2:7" x14ac:dyDescent="0.25">
      <c r="B9808" s="98"/>
      <c r="F9808">
        <v>9804</v>
      </c>
      <c r="G9808" s="109">
        <f t="shared" ca="1" si="162"/>
        <v>0.1170940146037059</v>
      </c>
    </row>
    <row r="9809" spans="2:7" x14ac:dyDescent="0.25">
      <c r="B9809" s="98"/>
      <c r="F9809">
        <v>9805</v>
      </c>
      <c r="G9809" s="109">
        <f t="shared" ca="1" si="162"/>
        <v>0.20705633292312448</v>
      </c>
    </row>
    <row r="9810" spans="2:7" x14ac:dyDescent="0.25">
      <c r="B9810" s="98"/>
      <c r="F9810">
        <v>9806</v>
      </c>
      <c r="G9810" s="109">
        <f t="shared" ca="1" si="162"/>
        <v>0.12168718873130256</v>
      </c>
    </row>
    <row r="9811" spans="2:7" x14ac:dyDescent="0.25">
      <c r="B9811" s="98"/>
      <c r="F9811">
        <v>9807</v>
      </c>
      <c r="G9811" s="109">
        <f t="shared" ca="1" si="162"/>
        <v>0.11888806435707371</v>
      </c>
    </row>
    <row r="9812" spans="2:7" x14ac:dyDescent="0.25">
      <c r="B9812" s="98"/>
      <c r="F9812">
        <v>9808</v>
      </c>
      <c r="G9812" s="109">
        <f t="shared" ca="1" si="162"/>
        <v>0.14166617766019901</v>
      </c>
    </row>
    <row r="9813" spans="2:7" x14ac:dyDescent="0.25">
      <c r="B9813" s="98"/>
      <c r="F9813">
        <v>9809</v>
      </c>
      <c r="G9813" s="109">
        <f t="shared" ca="1" si="162"/>
        <v>-2.1518053626625025E-2</v>
      </c>
    </row>
    <row r="9814" spans="2:7" x14ac:dyDescent="0.25">
      <c r="B9814" s="98"/>
      <c r="F9814">
        <v>9810</v>
      </c>
      <c r="G9814" s="109">
        <f t="shared" ca="1" si="162"/>
        <v>-8.0002068513172625E-3</v>
      </c>
    </row>
    <row r="9815" spans="2:7" x14ac:dyDescent="0.25">
      <c r="B9815" s="98"/>
      <c r="F9815">
        <v>9811</v>
      </c>
      <c r="G9815" s="109">
        <f t="shared" ca="1" si="162"/>
        <v>-7.5250342201557255E-2</v>
      </c>
    </row>
    <row r="9816" spans="2:7" x14ac:dyDescent="0.25">
      <c r="B9816" s="98"/>
      <c r="F9816">
        <v>9812</v>
      </c>
      <c r="G9816" s="109">
        <f t="shared" ca="1" si="162"/>
        <v>-8.5647404911314742E-2</v>
      </c>
    </row>
    <row r="9817" spans="2:7" x14ac:dyDescent="0.25">
      <c r="B9817" s="98"/>
      <c r="F9817">
        <v>9813</v>
      </c>
      <c r="G9817" s="109">
        <f t="shared" ca="1" si="162"/>
        <v>0.23846183888185718</v>
      </c>
    </row>
    <row r="9818" spans="2:7" x14ac:dyDescent="0.25">
      <c r="B9818" s="98"/>
      <c r="F9818">
        <v>9814</v>
      </c>
      <c r="G9818" s="109">
        <f t="shared" ca="1" si="162"/>
        <v>2.8002093938458296E-2</v>
      </c>
    </row>
    <row r="9819" spans="2:7" x14ac:dyDescent="0.25">
      <c r="B9819" s="98"/>
      <c r="F9819">
        <v>9815</v>
      </c>
      <c r="G9819" s="109">
        <f t="shared" ca="1" si="162"/>
        <v>-9.8968764223230518E-2</v>
      </c>
    </row>
    <row r="9820" spans="2:7" x14ac:dyDescent="0.25">
      <c r="B9820" s="98"/>
      <c r="F9820">
        <v>9816</v>
      </c>
      <c r="G9820" s="109">
        <f t="shared" ca="1" si="162"/>
        <v>-9.935628596236952E-2</v>
      </c>
    </row>
    <row r="9821" spans="2:7" x14ac:dyDescent="0.25">
      <c r="B9821" s="98"/>
      <c r="F9821">
        <v>9817</v>
      </c>
      <c r="G9821" s="109">
        <f t="shared" ca="1" si="162"/>
        <v>-2.1989082046794978E-2</v>
      </c>
    </row>
    <row r="9822" spans="2:7" x14ac:dyDescent="0.25">
      <c r="B9822" s="98"/>
      <c r="F9822">
        <v>9818</v>
      </c>
      <c r="G9822" s="109">
        <f t="shared" ca="1" si="162"/>
        <v>0.10317653926401646</v>
      </c>
    </row>
    <row r="9823" spans="2:7" x14ac:dyDescent="0.25">
      <c r="B9823" s="98"/>
      <c r="F9823">
        <v>9819</v>
      </c>
      <c r="G9823" s="109">
        <f t="shared" ca="1" si="162"/>
        <v>0.37415115549432681</v>
      </c>
    </row>
    <row r="9824" spans="2:7" x14ac:dyDescent="0.25">
      <c r="B9824" s="98"/>
      <c r="F9824">
        <v>9820</v>
      </c>
      <c r="G9824" s="109">
        <f t="shared" ca="1" si="162"/>
        <v>7.0130294154935921E-2</v>
      </c>
    </row>
    <row r="9825" spans="2:7" x14ac:dyDescent="0.25">
      <c r="B9825" s="98"/>
      <c r="F9825">
        <v>9821</v>
      </c>
      <c r="G9825" s="109">
        <f t="shared" ca="1" si="162"/>
        <v>8.6166659108409288E-2</v>
      </c>
    </row>
    <row r="9826" spans="2:7" x14ac:dyDescent="0.25">
      <c r="B9826" s="98"/>
      <c r="F9826">
        <v>9822</v>
      </c>
      <c r="G9826" s="109">
        <f t="shared" ca="1" si="162"/>
        <v>3.838554115164157E-3</v>
      </c>
    </row>
    <row r="9827" spans="2:7" x14ac:dyDescent="0.25">
      <c r="B9827" s="98"/>
      <c r="F9827">
        <v>9823</v>
      </c>
      <c r="G9827" s="109">
        <f t="shared" ca="1" si="162"/>
        <v>1.7194340103114575E-2</v>
      </c>
    </row>
    <row r="9828" spans="2:7" x14ac:dyDescent="0.25">
      <c r="B9828" s="98"/>
      <c r="F9828">
        <v>9824</v>
      </c>
      <c r="G9828" s="109">
        <f t="shared" ca="1" si="162"/>
        <v>0.15380661832261502</v>
      </c>
    </row>
    <row r="9829" spans="2:7" x14ac:dyDescent="0.25">
      <c r="B9829" s="98"/>
      <c r="F9829">
        <v>9825</v>
      </c>
      <c r="G9829" s="109">
        <f t="shared" ca="1" si="162"/>
        <v>3.1913079710228845E-3</v>
      </c>
    </row>
    <row r="9830" spans="2:7" x14ac:dyDescent="0.25">
      <c r="B9830" s="98"/>
      <c r="F9830">
        <v>9826</v>
      </c>
      <c r="G9830" s="109">
        <f t="shared" ca="1" si="162"/>
        <v>-0.20139204479323225</v>
      </c>
    </row>
    <row r="9831" spans="2:7" x14ac:dyDescent="0.25">
      <c r="B9831" s="98"/>
      <c r="F9831">
        <v>9827</v>
      </c>
      <c r="G9831" s="109">
        <f t="shared" ca="1" si="162"/>
        <v>1.2582748066622636E-2</v>
      </c>
    </row>
    <row r="9832" spans="2:7" x14ac:dyDescent="0.25">
      <c r="B9832" s="98"/>
      <c r="F9832">
        <v>9828</v>
      </c>
      <c r="G9832" s="109">
        <f t="shared" ca="1" si="162"/>
        <v>-0.10775278665581607</v>
      </c>
    </row>
    <row r="9833" spans="2:7" x14ac:dyDescent="0.25">
      <c r="B9833" s="98"/>
      <c r="F9833">
        <v>9829</v>
      </c>
      <c r="G9833" s="109">
        <f t="shared" ca="1" si="162"/>
        <v>0.20500418246211682</v>
      </c>
    </row>
    <row r="9834" spans="2:7" x14ac:dyDescent="0.25">
      <c r="B9834" s="98"/>
      <c r="F9834">
        <v>9830</v>
      </c>
      <c r="G9834" s="109">
        <f t="shared" ca="1" si="162"/>
        <v>-0.20869719952209453</v>
      </c>
    </row>
    <row r="9835" spans="2:7" x14ac:dyDescent="0.25">
      <c r="B9835" s="98"/>
      <c r="F9835">
        <v>9831</v>
      </c>
      <c r="G9835" s="109">
        <f t="shared" ca="1" si="162"/>
        <v>-6.1218246640948715E-2</v>
      </c>
    </row>
    <row r="9836" spans="2:7" x14ac:dyDescent="0.25">
      <c r="B9836" s="98"/>
      <c r="F9836">
        <v>9832</v>
      </c>
      <c r="G9836" s="109">
        <f t="shared" ca="1" si="162"/>
        <v>-9.897261935424119E-2</v>
      </c>
    </row>
    <row r="9837" spans="2:7" x14ac:dyDescent="0.25">
      <c r="B9837" s="98"/>
      <c r="F9837">
        <v>9833</v>
      </c>
      <c r="G9837" s="109">
        <f t="shared" ca="1" si="162"/>
        <v>8.2676917884368747E-2</v>
      </c>
    </row>
    <row r="9838" spans="2:7" x14ac:dyDescent="0.25">
      <c r="B9838" s="98"/>
      <c r="F9838">
        <v>9834</v>
      </c>
      <c r="G9838" s="109">
        <f t="shared" ca="1" si="162"/>
        <v>-9.0118902475837939E-2</v>
      </c>
    </row>
    <row r="9839" spans="2:7" x14ac:dyDescent="0.25">
      <c r="B9839" s="98"/>
      <c r="F9839">
        <v>9835</v>
      </c>
      <c r="G9839" s="109">
        <f t="shared" ca="1" si="162"/>
        <v>7.3423605491943489E-3</v>
      </c>
    </row>
    <row r="9840" spans="2:7" x14ac:dyDescent="0.25">
      <c r="B9840" s="98"/>
      <c r="F9840">
        <v>9836</v>
      </c>
      <c r="G9840" s="109">
        <f t="shared" ca="1" si="162"/>
        <v>-0.15669789346583085</v>
      </c>
    </row>
    <row r="9841" spans="2:7" x14ac:dyDescent="0.25">
      <c r="B9841" s="98"/>
      <c r="F9841">
        <v>9837</v>
      </c>
      <c r="G9841" s="109">
        <f t="shared" ca="1" si="162"/>
        <v>0.17161394929930185</v>
      </c>
    </row>
    <row r="9842" spans="2:7" x14ac:dyDescent="0.25">
      <c r="B9842" s="98"/>
      <c r="F9842">
        <v>9838</v>
      </c>
      <c r="G9842" s="109">
        <f t="shared" ca="1" si="162"/>
        <v>0.13860054940370692</v>
      </c>
    </row>
    <row r="9843" spans="2:7" x14ac:dyDescent="0.25">
      <c r="B9843" s="98"/>
      <c r="F9843">
        <v>9839</v>
      </c>
      <c r="G9843" s="109">
        <f t="shared" ca="1" si="162"/>
        <v>1.8071560799382685E-4</v>
      </c>
    </row>
    <row r="9844" spans="2:7" x14ac:dyDescent="0.25">
      <c r="B9844" s="98"/>
      <c r="F9844">
        <v>9840</v>
      </c>
      <c r="G9844" s="109">
        <f t="shared" ca="1" si="162"/>
        <v>-1.8337846721612761E-2</v>
      </c>
    </row>
    <row r="9845" spans="2:7" x14ac:dyDescent="0.25">
      <c r="B9845" s="98"/>
      <c r="F9845">
        <v>9841</v>
      </c>
      <c r="G9845" s="109">
        <f t="shared" ca="1" si="162"/>
        <v>9.376020792403042E-2</v>
      </c>
    </row>
    <row r="9846" spans="2:7" x14ac:dyDescent="0.25">
      <c r="B9846" s="98"/>
      <c r="F9846">
        <v>9842</v>
      </c>
      <c r="G9846" s="109">
        <f t="shared" ca="1" si="162"/>
        <v>1.4875398248372015E-3</v>
      </c>
    </row>
    <row r="9847" spans="2:7" x14ac:dyDescent="0.25">
      <c r="B9847" s="98"/>
      <c r="F9847">
        <v>9843</v>
      </c>
      <c r="G9847" s="109">
        <f t="shared" ca="1" si="162"/>
        <v>0.25562485829042142</v>
      </c>
    </row>
    <row r="9848" spans="2:7" x14ac:dyDescent="0.25">
      <c r="B9848" s="98"/>
      <c r="F9848">
        <v>9844</v>
      </c>
      <c r="G9848" s="109">
        <f t="shared" ca="1" si="162"/>
        <v>-5.0440820913918855E-2</v>
      </c>
    </row>
    <row r="9849" spans="2:7" x14ac:dyDescent="0.25">
      <c r="B9849" s="98"/>
      <c r="F9849">
        <v>9845</v>
      </c>
      <c r="G9849" s="109">
        <f t="shared" ca="1" si="162"/>
        <v>-4.1953889339813449E-2</v>
      </c>
    </row>
    <row r="9850" spans="2:7" x14ac:dyDescent="0.25">
      <c r="B9850" s="98"/>
      <c r="F9850">
        <v>9846</v>
      </c>
      <c r="G9850" s="109">
        <f t="shared" ca="1" si="162"/>
        <v>-3.9719597911919841E-4</v>
      </c>
    </row>
    <row r="9851" spans="2:7" x14ac:dyDescent="0.25">
      <c r="B9851" s="98"/>
      <c r="F9851">
        <v>9847</v>
      </c>
      <c r="G9851" s="109">
        <f t="shared" ca="1" si="162"/>
        <v>-0.19369443998569508</v>
      </c>
    </row>
    <row r="9852" spans="2:7" x14ac:dyDescent="0.25">
      <c r="B9852" s="98"/>
      <c r="F9852">
        <v>9848</v>
      </c>
      <c r="G9852" s="109">
        <f t="shared" ca="1" si="162"/>
        <v>-0.12183687221187507</v>
      </c>
    </row>
    <row r="9853" spans="2:7" x14ac:dyDescent="0.25">
      <c r="B9853" s="98"/>
      <c r="F9853">
        <v>9849</v>
      </c>
      <c r="G9853" s="109">
        <f t="shared" ca="1" si="162"/>
        <v>2.7764674441759875E-2</v>
      </c>
    </row>
    <row r="9854" spans="2:7" x14ac:dyDescent="0.25">
      <c r="B9854" s="98"/>
      <c r="F9854">
        <v>9850</v>
      </c>
      <c r="G9854" s="109">
        <f t="shared" ca="1" si="162"/>
        <v>8.9267366469621912E-2</v>
      </c>
    </row>
    <row r="9855" spans="2:7" x14ac:dyDescent="0.25">
      <c r="B9855" s="98"/>
      <c r="F9855">
        <v>9851</v>
      </c>
      <c r="G9855" s="109">
        <f t="shared" ca="1" si="162"/>
        <v>9.0916473099025757E-2</v>
      </c>
    </row>
    <row r="9856" spans="2:7" x14ac:dyDescent="0.25">
      <c r="B9856" s="98"/>
      <c r="F9856">
        <v>9852</v>
      </c>
      <c r="G9856" s="109">
        <f t="shared" ca="1" si="162"/>
        <v>1.5767126156769173E-2</v>
      </c>
    </row>
    <row r="9857" spans="2:7" x14ac:dyDescent="0.25">
      <c r="B9857" s="98"/>
      <c r="F9857">
        <v>9853</v>
      </c>
      <c r="G9857" s="109">
        <f t="shared" ca="1" si="162"/>
        <v>4.7048653604020177E-2</v>
      </c>
    </row>
    <row r="9858" spans="2:7" x14ac:dyDescent="0.25">
      <c r="B9858" s="98"/>
      <c r="F9858">
        <v>9854</v>
      </c>
      <c r="G9858" s="109">
        <f t="shared" ca="1" si="162"/>
        <v>0.12870010446415622</v>
      </c>
    </row>
    <row r="9859" spans="2:7" x14ac:dyDescent="0.25">
      <c r="B9859" s="98"/>
      <c r="F9859">
        <v>9855</v>
      </c>
      <c r="G9859" s="109">
        <f t="shared" ca="1" si="162"/>
        <v>0.20325115345607625</v>
      </c>
    </row>
    <row r="9860" spans="2:7" x14ac:dyDescent="0.25">
      <c r="B9860" s="98"/>
      <c r="F9860">
        <v>9856</v>
      </c>
      <c r="G9860" s="109">
        <f t="shared" ca="1" si="162"/>
        <v>-3.7614246830083339E-2</v>
      </c>
    </row>
    <row r="9861" spans="2:7" x14ac:dyDescent="0.25">
      <c r="B9861" s="98"/>
      <c r="F9861">
        <v>9857</v>
      </c>
      <c r="G9861" s="109">
        <f t="shared" ca="1" si="162"/>
        <v>0.1835705805686747</v>
      </c>
    </row>
    <row r="9862" spans="2:7" x14ac:dyDescent="0.25">
      <c r="B9862" s="98"/>
      <c r="F9862">
        <v>9858</v>
      </c>
      <c r="G9862" s="109">
        <f t="shared" ref="G9862:G9925" ca="1" si="163">_xlfn.NORM.INV(RAND(),$M$5,$M$6)</f>
        <v>8.5318848763028879E-3</v>
      </c>
    </row>
    <row r="9863" spans="2:7" x14ac:dyDescent="0.25">
      <c r="B9863" s="98"/>
      <c r="F9863">
        <v>9859</v>
      </c>
      <c r="G9863" s="109">
        <f t="shared" ca="1" si="163"/>
        <v>2.1562150241786843E-2</v>
      </c>
    </row>
    <row r="9864" spans="2:7" x14ac:dyDescent="0.25">
      <c r="B9864" s="98"/>
      <c r="F9864">
        <v>9860</v>
      </c>
      <c r="G9864" s="109">
        <f t="shared" ca="1" si="163"/>
        <v>9.1221527730217744E-2</v>
      </c>
    </row>
    <row r="9865" spans="2:7" x14ac:dyDescent="0.25">
      <c r="B9865" s="98"/>
      <c r="F9865">
        <v>9861</v>
      </c>
      <c r="G9865" s="109">
        <f t="shared" ca="1" si="163"/>
        <v>4.1230876223329709E-2</v>
      </c>
    </row>
    <row r="9866" spans="2:7" x14ac:dyDescent="0.25">
      <c r="B9866" s="98"/>
      <c r="F9866">
        <v>9862</v>
      </c>
      <c r="G9866" s="109">
        <f t="shared" ca="1" si="163"/>
        <v>0.12338372012301158</v>
      </c>
    </row>
    <row r="9867" spans="2:7" x14ac:dyDescent="0.25">
      <c r="B9867" s="98"/>
      <c r="F9867">
        <v>9863</v>
      </c>
      <c r="G9867" s="109">
        <f t="shared" ca="1" si="163"/>
        <v>-5.962984457425316E-2</v>
      </c>
    </row>
    <row r="9868" spans="2:7" x14ac:dyDescent="0.25">
      <c r="B9868" s="98"/>
      <c r="F9868">
        <v>9864</v>
      </c>
      <c r="G9868" s="109">
        <f t="shared" ca="1" si="163"/>
        <v>5.6509947757271688E-2</v>
      </c>
    </row>
    <row r="9869" spans="2:7" x14ac:dyDescent="0.25">
      <c r="B9869" s="98"/>
      <c r="F9869">
        <v>9865</v>
      </c>
      <c r="G9869" s="109">
        <f t="shared" ca="1" si="163"/>
        <v>7.9564782016150026E-2</v>
      </c>
    </row>
    <row r="9870" spans="2:7" x14ac:dyDescent="0.25">
      <c r="B9870" s="98"/>
      <c r="F9870">
        <v>9866</v>
      </c>
      <c r="G9870" s="109">
        <f t="shared" ca="1" si="163"/>
        <v>0.13159137300388341</v>
      </c>
    </row>
    <row r="9871" spans="2:7" x14ac:dyDescent="0.25">
      <c r="B9871" s="98"/>
      <c r="F9871">
        <v>9867</v>
      </c>
      <c r="G9871" s="109">
        <f t="shared" ca="1" si="163"/>
        <v>0.18202679120952159</v>
      </c>
    </row>
    <row r="9872" spans="2:7" x14ac:dyDescent="0.25">
      <c r="B9872" s="98"/>
      <c r="F9872">
        <v>9868</v>
      </c>
      <c r="G9872" s="109">
        <f t="shared" ca="1" si="163"/>
        <v>0.22172773174863347</v>
      </c>
    </row>
    <row r="9873" spans="2:7" x14ac:dyDescent="0.25">
      <c r="B9873" s="98"/>
      <c r="F9873">
        <v>9869</v>
      </c>
      <c r="G9873" s="109">
        <f t="shared" ca="1" si="163"/>
        <v>0.12693181707533532</v>
      </c>
    </row>
    <row r="9874" spans="2:7" x14ac:dyDescent="0.25">
      <c r="B9874" s="98"/>
      <c r="F9874">
        <v>9870</v>
      </c>
      <c r="G9874" s="109">
        <f t="shared" ca="1" si="163"/>
        <v>5.2605673400471314E-2</v>
      </c>
    </row>
    <row r="9875" spans="2:7" x14ac:dyDescent="0.25">
      <c r="B9875" s="98"/>
      <c r="F9875">
        <v>9871</v>
      </c>
      <c r="G9875" s="109">
        <f t="shared" ca="1" si="163"/>
        <v>0.16025097078307804</v>
      </c>
    </row>
    <row r="9876" spans="2:7" x14ac:dyDescent="0.25">
      <c r="B9876" s="98"/>
      <c r="F9876">
        <v>9872</v>
      </c>
      <c r="G9876" s="109">
        <f t="shared" ca="1" si="163"/>
        <v>0.14995941786107975</v>
      </c>
    </row>
    <row r="9877" spans="2:7" x14ac:dyDescent="0.25">
      <c r="B9877" s="98"/>
      <c r="F9877">
        <v>9873</v>
      </c>
      <c r="G9877" s="109">
        <f t="shared" ca="1" si="163"/>
        <v>4.7067545223245875E-2</v>
      </c>
    </row>
    <row r="9878" spans="2:7" x14ac:dyDescent="0.25">
      <c r="B9878" s="98"/>
      <c r="F9878">
        <v>9874</v>
      </c>
      <c r="G9878" s="109">
        <f t="shared" ca="1" si="163"/>
        <v>-0.16142922291936168</v>
      </c>
    </row>
    <row r="9879" spans="2:7" x14ac:dyDescent="0.25">
      <c r="B9879" s="98"/>
      <c r="F9879">
        <v>9875</v>
      </c>
      <c r="G9879" s="109">
        <f t="shared" ca="1" si="163"/>
        <v>4.3225681920165557E-2</v>
      </c>
    </row>
    <row r="9880" spans="2:7" x14ac:dyDescent="0.25">
      <c r="B9880" s="98"/>
      <c r="F9880">
        <v>9876</v>
      </c>
      <c r="G9880" s="109">
        <f t="shared" ca="1" si="163"/>
        <v>5.876650363097391E-2</v>
      </c>
    </row>
    <row r="9881" spans="2:7" x14ac:dyDescent="0.25">
      <c r="B9881" s="98"/>
      <c r="F9881">
        <v>9877</v>
      </c>
      <c r="G9881" s="109">
        <f t="shared" ca="1" si="163"/>
        <v>0.15926022377598226</v>
      </c>
    </row>
    <row r="9882" spans="2:7" x14ac:dyDescent="0.25">
      <c r="B9882" s="98"/>
      <c r="F9882">
        <v>9878</v>
      </c>
      <c r="G9882" s="109">
        <f t="shared" ca="1" si="163"/>
        <v>0.26438075736336158</v>
      </c>
    </row>
    <row r="9883" spans="2:7" x14ac:dyDescent="0.25">
      <c r="B9883" s="98"/>
      <c r="F9883">
        <v>9879</v>
      </c>
      <c r="G9883" s="109">
        <f t="shared" ca="1" si="163"/>
        <v>0.12569375993612064</v>
      </c>
    </row>
    <row r="9884" spans="2:7" x14ac:dyDescent="0.25">
      <c r="B9884" s="98"/>
      <c r="F9884">
        <v>9880</v>
      </c>
      <c r="G9884" s="109">
        <f t="shared" ca="1" si="163"/>
        <v>7.0600183144768763E-2</v>
      </c>
    </row>
    <row r="9885" spans="2:7" x14ac:dyDescent="0.25">
      <c r="B9885" s="98"/>
      <c r="F9885">
        <v>9881</v>
      </c>
      <c r="G9885" s="109">
        <f t="shared" ca="1" si="163"/>
        <v>0.10142311767040661</v>
      </c>
    </row>
    <row r="9886" spans="2:7" x14ac:dyDescent="0.25">
      <c r="B9886" s="98"/>
      <c r="F9886">
        <v>9882</v>
      </c>
      <c r="G9886" s="109">
        <f t="shared" ca="1" si="163"/>
        <v>-4.4751206162518639E-2</v>
      </c>
    </row>
    <row r="9887" spans="2:7" x14ac:dyDescent="0.25">
      <c r="B9887" s="98"/>
      <c r="F9887">
        <v>9883</v>
      </c>
      <c r="G9887" s="109">
        <f t="shared" ca="1" si="163"/>
        <v>4.562194175600922E-2</v>
      </c>
    </row>
    <row r="9888" spans="2:7" x14ac:dyDescent="0.25">
      <c r="B9888" s="98"/>
      <c r="F9888">
        <v>9884</v>
      </c>
      <c r="G9888" s="109">
        <f t="shared" ca="1" si="163"/>
        <v>0.14912996646027077</v>
      </c>
    </row>
    <row r="9889" spans="2:7" x14ac:dyDescent="0.25">
      <c r="B9889" s="98"/>
      <c r="F9889">
        <v>9885</v>
      </c>
      <c r="G9889" s="109">
        <f t="shared" ca="1" si="163"/>
        <v>0.21052322915238908</v>
      </c>
    </row>
    <row r="9890" spans="2:7" x14ac:dyDescent="0.25">
      <c r="B9890" s="98"/>
      <c r="F9890">
        <v>9886</v>
      </c>
      <c r="G9890" s="109">
        <f t="shared" ca="1" si="163"/>
        <v>0.10168300469445984</v>
      </c>
    </row>
    <row r="9891" spans="2:7" x14ac:dyDescent="0.25">
      <c r="B9891" s="98"/>
      <c r="F9891">
        <v>9887</v>
      </c>
      <c r="G9891" s="109">
        <f t="shared" ca="1" si="163"/>
        <v>0.11455169867444424</v>
      </c>
    </row>
    <row r="9892" spans="2:7" x14ac:dyDescent="0.25">
      <c r="B9892" s="98"/>
      <c r="F9892">
        <v>9888</v>
      </c>
      <c r="G9892" s="109">
        <f t="shared" ca="1" si="163"/>
        <v>-9.6445542168583295E-2</v>
      </c>
    </row>
    <row r="9893" spans="2:7" x14ac:dyDescent="0.25">
      <c r="B9893" s="98"/>
      <c r="F9893">
        <v>9889</v>
      </c>
      <c r="G9893" s="109">
        <f t="shared" ca="1" si="163"/>
        <v>0.16702771477844774</v>
      </c>
    </row>
    <row r="9894" spans="2:7" x14ac:dyDescent="0.25">
      <c r="B9894" s="98"/>
      <c r="F9894">
        <v>9890</v>
      </c>
      <c r="G9894" s="109">
        <f t="shared" ca="1" si="163"/>
        <v>7.7652355670370515E-2</v>
      </c>
    </row>
    <row r="9895" spans="2:7" x14ac:dyDescent="0.25">
      <c r="B9895" s="98"/>
      <c r="F9895">
        <v>9891</v>
      </c>
      <c r="G9895" s="109">
        <f t="shared" ca="1" si="163"/>
        <v>4.4101845410655441E-3</v>
      </c>
    </row>
    <row r="9896" spans="2:7" x14ac:dyDescent="0.25">
      <c r="B9896" s="98"/>
      <c r="F9896">
        <v>9892</v>
      </c>
      <c r="G9896" s="109">
        <f t="shared" ca="1" si="163"/>
        <v>0.1427388724583584</v>
      </c>
    </row>
    <row r="9897" spans="2:7" x14ac:dyDescent="0.25">
      <c r="B9897" s="98"/>
      <c r="F9897">
        <v>9893</v>
      </c>
      <c r="G9897" s="109">
        <f t="shared" ca="1" si="163"/>
        <v>2.0380312056719474E-3</v>
      </c>
    </row>
    <row r="9898" spans="2:7" x14ac:dyDescent="0.25">
      <c r="B9898" s="98"/>
      <c r="F9898">
        <v>9894</v>
      </c>
      <c r="G9898" s="109">
        <f t="shared" ca="1" si="163"/>
        <v>6.951095782249575E-2</v>
      </c>
    </row>
    <row r="9899" spans="2:7" x14ac:dyDescent="0.25">
      <c r="B9899" s="98"/>
      <c r="F9899">
        <v>9895</v>
      </c>
      <c r="G9899" s="109">
        <f t="shared" ca="1" si="163"/>
        <v>5.148718054492453E-2</v>
      </c>
    </row>
    <row r="9900" spans="2:7" x14ac:dyDescent="0.25">
      <c r="B9900" s="98"/>
      <c r="F9900">
        <v>9896</v>
      </c>
      <c r="G9900" s="109">
        <f t="shared" ca="1" si="163"/>
        <v>0.11636599786999392</v>
      </c>
    </row>
    <row r="9901" spans="2:7" x14ac:dyDescent="0.25">
      <c r="B9901" s="98"/>
      <c r="F9901">
        <v>9897</v>
      </c>
      <c r="G9901" s="109">
        <f t="shared" ca="1" si="163"/>
        <v>0.15397318196019871</v>
      </c>
    </row>
    <row r="9902" spans="2:7" x14ac:dyDescent="0.25">
      <c r="B9902" s="98"/>
      <c r="F9902">
        <v>9898</v>
      </c>
      <c r="G9902" s="109">
        <f t="shared" ca="1" si="163"/>
        <v>-7.8206049493408439E-2</v>
      </c>
    </row>
    <row r="9903" spans="2:7" x14ac:dyDescent="0.25">
      <c r="B9903" s="98"/>
      <c r="F9903">
        <v>9899</v>
      </c>
      <c r="G9903" s="109">
        <f t="shared" ca="1" si="163"/>
        <v>7.6880695495777335E-2</v>
      </c>
    </row>
    <row r="9904" spans="2:7" x14ac:dyDescent="0.25">
      <c r="B9904" s="98"/>
      <c r="F9904">
        <v>9900</v>
      </c>
      <c r="G9904" s="109">
        <f t="shared" ca="1" si="163"/>
        <v>6.4030370381273238E-2</v>
      </c>
    </row>
    <row r="9905" spans="2:7" x14ac:dyDescent="0.25">
      <c r="B9905" s="98"/>
      <c r="F9905">
        <v>9901</v>
      </c>
      <c r="G9905" s="109">
        <f t="shared" ca="1" si="163"/>
        <v>9.8882166950967382E-2</v>
      </c>
    </row>
    <row r="9906" spans="2:7" x14ac:dyDescent="0.25">
      <c r="B9906" s="98"/>
      <c r="F9906">
        <v>9902</v>
      </c>
      <c r="G9906" s="109">
        <f t="shared" ca="1" si="163"/>
        <v>6.044468750277459E-2</v>
      </c>
    </row>
    <row r="9907" spans="2:7" x14ac:dyDescent="0.25">
      <c r="B9907" s="98"/>
      <c r="F9907">
        <v>9903</v>
      </c>
      <c r="G9907" s="109">
        <f t="shared" ca="1" si="163"/>
        <v>-4.1792320520960033E-2</v>
      </c>
    </row>
    <row r="9908" spans="2:7" x14ac:dyDescent="0.25">
      <c r="B9908" s="98"/>
      <c r="F9908">
        <v>9904</v>
      </c>
      <c r="G9908" s="109">
        <f t="shared" ca="1" si="163"/>
        <v>-2.6278563159014126E-2</v>
      </c>
    </row>
    <row r="9909" spans="2:7" x14ac:dyDescent="0.25">
      <c r="B9909" s="98"/>
      <c r="F9909">
        <v>9905</v>
      </c>
      <c r="G9909" s="109">
        <f t="shared" ca="1" si="163"/>
        <v>0.16744287848112394</v>
      </c>
    </row>
    <row r="9910" spans="2:7" x14ac:dyDescent="0.25">
      <c r="B9910" s="98"/>
      <c r="F9910">
        <v>9906</v>
      </c>
      <c r="G9910" s="109">
        <f t="shared" ca="1" si="163"/>
        <v>1.4457281244172199E-3</v>
      </c>
    </row>
    <row r="9911" spans="2:7" x14ac:dyDescent="0.25">
      <c r="B9911" s="98"/>
      <c r="F9911">
        <v>9907</v>
      </c>
      <c r="G9911" s="109">
        <f t="shared" ca="1" si="163"/>
        <v>-0.19639397601876896</v>
      </c>
    </row>
    <row r="9912" spans="2:7" x14ac:dyDescent="0.25">
      <c r="B9912" s="98"/>
      <c r="F9912">
        <v>9908</v>
      </c>
      <c r="G9912" s="109">
        <f t="shared" ca="1" si="163"/>
        <v>-2.3223515451365778E-2</v>
      </c>
    </row>
    <row r="9913" spans="2:7" x14ac:dyDescent="0.25">
      <c r="B9913" s="98"/>
      <c r="F9913">
        <v>9909</v>
      </c>
      <c r="G9913" s="109">
        <f t="shared" ca="1" si="163"/>
        <v>1.9238928971703251E-2</v>
      </c>
    </row>
    <row r="9914" spans="2:7" x14ac:dyDescent="0.25">
      <c r="B9914" s="98"/>
      <c r="F9914">
        <v>9910</v>
      </c>
      <c r="G9914" s="109">
        <f t="shared" ca="1" si="163"/>
        <v>4.3146913830898026E-2</v>
      </c>
    </row>
    <row r="9915" spans="2:7" x14ac:dyDescent="0.25">
      <c r="B9915" s="98"/>
      <c r="F9915">
        <v>9911</v>
      </c>
      <c r="G9915" s="109">
        <f t="shared" ca="1" si="163"/>
        <v>-8.4800184954224381E-2</v>
      </c>
    </row>
    <row r="9916" spans="2:7" x14ac:dyDescent="0.25">
      <c r="B9916" s="98"/>
      <c r="F9916">
        <v>9912</v>
      </c>
      <c r="G9916" s="109">
        <f t="shared" ca="1" si="163"/>
        <v>0.14429221682416449</v>
      </c>
    </row>
    <row r="9917" spans="2:7" x14ac:dyDescent="0.25">
      <c r="B9917" s="98"/>
      <c r="F9917">
        <v>9913</v>
      </c>
      <c r="G9917" s="109">
        <f t="shared" ca="1" si="163"/>
        <v>0.10220764632402271</v>
      </c>
    </row>
    <row r="9918" spans="2:7" x14ac:dyDescent="0.25">
      <c r="B9918" s="98"/>
      <c r="F9918">
        <v>9914</v>
      </c>
      <c r="G9918" s="109">
        <f t="shared" ca="1" si="163"/>
        <v>8.1333725653543049E-2</v>
      </c>
    </row>
    <row r="9919" spans="2:7" x14ac:dyDescent="0.25">
      <c r="B9919" s="98"/>
      <c r="F9919">
        <v>9915</v>
      </c>
      <c r="G9919" s="109">
        <f t="shared" ca="1" si="163"/>
        <v>-2.1795700861765202E-2</v>
      </c>
    </row>
    <row r="9920" spans="2:7" x14ac:dyDescent="0.25">
      <c r="B9920" s="98"/>
      <c r="F9920">
        <v>9916</v>
      </c>
      <c r="G9920" s="109">
        <f t="shared" ca="1" si="163"/>
        <v>-0.1202986930244437</v>
      </c>
    </row>
    <row r="9921" spans="2:7" x14ac:dyDescent="0.25">
      <c r="B9921" s="98"/>
      <c r="F9921">
        <v>9917</v>
      </c>
      <c r="G9921" s="109">
        <f t="shared" ca="1" si="163"/>
        <v>7.8482569012819567E-3</v>
      </c>
    </row>
    <row r="9922" spans="2:7" x14ac:dyDescent="0.25">
      <c r="B9922" s="98"/>
      <c r="F9922">
        <v>9918</v>
      </c>
      <c r="G9922" s="109">
        <f t="shared" ca="1" si="163"/>
        <v>5.481120512668422E-2</v>
      </c>
    </row>
    <row r="9923" spans="2:7" x14ac:dyDescent="0.25">
      <c r="B9923" s="98"/>
      <c r="F9923">
        <v>9919</v>
      </c>
      <c r="G9923" s="109">
        <f t="shared" ca="1" si="163"/>
        <v>0.14357724672760819</v>
      </c>
    </row>
    <row r="9924" spans="2:7" x14ac:dyDescent="0.25">
      <c r="B9924" s="98"/>
      <c r="F9924">
        <v>9920</v>
      </c>
      <c r="G9924" s="109">
        <f t="shared" ca="1" si="163"/>
        <v>2.6591906642637338E-2</v>
      </c>
    </row>
    <row r="9925" spans="2:7" x14ac:dyDescent="0.25">
      <c r="B9925" s="98"/>
      <c r="F9925">
        <v>9921</v>
      </c>
      <c r="G9925" s="109">
        <f t="shared" ca="1" si="163"/>
        <v>-7.9700385732423565E-2</v>
      </c>
    </row>
    <row r="9926" spans="2:7" x14ac:dyDescent="0.25">
      <c r="B9926" s="98"/>
      <c r="F9926">
        <v>9922</v>
      </c>
      <c r="G9926" s="109">
        <f t="shared" ref="G9926:G9989" ca="1" si="164">_xlfn.NORM.INV(RAND(),$M$5,$M$6)</f>
        <v>-0.11112266532516528</v>
      </c>
    </row>
    <row r="9927" spans="2:7" x14ac:dyDescent="0.25">
      <c r="B9927" s="98"/>
      <c r="F9927">
        <v>9923</v>
      </c>
      <c r="G9927" s="109">
        <f t="shared" ca="1" si="164"/>
        <v>-0.10811910702938173</v>
      </c>
    </row>
    <row r="9928" spans="2:7" x14ac:dyDescent="0.25">
      <c r="B9928" s="98"/>
      <c r="F9928">
        <v>9924</v>
      </c>
      <c r="G9928" s="109">
        <f t="shared" ca="1" si="164"/>
        <v>0.17632344326141397</v>
      </c>
    </row>
    <row r="9929" spans="2:7" x14ac:dyDescent="0.25">
      <c r="B9929" s="98"/>
      <c r="F9929">
        <v>9925</v>
      </c>
      <c r="G9929" s="109">
        <f t="shared" ca="1" si="164"/>
        <v>3.4885249145993891E-4</v>
      </c>
    </row>
    <row r="9930" spans="2:7" x14ac:dyDescent="0.25">
      <c r="B9930" s="98"/>
      <c r="F9930">
        <v>9926</v>
      </c>
      <c r="G9930" s="109">
        <f t="shared" ca="1" si="164"/>
        <v>0.18676695937635673</v>
      </c>
    </row>
    <row r="9931" spans="2:7" x14ac:dyDescent="0.25">
      <c r="B9931" s="98"/>
      <c r="F9931">
        <v>9927</v>
      </c>
      <c r="G9931" s="109">
        <f t="shared" ca="1" si="164"/>
        <v>-0.1285467441818986</v>
      </c>
    </row>
    <row r="9932" spans="2:7" x14ac:dyDescent="0.25">
      <c r="B9932" s="98"/>
      <c r="F9932">
        <v>9928</v>
      </c>
      <c r="G9932" s="109">
        <f t="shared" ca="1" si="164"/>
        <v>0.2523477171598752</v>
      </c>
    </row>
    <row r="9933" spans="2:7" x14ac:dyDescent="0.25">
      <c r="B9933" s="98"/>
      <c r="F9933">
        <v>9929</v>
      </c>
      <c r="G9933" s="109">
        <f t="shared" ca="1" si="164"/>
        <v>1.8366994981981112E-2</v>
      </c>
    </row>
    <row r="9934" spans="2:7" x14ac:dyDescent="0.25">
      <c r="B9934" s="98"/>
      <c r="F9934">
        <v>9930</v>
      </c>
      <c r="G9934" s="109">
        <f t="shared" ca="1" si="164"/>
        <v>-8.1010777559118022E-2</v>
      </c>
    </row>
    <row r="9935" spans="2:7" x14ac:dyDescent="0.25">
      <c r="B9935" s="98"/>
      <c r="F9935">
        <v>9931</v>
      </c>
      <c r="G9935" s="109">
        <f t="shared" ca="1" si="164"/>
        <v>-5.5739357033375805E-2</v>
      </c>
    </row>
    <row r="9936" spans="2:7" x14ac:dyDescent="0.25">
      <c r="B9936" s="98"/>
      <c r="F9936">
        <v>9932</v>
      </c>
      <c r="G9936" s="109">
        <f t="shared" ca="1" si="164"/>
        <v>0.22742105075248636</v>
      </c>
    </row>
    <row r="9937" spans="2:7" x14ac:dyDescent="0.25">
      <c r="B9937" s="98"/>
      <c r="F9937">
        <v>9933</v>
      </c>
      <c r="G9937" s="109">
        <f t="shared" ca="1" si="164"/>
        <v>6.9183955876834263E-2</v>
      </c>
    </row>
    <row r="9938" spans="2:7" x14ac:dyDescent="0.25">
      <c r="B9938" s="98"/>
      <c r="F9938">
        <v>9934</v>
      </c>
      <c r="G9938" s="109">
        <f t="shared" ca="1" si="164"/>
        <v>4.7524525868951707E-2</v>
      </c>
    </row>
    <row r="9939" spans="2:7" x14ac:dyDescent="0.25">
      <c r="B9939" s="98"/>
      <c r="F9939">
        <v>9935</v>
      </c>
      <c r="G9939" s="109">
        <f t="shared" ca="1" si="164"/>
        <v>0.18337757522343484</v>
      </c>
    </row>
    <row r="9940" spans="2:7" x14ac:dyDescent="0.25">
      <c r="B9940" s="98"/>
      <c r="F9940">
        <v>9936</v>
      </c>
      <c r="G9940" s="109">
        <f t="shared" ca="1" si="164"/>
        <v>9.9954779527442555E-2</v>
      </c>
    </row>
    <row r="9941" spans="2:7" x14ac:dyDescent="0.25">
      <c r="B9941" s="98"/>
      <c r="F9941">
        <v>9937</v>
      </c>
      <c r="G9941" s="109">
        <f t="shared" ca="1" si="164"/>
        <v>2.240536603847635E-2</v>
      </c>
    </row>
    <row r="9942" spans="2:7" x14ac:dyDescent="0.25">
      <c r="B9942" s="98"/>
      <c r="F9942">
        <v>9938</v>
      </c>
      <c r="G9942" s="109">
        <f t="shared" ca="1" si="164"/>
        <v>0.10507520715224786</v>
      </c>
    </row>
    <row r="9943" spans="2:7" x14ac:dyDescent="0.25">
      <c r="B9943" s="98"/>
      <c r="F9943">
        <v>9939</v>
      </c>
      <c r="G9943" s="109">
        <f t="shared" ca="1" si="164"/>
        <v>2.8292683573657357E-2</v>
      </c>
    </row>
    <row r="9944" spans="2:7" x14ac:dyDescent="0.25">
      <c r="B9944" s="98"/>
      <c r="F9944">
        <v>9940</v>
      </c>
      <c r="G9944" s="109">
        <f t="shared" ca="1" si="164"/>
        <v>7.6964072197754474E-2</v>
      </c>
    </row>
    <row r="9945" spans="2:7" x14ac:dyDescent="0.25">
      <c r="B9945" s="98"/>
      <c r="F9945">
        <v>9941</v>
      </c>
      <c r="G9945" s="109">
        <f t="shared" ca="1" si="164"/>
        <v>0.22560541446676657</v>
      </c>
    </row>
    <row r="9946" spans="2:7" x14ac:dyDescent="0.25">
      <c r="B9946" s="98"/>
      <c r="F9946">
        <v>9942</v>
      </c>
      <c r="G9946" s="109">
        <f t="shared" ca="1" si="164"/>
        <v>-5.8013356505361852E-2</v>
      </c>
    </row>
    <row r="9947" spans="2:7" x14ac:dyDescent="0.25">
      <c r="B9947" s="98"/>
      <c r="F9947">
        <v>9943</v>
      </c>
      <c r="G9947" s="109">
        <f t="shared" ca="1" si="164"/>
        <v>-0.10994418923765163</v>
      </c>
    </row>
    <row r="9948" spans="2:7" x14ac:dyDescent="0.25">
      <c r="B9948" s="98"/>
      <c r="F9948">
        <v>9944</v>
      </c>
      <c r="G9948" s="109">
        <f t="shared" ca="1" si="164"/>
        <v>-8.1375898151602025E-2</v>
      </c>
    </row>
    <row r="9949" spans="2:7" x14ac:dyDescent="0.25">
      <c r="B9949" s="98"/>
      <c r="F9949">
        <v>9945</v>
      </c>
      <c r="G9949" s="109">
        <f t="shared" ca="1" si="164"/>
        <v>0.10561621272287705</v>
      </c>
    </row>
    <row r="9950" spans="2:7" x14ac:dyDescent="0.25">
      <c r="B9950" s="98"/>
      <c r="F9950">
        <v>9946</v>
      </c>
      <c r="G9950" s="109">
        <f t="shared" ca="1" si="164"/>
        <v>-7.920880300308468E-2</v>
      </c>
    </row>
    <row r="9951" spans="2:7" x14ac:dyDescent="0.25">
      <c r="B9951" s="98"/>
      <c r="F9951">
        <v>9947</v>
      </c>
      <c r="G9951" s="109">
        <f t="shared" ca="1" si="164"/>
        <v>-8.3174810147693942E-2</v>
      </c>
    </row>
    <row r="9952" spans="2:7" x14ac:dyDescent="0.25">
      <c r="B9952" s="98"/>
      <c r="F9952">
        <v>9948</v>
      </c>
      <c r="G9952" s="109">
        <f t="shared" ca="1" si="164"/>
        <v>-3.5656559172929231E-2</v>
      </c>
    </row>
    <row r="9953" spans="2:7" x14ac:dyDescent="0.25">
      <c r="B9953" s="98"/>
      <c r="F9953">
        <v>9949</v>
      </c>
      <c r="G9953" s="109">
        <f t="shared" ca="1" si="164"/>
        <v>-6.1898972422096132E-3</v>
      </c>
    </row>
    <row r="9954" spans="2:7" x14ac:dyDescent="0.25">
      <c r="B9954" s="98"/>
      <c r="F9954">
        <v>9950</v>
      </c>
      <c r="G9954" s="109">
        <f t="shared" ca="1" si="164"/>
        <v>2.248189653695434E-2</v>
      </c>
    </row>
    <row r="9955" spans="2:7" x14ac:dyDescent="0.25">
      <c r="B9955" s="98"/>
      <c r="F9955">
        <v>9951</v>
      </c>
      <c r="G9955" s="109">
        <f t="shared" ca="1" si="164"/>
        <v>5.1647677957665811E-2</v>
      </c>
    </row>
    <row r="9956" spans="2:7" x14ac:dyDescent="0.25">
      <c r="B9956" s="98"/>
      <c r="F9956">
        <v>9952</v>
      </c>
      <c r="G9956" s="109">
        <f t="shared" ca="1" si="164"/>
        <v>5.4083257682678451E-2</v>
      </c>
    </row>
    <row r="9957" spans="2:7" x14ac:dyDescent="0.25">
      <c r="B9957" s="98"/>
      <c r="F9957">
        <v>9953</v>
      </c>
      <c r="G9957" s="109">
        <f t="shared" ca="1" si="164"/>
        <v>-0.19012064067843759</v>
      </c>
    </row>
    <row r="9958" spans="2:7" x14ac:dyDescent="0.25">
      <c r="B9958" s="98"/>
      <c r="F9958">
        <v>9954</v>
      </c>
      <c r="G9958" s="109">
        <f t="shared" ca="1" si="164"/>
        <v>0.11730405497486539</v>
      </c>
    </row>
    <row r="9959" spans="2:7" x14ac:dyDescent="0.25">
      <c r="B9959" s="98"/>
      <c r="F9959">
        <v>9955</v>
      </c>
      <c r="G9959" s="109">
        <f t="shared" ca="1" si="164"/>
        <v>1.0922937471571151E-2</v>
      </c>
    </row>
    <row r="9960" spans="2:7" x14ac:dyDescent="0.25">
      <c r="B9960" s="98"/>
      <c r="F9960">
        <v>9956</v>
      </c>
      <c r="G9960" s="109">
        <f t="shared" ca="1" si="164"/>
        <v>4.2273475198526173E-2</v>
      </c>
    </row>
    <row r="9961" spans="2:7" x14ac:dyDescent="0.25">
      <c r="B9961" s="98"/>
      <c r="F9961">
        <v>9957</v>
      </c>
      <c r="G9961" s="109">
        <f t="shared" ca="1" si="164"/>
        <v>-8.9990186242106099E-2</v>
      </c>
    </row>
    <row r="9962" spans="2:7" x14ac:dyDescent="0.25">
      <c r="B9962" s="98"/>
      <c r="F9962">
        <v>9958</v>
      </c>
      <c r="G9962" s="109">
        <f t="shared" ca="1" si="164"/>
        <v>0.11938047367908897</v>
      </c>
    </row>
    <row r="9963" spans="2:7" x14ac:dyDescent="0.25">
      <c r="B9963" s="98"/>
      <c r="F9963">
        <v>9959</v>
      </c>
      <c r="G9963" s="109">
        <f t="shared" ca="1" si="164"/>
        <v>0.12541532306368758</v>
      </c>
    </row>
    <row r="9964" spans="2:7" x14ac:dyDescent="0.25">
      <c r="B9964" s="98"/>
      <c r="F9964">
        <v>9960</v>
      </c>
      <c r="G9964" s="109">
        <f t="shared" ca="1" si="164"/>
        <v>-4.4302710374662255E-2</v>
      </c>
    </row>
    <row r="9965" spans="2:7" x14ac:dyDescent="0.25">
      <c r="B9965" s="98"/>
      <c r="F9965">
        <v>9961</v>
      </c>
      <c r="G9965" s="109">
        <f t="shared" ca="1" si="164"/>
        <v>8.5421558494169464E-2</v>
      </c>
    </row>
    <row r="9966" spans="2:7" x14ac:dyDescent="0.25">
      <c r="B9966" s="98"/>
      <c r="F9966">
        <v>9962</v>
      </c>
      <c r="G9966" s="109">
        <f t="shared" ca="1" si="164"/>
        <v>0.26978503077798244</v>
      </c>
    </row>
    <row r="9967" spans="2:7" x14ac:dyDescent="0.25">
      <c r="B9967" s="98"/>
      <c r="F9967">
        <v>9963</v>
      </c>
      <c r="G9967" s="109">
        <f t="shared" ca="1" si="164"/>
        <v>0.11234176284416664</v>
      </c>
    </row>
    <row r="9968" spans="2:7" x14ac:dyDescent="0.25">
      <c r="B9968" s="98"/>
      <c r="F9968">
        <v>9964</v>
      </c>
      <c r="G9968" s="109">
        <f t="shared" ca="1" si="164"/>
        <v>-2.0840566322849086E-2</v>
      </c>
    </row>
    <row r="9969" spans="2:7" x14ac:dyDescent="0.25">
      <c r="B9969" s="98"/>
      <c r="F9969">
        <v>9965</v>
      </c>
      <c r="G9969" s="109">
        <f t="shared" ca="1" si="164"/>
        <v>3.2791325235950977E-2</v>
      </c>
    </row>
    <row r="9970" spans="2:7" x14ac:dyDescent="0.25">
      <c r="B9970" s="98"/>
      <c r="F9970">
        <v>9966</v>
      </c>
      <c r="G9970" s="109">
        <f t="shared" ca="1" si="164"/>
        <v>7.7988004127230587E-2</v>
      </c>
    </row>
    <row r="9971" spans="2:7" x14ac:dyDescent="0.25">
      <c r="B9971" s="98"/>
      <c r="F9971">
        <v>9967</v>
      </c>
      <c r="G9971" s="109">
        <f t="shared" ca="1" si="164"/>
        <v>0.17432887025007038</v>
      </c>
    </row>
    <row r="9972" spans="2:7" x14ac:dyDescent="0.25">
      <c r="B9972" s="98"/>
      <c r="F9972">
        <v>9968</v>
      </c>
      <c r="G9972" s="109">
        <f t="shared" ca="1" si="164"/>
        <v>4.2321557496515998E-2</v>
      </c>
    </row>
    <row r="9973" spans="2:7" x14ac:dyDescent="0.25">
      <c r="B9973" s="98"/>
      <c r="F9973">
        <v>9969</v>
      </c>
      <c r="G9973" s="109">
        <f t="shared" ca="1" si="164"/>
        <v>0.11505622217368652</v>
      </c>
    </row>
    <row r="9974" spans="2:7" x14ac:dyDescent="0.25">
      <c r="B9974" s="98"/>
      <c r="F9974">
        <v>9970</v>
      </c>
      <c r="G9974" s="109">
        <f t="shared" ca="1" si="164"/>
        <v>1.4407805761621321E-2</v>
      </c>
    </row>
    <row r="9975" spans="2:7" x14ac:dyDescent="0.25">
      <c r="B9975" s="98"/>
      <c r="F9975">
        <v>9971</v>
      </c>
      <c r="G9975" s="109">
        <f t="shared" ca="1" si="164"/>
        <v>4.515521413642553E-2</v>
      </c>
    </row>
    <row r="9976" spans="2:7" x14ac:dyDescent="0.25">
      <c r="B9976" s="98"/>
      <c r="F9976">
        <v>9972</v>
      </c>
      <c r="G9976" s="109">
        <f t="shared" ca="1" si="164"/>
        <v>3.0431475626120724E-2</v>
      </c>
    </row>
    <row r="9977" spans="2:7" x14ac:dyDescent="0.25">
      <c r="B9977" s="98"/>
      <c r="F9977">
        <v>9973</v>
      </c>
      <c r="G9977" s="109">
        <f t="shared" ca="1" si="164"/>
        <v>4.536056984827791E-2</v>
      </c>
    </row>
    <row r="9978" spans="2:7" x14ac:dyDescent="0.25">
      <c r="B9978" s="98"/>
      <c r="F9978">
        <v>9974</v>
      </c>
      <c r="G9978" s="109">
        <f t="shared" ca="1" si="164"/>
        <v>3.2435188560902328E-2</v>
      </c>
    </row>
    <row r="9979" spans="2:7" x14ac:dyDescent="0.25">
      <c r="B9979" s="98"/>
      <c r="F9979">
        <v>9975</v>
      </c>
      <c r="G9979" s="109">
        <f t="shared" ca="1" si="164"/>
        <v>6.8685346283613155E-2</v>
      </c>
    </row>
    <row r="9980" spans="2:7" x14ac:dyDescent="0.25">
      <c r="B9980" s="98"/>
      <c r="F9980">
        <v>9976</v>
      </c>
      <c r="G9980" s="109">
        <f t="shared" ca="1" si="164"/>
        <v>0.13891752398911761</v>
      </c>
    </row>
    <row r="9981" spans="2:7" x14ac:dyDescent="0.25">
      <c r="B9981" s="98"/>
      <c r="F9981">
        <v>9977</v>
      </c>
      <c r="G9981" s="109">
        <f t="shared" ca="1" si="164"/>
        <v>-7.2293590846161299E-2</v>
      </c>
    </row>
    <row r="9982" spans="2:7" x14ac:dyDescent="0.25">
      <c r="B9982" s="98"/>
      <c r="F9982">
        <v>9978</v>
      </c>
      <c r="G9982" s="109">
        <f t="shared" ca="1" si="164"/>
        <v>2.9808500487066691E-2</v>
      </c>
    </row>
    <row r="9983" spans="2:7" x14ac:dyDescent="0.25">
      <c r="B9983" s="98"/>
      <c r="F9983">
        <v>9979</v>
      </c>
      <c r="G9983" s="109">
        <f t="shared" ca="1" si="164"/>
        <v>7.4397477975126303E-2</v>
      </c>
    </row>
    <row r="9984" spans="2:7" x14ac:dyDescent="0.25">
      <c r="B9984" s="98"/>
      <c r="F9984">
        <v>9980</v>
      </c>
      <c r="G9984" s="109">
        <f t="shared" ca="1" si="164"/>
        <v>0.13821795067282636</v>
      </c>
    </row>
    <row r="9985" spans="2:7" x14ac:dyDescent="0.25">
      <c r="B9985" s="98"/>
      <c r="F9985">
        <v>9981</v>
      </c>
      <c r="G9985" s="109">
        <f t="shared" ca="1" si="164"/>
        <v>-1.4006392801952296E-2</v>
      </c>
    </row>
    <row r="9986" spans="2:7" x14ac:dyDescent="0.25">
      <c r="B9986" s="98"/>
      <c r="F9986">
        <v>9982</v>
      </c>
      <c r="G9986" s="109">
        <f t="shared" ca="1" si="164"/>
        <v>0.12580159346543573</v>
      </c>
    </row>
    <row r="9987" spans="2:7" x14ac:dyDescent="0.25">
      <c r="B9987" s="98"/>
      <c r="F9987">
        <v>9983</v>
      </c>
      <c r="G9987" s="109">
        <f t="shared" ca="1" si="164"/>
        <v>0.19645646852844029</v>
      </c>
    </row>
    <row r="9988" spans="2:7" x14ac:dyDescent="0.25">
      <c r="B9988" s="98"/>
      <c r="F9988">
        <v>9984</v>
      </c>
      <c r="G9988" s="109">
        <f t="shared" ca="1" si="164"/>
        <v>-1.8580799171807882E-3</v>
      </c>
    </row>
    <row r="9989" spans="2:7" x14ac:dyDescent="0.25">
      <c r="B9989" s="98"/>
      <c r="F9989">
        <v>9985</v>
      </c>
      <c r="G9989" s="109">
        <f t="shared" ca="1" si="164"/>
        <v>-2.2614910626139115E-2</v>
      </c>
    </row>
    <row r="9990" spans="2:7" x14ac:dyDescent="0.25">
      <c r="B9990" s="98"/>
      <c r="F9990">
        <v>9986</v>
      </c>
      <c r="G9990" s="109">
        <f t="shared" ref="G9990:G10004" ca="1" si="165">_xlfn.NORM.INV(RAND(),$M$5,$M$6)</f>
        <v>0.14571754719930541</v>
      </c>
    </row>
    <row r="9991" spans="2:7" x14ac:dyDescent="0.25">
      <c r="B9991" s="98"/>
      <c r="F9991">
        <v>9987</v>
      </c>
      <c r="G9991" s="109">
        <f t="shared" ca="1" si="165"/>
        <v>-7.8724583006065788E-2</v>
      </c>
    </row>
    <row r="9992" spans="2:7" x14ac:dyDescent="0.25">
      <c r="B9992" s="98"/>
      <c r="F9992">
        <v>9988</v>
      </c>
      <c r="G9992" s="109">
        <f t="shared" ca="1" si="165"/>
        <v>-3.5467659828355425E-3</v>
      </c>
    </row>
    <row r="9993" spans="2:7" x14ac:dyDescent="0.25">
      <c r="B9993" s="98"/>
      <c r="F9993">
        <v>9989</v>
      </c>
      <c r="G9993" s="109">
        <f t="shared" ca="1" si="165"/>
        <v>9.474604263769941E-3</v>
      </c>
    </row>
    <row r="9994" spans="2:7" x14ac:dyDescent="0.25">
      <c r="B9994" s="98"/>
      <c r="F9994">
        <v>9990</v>
      </c>
      <c r="G9994" s="109">
        <f t="shared" ca="1" si="165"/>
        <v>6.0572666478051207E-2</v>
      </c>
    </row>
    <row r="9995" spans="2:7" x14ac:dyDescent="0.25">
      <c r="B9995" s="98"/>
      <c r="F9995">
        <v>9991</v>
      </c>
      <c r="G9995" s="109">
        <f t="shared" ca="1" si="165"/>
        <v>2.5949244089507675E-3</v>
      </c>
    </row>
    <row r="9996" spans="2:7" x14ac:dyDescent="0.25">
      <c r="B9996" s="98"/>
      <c r="F9996">
        <v>9992</v>
      </c>
      <c r="G9996" s="109">
        <f t="shared" ca="1" si="165"/>
        <v>-0.23866622223080436</v>
      </c>
    </row>
    <row r="9997" spans="2:7" x14ac:dyDescent="0.25">
      <c r="B9997" s="98"/>
      <c r="F9997">
        <v>9993</v>
      </c>
      <c r="G9997" s="109">
        <f t="shared" ca="1" si="165"/>
        <v>0.12967864864353429</v>
      </c>
    </row>
    <row r="9998" spans="2:7" x14ac:dyDescent="0.25">
      <c r="B9998" s="98"/>
      <c r="F9998">
        <v>9994</v>
      </c>
      <c r="G9998" s="109">
        <f t="shared" ca="1" si="165"/>
        <v>-6.1622977981071053E-2</v>
      </c>
    </row>
    <row r="9999" spans="2:7" x14ac:dyDescent="0.25">
      <c r="B9999" s="98"/>
      <c r="F9999">
        <v>9995</v>
      </c>
      <c r="G9999" s="109">
        <f t="shared" ca="1" si="165"/>
        <v>0.11065978524747451</v>
      </c>
    </row>
    <row r="10000" spans="2:7" x14ac:dyDescent="0.25">
      <c r="B10000" s="98"/>
      <c r="F10000">
        <v>9996</v>
      </c>
      <c r="G10000" s="109">
        <f t="shared" ca="1" si="165"/>
        <v>-2.8832491262384963E-2</v>
      </c>
    </row>
    <row r="10001" spans="2:7" x14ac:dyDescent="0.25">
      <c r="B10001" s="98"/>
      <c r="F10001">
        <v>9997</v>
      </c>
      <c r="G10001" s="109">
        <f t="shared" ca="1" si="165"/>
        <v>0.31197445275356295</v>
      </c>
    </row>
    <row r="10002" spans="2:7" x14ac:dyDescent="0.25">
      <c r="B10002" s="98"/>
      <c r="F10002">
        <v>9998</v>
      </c>
      <c r="G10002" s="109">
        <f t="shared" ca="1" si="165"/>
        <v>9.0196436457412016E-2</v>
      </c>
    </row>
    <row r="10003" spans="2:7" x14ac:dyDescent="0.25">
      <c r="B10003" s="98"/>
      <c r="F10003">
        <v>9999</v>
      </c>
      <c r="G10003" s="109">
        <f t="shared" ca="1" si="165"/>
        <v>-4.5694870624128428E-2</v>
      </c>
    </row>
    <row r="10004" spans="2:7" x14ac:dyDescent="0.25">
      <c r="F10004">
        <v>10000</v>
      </c>
      <c r="G10004" s="109">
        <f t="shared" ca="1" si="165"/>
        <v>-6.4734626111830312E-2</v>
      </c>
    </row>
  </sheetData>
  <sheetProtection sheet="1" objects="1" scenarios="1"/>
  <autoFilter ref="A4:G10004" xr:uid="{44127133-E89D-40B8-B422-20A9DF9642E9}">
    <sortState xmlns:xlrd2="http://schemas.microsoft.com/office/spreadsheetml/2017/richdata2" ref="A5:G10004">
      <sortCondition descending="1" ref="E4:E10004"/>
    </sortState>
  </autoFilter>
  <pageMargins left="0.25" right="0.25" top="0.75" bottom="0.75" header="0.3" footer="0.3"/>
  <pageSetup paperSize="3"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40FF9-1014-4B0D-87F5-C379906BF11B}">
  <sheetPr codeName="Sheet8">
    <tabColor theme="9" tint="0.39997558519241921"/>
  </sheetPr>
  <dimension ref="B2:O33"/>
  <sheetViews>
    <sheetView showGridLines="0" workbookViewId="0">
      <selection activeCell="B7" sqref="B7"/>
    </sheetView>
  </sheetViews>
  <sheetFormatPr defaultRowHeight="15.75" x14ac:dyDescent="0.25"/>
  <cols>
    <col min="1" max="1" width="1.85546875" style="8" customWidth="1"/>
    <col min="2" max="2" width="30.140625" style="8" bestFit="1" customWidth="1"/>
    <col min="3" max="3" width="9.42578125" style="8" bestFit="1" customWidth="1"/>
    <col min="4" max="4" width="13.42578125" style="8" customWidth="1"/>
    <col min="5" max="5" width="10.7109375" style="8" bestFit="1" customWidth="1"/>
    <col min="6" max="6" width="10.28515625" style="8" bestFit="1" customWidth="1"/>
    <col min="7" max="7" width="11" style="8" customWidth="1"/>
    <col min="8" max="8" width="1.85546875" style="8" customWidth="1"/>
    <col min="9" max="10" width="9.5703125" style="8" bestFit="1" customWidth="1"/>
    <col min="11" max="11" width="9.42578125" style="8" bestFit="1" customWidth="1"/>
    <col min="12" max="12" width="1.85546875" style="8" customWidth="1"/>
    <col min="13" max="15" width="12.5703125" style="8" bestFit="1" customWidth="1"/>
    <col min="16" max="16384" width="9.140625" style="8"/>
  </cols>
  <sheetData>
    <row r="2" spans="2:15" ht="18.75" x14ac:dyDescent="0.3">
      <c r="B2" s="252" t="s">
        <v>692</v>
      </c>
      <c r="C2" s="252"/>
      <c r="D2" s="252"/>
      <c r="E2" s="252"/>
      <c r="F2" s="252"/>
      <c r="G2" s="252"/>
      <c r="H2" s="252"/>
      <c r="I2" s="252"/>
      <c r="J2" s="252"/>
      <c r="K2" s="252"/>
      <c r="L2" s="252"/>
      <c r="M2" s="252"/>
      <c r="N2" s="252"/>
      <c r="O2" s="252"/>
    </row>
    <row r="3" spans="2:15" customFormat="1" ht="15" x14ac:dyDescent="0.25">
      <c r="B3" s="178" t="s">
        <v>689</v>
      </c>
    </row>
    <row r="4" spans="2:15" x14ac:dyDescent="0.25">
      <c r="B4" s="179" t="s">
        <v>660</v>
      </c>
      <c r="C4" s="119"/>
      <c r="D4" s="119"/>
      <c r="E4" s="119"/>
      <c r="F4" s="119"/>
      <c r="G4" s="119"/>
      <c r="H4" s="119"/>
      <c r="I4" s="119"/>
      <c r="J4" s="119"/>
      <c r="K4" s="119"/>
      <c r="L4" s="119"/>
      <c r="M4" s="119"/>
      <c r="N4" s="119"/>
      <c r="O4" s="119"/>
    </row>
    <row r="6" spans="2:15" x14ac:dyDescent="0.25">
      <c r="B6" s="180"/>
      <c r="C6" s="251" t="s">
        <v>666</v>
      </c>
      <c r="D6" s="251"/>
      <c r="E6" s="251"/>
      <c r="F6" s="251"/>
      <c r="G6" s="251"/>
      <c r="H6" s="180"/>
      <c r="I6" s="251" t="s">
        <v>667</v>
      </c>
      <c r="J6" s="251"/>
      <c r="K6" s="251"/>
      <c r="L6" s="180"/>
      <c r="M6" s="251" t="s">
        <v>668</v>
      </c>
      <c r="N6" s="251"/>
      <c r="O6" s="251"/>
    </row>
    <row r="7" spans="2:15" ht="31.5" x14ac:dyDescent="0.25">
      <c r="B7" s="180" t="s">
        <v>661</v>
      </c>
      <c r="C7" s="181" t="s">
        <v>654</v>
      </c>
      <c r="D7" s="181" t="s">
        <v>662</v>
      </c>
      <c r="E7" s="181" t="s">
        <v>663</v>
      </c>
      <c r="F7" s="181" t="s">
        <v>664</v>
      </c>
      <c r="G7" s="181" t="s">
        <v>665</v>
      </c>
      <c r="H7" s="181"/>
      <c r="I7" s="181" t="s">
        <v>669</v>
      </c>
      <c r="J7" s="181" t="s">
        <v>63</v>
      </c>
      <c r="K7" s="181" t="s">
        <v>670</v>
      </c>
      <c r="L7" s="181"/>
      <c r="M7" s="175" t="s">
        <v>682</v>
      </c>
      <c r="N7" s="175" t="s">
        <v>683</v>
      </c>
      <c r="O7" s="181" t="s">
        <v>684</v>
      </c>
    </row>
    <row r="8" spans="2:15" ht="4.5" customHeight="1" x14ac:dyDescent="0.25"/>
    <row r="9" spans="2:15" s="14" customFormat="1" x14ac:dyDescent="0.25">
      <c r="B9" s="182" t="str">
        <f>'Peer data'!C3</f>
        <v>Hind.Aeronautics</v>
      </c>
      <c r="C9" s="183">
        <f>'Peer data'!D3</f>
        <v>4421.3</v>
      </c>
      <c r="D9" s="183">
        <f>'Peer data'!G3</f>
        <v>66.88</v>
      </c>
      <c r="E9" s="183">
        <f>D9*C9</f>
        <v>295696.54399999999</v>
      </c>
      <c r="F9" s="183">
        <f>'Peer data'!F3-'Peer data'!H3</f>
        <v>-38170.85</v>
      </c>
      <c r="G9" s="183">
        <f>E9+F9</f>
        <v>257525.69399999999</v>
      </c>
      <c r="H9" s="183"/>
      <c r="I9" s="183">
        <f>'Peer data'!K3</f>
        <v>32104.78</v>
      </c>
      <c r="J9" s="183">
        <f>'Peer data'!L3+'Peer data'!M3</f>
        <v>12775.599999999999</v>
      </c>
      <c r="K9" s="183">
        <f>'Peer data'!N3</f>
        <v>8469.24</v>
      </c>
      <c r="L9" s="183"/>
      <c r="M9" s="184">
        <f>G9/I9</f>
        <v>8.021412823884793</v>
      </c>
      <c r="N9" s="184">
        <f>G9/J9</f>
        <v>20.157620307461098</v>
      </c>
      <c r="O9" s="184">
        <f>E9/K9</f>
        <v>34.914176950942469</v>
      </c>
    </row>
    <row r="10" spans="2:15" x14ac:dyDescent="0.25">
      <c r="B10" s="21" t="str">
        <f>'Peer data'!C4</f>
        <v>Bharat Electron</v>
      </c>
      <c r="C10" s="185">
        <f>'Peer data'!D4</f>
        <v>400</v>
      </c>
      <c r="D10" s="185">
        <f>'Peer data'!G4</f>
        <v>730.98</v>
      </c>
      <c r="E10" s="185">
        <f t="shared" ref="E10:E14" si="0">D10*C10</f>
        <v>292392</v>
      </c>
      <c r="F10" s="185">
        <f>'Peer data'!F4-'Peer data'!H4</f>
        <v>-9486.2100000000009</v>
      </c>
      <c r="G10" s="185">
        <f t="shared" ref="G10:G14" si="1">E10+F10</f>
        <v>282905.78999999998</v>
      </c>
      <c r="H10" s="185"/>
      <c r="I10" s="185">
        <f>'Peer data'!K4</f>
        <v>25152.11</v>
      </c>
      <c r="J10" s="185">
        <f>'Peer data'!L4+'Peer data'!M4</f>
        <v>8124.25</v>
      </c>
      <c r="K10" s="185">
        <f>'Peer data'!N4</f>
        <v>5694.83</v>
      </c>
      <c r="L10" s="185"/>
      <c r="M10" s="186">
        <f t="shared" ref="M10:M14" si="2">G10/I10</f>
        <v>11.247795512980819</v>
      </c>
      <c r="N10" s="186">
        <f t="shared" ref="N10:N14" si="3">G10/J10</f>
        <v>34.822388528171828</v>
      </c>
      <c r="O10" s="186">
        <f t="shared" ref="O10:O14" si="4">E10/K10</f>
        <v>51.343411480237336</v>
      </c>
    </row>
    <row r="11" spans="2:15" x14ac:dyDescent="0.25">
      <c r="B11" s="21" t="str">
        <f>'Peer data'!C5</f>
        <v>Bharat Dynamics</v>
      </c>
      <c r="C11" s="185">
        <f>'Peer data'!D5</f>
        <v>1481.2</v>
      </c>
      <c r="D11" s="185">
        <f>'Peer data'!G5</f>
        <v>36.659999999999997</v>
      </c>
      <c r="E11" s="185">
        <f t="shared" si="0"/>
        <v>54300.791999999994</v>
      </c>
      <c r="F11" s="185">
        <f>'Peer data'!F5-'Peer data'!H5</f>
        <v>-4189.13</v>
      </c>
      <c r="G11" s="185">
        <f t="shared" si="1"/>
        <v>50111.661999999997</v>
      </c>
      <c r="H11" s="185"/>
      <c r="I11" s="185">
        <f>'Peer data'!K5</f>
        <v>4004.08</v>
      </c>
      <c r="J11" s="185">
        <f>'Peer data'!L5+'Peer data'!M5</f>
        <v>959.4</v>
      </c>
      <c r="K11" s="185">
        <f>'Peer data'!N5</f>
        <v>654.13</v>
      </c>
      <c r="L11" s="185"/>
      <c r="M11" s="186">
        <f t="shared" si="2"/>
        <v>12.515150046952108</v>
      </c>
      <c r="N11" s="186">
        <f t="shared" si="3"/>
        <v>52.232293099854076</v>
      </c>
      <c r="O11" s="186">
        <f t="shared" si="4"/>
        <v>83.012233042361601</v>
      </c>
    </row>
    <row r="12" spans="2:15" x14ac:dyDescent="0.25">
      <c r="B12" s="21" t="str">
        <f>'Peer data'!C6</f>
        <v>Data Pattern</v>
      </c>
      <c r="C12" s="185">
        <f>'Peer data'!D6</f>
        <v>2672.3</v>
      </c>
      <c r="D12" s="185">
        <f>'Peer data'!G6</f>
        <v>5.6</v>
      </c>
      <c r="E12" s="185">
        <f t="shared" si="0"/>
        <v>14964.88</v>
      </c>
      <c r="F12" s="185">
        <f>'Peer data'!F6-'Peer data'!H6</f>
        <v>-120.59</v>
      </c>
      <c r="G12" s="185">
        <f t="shared" si="1"/>
        <v>14844.289999999999</v>
      </c>
      <c r="H12" s="185"/>
      <c r="I12" s="185">
        <f>'Peer data'!K6</f>
        <v>920.04</v>
      </c>
      <c r="J12" s="185">
        <f>'Peer data'!L6+'Peer data'!M6</f>
        <v>342.56</v>
      </c>
      <c r="K12" s="185">
        <f>'Peer data'!N6</f>
        <v>233.43</v>
      </c>
      <c r="L12" s="185"/>
      <c r="M12" s="186">
        <f t="shared" si="2"/>
        <v>16.134396330594321</v>
      </c>
      <c r="N12" s="186">
        <f t="shared" si="3"/>
        <v>43.333401447921531</v>
      </c>
      <c r="O12" s="186">
        <f t="shared" si="4"/>
        <v>64.108640705993224</v>
      </c>
    </row>
    <row r="13" spans="2:15" x14ac:dyDescent="0.25">
      <c r="B13" s="21" t="str">
        <f>'Peer data'!C7</f>
        <v>Zen Technologies</v>
      </c>
      <c r="C13" s="185">
        <f>'Peer data'!D7</f>
        <v>1391.6</v>
      </c>
      <c r="D13" s="185">
        <f>'Peer data'!G7</f>
        <v>9.0299999999999994</v>
      </c>
      <c r="E13" s="185">
        <f t="shared" si="0"/>
        <v>12566.147999999997</v>
      </c>
      <c r="F13" s="185">
        <f>'Peer data'!F7-'Peer data'!H7</f>
        <v>-947.82999999999993</v>
      </c>
      <c r="G13" s="185">
        <f t="shared" si="1"/>
        <v>11618.317999999997</v>
      </c>
      <c r="H13" s="185"/>
      <c r="I13" s="185">
        <f>'Peer data'!K7</f>
        <v>808.97</v>
      </c>
      <c r="J13" s="185">
        <f>'Peer data'!L7+'Peer data'!M7</f>
        <v>404.89</v>
      </c>
      <c r="K13" s="185">
        <f>'Peer data'!N7</f>
        <v>271.39999999999998</v>
      </c>
      <c r="L13" s="185"/>
      <c r="M13" s="186">
        <f t="shared" si="2"/>
        <v>14.361865087704114</v>
      </c>
      <c r="N13" s="186">
        <f t="shared" si="3"/>
        <v>28.694998641606357</v>
      </c>
      <c r="O13" s="186">
        <f t="shared" si="4"/>
        <v>46.301208548268235</v>
      </c>
    </row>
    <row r="14" spans="2:15" x14ac:dyDescent="0.25">
      <c r="B14" s="21" t="str">
        <f>'Peer data'!C8</f>
        <v>Apollo Micro Sys</v>
      </c>
      <c r="C14" s="185">
        <f>'Peer data'!D8</f>
        <v>263</v>
      </c>
      <c r="D14" s="185">
        <f>'Peer data'!G8</f>
        <v>35.729999999999997</v>
      </c>
      <c r="E14" s="185">
        <f t="shared" si="0"/>
        <v>9396.99</v>
      </c>
      <c r="F14" s="185">
        <f>'Peer data'!F8-'Peer data'!H8</f>
        <v>288.60999999999996</v>
      </c>
      <c r="G14" s="185">
        <f t="shared" si="1"/>
        <v>9685.6</v>
      </c>
      <c r="H14" s="185"/>
      <c r="I14" s="185">
        <f>'Peer data'!K8</f>
        <v>669</v>
      </c>
      <c r="J14" s="185">
        <f>'Peer data'!L8+'Peer data'!M8</f>
        <v>181.08999999999997</v>
      </c>
      <c r="K14" s="185">
        <f>'Peer data'!N8</f>
        <v>85.24</v>
      </c>
      <c r="L14" s="185"/>
      <c r="M14" s="186">
        <f t="shared" si="2"/>
        <v>14.477727952167415</v>
      </c>
      <c r="N14" s="186">
        <f t="shared" si="3"/>
        <v>53.485007454856714</v>
      </c>
      <c r="O14" s="186">
        <f t="shared" si="4"/>
        <v>110.24155326137964</v>
      </c>
    </row>
    <row r="15" spans="2:15" ht="6" customHeight="1" x14ac:dyDescent="0.25"/>
    <row r="16" spans="2:15" x14ac:dyDescent="0.25">
      <c r="B16" s="187" t="s">
        <v>199</v>
      </c>
      <c r="C16" s="187"/>
      <c r="D16" s="187"/>
      <c r="E16" s="187"/>
      <c r="F16" s="187"/>
      <c r="G16" s="187"/>
      <c r="H16" s="187"/>
      <c r="I16" s="187"/>
      <c r="J16" s="187"/>
      <c r="K16" s="187"/>
      <c r="L16" s="187"/>
      <c r="M16" s="188">
        <f>MAX(M9:M14)</f>
        <v>16.134396330594321</v>
      </c>
      <c r="N16" s="188">
        <f t="shared" ref="N16:O16" si="5">MAX(N9:N14)</f>
        <v>53.485007454856714</v>
      </c>
      <c r="O16" s="188">
        <f t="shared" si="5"/>
        <v>110.24155326137964</v>
      </c>
    </row>
    <row r="17" spans="2:15" ht="18" x14ac:dyDescent="0.25">
      <c r="B17" s="187" t="s">
        <v>690</v>
      </c>
      <c r="C17" s="187"/>
      <c r="D17" s="187"/>
      <c r="E17" s="187"/>
      <c r="F17" s="187"/>
      <c r="G17" s="187"/>
      <c r="H17" s="187"/>
      <c r="I17" s="187"/>
      <c r="J17" s="187"/>
      <c r="K17" s="187"/>
      <c r="L17" s="187"/>
      <c r="M17" s="188">
        <f>QUARTILE(M9:M14,)</f>
        <v>8.021412823884793</v>
      </c>
      <c r="N17" s="188">
        <f t="shared" ref="N17:O17" si="6">QUARTILE(N9:N14,)</f>
        <v>20.157620307461098</v>
      </c>
      <c r="O17" s="188">
        <f t="shared" si="6"/>
        <v>34.914176950942469</v>
      </c>
    </row>
    <row r="18" spans="2:15" x14ac:dyDescent="0.25">
      <c r="B18" s="182" t="s">
        <v>173</v>
      </c>
      <c r="C18" s="182"/>
      <c r="D18" s="182"/>
      <c r="E18" s="182"/>
      <c r="F18" s="182"/>
      <c r="G18" s="182"/>
      <c r="H18" s="182"/>
      <c r="I18" s="182"/>
      <c r="J18" s="182"/>
      <c r="K18" s="182"/>
      <c r="L18" s="182"/>
      <c r="M18" s="184">
        <f>AVERAGE(M9:M14)</f>
        <v>12.79305795904726</v>
      </c>
      <c r="N18" s="184">
        <f t="shared" ref="N18:O18" si="7">AVERAGE(N9:N14)</f>
        <v>38.787618246645266</v>
      </c>
      <c r="O18" s="184">
        <f t="shared" si="7"/>
        <v>64.986870664863758</v>
      </c>
    </row>
    <row r="19" spans="2:15" x14ac:dyDescent="0.25">
      <c r="B19" s="182" t="s">
        <v>141</v>
      </c>
      <c r="C19" s="182"/>
      <c r="D19" s="182"/>
      <c r="E19" s="182"/>
      <c r="F19" s="182"/>
      <c r="G19" s="182"/>
      <c r="H19" s="182"/>
      <c r="I19" s="182"/>
      <c r="J19" s="182"/>
      <c r="K19" s="182"/>
      <c r="L19" s="182"/>
      <c r="M19" s="184">
        <f>MEDIAN(M9:M14)</f>
        <v>13.438507567328111</v>
      </c>
      <c r="N19" s="184">
        <f t="shared" ref="N19:O19" si="8">MEDIAN(N9:N14)</f>
        <v>39.07789498804668</v>
      </c>
      <c r="O19" s="184">
        <f t="shared" si="8"/>
        <v>57.72602609311528</v>
      </c>
    </row>
    <row r="20" spans="2:15" ht="18" x14ac:dyDescent="0.25">
      <c r="B20" s="187" t="s">
        <v>691</v>
      </c>
      <c r="C20" s="187"/>
      <c r="D20" s="187"/>
      <c r="E20" s="187"/>
      <c r="F20" s="187"/>
      <c r="G20" s="187"/>
      <c r="H20" s="187"/>
      <c r="I20" s="187"/>
      <c r="J20" s="187"/>
      <c r="K20" s="187"/>
      <c r="L20" s="187"/>
      <c r="M20" s="188">
        <f>QUARTILE(M9:M14,1)</f>
        <v>11.56463414647364</v>
      </c>
      <c r="N20" s="188">
        <f t="shared" ref="N20:O20" si="9">QUARTILE(N9:N14,1)</f>
        <v>30.226846113247724</v>
      </c>
      <c r="O20" s="188">
        <f t="shared" si="9"/>
        <v>47.561759281260507</v>
      </c>
    </row>
    <row r="21" spans="2:15" x14ac:dyDescent="0.25">
      <c r="B21" s="187" t="s">
        <v>200</v>
      </c>
      <c r="C21" s="187"/>
      <c r="D21" s="187"/>
      <c r="E21" s="187"/>
      <c r="F21" s="187"/>
      <c r="G21" s="187"/>
      <c r="H21" s="187"/>
      <c r="I21" s="187"/>
      <c r="J21" s="187"/>
      <c r="K21" s="187"/>
      <c r="L21" s="187"/>
      <c r="M21" s="188">
        <f>MIN(M9:M14)</f>
        <v>8.021412823884793</v>
      </c>
      <c r="N21" s="188">
        <f t="shared" ref="N21:O21" si="10">MIN(N9:N14)</f>
        <v>20.157620307461098</v>
      </c>
      <c r="O21" s="188">
        <f t="shared" si="10"/>
        <v>34.914176950942469</v>
      </c>
    </row>
    <row r="23" spans="2:15" x14ac:dyDescent="0.25">
      <c r="B23" s="189" t="str">
        <f>'Data Sheet'!B1  &amp; "    " &amp; "Comparable Valuation"</f>
        <v>HINDUSTAN AERONAUTICS LTD    Comparable Valuation</v>
      </c>
      <c r="C23" s="190"/>
      <c r="D23" s="190"/>
      <c r="E23" s="190"/>
      <c r="F23" s="190"/>
      <c r="G23" s="190"/>
      <c r="H23" s="190"/>
      <c r="I23" s="190"/>
      <c r="J23" s="190"/>
      <c r="K23" s="190"/>
      <c r="L23" s="190"/>
      <c r="M23" s="190"/>
      <c r="N23" s="190"/>
      <c r="O23" s="190"/>
    </row>
    <row r="24" spans="2:15" ht="4.5" customHeight="1" x14ac:dyDescent="0.25"/>
    <row r="25" spans="2:15" x14ac:dyDescent="0.25">
      <c r="B25" s="21" t="s">
        <v>685</v>
      </c>
      <c r="C25" s="21"/>
      <c r="D25" s="21"/>
      <c r="E25" s="21"/>
      <c r="F25" s="21"/>
      <c r="G25" s="21"/>
      <c r="H25" s="21"/>
      <c r="I25" s="21"/>
      <c r="J25" s="21"/>
      <c r="K25" s="21"/>
      <c r="L25" s="21"/>
      <c r="M25" s="185">
        <f>M$19*I9</f>
        <v>431440.32897740416</v>
      </c>
      <c r="N25" s="185">
        <f>N$19*J9</f>
        <v>499243.55520928913</v>
      </c>
      <c r="O25" s="185">
        <f>O27+O26</f>
        <v>450724.71922885568</v>
      </c>
    </row>
    <row r="26" spans="2:15" x14ac:dyDescent="0.25">
      <c r="B26" s="21" t="s">
        <v>664</v>
      </c>
      <c r="C26" s="21"/>
      <c r="D26" s="21"/>
      <c r="E26" s="21"/>
      <c r="F26" s="21"/>
      <c r="G26" s="21"/>
      <c r="H26" s="21"/>
      <c r="I26" s="21"/>
      <c r="J26" s="21"/>
      <c r="K26" s="21"/>
      <c r="L26" s="21"/>
      <c r="M26" s="185">
        <f>$F$9</f>
        <v>-38170.85</v>
      </c>
      <c r="N26" s="185">
        <f t="shared" ref="N26:O26" si="11">$F$9</f>
        <v>-38170.85</v>
      </c>
      <c r="O26" s="185">
        <f t="shared" si="11"/>
        <v>-38170.85</v>
      </c>
    </row>
    <row r="27" spans="2:15" x14ac:dyDescent="0.25">
      <c r="B27" s="21" t="s">
        <v>686</v>
      </c>
      <c r="C27" s="21"/>
      <c r="D27" s="21"/>
      <c r="E27" s="21"/>
      <c r="F27" s="21"/>
      <c r="G27" s="21"/>
      <c r="H27" s="21"/>
      <c r="I27" s="21"/>
      <c r="J27" s="21"/>
      <c r="K27" s="21"/>
      <c r="L27" s="21"/>
      <c r="M27" s="185">
        <f>M25-M26</f>
        <v>469611.17897740414</v>
      </c>
      <c r="N27" s="185">
        <f>N25-N26</f>
        <v>537414.40520928917</v>
      </c>
      <c r="O27" s="185">
        <f>O19*K9</f>
        <v>488895.56922885566</v>
      </c>
    </row>
    <row r="28" spans="2:15" x14ac:dyDescent="0.25">
      <c r="B28" s="21" t="s">
        <v>662</v>
      </c>
      <c r="C28" s="21"/>
      <c r="D28" s="21"/>
      <c r="E28" s="21"/>
      <c r="F28" s="21"/>
      <c r="G28" s="21"/>
      <c r="H28" s="21"/>
      <c r="I28" s="21"/>
      <c r="J28" s="21"/>
      <c r="K28" s="21"/>
      <c r="L28" s="21"/>
      <c r="M28" s="185">
        <f>D9</f>
        <v>66.88</v>
      </c>
      <c r="N28" s="185">
        <f>M28</f>
        <v>66.88</v>
      </c>
      <c r="O28" s="185">
        <f>N28</f>
        <v>66.88</v>
      </c>
    </row>
    <row r="29" spans="2:15" ht="4.5" customHeight="1" x14ac:dyDescent="0.25">
      <c r="M29" s="191"/>
      <c r="N29" s="191"/>
      <c r="O29" s="191"/>
    </row>
    <row r="30" spans="2:15" ht="16.5" thickBot="1" x14ac:dyDescent="0.3">
      <c r="B30" s="192" t="s">
        <v>687</v>
      </c>
      <c r="C30" s="192"/>
      <c r="D30" s="192"/>
      <c r="E30" s="192"/>
      <c r="F30" s="192"/>
      <c r="G30" s="192"/>
      <c r="H30" s="192"/>
      <c r="I30" s="192"/>
      <c r="J30" s="192"/>
      <c r="K30" s="192"/>
      <c r="L30" s="192"/>
      <c r="M30" s="193">
        <f>M27/M28</f>
        <v>7021.6982502602295</v>
      </c>
      <c r="N30" s="193">
        <f t="shared" ref="N30:O30" si="12">N27/N28</f>
        <v>8035.5024702345872</v>
      </c>
      <c r="O30" s="193">
        <f t="shared" si="12"/>
        <v>7310.0414059338473</v>
      </c>
    </row>
    <row r="31" spans="2:15" ht="4.5" customHeight="1" x14ac:dyDescent="0.25"/>
    <row r="32" spans="2:15" x14ac:dyDescent="0.25">
      <c r="B32" s="194" t="s">
        <v>688</v>
      </c>
    </row>
    <row r="33" spans="13:15" x14ac:dyDescent="0.25">
      <c r="M33" s="8" t="str">
        <f>IF(M30&gt;$C$9,"Undervalued","Overvalued")</f>
        <v>Undervalued</v>
      </c>
      <c r="N33" s="8" t="str">
        <f t="shared" ref="N33:O33" si="13">IF(N30&gt;$C$9,"Undervalued","Overvalued")</f>
        <v>Undervalued</v>
      </c>
      <c r="O33" s="8" t="str">
        <f t="shared" si="13"/>
        <v>Undervalued</v>
      </c>
    </row>
  </sheetData>
  <sheetProtection sheet="1" objects="1" scenarios="1"/>
  <mergeCells count="4">
    <mergeCell ref="C6:G6"/>
    <mergeCell ref="I6:K6"/>
    <mergeCell ref="M6:O6"/>
    <mergeCell ref="B2:O2"/>
  </mergeCells>
  <pageMargins left="0.25" right="0.25" top="0.75" bottom="0.75" header="0.3" footer="0.3"/>
  <pageSetup paperSize="3"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C3E7A-AB32-491D-9BA2-306C14E1E48C}">
  <sheetPr codeName="Sheet9">
    <tabColor theme="9" tint="-0.249977111117893"/>
  </sheetPr>
  <dimension ref="A2:I77"/>
  <sheetViews>
    <sheetView showGridLines="0" topLeftCell="A2" zoomScale="115" zoomScaleNormal="115" workbookViewId="0">
      <selection activeCell="K26" sqref="K26"/>
    </sheetView>
  </sheetViews>
  <sheetFormatPr defaultRowHeight="15" x14ac:dyDescent="0.25"/>
  <cols>
    <col min="1" max="1" width="1.85546875" customWidth="1"/>
    <col min="2" max="2" width="42.28515625" customWidth="1"/>
    <col min="3" max="9" width="12.7109375" bestFit="1" customWidth="1"/>
  </cols>
  <sheetData>
    <row r="2" spans="2:9" ht="26.25" customHeight="1" x14ac:dyDescent="0.4">
      <c r="B2" s="223" t="str">
        <f>'Data Sheet'!B1</f>
        <v>HINDUSTAN AERONAUTICS LTD</v>
      </c>
    </row>
    <row r="3" spans="2:9" ht="15.75" x14ac:dyDescent="0.25">
      <c r="B3" s="8" t="str">
        <f>CONCATENATE(" ","(",VLOOKUP(B2,'List of Stocks'!A2:D5442,3,0)," | ","BSE CODE :"," ",VLOOKUP(B2,'List of Stocks'!A2:D5442,2,TRUE),")")</f>
        <v xml:space="preserve"> (HAL | BSE CODE : 541154)</v>
      </c>
    </row>
    <row r="4" spans="2:9" ht="18.75" x14ac:dyDescent="0.3">
      <c r="B4" s="224" t="str">
        <f>CONCATENATE(" ","INR "&amp;'Data Sheet'!B8)</f>
        <v xml:space="preserve"> INR 4321.6</v>
      </c>
    </row>
    <row r="5" spans="2:9" x14ac:dyDescent="0.25">
      <c r="B5" t="s">
        <v>8936</v>
      </c>
    </row>
    <row r="6" spans="2:9" ht="4.5" customHeight="1" x14ac:dyDescent="0.25">
      <c r="B6" s="213"/>
      <c r="C6" s="213"/>
      <c r="D6" s="213"/>
      <c r="E6" s="213"/>
      <c r="F6" s="213"/>
      <c r="G6" s="213"/>
      <c r="H6" s="213"/>
      <c r="I6" s="213"/>
    </row>
    <row r="7" spans="2:9" ht="15.75" x14ac:dyDescent="0.25">
      <c r="B7" s="14" t="s">
        <v>8937</v>
      </c>
    </row>
    <row r="8" spans="2:9" x14ac:dyDescent="0.25">
      <c r="B8" s="253" t="s">
        <v>8938</v>
      </c>
      <c r="C8" s="253"/>
      <c r="D8" s="253"/>
      <c r="E8" s="253"/>
      <c r="F8" s="253"/>
      <c r="G8" s="253"/>
      <c r="H8" s="253"/>
      <c r="I8" s="253"/>
    </row>
    <row r="9" spans="2:9" x14ac:dyDescent="0.25">
      <c r="B9" s="253"/>
      <c r="C9" s="253"/>
      <c r="D9" s="253"/>
      <c r="E9" s="253"/>
      <c r="F9" s="253"/>
      <c r="G9" s="253"/>
      <c r="H9" s="253"/>
      <c r="I9" s="253"/>
    </row>
    <row r="10" spans="2:9" x14ac:dyDescent="0.25">
      <c r="B10" s="253"/>
      <c r="C10" s="253"/>
      <c r="D10" s="253"/>
      <c r="E10" s="253"/>
      <c r="F10" s="253"/>
      <c r="G10" s="253"/>
      <c r="H10" s="253"/>
      <c r="I10" s="253"/>
    </row>
    <row r="11" spans="2:9" x14ac:dyDescent="0.25">
      <c r="B11" s="253"/>
      <c r="C11" s="253"/>
      <c r="D11" s="253"/>
      <c r="E11" s="253"/>
      <c r="F11" s="253"/>
      <c r="G11" s="253"/>
      <c r="H11" s="253"/>
      <c r="I11" s="253"/>
    </row>
    <row r="12" spans="2:9" ht="4.5" customHeight="1" x14ac:dyDescent="0.25"/>
    <row r="13" spans="2:9" ht="15.75" x14ac:dyDescent="0.25">
      <c r="B13" s="14" t="s">
        <v>8951</v>
      </c>
    </row>
    <row r="14" spans="2:9" x14ac:dyDescent="0.25">
      <c r="B14" t="s">
        <v>195</v>
      </c>
    </row>
    <row r="39" spans="1:9" x14ac:dyDescent="0.25">
      <c r="B39" s="254" t="s">
        <v>8939</v>
      </c>
      <c r="C39" s="254"/>
      <c r="D39" s="254"/>
      <c r="E39" s="254"/>
      <c r="F39" s="254"/>
      <c r="G39" s="254"/>
      <c r="H39" s="254"/>
      <c r="I39" s="254"/>
    </row>
    <row r="40" spans="1:9" x14ac:dyDescent="0.25">
      <c r="A40" s="225"/>
      <c r="B40" s="225"/>
      <c r="C40" s="228">
        <f>'Data Sheet'!E16</f>
        <v>43555</v>
      </c>
      <c r="D40" s="228">
        <f>'Data Sheet'!F16</f>
        <v>43921</v>
      </c>
      <c r="E40" s="228">
        <f>'Data Sheet'!G16</f>
        <v>44286</v>
      </c>
      <c r="F40" s="228">
        <f>'Data Sheet'!H16</f>
        <v>44651</v>
      </c>
      <c r="G40" s="228">
        <f>'Data Sheet'!I16</f>
        <v>45016</v>
      </c>
      <c r="H40" s="228">
        <f>'Data Sheet'!J16</f>
        <v>45382</v>
      </c>
      <c r="I40" s="228">
        <f>'Data Sheet'!K16</f>
        <v>45747</v>
      </c>
    </row>
    <row r="41" spans="1:9" ht="15.75" x14ac:dyDescent="0.25">
      <c r="B41" t="s">
        <v>72</v>
      </c>
      <c r="C41" s="231">
        <f>'Data Sheet'!E30</f>
        <v>2328.63</v>
      </c>
      <c r="D41" s="231">
        <f>'Data Sheet'!F30</f>
        <v>2882.82</v>
      </c>
      <c r="E41" s="231">
        <f>'Data Sheet'!G30</f>
        <v>3245.95</v>
      </c>
      <c r="F41" s="231">
        <f>'Data Sheet'!H30</f>
        <v>5080.04</v>
      </c>
      <c r="G41" s="231">
        <f>'Data Sheet'!I30</f>
        <v>5827.74</v>
      </c>
      <c r="H41" s="231">
        <f>'Data Sheet'!J30</f>
        <v>7621.05</v>
      </c>
      <c r="I41" s="231">
        <f>'Data Sheet'!K30</f>
        <v>8364.1299999999992</v>
      </c>
    </row>
    <row r="42" spans="1:9" ht="15.75" x14ac:dyDescent="0.25">
      <c r="B42" t="s">
        <v>8940</v>
      </c>
      <c r="C42" s="231">
        <f>(('Data Sheet'!E57+'Data Sheet'!E58)+('Data Sheet'!D57+'Data Sheet'!D58)/2)</f>
        <v>16837.744999999999</v>
      </c>
      <c r="D42" s="231">
        <f>(('Data Sheet'!F57+'Data Sheet'!F58)+('Data Sheet'!E57+'Data Sheet'!E58)/2)</f>
        <v>19289.57</v>
      </c>
      <c r="E42" s="231">
        <f>(('Data Sheet'!G57+'Data Sheet'!G58)+('Data Sheet'!F57+'Data Sheet'!F58)/2)</f>
        <v>22048.154999999999</v>
      </c>
      <c r="F42" s="231">
        <f>(('Data Sheet'!H57+'Data Sheet'!H58)+('Data Sheet'!G57+'Data Sheet'!G58)/2)</f>
        <v>27025.08</v>
      </c>
      <c r="G42" s="231">
        <f>(('Data Sheet'!I57+'Data Sheet'!I58)+('Data Sheet'!H57+'Data Sheet'!H58)/2)</f>
        <v>33228.714999999997</v>
      </c>
      <c r="H42" s="231">
        <f>(('Data Sheet'!J57+'Data Sheet'!J58)+('Data Sheet'!I57+'Data Sheet'!I58)/2)</f>
        <v>40924.244999999995</v>
      </c>
      <c r="I42" s="231">
        <f>(('Data Sheet'!K57+'Data Sheet'!K58)+('Data Sheet'!J57+'Data Sheet'!J58)/2)</f>
        <v>49550.695</v>
      </c>
    </row>
    <row r="43" spans="1:9" x14ac:dyDescent="0.25">
      <c r="B43" s="229" t="s">
        <v>8941</v>
      </c>
      <c r="C43" s="230">
        <f t="shared" ref="C43" si="0">C41/C42</f>
        <v>0.13829821036011652</v>
      </c>
      <c r="D43" s="230">
        <f t="shared" ref="D43" si="1">D41/D42</f>
        <v>0.14944967669056389</v>
      </c>
      <c r="E43" s="230">
        <f t="shared" ref="E43:H43" si="2">E41/E42</f>
        <v>0.1472209352664656</v>
      </c>
      <c r="F43" s="230">
        <f t="shared" si="2"/>
        <v>0.18797502172056474</v>
      </c>
      <c r="G43" s="230">
        <f t="shared" si="2"/>
        <v>0.17538264720739277</v>
      </c>
      <c r="H43" s="230">
        <f t="shared" si="2"/>
        <v>0.18622334999704945</v>
      </c>
      <c r="I43" s="230">
        <f>I41/I42</f>
        <v>0.16879944872619848</v>
      </c>
    </row>
    <row r="45" spans="1:9" x14ac:dyDescent="0.25">
      <c r="B45" s="254" t="s">
        <v>8942</v>
      </c>
      <c r="C45" s="254"/>
      <c r="D45" s="254"/>
      <c r="E45" s="254"/>
      <c r="F45" s="254"/>
      <c r="G45" s="254"/>
      <c r="H45" s="254"/>
      <c r="I45" s="254"/>
    </row>
    <row r="46" spans="1:9" x14ac:dyDescent="0.25">
      <c r="B46" s="225"/>
      <c r="C46" s="228">
        <v>43555</v>
      </c>
      <c r="D46" s="228">
        <v>43921</v>
      </c>
      <c r="E46" s="228">
        <v>44286</v>
      </c>
      <c r="F46" s="228">
        <v>44651</v>
      </c>
      <c r="G46" s="228">
        <v>45016</v>
      </c>
      <c r="H46" s="228">
        <v>45382</v>
      </c>
      <c r="I46" s="228">
        <v>45747</v>
      </c>
    </row>
    <row r="47" spans="1:9" ht="15.75" x14ac:dyDescent="0.25">
      <c r="B47" t="s">
        <v>72</v>
      </c>
      <c r="C47" s="231">
        <v>2328.63</v>
      </c>
      <c r="D47" s="231">
        <v>2882.82</v>
      </c>
      <c r="E47" s="231">
        <v>3245.95</v>
      </c>
      <c r="F47" s="231">
        <v>5080.04</v>
      </c>
      <c r="G47" s="231">
        <v>5827.74</v>
      </c>
      <c r="H47" s="231">
        <v>7621.05</v>
      </c>
      <c r="I47" s="231">
        <v>8364.1299999999992</v>
      </c>
    </row>
    <row r="48" spans="1:9" ht="15.75" x14ac:dyDescent="0.25">
      <c r="B48" t="s">
        <v>669</v>
      </c>
      <c r="C48" s="231">
        <f>'Data Sheet'!C17</f>
        <v>17949.919999999998</v>
      </c>
      <c r="D48" s="231">
        <f>'Data Sheet'!F17</f>
        <v>21445.16</v>
      </c>
      <c r="E48" s="231">
        <f>'Data Sheet'!G17</f>
        <v>22882.32</v>
      </c>
      <c r="F48" s="231">
        <f>'Data Sheet'!H17</f>
        <v>24620.02</v>
      </c>
      <c r="G48" s="231">
        <f>'Data Sheet'!I17</f>
        <v>26927.46</v>
      </c>
      <c r="H48" s="231">
        <f>'Data Sheet'!J17</f>
        <v>30381.08</v>
      </c>
      <c r="I48" s="231">
        <f>'Data Sheet'!K17</f>
        <v>30980.95</v>
      </c>
    </row>
    <row r="49" spans="2:9" x14ac:dyDescent="0.25">
      <c r="B49" s="76" t="s">
        <v>8943</v>
      </c>
      <c r="C49" s="226">
        <f t="shared" ref="C49" si="3">C47/C48</f>
        <v>0.12972926898838549</v>
      </c>
      <c r="D49" s="226">
        <f t="shared" ref="D49" si="4">D47/D48</f>
        <v>0.13442753516411163</v>
      </c>
      <c r="E49" s="226">
        <f t="shared" ref="E49" si="5">E47/E48</f>
        <v>0.14185406025263173</v>
      </c>
      <c r="F49" s="226">
        <f t="shared" ref="F49" si="6">F47/F48</f>
        <v>0.20633776901887163</v>
      </c>
      <c r="G49" s="226">
        <f t="shared" ref="G49" si="7">G47/G48</f>
        <v>0.21642368051052718</v>
      </c>
      <c r="H49" s="226">
        <f t="shared" ref="H49" si="8">H47/H48</f>
        <v>0.25084855442926979</v>
      </c>
      <c r="I49" s="226">
        <f>I47/I48</f>
        <v>0.2699765501057908</v>
      </c>
    </row>
    <row r="51" spans="2:9" ht="15.75" x14ac:dyDescent="0.25">
      <c r="B51" t="s">
        <v>669</v>
      </c>
      <c r="C51" s="231">
        <f>C48</f>
        <v>17949.919999999998</v>
      </c>
      <c r="D51" s="231">
        <f t="shared" ref="D51:I51" si="9">D48</f>
        <v>21445.16</v>
      </c>
      <c r="E51" s="231">
        <f t="shared" si="9"/>
        <v>22882.32</v>
      </c>
      <c r="F51" s="231">
        <f t="shared" si="9"/>
        <v>24620.02</v>
      </c>
      <c r="G51" s="231">
        <f t="shared" si="9"/>
        <v>26927.46</v>
      </c>
      <c r="H51" s="231">
        <f t="shared" si="9"/>
        <v>30381.08</v>
      </c>
      <c r="I51" s="231">
        <f t="shared" si="9"/>
        <v>30980.95</v>
      </c>
    </row>
    <row r="52" spans="2:9" ht="15.75" x14ac:dyDescent="0.25">
      <c r="B52" t="s">
        <v>8944</v>
      </c>
      <c r="C52" s="231">
        <f>(('Data Sheet'!E66+'Data Sheet'!D66)/2)</f>
        <v>49979.47</v>
      </c>
      <c r="D52" s="231">
        <f>(('Data Sheet'!F66+'Data Sheet'!E66)/2)</f>
        <v>52849.495000000003</v>
      </c>
      <c r="E52" s="231">
        <f>(('Data Sheet'!G66+'Data Sheet'!F66)/2)</f>
        <v>53649.54</v>
      </c>
      <c r="F52" s="231">
        <f>(('Data Sheet'!H66+'Data Sheet'!G66)/2)</f>
        <v>56675.38</v>
      </c>
      <c r="G52" s="231">
        <f>(('Data Sheet'!I66+'Data Sheet'!H66)/2)</f>
        <v>64765.17</v>
      </c>
      <c r="H52" s="231">
        <f>(('Data Sheet'!J66+'Data Sheet'!I66)/2)</f>
        <v>75093.42</v>
      </c>
      <c r="I52" s="231">
        <f>(('Data Sheet'!K66+'Data Sheet'!J66)/2)</f>
        <v>94804.65</v>
      </c>
    </row>
    <row r="53" spans="2:9" x14ac:dyDescent="0.25">
      <c r="B53" s="76" t="s">
        <v>8945</v>
      </c>
      <c r="C53" s="227">
        <f t="shared" ref="C53" si="10">C51/C52</f>
        <v>0.35914586529228898</v>
      </c>
      <c r="D53" s="227">
        <f t="shared" ref="D53" si="11">D51/D52</f>
        <v>0.4057779549265324</v>
      </c>
      <c r="E53" s="227">
        <f t="shared" ref="E53" si="12">E51/E52</f>
        <v>0.42651474737714434</v>
      </c>
      <c r="F53" s="227">
        <f t="shared" ref="F53" si="13">F51/F52</f>
        <v>0.4344041451508574</v>
      </c>
      <c r="G53" s="227">
        <f t="shared" ref="G53" si="14">G51/G52</f>
        <v>0.41577069897292018</v>
      </c>
      <c r="H53" s="227">
        <f t="shared" ref="H53" si="15">H51/H52</f>
        <v>0.40457712539926938</v>
      </c>
      <c r="I53" s="227">
        <f>I51/I52</f>
        <v>0.3267872409211996</v>
      </c>
    </row>
    <row r="55" spans="2:9" ht="15.75" x14ac:dyDescent="0.25">
      <c r="B55" t="s">
        <v>8944</v>
      </c>
      <c r="C55" s="231">
        <f>C52</f>
        <v>49979.47</v>
      </c>
      <c r="D55" s="231">
        <f t="shared" ref="D55:I55" si="16">D52</f>
        <v>52849.495000000003</v>
      </c>
      <c r="E55" s="231">
        <f t="shared" si="16"/>
        <v>53649.54</v>
      </c>
      <c r="F55" s="231">
        <f t="shared" si="16"/>
        <v>56675.38</v>
      </c>
      <c r="G55" s="231">
        <f t="shared" si="16"/>
        <v>64765.17</v>
      </c>
      <c r="H55" s="231">
        <f t="shared" si="16"/>
        <v>75093.42</v>
      </c>
      <c r="I55" s="231">
        <f t="shared" si="16"/>
        <v>94804.65</v>
      </c>
    </row>
    <row r="56" spans="2:9" ht="15.75" x14ac:dyDescent="0.25">
      <c r="B56" t="str">
        <f>B42</f>
        <v>Average Shareholder Equity</v>
      </c>
      <c r="C56" s="231">
        <f>C42</f>
        <v>16837.744999999999</v>
      </c>
      <c r="D56" s="231">
        <f t="shared" ref="D56:I56" si="17">D42</f>
        <v>19289.57</v>
      </c>
      <c r="E56" s="231">
        <f t="shared" si="17"/>
        <v>22048.154999999999</v>
      </c>
      <c r="F56" s="231">
        <f t="shared" si="17"/>
        <v>27025.08</v>
      </c>
      <c r="G56" s="231">
        <f t="shared" si="17"/>
        <v>33228.714999999997</v>
      </c>
      <c r="H56" s="231">
        <f t="shared" si="17"/>
        <v>40924.244999999995</v>
      </c>
      <c r="I56" s="231">
        <f t="shared" si="17"/>
        <v>49550.695</v>
      </c>
    </row>
    <row r="57" spans="2:9" x14ac:dyDescent="0.25">
      <c r="B57" s="76" t="s">
        <v>8946</v>
      </c>
      <c r="C57" s="227">
        <f t="shared" ref="C57" si="18">C55/C56</f>
        <v>2.9682994961617486</v>
      </c>
      <c r="D57" s="227">
        <f t="shared" ref="D57" si="19">D55/D56</f>
        <v>2.7397964288472996</v>
      </c>
      <c r="E57" s="227">
        <f t="shared" ref="E57" si="20">E55/E56</f>
        <v>2.4332893160448119</v>
      </c>
      <c r="F57" s="227">
        <f t="shared" ref="F57" si="21">F55/F56</f>
        <v>2.0971401379755394</v>
      </c>
      <c r="G57" s="227">
        <f t="shared" ref="G57" si="22">G55/G56</f>
        <v>1.9490723610588012</v>
      </c>
      <c r="H57" s="227">
        <f t="shared" ref="H57" si="23">H55/H56</f>
        <v>1.8349372114256477</v>
      </c>
      <c r="I57" s="227">
        <f>I55/I56</f>
        <v>1.9132859791371239</v>
      </c>
    </row>
    <row r="59" spans="2:9" x14ac:dyDescent="0.25">
      <c r="B59" s="229" t="s">
        <v>8947</v>
      </c>
      <c r="C59" s="230">
        <f>C49*C53*C57</f>
        <v>0.13829821036011652</v>
      </c>
      <c r="D59" s="230">
        <f t="shared" ref="D59:I59" si="24">D49*D53*D57</f>
        <v>0.14944967669056389</v>
      </c>
      <c r="E59" s="230">
        <f t="shared" si="24"/>
        <v>0.14722093526646562</v>
      </c>
      <c r="F59" s="230">
        <f t="shared" si="24"/>
        <v>0.18797502172056471</v>
      </c>
      <c r="G59" s="230">
        <f t="shared" si="24"/>
        <v>0.1753826472073928</v>
      </c>
      <c r="H59" s="230">
        <f t="shared" si="24"/>
        <v>0.18622334999704945</v>
      </c>
      <c r="I59" s="230">
        <f t="shared" si="24"/>
        <v>0.16879944872619848</v>
      </c>
    </row>
    <row r="61" spans="2:9" x14ac:dyDescent="0.25">
      <c r="B61" s="254" t="s">
        <v>8948</v>
      </c>
      <c r="C61" s="254"/>
      <c r="D61" s="254"/>
      <c r="E61" s="254"/>
      <c r="F61" s="254"/>
      <c r="G61" s="254"/>
      <c r="H61" s="254"/>
      <c r="I61" s="254"/>
    </row>
    <row r="62" spans="2:9" x14ac:dyDescent="0.25">
      <c r="B62" s="225"/>
      <c r="C62" s="228">
        <f>C40</f>
        <v>43555</v>
      </c>
      <c r="D62" s="228">
        <f t="shared" ref="D62:I62" si="25">D40</f>
        <v>43921</v>
      </c>
      <c r="E62" s="228">
        <f t="shared" si="25"/>
        <v>44286</v>
      </c>
      <c r="F62" s="228">
        <f t="shared" si="25"/>
        <v>44651</v>
      </c>
      <c r="G62" s="228">
        <f t="shared" si="25"/>
        <v>45016</v>
      </c>
      <c r="H62" s="228">
        <f t="shared" si="25"/>
        <v>45382</v>
      </c>
      <c r="I62" s="228">
        <f t="shared" si="25"/>
        <v>45747</v>
      </c>
    </row>
    <row r="63" spans="2:9" ht="15.75" x14ac:dyDescent="0.25">
      <c r="B63" t="s">
        <v>72</v>
      </c>
      <c r="C63" s="231">
        <f>C47</f>
        <v>2328.63</v>
      </c>
      <c r="D63" s="231">
        <f t="shared" ref="D63:I63" si="26">D47</f>
        <v>2882.82</v>
      </c>
      <c r="E63" s="231">
        <f t="shared" si="26"/>
        <v>3245.95</v>
      </c>
      <c r="F63" s="231">
        <f t="shared" si="26"/>
        <v>5080.04</v>
      </c>
      <c r="G63" s="231">
        <f t="shared" si="26"/>
        <v>5827.74</v>
      </c>
      <c r="H63" s="231">
        <f t="shared" si="26"/>
        <v>7621.05</v>
      </c>
      <c r="I63" s="231">
        <f t="shared" si="26"/>
        <v>8364.1299999999992</v>
      </c>
    </row>
    <row r="64" spans="2:9" ht="15.75" x14ac:dyDescent="0.25">
      <c r="B64" t="str">
        <f>B52</f>
        <v>Average Total Assets</v>
      </c>
      <c r="C64" s="231">
        <f>C52</f>
        <v>49979.47</v>
      </c>
      <c r="D64" s="231">
        <f t="shared" ref="D64:I64" si="27">D52</f>
        <v>52849.495000000003</v>
      </c>
      <c r="E64" s="231">
        <f t="shared" si="27"/>
        <v>53649.54</v>
      </c>
      <c r="F64" s="231">
        <f t="shared" si="27"/>
        <v>56675.38</v>
      </c>
      <c r="G64" s="231">
        <f t="shared" si="27"/>
        <v>64765.17</v>
      </c>
      <c r="H64" s="231">
        <f t="shared" si="27"/>
        <v>75093.42</v>
      </c>
      <c r="I64" s="231">
        <f t="shared" si="27"/>
        <v>94804.65</v>
      </c>
    </row>
    <row r="65" spans="2:9" x14ac:dyDescent="0.25">
      <c r="B65" s="76" t="s">
        <v>8941</v>
      </c>
      <c r="C65" s="226">
        <f t="shared" ref="C65" si="28">C63/C64</f>
        <v>4.6591730564569812E-2</v>
      </c>
      <c r="D65" s="226">
        <f t="shared" ref="D65" si="29">D63/D64</f>
        <v>5.4547730304707734E-2</v>
      </c>
      <c r="E65" s="226">
        <f t="shared" ref="E65" si="30">E63/E64</f>
        <v>6.0502848673073428E-2</v>
      </c>
      <c r="F65" s="226">
        <f t="shared" ref="F65" si="31">F63/F64</f>
        <v>8.9633982162978007E-2</v>
      </c>
      <c r="G65" s="226">
        <f t="shared" ref="G65" si="32">G63/G64</f>
        <v>8.9982624920153839E-2</v>
      </c>
      <c r="H65" s="226">
        <f t="shared" ref="H65" si="33">H63/H64</f>
        <v>0.10148758706155613</v>
      </c>
      <c r="I65" s="226">
        <f>I63/I64</f>
        <v>8.8224891922495358E-2</v>
      </c>
    </row>
    <row r="67" spans="2:9" x14ac:dyDescent="0.25">
      <c r="B67" s="254" t="s">
        <v>8949</v>
      </c>
      <c r="C67" s="254"/>
      <c r="D67" s="254"/>
      <c r="E67" s="254"/>
      <c r="F67" s="254"/>
      <c r="G67" s="254"/>
      <c r="H67" s="254"/>
      <c r="I67" s="254"/>
    </row>
    <row r="68" spans="2:9" x14ac:dyDescent="0.25">
      <c r="B68" s="225"/>
      <c r="C68" s="228">
        <v>43555</v>
      </c>
      <c r="D68" s="228">
        <v>43921</v>
      </c>
      <c r="E68" s="228">
        <v>44286</v>
      </c>
      <c r="F68" s="228">
        <v>44651</v>
      </c>
      <c r="G68" s="228">
        <v>45016</v>
      </c>
      <c r="H68" s="228">
        <v>45382</v>
      </c>
      <c r="I68" s="228">
        <v>45747</v>
      </c>
    </row>
    <row r="69" spans="2:9" ht="15.75" x14ac:dyDescent="0.25">
      <c r="B69" t="s">
        <v>72</v>
      </c>
      <c r="C69" s="231">
        <v>2328.63</v>
      </c>
      <c r="D69" s="231">
        <v>2882.82</v>
      </c>
      <c r="E69" s="231">
        <v>3245.95</v>
      </c>
      <c r="F69" s="231">
        <v>5080.04</v>
      </c>
      <c r="G69" s="231">
        <v>5827.74</v>
      </c>
      <c r="H69" s="231">
        <v>7621.05</v>
      </c>
      <c r="I69" s="231">
        <v>8364.1299999999992</v>
      </c>
    </row>
    <row r="70" spans="2:9" ht="15.75" x14ac:dyDescent="0.25">
      <c r="B70" t="s">
        <v>669</v>
      </c>
      <c r="C70" s="231">
        <f>C48</f>
        <v>17949.919999999998</v>
      </c>
      <c r="D70" s="231">
        <f t="shared" ref="D70:I70" si="34">D48</f>
        <v>21445.16</v>
      </c>
      <c r="E70" s="231">
        <f t="shared" si="34"/>
        <v>22882.32</v>
      </c>
      <c r="F70" s="231">
        <f t="shared" si="34"/>
        <v>24620.02</v>
      </c>
      <c r="G70" s="231">
        <f t="shared" si="34"/>
        <v>26927.46</v>
      </c>
      <c r="H70" s="231">
        <f t="shared" si="34"/>
        <v>30381.08</v>
      </c>
      <c r="I70" s="231">
        <f t="shared" si="34"/>
        <v>30980.95</v>
      </c>
    </row>
    <row r="71" spans="2:9" x14ac:dyDescent="0.25">
      <c r="B71" s="76" t="s">
        <v>8943</v>
      </c>
      <c r="C71" s="226">
        <f t="shared" ref="C71" si="35">C69/C70</f>
        <v>0.12972926898838549</v>
      </c>
      <c r="D71" s="226">
        <f t="shared" ref="D71" si="36">D69/D70</f>
        <v>0.13442753516411163</v>
      </c>
      <c r="E71" s="226">
        <f t="shared" ref="E71" si="37">E69/E70</f>
        <v>0.14185406025263173</v>
      </c>
      <c r="F71" s="226">
        <f t="shared" ref="F71" si="38">F69/F70</f>
        <v>0.20633776901887163</v>
      </c>
      <c r="G71" s="226">
        <f t="shared" ref="G71" si="39">G69/G70</f>
        <v>0.21642368051052718</v>
      </c>
      <c r="H71" s="226">
        <f t="shared" ref="H71" si="40">H69/H70</f>
        <v>0.25084855442926979</v>
      </c>
      <c r="I71" s="226">
        <f>I69/I70</f>
        <v>0.2699765501057908</v>
      </c>
    </row>
    <row r="73" spans="2:9" ht="15.75" x14ac:dyDescent="0.25">
      <c r="B73" t="s">
        <v>669</v>
      </c>
      <c r="C73" s="231">
        <f>C70</f>
        <v>17949.919999999998</v>
      </c>
      <c r="D73" s="231">
        <f t="shared" ref="D73:I73" si="41">D70</f>
        <v>21445.16</v>
      </c>
      <c r="E73" s="231">
        <f t="shared" si="41"/>
        <v>22882.32</v>
      </c>
      <c r="F73" s="231">
        <f t="shared" si="41"/>
        <v>24620.02</v>
      </c>
      <c r="G73" s="231">
        <f t="shared" si="41"/>
        <v>26927.46</v>
      </c>
      <c r="H73" s="231">
        <f t="shared" si="41"/>
        <v>30381.08</v>
      </c>
      <c r="I73" s="231">
        <f t="shared" si="41"/>
        <v>30980.95</v>
      </c>
    </row>
    <row r="74" spans="2:9" ht="15.75" x14ac:dyDescent="0.25">
      <c r="B74" t="s">
        <v>8944</v>
      </c>
      <c r="C74" s="231">
        <f>C64</f>
        <v>49979.47</v>
      </c>
      <c r="D74" s="231">
        <f t="shared" ref="D74:I74" si="42">D64</f>
        <v>52849.495000000003</v>
      </c>
      <c r="E74" s="231">
        <f t="shared" si="42"/>
        <v>53649.54</v>
      </c>
      <c r="F74" s="231">
        <f t="shared" si="42"/>
        <v>56675.38</v>
      </c>
      <c r="G74" s="231">
        <f t="shared" si="42"/>
        <v>64765.17</v>
      </c>
      <c r="H74" s="231">
        <f t="shared" si="42"/>
        <v>75093.42</v>
      </c>
      <c r="I74" s="231">
        <f t="shared" si="42"/>
        <v>94804.65</v>
      </c>
    </row>
    <row r="75" spans="2:9" x14ac:dyDescent="0.25">
      <c r="B75" s="76" t="s">
        <v>8945</v>
      </c>
      <c r="C75" s="227">
        <f t="shared" ref="C75" si="43">C73/C74</f>
        <v>0.35914586529228898</v>
      </c>
      <c r="D75" s="227">
        <f t="shared" ref="D75" si="44">D73/D74</f>
        <v>0.4057779549265324</v>
      </c>
      <c r="E75" s="227">
        <f t="shared" ref="E75" si="45">E73/E74</f>
        <v>0.42651474737714434</v>
      </c>
      <c r="F75" s="227">
        <f t="shared" ref="F75" si="46">F73/F74</f>
        <v>0.4344041451508574</v>
      </c>
      <c r="G75" s="227">
        <f t="shared" ref="G75" si="47">G73/G74</f>
        <v>0.41577069897292018</v>
      </c>
      <c r="H75" s="227">
        <f t="shared" ref="H75" si="48">H73/H74</f>
        <v>0.40457712539926938</v>
      </c>
      <c r="I75" s="227">
        <f>I73/I74</f>
        <v>0.3267872409211996</v>
      </c>
    </row>
    <row r="77" spans="2:9" x14ac:dyDescent="0.25">
      <c r="B77" s="229" t="s">
        <v>8950</v>
      </c>
      <c r="C77" s="230">
        <f>C71*C75</f>
        <v>4.6591730564569819E-2</v>
      </c>
      <c r="D77" s="230">
        <f t="shared" ref="D77:I77" si="49">D71*D75</f>
        <v>5.4547730304707741E-2</v>
      </c>
      <c r="E77" s="230">
        <f t="shared" si="49"/>
        <v>6.0502848673073435E-2</v>
      </c>
      <c r="F77" s="230">
        <f t="shared" si="49"/>
        <v>8.9633982162977993E-2</v>
      </c>
      <c r="G77" s="230">
        <f t="shared" si="49"/>
        <v>8.9982624920153853E-2</v>
      </c>
      <c r="H77" s="230">
        <f t="shared" si="49"/>
        <v>0.10148758706155614</v>
      </c>
      <c r="I77" s="230">
        <f t="shared" si="49"/>
        <v>8.8224891922495371E-2</v>
      </c>
    </row>
  </sheetData>
  <sheetProtection sheet="1" objects="1" scenarios="1"/>
  <mergeCells count="5">
    <mergeCell ref="B8:I11"/>
    <mergeCell ref="B39:I39"/>
    <mergeCell ref="B45:I45"/>
    <mergeCell ref="B61:I61"/>
    <mergeCell ref="B67:I67"/>
  </mergeCells>
  <pageMargins left="0.25" right="0.25" top="0.75" bottom="0.75" header="0.3" footer="0.3"/>
  <pageSetup paperSize="3" scale="86"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23389-A9B2-404E-8469-471C55CA6D8D}">
  <sheetPr codeName="Sheet10">
    <tabColor theme="7" tint="0.79998168889431442"/>
  </sheetPr>
  <dimension ref="A2:CY400"/>
  <sheetViews>
    <sheetView showGridLines="0" zoomScale="59" zoomScaleNormal="106" workbookViewId="0">
      <selection activeCell="BM5" sqref="BM5:BO5"/>
    </sheetView>
  </sheetViews>
  <sheetFormatPr defaultRowHeight="15" x14ac:dyDescent="0.25"/>
  <cols>
    <col min="1" max="1" width="1.85546875" style="97" customWidth="1"/>
    <col min="2" max="2" width="17.5703125" bestFit="1" customWidth="1"/>
    <col min="3" max="3" width="16.42578125" customWidth="1"/>
    <col min="4" max="4" width="20.140625" customWidth="1"/>
    <col min="6" max="6" width="15.140625" bestFit="1" customWidth="1"/>
    <col min="7" max="7" width="13.5703125" customWidth="1"/>
    <col min="8" max="8" width="9.28515625" customWidth="1"/>
    <col min="9" max="9" width="18.85546875" bestFit="1" customWidth="1"/>
    <col min="10" max="10" width="13.42578125" bestFit="1" customWidth="1"/>
    <col min="11" max="11" width="7.7109375" customWidth="1"/>
    <col min="12" max="12" width="17.140625" customWidth="1"/>
    <col min="13" max="14" width="9.7109375" bestFit="1" customWidth="1"/>
    <col min="15" max="15" width="9.85546875" bestFit="1" customWidth="1"/>
    <col min="16" max="17" width="22.42578125" bestFit="1" customWidth="1"/>
    <col min="18" max="20" width="9.85546875" bestFit="1" customWidth="1"/>
    <col min="24" max="24" width="17.7109375" bestFit="1" customWidth="1"/>
    <col min="25" max="25" width="12.85546875" bestFit="1" customWidth="1"/>
    <col min="26" max="26" width="14.140625" bestFit="1" customWidth="1"/>
    <col min="28" max="28" width="17.140625" bestFit="1" customWidth="1"/>
    <col min="29" max="29" width="13" bestFit="1" customWidth="1"/>
    <col min="31" max="31" width="18.85546875" bestFit="1" customWidth="1"/>
    <col min="32" max="32" width="13.5703125" bestFit="1" customWidth="1"/>
    <col min="35" max="37" width="9.85546875" bestFit="1" customWidth="1"/>
    <col min="38" max="39" width="22.42578125" bestFit="1" customWidth="1"/>
    <col min="40" max="42" width="9.85546875" bestFit="1" customWidth="1"/>
    <col min="45" max="45" width="17.7109375" bestFit="1" customWidth="1"/>
    <col min="46" max="46" width="13" bestFit="1" customWidth="1"/>
    <col min="47" max="47" width="14.7109375" bestFit="1" customWidth="1"/>
    <col min="49" max="49" width="18" bestFit="1" customWidth="1"/>
    <col min="50" max="50" width="11.28515625" bestFit="1" customWidth="1"/>
    <col min="52" max="52" width="18.85546875" bestFit="1" customWidth="1"/>
    <col min="53" max="53" width="11.5703125" bestFit="1" customWidth="1"/>
    <col min="55" max="55" width="18.42578125" customWidth="1"/>
    <col min="56" max="56" width="19.85546875" bestFit="1" customWidth="1"/>
    <col min="57" max="57" width="17.5703125" bestFit="1" customWidth="1"/>
    <col min="58" max="59" width="9.85546875" bestFit="1" customWidth="1"/>
    <col min="60" max="60" width="13.140625" bestFit="1" customWidth="1"/>
    <col min="61" max="61" width="17.5703125" bestFit="1" customWidth="1"/>
    <col min="62" max="62" width="18.5703125" bestFit="1" customWidth="1"/>
    <col min="63" max="63" width="17.5703125" bestFit="1" customWidth="1"/>
    <col min="65" max="65" width="10.5703125" bestFit="1" customWidth="1"/>
    <col min="66" max="66" width="19" bestFit="1" customWidth="1"/>
    <col min="67" max="67" width="11.7109375" bestFit="1" customWidth="1"/>
    <col min="69" max="69" width="18" bestFit="1" customWidth="1"/>
    <col min="70" max="70" width="11" bestFit="1" customWidth="1"/>
    <col min="73" max="73" width="10.85546875" bestFit="1" customWidth="1"/>
    <col min="76" max="76" width="13.5703125" bestFit="1" customWidth="1"/>
    <col min="77" max="83" width="9.28515625" bestFit="1" customWidth="1"/>
    <col min="85" max="85" width="15.28515625" bestFit="1" customWidth="1"/>
    <col min="86" max="86" width="12.42578125" bestFit="1" customWidth="1"/>
    <col min="87" max="87" width="12.7109375" bestFit="1" customWidth="1"/>
    <col min="89" max="89" width="18" bestFit="1" customWidth="1"/>
    <col min="90" max="90" width="10.85546875" bestFit="1" customWidth="1"/>
    <col min="92" max="92" width="18.85546875" bestFit="1" customWidth="1"/>
    <col min="93" max="93" width="9.28515625" bestFit="1" customWidth="1"/>
    <col min="96" max="96" width="13.42578125" bestFit="1" customWidth="1"/>
  </cols>
  <sheetData>
    <row r="2" spans="1:96" ht="15.75" x14ac:dyDescent="0.25">
      <c r="B2" s="248" t="str">
        <f>"BETA CALCULATION - "&amp;'Data Sheet'!B1</f>
        <v>BETA CALCULATION - HINDUSTAN AERONAUTICS LTD</v>
      </c>
      <c r="C2" s="248"/>
      <c r="D2" s="248"/>
      <c r="E2" s="248"/>
      <c r="F2" s="248"/>
      <c r="G2" s="248"/>
      <c r="H2" s="248"/>
      <c r="I2" s="248"/>
      <c r="J2" s="248"/>
      <c r="K2" s="248"/>
      <c r="L2" s="248"/>
      <c r="M2" s="248"/>
      <c r="X2" s="248" t="str">
        <f>"BETA CALCULATION - "&amp;Wacc!B11</f>
        <v>BETA CALCULATION - Bharat Electron</v>
      </c>
      <c r="Y2" s="248"/>
      <c r="Z2" s="248"/>
      <c r="AA2" s="248"/>
      <c r="AB2" s="248"/>
      <c r="AC2" s="248"/>
      <c r="AD2" s="248"/>
      <c r="AE2" s="248"/>
      <c r="AF2" s="248"/>
      <c r="AG2" s="248"/>
      <c r="AH2" s="248"/>
      <c r="AI2" s="248"/>
      <c r="AS2" s="248" t="str">
        <f>"BETA CALCULATION - "&amp;Wacc!B12</f>
        <v>BETA CALCULATION - Bharat Dynamics</v>
      </c>
      <c r="AT2" s="248"/>
      <c r="AU2" s="248"/>
      <c r="AV2" s="248"/>
      <c r="AW2" s="248"/>
      <c r="AX2" s="248"/>
      <c r="AY2" s="248"/>
      <c r="AZ2" s="248"/>
      <c r="BA2" s="248"/>
      <c r="BB2" s="248"/>
      <c r="BC2" s="248"/>
      <c r="BD2" s="248"/>
      <c r="BM2" s="248" t="str">
        <f>"BETA CALCULATION - "&amp;Wacc!B13</f>
        <v>BETA CALCULATION - Data Pattern</v>
      </c>
      <c r="BN2" s="248"/>
      <c r="BO2" s="248"/>
      <c r="BP2" s="248"/>
      <c r="BQ2" s="248"/>
      <c r="BR2" s="248"/>
      <c r="BS2" s="248"/>
      <c r="BT2" s="248"/>
      <c r="BU2" s="248"/>
      <c r="BV2" s="248"/>
      <c r="BW2" s="248"/>
      <c r="BX2" s="248"/>
      <c r="CG2" s="248" t="str">
        <f>"BETA CALCULATION - "&amp;Wacc!B14</f>
        <v>BETA CALCULATION - Zen Technologies</v>
      </c>
      <c r="CH2" s="248"/>
      <c r="CI2" s="248"/>
      <c r="CJ2" s="248"/>
      <c r="CK2" s="248"/>
      <c r="CL2" s="248"/>
      <c r="CM2" s="248"/>
      <c r="CN2" s="248"/>
      <c r="CO2" s="248"/>
      <c r="CP2" s="248"/>
      <c r="CQ2" s="248"/>
      <c r="CR2" s="248"/>
    </row>
    <row r="4" spans="1:96" x14ac:dyDescent="0.25">
      <c r="A4" s="18" t="s">
        <v>57</v>
      </c>
      <c r="B4" s="17" t="s">
        <v>347</v>
      </c>
      <c r="X4" s="17" t="s">
        <v>347</v>
      </c>
      <c r="AS4" s="17" t="s">
        <v>347</v>
      </c>
      <c r="BM4" s="255" t="s">
        <v>695</v>
      </c>
      <c r="BN4" s="255"/>
      <c r="BO4" s="255"/>
      <c r="CG4" s="255" t="s">
        <v>347</v>
      </c>
      <c r="CH4" s="255"/>
      <c r="CI4" s="255"/>
    </row>
    <row r="5" spans="1:96" ht="17.25" x14ac:dyDescent="0.25">
      <c r="B5" s="249" t="str">
        <f>'Data Sheet'!B1&amp;"-Monthly Returns"</f>
        <v>HINDUSTAN AERONAUTICS LTD-Monthly Returns</v>
      </c>
      <c r="C5" s="249"/>
      <c r="D5" s="249"/>
      <c r="F5" s="249" t="s">
        <v>315</v>
      </c>
      <c r="G5" s="249"/>
      <c r="I5" s="249" t="s">
        <v>341</v>
      </c>
      <c r="J5" s="249"/>
      <c r="L5" t="s">
        <v>316</v>
      </c>
      <c r="M5" s="62">
        <f>SLOPE(D8:D63, G8:G63)</f>
        <v>1.6170792976119301</v>
      </c>
      <c r="X5" s="249" t="str">
        <f>Wacc!B11&amp;"-Monthly Returns"</f>
        <v>Bharat Electron-Monthly Returns</v>
      </c>
      <c r="Y5" s="249"/>
      <c r="Z5" s="249"/>
      <c r="AB5" s="249" t="s">
        <v>315</v>
      </c>
      <c r="AC5" s="249"/>
      <c r="AE5" s="249" t="s">
        <v>341</v>
      </c>
      <c r="AF5" s="249"/>
      <c r="AH5" t="s">
        <v>316</v>
      </c>
      <c r="AI5" s="62">
        <f>SLOPE(Z8:Z63, AC8:AC63)</f>
        <v>1.2462382022003766</v>
      </c>
      <c r="AS5" s="249" t="str">
        <f>Wacc!B12&amp;"-Monthly Returns"</f>
        <v>Bharat Dynamics-Monthly Returns</v>
      </c>
      <c r="AT5" s="249"/>
      <c r="AU5" s="249"/>
      <c r="AW5" s="249" t="s">
        <v>315</v>
      </c>
      <c r="AX5" s="249"/>
      <c r="AZ5" s="249" t="s">
        <v>341</v>
      </c>
      <c r="BA5" s="249"/>
      <c r="BC5" t="s">
        <v>316</v>
      </c>
      <c r="BD5" s="62">
        <f>SLOPE(AU8:AU63, AX8:AX63)</f>
        <v>1.4662859576350844</v>
      </c>
      <c r="BM5" s="249" t="str">
        <f>Wacc!V23&amp;"-Monthly Returns"</f>
        <v>-Monthly Returns</v>
      </c>
      <c r="BN5" s="249"/>
      <c r="BO5" s="249"/>
      <c r="BQ5" s="249" t="s">
        <v>315</v>
      </c>
      <c r="BR5" s="249"/>
      <c r="BT5" s="249" t="s">
        <v>341</v>
      </c>
      <c r="BU5" s="249"/>
      <c r="BW5" t="s">
        <v>316</v>
      </c>
      <c r="BX5" s="62" t="e">
        <f>SLOPE(BO17:BO63, BR8:BR63)</f>
        <v>#N/A</v>
      </c>
      <c r="CG5" s="249" t="str">
        <f>Wacc!AP23&amp;"-Monthly Returns"</f>
        <v>-Monthly Returns</v>
      </c>
      <c r="CH5" s="249"/>
      <c r="CI5" s="249"/>
      <c r="CK5" s="249" t="s">
        <v>315</v>
      </c>
      <c r="CL5" s="249"/>
      <c r="CN5" s="249" t="s">
        <v>341</v>
      </c>
      <c r="CO5" s="249"/>
      <c r="CQ5" t="s">
        <v>316</v>
      </c>
      <c r="CR5" s="62">
        <f>SLOPE(CI8:CI63, CL8:CL63)</f>
        <v>0.9957512963133438</v>
      </c>
    </row>
    <row r="6" spans="1:96" ht="17.25" x14ac:dyDescent="0.25">
      <c r="B6" s="99" t="s">
        <v>196</v>
      </c>
      <c r="C6" s="99" t="s">
        <v>260</v>
      </c>
      <c r="D6" s="99" t="s">
        <v>261</v>
      </c>
      <c r="F6" s="99" t="s">
        <v>260</v>
      </c>
      <c r="G6" s="99" t="s">
        <v>261</v>
      </c>
      <c r="K6" s="104"/>
      <c r="L6" t="s">
        <v>165</v>
      </c>
      <c r="M6" s="62">
        <f>_xlfn.COVARIANCE.S(D7:D63,G7:G63)/_xlfn.VAR.S(G7:G63)</f>
        <v>1.6212854822838216</v>
      </c>
      <c r="X6" s="99" t="s">
        <v>196</v>
      </c>
      <c r="Y6" s="99" t="s">
        <v>260</v>
      </c>
      <c r="Z6" s="99" t="s">
        <v>261</v>
      </c>
      <c r="AB6" s="99" t="s">
        <v>260</v>
      </c>
      <c r="AC6" s="99" t="s">
        <v>261</v>
      </c>
      <c r="AG6" s="104"/>
      <c r="AH6" t="s">
        <v>165</v>
      </c>
      <c r="AI6" s="62">
        <f>_xlfn.COVARIANCE.S(Z7:Z63,AC7:AC63)/_xlfn.VAR.S(AC7:AC63)</f>
        <v>1.2507834207737367</v>
      </c>
      <c r="AN6" s="98"/>
      <c r="AS6" s="99" t="s">
        <v>196</v>
      </c>
      <c r="AT6" s="99" t="s">
        <v>260</v>
      </c>
      <c r="AU6" s="99" t="s">
        <v>261</v>
      </c>
      <c r="AW6" s="99" t="s">
        <v>260</v>
      </c>
      <c r="AX6" s="99" t="s">
        <v>261</v>
      </c>
      <c r="BB6" s="104"/>
      <c r="BC6" t="s">
        <v>165</v>
      </c>
      <c r="BD6" s="62">
        <f>_xlfn.COVARIANCE.S(AU7:AU63,AX7:AX63)/_xlfn.VAR.S(AX7:AX63)</f>
        <v>1.4712976474584203</v>
      </c>
      <c r="BM6" s="99" t="s">
        <v>196</v>
      </c>
      <c r="BN6" s="99" t="s">
        <v>260</v>
      </c>
      <c r="BO6" s="99" t="s">
        <v>261</v>
      </c>
      <c r="BQ6" s="99" t="s">
        <v>260</v>
      </c>
      <c r="BR6" s="99" t="s">
        <v>261</v>
      </c>
      <c r="BV6" s="104"/>
      <c r="BW6" t="s">
        <v>165</v>
      </c>
      <c r="BX6" s="62" t="e">
        <f>_xlfn.COVARIANCE.S(BO16:BO63,BR7:BR63)/_xlfn.VAR.S(BR7:BR63)</f>
        <v>#N/A</v>
      </c>
      <c r="CG6" s="99" t="s">
        <v>196</v>
      </c>
      <c r="CH6" s="99" t="s">
        <v>260</v>
      </c>
      <c r="CI6" s="99" t="s">
        <v>261</v>
      </c>
      <c r="CK6" s="99" t="s">
        <v>260</v>
      </c>
      <c r="CL6" s="99" t="s">
        <v>261</v>
      </c>
      <c r="CP6" s="104"/>
      <c r="CQ6" t="s">
        <v>165</v>
      </c>
      <c r="CR6" s="62">
        <f>_xlfn.COVARIANCE.S(CI7:CI63,CL7:CL63)/_xlfn.VAR.S(CL7:CL63)</f>
        <v>0.99783514536228402</v>
      </c>
    </row>
    <row r="7" spans="1:96" x14ac:dyDescent="0.25">
      <c r="B7" s="98">
        <f>IFERROR('Data for Beta &gt;2'!B3,0)</f>
        <v>44200</v>
      </c>
      <c r="C7">
        <f>IFERROR('Data for Beta &gt;2'!C3,0)</f>
        <v>478.63</v>
      </c>
      <c r="D7" s="61">
        <f>IFERROR(C7/C7-1,0)</f>
        <v>0</v>
      </c>
      <c r="F7">
        <f>IFERROR('Data for Beta &gt;2'!L3,0)</f>
        <v>14631.1</v>
      </c>
      <c r="G7" s="96">
        <f>IFERROR(F7/F7-1,0)</f>
        <v>0</v>
      </c>
      <c r="I7" s="106" t="s">
        <v>342</v>
      </c>
      <c r="J7" s="107">
        <f>M5</f>
        <v>1.6170792976119301</v>
      </c>
      <c r="K7" s="96"/>
      <c r="X7" s="98">
        <f>B7</f>
        <v>44200</v>
      </c>
      <c r="Y7">
        <f>IFERROR('Data for Beta &gt;2'!T3,0)</f>
        <v>43.92</v>
      </c>
      <c r="Z7" s="61">
        <f>IFERROR(Y7/Y7-1,0)</f>
        <v>0</v>
      </c>
      <c r="AB7">
        <f>F7</f>
        <v>14631.1</v>
      </c>
      <c r="AC7" s="96">
        <f>IFERROR(AB7/AB7-1,0)</f>
        <v>0</v>
      </c>
      <c r="AE7" s="106" t="s">
        <v>342</v>
      </c>
      <c r="AF7" s="107">
        <f>AI5</f>
        <v>1.2462382022003766</v>
      </c>
      <c r="AG7" s="96"/>
      <c r="AN7" s="98"/>
      <c r="AS7" s="98">
        <f>X7</f>
        <v>44200</v>
      </c>
      <c r="AT7">
        <f>IFERROR('Data for Beta &gt;2'!AB3,0)</f>
        <v>168.43</v>
      </c>
      <c r="AU7" s="61">
        <f>IFERROR(AT7/AT7-1,0)</f>
        <v>0</v>
      </c>
      <c r="AW7">
        <f>AB7</f>
        <v>14631.1</v>
      </c>
      <c r="AX7" s="96">
        <f>IFERROR(AW7/AW7-1,0)</f>
        <v>0</v>
      </c>
      <c r="AZ7" s="106" t="s">
        <v>342</v>
      </c>
      <c r="BA7" s="107">
        <f>BD5</f>
        <v>1.4662859576350844</v>
      </c>
      <c r="BB7" s="96"/>
      <c r="BM7" s="98">
        <v>44200</v>
      </c>
      <c r="BN7">
        <f>IFERROR('Data for Beta &gt;2'!AJ3,0)</f>
        <v>0</v>
      </c>
      <c r="BO7" s="23">
        <f t="shared" ref="BO7:BO16" si="0">IFERROR(BN7/BN6-1,0)</f>
        <v>0</v>
      </c>
      <c r="BQ7" s="62">
        <f t="shared" ref="BQ7:BQ62" si="1">AW7</f>
        <v>14631.1</v>
      </c>
      <c r="BR7" s="96">
        <f>IFERROR(BQ7/BQ7-1,0)</f>
        <v>0</v>
      </c>
      <c r="BT7" s="106" t="s">
        <v>342</v>
      </c>
      <c r="BU7" s="107" t="e">
        <f>BX5</f>
        <v>#N/A</v>
      </c>
      <c r="BV7" s="96"/>
      <c r="CG7" s="98">
        <f>IFERROR('Data for Beta &gt;2'!AQ3,0)</f>
        <v>44200</v>
      </c>
      <c r="CH7">
        <f>IFERROR('Data for Beta &gt;2'!AR3,0)</f>
        <v>264.3</v>
      </c>
      <c r="CI7" s="61">
        <f>IFERROR(CH7/CH7-1,0)</f>
        <v>0</v>
      </c>
      <c r="CK7">
        <f>IFERROR('Data for Beta &gt;2'!L3,0)</f>
        <v>14631.1</v>
      </c>
      <c r="CL7" s="96">
        <f>IFERROR(CK7/CK7-1,0)</f>
        <v>0</v>
      </c>
      <c r="CN7" s="106" t="s">
        <v>342</v>
      </c>
      <c r="CO7" s="107">
        <f>CR5</f>
        <v>0.9957512963133438</v>
      </c>
      <c r="CP7" s="96"/>
    </row>
    <row r="8" spans="1:96" ht="17.25" x14ac:dyDescent="0.25">
      <c r="B8" s="98">
        <f>IFERROR('Data for Beta &gt;2'!B4,0)</f>
        <v>44201</v>
      </c>
      <c r="C8">
        <f>IFERROR('Data for Beta &gt;2'!C4,0)</f>
        <v>510.27</v>
      </c>
      <c r="D8" s="23">
        <f>IFERROR(C8/C7-1,0)</f>
        <v>6.6105342331236994E-2</v>
      </c>
      <c r="F8">
        <f>IFERROR('Data for Beta &gt;2'!L4,0)</f>
        <v>15582.8</v>
      </c>
      <c r="G8" s="23">
        <f>IFERROR(F8/F7-1,0)</f>
        <v>6.5046373820150105E-2</v>
      </c>
      <c r="I8" s="27" t="s">
        <v>343</v>
      </c>
      <c r="J8" s="23">
        <v>0.75</v>
      </c>
      <c r="K8" s="23"/>
      <c r="L8" t="s">
        <v>166</v>
      </c>
      <c r="M8" s="62">
        <f>M27</f>
        <v>1.6170792976119297</v>
      </c>
      <c r="X8" s="98">
        <f t="shared" ref="X8:X63" si="2">B8</f>
        <v>44201</v>
      </c>
      <c r="Y8">
        <f>IFERROR('Data for Beta &gt;2'!T4,0)</f>
        <v>48.47</v>
      </c>
      <c r="Z8" s="23">
        <f t="shared" ref="Z8:Z39" si="3">IFERROR(Y8/Y7-1,0)</f>
        <v>0.10359744990892517</v>
      </c>
      <c r="AB8">
        <f t="shared" ref="AB8:AB63" si="4">F8</f>
        <v>15582.8</v>
      </c>
      <c r="AC8" s="23">
        <f>IFERROR(AB8/AB7-1,0)</f>
        <v>6.5046373820150105E-2</v>
      </c>
      <c r="AE8" s="27" t="s">
        <v>343</v>
      </c>
      <c r="AF8" s="23">
        <v>0.75</v>
      </c>
      <c r="AG8" s="23"/>
      <c r="AH8" t="s">
        <v>166</v>
      </c>
      <c r="AI8" s="62">
        <f>AI27</f>
        <v>1.2462382022003764</v>
      </c>
      <c r="AN8" s="98"/>
      <c r="AS8" s="98">
        <f t="shared" ref="AS8:AS63" si="5">X8</f>
        <v>44201</v>
      </c>
      <c r="AT8">
        <f>IFERROR('Data for Beta &gt;2'!AB4,0)</f>
        <v>180.85</v>
      </c>
      <c r="AU8" s="23">
        <f t="shared" ref="AU8:AU39" si="6">IFERROR(AT8/AT7-1,0)</f>
        <v>7.3739832571394492E-2</v>
      </c>
      <c r="AW8">
        <f t="shared" ref="AW8:AW63" si="7">AB8</f>
        <v>15582.8</v>
      </c>
      <c r="AX8" s="23">
        <f>IFERROR(AW8/AW7-1,0)</f>
        <v>6.5046373820150105E-2</v>
      </c>
      <c r="AZ8" s="27" t="s">
        <v>343</v>
      </c>
      <c r="BA8" s="23">
        <v>0.75</v>
      </c>
      <c r="BB8" s="23"/>
      <c r="BC8" t="s">
        <v>166</v>
      </c>
      <c r="BD8" s="62">
        <f>BD27</f>
        <v>1.4662859576350844</v>
      </c>
      <c r="BM8" s="98">
        <v>44201</v>
      </c>
      <c r="BN8">
        <f>IFERROR('Data for Beta &gt;2'!AJ4,0)</f>
        <v>0</v>
      </c>
      <c r="BO8" s="23">
        <f t="shared" si="0"/>
        <v>0</v>
      </c>
      <c r="BQ8" s="62">
        <f t="shared" si="1"/>
        <v>15582.8</v>
      </c>
      <c r="BR8" s="23">
        <f>IFERROR(BQ8/BQ7-1,0)</f>
        <v>6.5046373820150105E-2</v>
      </c>
      <c r="BT8" s="27" t="s">
        <v>343</v>
      </c>
      <c r="BU8" s="23">
        <v>0.75</v>
      </c>
      <c r="BV8" s="23"/>
      <c r="BW8" t="s">
        <v>166</v>
      </c>
      <c r="BX8" s="62">
        <f>BX27</f>
        <v>1.8927245908754302</v>
      </c>
      <c r="CG8" s="98">
        <f>IFERROR('Data for Beta &gt;2'!AQ4,0)</f>
        <v>44201</v>
      </c>
      <c r="CH8">
        <f>IFERROR('Data for Beta &gt;2'!AR4,0)</f>
        <v>285.8</v>
      </c>
      <c r="CI8" s="23">
        <f t="shared" ref="CI8:CI63" si="8">IFERROR(CH8/CH7-1,0)</f>
        <v>8.134695421869087E-2</v>
      </c>
      <c r="CK8">
        <f>IFERROR('Data for Beta &gt;2'!L4,0)</f>
        <v>15582.8</v>
      </c>
      <c r="CL8" s="23">
        <f>IFERROR(CK8/CK7-1,0)</f>
        <v>6.5046373820150105E-2</v>
      </c>
      <c r="CN8" s="27" t="s">
        <v>343</v>
      </c>
      <c r="CO8" s="23">
        <v>0.75</v>
      </c>
      <c r="CP8" s="23"/>
      <c r="CQ8" t="s">
        <v>166</v>
      </c>
      <c r="CR8" s="62">
        <f>CR27</f>
        <v>0.97933054945283637</v>
      </c>
    </row>
    <row r="9" spans="1:96" x14ac:dyDescent="0.25">
      <c r="B9" s="98">
        <f>IFERROR('Data for Beta &gt;2'!B5,0)</f>
        <v>44202</v>
      </c>
      <c r="C9">
        <f>IFERROR('Data for Beta &gt;2'!C5,0)</f>
        <v>510.9</v>
      </c>
      <c r="D9" s="23">
        <f t="shared" ref="D9:D63" si="9">IFERROR(C9/C8-1,0)</f>
        <v>1.2346404844494341E-3</v>
      </c>
      <c r="F9">
        <f>IFERROR('Data for Beta &gt;2'!L5,0)</f>
        <v>15721.5</v>
      </c>
      <c r="G9" s="23">
        <f t="shared" ref="G9:G63" si="10">IFERROR(F9/F8-1,0)</f>
        <v>8.9008393870164682E-3</v>
      </c>
      <c r="K9" s="23"/>
      <c r="X9" s="98">
        <f t="shared" si="2"/>
        <v>44202</v>
      </c>
      <c r="Y9">
        <f>IFERROR('Data for Beta &gt;2'!T5,0)</f>
        <v>59.33</v>
      </c>
      <c r="Z9" s="23">
        <f t="shared" si="3"/>
        <v>0.22405611718588814</v>
      </c>
      <c r="AB9">
        <f t="shared" si="4"/>
        <v>15721.5</v>
      </c>
      <c r="AC9" s="23">
        <f t="shared" ref="AC9:AC63" si="11">IFERROR(AB9/AB8-1,0)</f>
        <v>8.9008393870164682E-3</v>
      </c>
      <c r="AG9" s="23"/>
      <c r="AN9" s="98"/>
      <c r="AS9" s="98">
        <f t="shared" si="5"/>
        <v>44202</v>
      </c>
      <c r="AT9">
        <f>IFERROR('Data for Beta &gt;2'!AB5,0)</f>
        <v>178.98</v>
      </c>
      <c r="AU9" s="23">
        <f t="shared" si="6"/>
        <v>-1.0340060823887276E-2</v>
      </c>
      <c r="AW9">
        <f t="shared" si="7"/>
        <v>15721.5</v>
      </c>
      <c r="AX9" s="23">
        <f t="shared" ref="AX9:AX63" si="12">IFERROR(AW9/AW8-1,0)</f>
        <v>8.9008393870164682E-3</v>
      </c>
      <c r="BB9" s="23"/>
      <c r="BM9" s="98">
        <v>44202</v>
      </c>
      <c r="BN9">
        <f>IFERROR('Data for Beta &gt;2'!AJ5,0)</f>
        <v>0</v>
      </c>
      <c r="BO9" s="23">
        <f t="shared" si="0"/>
        <v>0</v>
      </c>
      <c r="BQ9" s="62">
        <f t="shared" si="1"/>
        <v>15721.5</v>
      </c>
      <c r="BR9" s="23">
        <f t="shared" ref="BR9:BR63" si="13">IFERROR(BQ9/BQ8-1,0)</f>
        <v>8.9008393870164682E-3</v>
      </c>
      <c r="BV9" s="23"/>
      <c r="CG9" s="98">
        <f>IFERROR('Data for Beta &gt;2'!AQ5,0)</f>
        <v>44202</v>
      </c>
      <c r="CH9">
        <f>IFERROR('Data for Beta &gt;2'!AR5,0)</f>
        <v>311.35000000000002</v>
      </c>
      <c r="CI9" s="23">
        <f t="shared" si="8"/>
        <v>8.939818054583637E-2</v>
      </c>
      <c r="CK9">
        <f>IFERROR('Data for Beta &gt;2'!L5,0)</f>
        <v>15721.5</v>
      </c>
      <c r="CL9" s="23">
        <f t="shared" ref="CL9:CL63" si="14">IFERROR(CK9/CK8-1,0)</f>
        <v>8.9008393870164682E-3</v>
      </c>
      <c r="CP9" s="23"/>
    </row>
    <row r="10" spans="1:96" x14ac:dyDescent="0.25">
      <c r="B10" s="98">
        <f>IFERROR('Data for Beta &gt;2'!B6,0)</f>
        <v>44203</v>
      </c>
      <c r="C10">
        <f>IFERROR('Data for Beta &gt;2'!C6,0)</f>
        <v>558.16999999999996</v>
      </c>
      <c r="D10" s="23">
        <f t="shared" si="9"/>
        <v>9.2522998629868791E-2</v>
      </c>
      <c r="F10">
        <f>IFERROR('Data for Beta &gt;2'!L6,0)</f>
        <v>15763.05</v>
      </c>
      <c r="G10" s="23">
        <f t="shared" si="10"/>
        <v>2.6428775880162902E-3</v>
      </c>
      <c r="I10" t="s">
        <v>345</v>
      </c>
      <c r="J10" s="105">
        <v>1</v>
      </c>
      <c r="K10" s="23"/>
      <c r="L10" s="170" t="s">
        <v>317</v>
      </c>
      <c r="X10" s="98">
        <f t="shared" si="2"/>
        <v>44203</v>
      </c>
      <c r="Y10">
        <f>IFERROR('Data for Beta &gt;2'!T6,0)</f>
        <v>61.55</v>
      </c>
      <c r="Z10" s="23">
        <f t="shared" si="3"/>
        <v>3.7417832462497858E-2</v>
      </c>
      <c r="AB10">
        <f t="shared" si="4"/>
        <v>15763.05</v>
      </c>
      <c r="AC10" s="23">
        <f t="shared" si="11"/>
        <v>2.6428775880162902E-3</v>
      </c>
      <c r="AE10" t="s">
        <v>345</v>
      </c>
      <c r="AF10" s="105">
        <v>1</v>
      </c>
      <c r="AG10" s="23"/>
      <c r="AH10" s="170" t="s">
        <v>317</v>
      </c>
      <c r="AS10" s="98">
        <f t="shared" si="5"/>
        <v>44203</v>
      </c>
      <c r="AT10">
        <f>IFERROR('Data for Beta &gt;2'!AB6,0)</f>
        <v>210.02</v>
      </c>
      <c r="AU10" s="23">
        <f t="shared" si="6"/>
        <v>0.1734271985696727</v>
      </c>
      <c r="AW10">
        <f t="shared" si="7"/>
        <v>15763.05</v>
      </c>
      <c r="AX10" s="23">
        <f t="shared" si="12"/>
        <v>2.6428775880162902E-3</v>
      </c>
      <c r="AZ10" t="s">
        <v>345</v>
      </c>
      <c r="BA10" s="105">
        <v>1</v>
      </c>
      <c r="BB10" s="23"/>
      <c r="BC10" s="170" t="s">
        <v>317</v>
      </c>
      <c r="BM10" s="98">
        <v>44203</v>
      </c>
      <c r="BN10">
        <f>IFERROR('Data for Beta &gt;2'!AJ6,0)</f>
        <v>0</v>
      </c>
      <c r="BO10" s="23">
        <f t="shared" si="0"/>
        <v>0</v>
      </c>
      <c r="BQ10" s="62">
        <f t="shared" si="1"/>
        <v>15763.05</v>
      </c>
      <c r="BR10" s="23">
        <f t="shared" si="13"/>
        <v>2.6428775880162902E-3</v>
      </c>
      <c r="BT10" t="s">
        <v>345</v>
      </c>
      <c r="BU10" s="105">
        <v>1</v>
      </c>
      <c r="BV10" s="23"/>
      <c r="BW10" s="170" t="s">
        <v>317</v>
      </c>
      <c r="CG10" s="98">
        <f>IFERROR('Data for Beta &gt;2'!AQ6,0)</f>
        <v>44203</v>
      </c>
      <c r="CH10">
        <f>IFERROR('Data for Beta &gt;2'!AR6,0)</f>
        <v>415.9</v>
      </c>
      <c r="CI10" s="23">
        <f t="shared" si="8"/>
        <v>0.33579572828007054</v>
      </c>
      <c r="CK10">
        <f>IFERROR('Data for Beta &gt;2'!L6,0)</f>
        <v>15763.05</v>
      </c>
      <c r="CL10" s="23">
        <f t="shared" si="14"/>
        <v>2.6428775880162902E-3</v>
      </c>
      <c r="CN10" t="s">
        <v>345</v>
      </c>
      <c r="CO10" s="105">
        <v>1</v>
      </c>
      <c r="CP10" s="23"/>
      <c r="CQ10" s="170" t="s">
        <v>317</v>
      </c>
    </row>
    <row r="11" spans="1:96" ht="15.75" thickBot="1" x14ac:dyDescent="0.3">
      <c r="B11" s="98">
        <f>IFERROR('Data for Beta &gt;2'!B7,0)</f>
        <v>44204</v>
      </c>
      <c r="C11">
        <f>IFERROR('Data for Beta &gt;2'!C7,0)</f>
        <v>687.9</v>
      </c>
      <c r="D11" s="23">
        <f t="shared" si="9"/>
        <v>0.23242023039575765</v>
      </c>
      <c r="F11">
        <f>IFERROR('Data for Beta &gt;2'!L7,0)</f>
        <v>17132.2</v>
      </c>
      <c r="G11" s="23">
        <f t="shared" si="10"/>
        <v>8.6858190515160638E-2</v>
      </c>
      <c r="I11" t="s">
        <v>344</v>
      </c>
      <c r="J11" s="23">
        <v>0.25</v>
      </c>
      <c r="K11" s="23"/>
      <c r="X11" s="98">
        <f t="shared" si="2"/>
        <v>44204</v>
      </c>
      <c r="Y11">
        <f>IFERROR('Data for Beta &gt;2'!T7,0)</f>
        <v>62.22</v>
      </c>
      <c r="Z11" s="23">
        <f t="shared" si="3"/>
        <v>1.0885458976441997E-2</v>
      </c>
      <c r="AB11">
        <f t="shared" si="4"/>
        <v>17132.2</v>
      </c>
      <c r="AC11" s="23">
        <f t="shared" si="11"/>
        <v>8.6858190515160638E-2</v>
      </c>
      <c r="AE11" t="s">
        <v>344</v>
      </c>
      <c r="AF11" s="23">
        <v>0.25</v>
      </c>
      <c r="AG11" s="23"/>
      <c r="AS11" s="98">
        <f t="shared" si="5"/>
        <v>44204</v>
      </c>
      <c r="AT11">
        <f>IFERROR('Data for Beta &gt;2'!AB7,0)</f>
        <v>196.55</v>
      </c>
      <c r="AU11" s="23">
        <f t="shared" si="6"/>
        <v>-6.4136748881058914E-2</v>
      </c>
      <c r="AW11">
        <f t="shared" si="7"/>
        <v>17132.2</v>
      </c>
      <c r="AX11" s="23">
        <f t="shared" si="12"/>
        <v>8.6858190515160638E-2</v>
      </c>
      <c r="AZ11" t="s">
        <v>344</v>
      </c>
      <c r="BA11" s="23">
        <v>0.25</v>
      </c>
      <c r="BB11" s="23"/>
      <c r="BM11" s="98">
        <v>44204</v>
      </c>
      <c r="BN11">
        <f>IFERROR('Data for Beta &gt;2'!AJ7,0)</f>
        <v>0</v>
      </c>
      <c r="BO11" s="23">
        <f t="shared" si="0"/>
        <v>0</v>
      </c>
      <c r="BQ11" s="62">
        <f t="shared" si="1"/>
        <v>17132.2</v>
      </c>
      <c r="BR11" s="23">
        <f t="shared" si="13"/>
        <v>8.6858190515160638E-2</v>
      </c>
      <c r="BT11" t="s">
        <v>344</v>
      </c>
      <c r="BU11" s="23">
        <v>0.25</v>
      </c>
      <c r="BV11" s="23"/>
      <c r="CG11" s="98">
        <f>IFERROR('Data for Beta &gt;2'!AQ7,0)</f>
        <v>44204</v>
      </c>
      <c r="CH11">
        <f>IFERROR('Data for Beta &gt;2'!AR7,0)</f>
        <v>450.3</v>
      </c>
      <c r="CI11" s="23">
        <f t="shared" si="8"/>
        <v>8.2712190430392019E-2</v>
      </c>
      <c r="CK11">
        <f>IFERROR('Data for Beta &gt;2'!L7,0)</f>
        <v>17132.2</v>
      </c>
      <c r="CL11" s="23">
        <f t="shared" si="14"/>
        <v>8.6858190515160638E-2</v>
      </c>
      <c r="CN11" t="s">
        <v>344</v>
      </c>
      <c r="CO11" s="23">
        <v>0.25</v>
      </c>
      <c r="CP11" s="23"/>
    </row>
    <row r="12" spans="1:96" x14ac:dyDescent="0.25">
      <c r="B12" s="98">
        <f>IFERROR('Data for Beta &gt;2'!B8,0)</f>
        <v>44205</v>
      </c>
      <c r="C12">
        <f>IFERROR('Data for Beta &gt;2'!C8,0)</f>
        <v>677.22</v>
      </c>
      <c r="D12" s="23">
        <f t="shared" si="9"/>
        <v>-1.5525512429132027E-2</v>
      </c>
      <c r="F12">
        <f>IFERROR('Data for Beta &gt;2'!L8,0)</f>
        <v>17618.150000000001</v>
      </c>
      <c r="G12" s="23">
        <f t="shared" si="10"/>
        <v>2.8364716732235173E-2</v>
      </c>
      <c r="J12" s="23"/>
      <c r="K12" s="23"/>
      <c r="L12" s="103" t="s">
        <v>318</v>
      </c>
      <c r="M12" s="103"/>
      <c r="X12" s="98">
        <f t="shared" si="2"/>
        <v>44205</v>
      </c>
      <c r="Y12">
        <f>IFERROR('Data for Beta &gt;2'!T8,0)</f>
        <v>67.650000000000006</v>
      </c>
      <c r="Z12" s="23">
        <f t="shared" si="3"/>
        <v>8.7270973963355924E-2</v>
      </c>
      <c r="AB12">
        <f t="shared" si="4"/>
        <v>17618.150000000001</v>
      </c>
      <c r="AC12" s="23">
        <f t="shared" si="11"/>
        <v>2.8364716732235173E-2</v>
      </c>
      <c r="AF12" s="23"/>
      <c r="AG12" s="23"/>
      <c r="AH12" s="103" t="s">
        <v>318</v>
      </c>
      <c r="AI12" s="103"/>
      <c r="AS12" s="98">
        <f t="shared" si="5"/>
        <v>44205</v>
      </c>
      <c r="AT12">
        <f>IFERROR('Data for Beta &gt;2'!AB8,0)</f>
        <v>191.48</v>
      </c>
      <c r="AU12" s="23">
        <f t="shared" si="6"/>
        <v>-2.5794963113711655E-2</v>
      </c>
      <c r="AW12">
        <f t="shared" si="7"/>
        <v>17618.150000000001</v>
      </c>
      <c r="AX12" s="23">
        <f t="shared" si="12"/>
        <v>2.8364716732235173E-2</v>
      </c>
      <c r="BA12" s="23"/>
      <c r="BB12" s="23"/>
      <c r="BC12" s="103" t="s">
        <v>318</v>
      </c>
      <c r="BD12" s="103"/>
      <c r="BM12" s="98">
        <v>44205</v>
      </c>
      <c r="BN12">
        <f>IFERROR('Data for Beta &gt;2'!AJ8,0)</f>
        <v>0</v>
      </c>
      <c r="BO12" s="23">
        <f t="shared" si="0"/>
        <v>0</v>
      </c>
      <c r="BQ12" s="62">
        <f t="shared" si="1"/>
        <v>17618.150000000001</v>
      </c>
      <c r="BR12" s="23">
        <f t="shared" si="13"/>
        <v>2.8364716732235173E-2</v>
      </c>
      <c r="BU12" s="23"/>
      <c r="BV12" s="23"/>
      <c r="BW12" s="103" t="s">
        <v>318</v>
      </c>
      <c r="BX12" s="103"/>
      <c r="CG12" s="98">
        <f>IFERROR('Data for Beta &gt;2'!AQ8,0)</f>
        <v>44205</v>
      </c>
      <c r="CH12">
        <f>IFERROR('Data for Beta &gt;2'!AR8,0)</f>
        <v>477.8</v>
      </c>
      <c r="CI12" s="23">
        <f t="shared" si="8"/>
        <v>6.1070397512769325E-2</v>
      </c>
      <c r="CK12">
        <f>IFERROR('Data for Beta &gt;2'!L8,0)</f>
        <v>17618.150000000001</v>
      </c>
      <c r="CL12" s="23">
        <f t="shared" si="14"/>
        <v>2.8364716732235173E-2</v>
      </c>
      <c r="CO12" s="23"/>
      <c r="CP12" s="23"/>
      <c r="CQ12" s="103" t="s">
        <v>318</v>
      </c>
      <c r="CR12" s="103"/>
    </row>
    <row r="13" spans="1:96" x14ac:dyDescent="0.25">
      <c r="B13" s="98">
        <f>IFERROR('Data for Beta &gt;2'!B9,0)</f>
        <v>44206</v>
      </c>
      <c r="C13">
        <f>IFERROR('Data for Beta &gt;2'!C9,0)</f>
        <v>653.29999999999995</v>
      </c>
      <c r="D13" s="23">
        <f t="shared" si="9"/>
        <v>-3.5320870618115396E-2</v>
      </c>
      <c r="F13">
        <f>IFERROR('Data for Beta &gt;2'!L9,0)</f>
        <v>17671.650000000001</v>
      </c>
      <c r="G13" s="23">
        <f t="shared" si="10"/>
        <v>3.0366411910445201E-3</v>
      </c>
      <c r="I13" s="54" t="s">
        <v>346</v>
      </c>
      <c r="J13" s="108">
        <f>(J7*J8)+(J10*J11)</f>
        <v>1.4628094732089476</v>
      </c>
      <c r="K13" s="23"/>
      <c r="L13" s="100" t="s">
        <v>319</v>
      </c>
      <c r="M13" s="100">
        <v>0.54707594004750038</v>
      </c>
      <c r="X13" s="98">
        <f t="shared" si="2"/>
        <v>44206</v>
      </c>
      <c r="Y13">
        <f>IFERROR('Data for Beta &gt;2'!T9,0)</f>
        <v>68.95</v>
      </c>
      <c r="Z13" s="23">
        <f t="shared" si="3"/>
        <v>1.921655580192172E-2</v>
      </c>
      <c r="AB13">
        <f t="shared" si="4"/>
        <v>17671.650000000001</v>
      </c>
      <c r="AC13" s="23">
        <f t="shared" si="11"/>
        <v>3.0366411910445201E-3</v>
      </c>
      <c r="AE13" s="54" t="s">
        <v>346</v>
      </c>
      <c r="AF13" s="108">
        <f>(AF7*AF8)+(AF10*AF11)</f>
        <v>1.1846786516502825</v>
      </c>
      <c r="AG13" s="23"/>
      <c r="AH13" s="100" t="s">
        <v>319</v>
      </c>
      <c r="AI13" s="100">
        <v>0.5100738916280857</v>
      </c>
      <c r="AS13" s="98">
        <f t="shared" si="5"/>
        <v>44206</v>
      </c>
      <c r="AT13">
        <f>IFERROR('Data for Beta &gt;2'!AB9,0)</f>
        <v>202.73</v>
      </c>
      <c r="AU13" s="23">
        <f t="shared" si="6"/>
        <v>5.8752872362648922E-2</v>
      </c>
      <c r="AW13">
        <f t="shared" si="7"/>
        <v>17671.650000000001</v>
      </c>
      <c r="AX13" s="23">
        <f t="shared" si="12"/>
        <v>3.0366411910445201E-3</v>
      </c>
      <c r="AZ13" s="54" t="s">
        <v>346</v>
      </c>
      <c r="BA13" s="108">
        <f>(BA7*BA8)+(BA10*BA11)</f>
        <v>1.3497144682263134</v>
      </c>
      <c r="BB13" s="23"/>
      <c r="BC13" s="100" t="s">
        <v>319</v>
      </c>
      <c r="BD13" s="100">
        <v>0.34162556064076471</v>
      </c>
      <c r="BM13" s="98">
        <v>44206</v>
      </c>
      <c r="BN13">
        <f>IFERROR('Data for Beta &gt;2'!AJ9,0)</f>
        <v>0</v>
      </c>
      <c r="BO13" s="23">
        <f t="shared" si="0"/>
        <v>0</v>
      </c>
      <c r="BQ13" s="62">
        <f t="shared" si="1"/>
        <v>17671.650000000001</v>
      </c>
      <c r="BR13" s="23">
        <f t="shared" si="13"/>
        <v>3.0366411910445201E-3</v>
      </c>
      <c r="BT13" s="54" t="s">
        <v>346</v>
      </c>
      <c r="BU13" s="108" t="e">
        <f>(BU7*BU8)+(BU10*BU11)</f>
        <v>#N/A</v>
      </c>
      <c r="BV13" s="23"/>
      <c r="BW13" s="100" t="s">
        <v>319</v>
      </c>
      <c r="BX13" s="100">
        <v>0.43498236387215167</v>
      </c>
      <c r="CG13" s="98">
        <f>IFERROR('Data for Beta &gt;2'!AQ9,0)</f>
        <v>44206</v>
      </c>
      <c r="CH13">
        <f>IFERROR('Data for Beta &gt;2'!AR9,0)</f>
        <v>461.65</v>
      </c>
      <c r="CI13" s="23">
        <f t="shared" si="8"/>
        <v>-3.3800753453327781E-2</v>
      </c>
      <c r="CK13">
        <f>IFERROR('Data for Beta &gt;2'!L9,0)</f>
        <v>17671.650000000001</v>
      </c>
      <c r="CL13" s="23">
        <f t="shared" si="14"/>
        <v>3.0366411910445201E-3</v>
      </c>
      <c r="CN13" s="54" t="s">
        <v>346</v>
      </c>
      <c r="CO13" s="108">
        <f>(CO7*CO8)+(CO10*CO11)</f>
        <v>0.99681347223500782</v>
      </c>
      <c r="CP13" s="23"/>
      <c r="CQ13" s="100" t="s">
        <v>319</v>
      </c>
      <c r="CR13" s="100">
        <v>0.30198380308834222</v>
      </c>
    </row>
    <row r="14" spans="1:96" x14ac:dyDescent="0.25">
      <c r="B14" s="98">
        <f>IFERROR('Data for Beta &gt;2'!B10,0)</f>
        <v>44207</v>
      </c>
      <c r="C14">
        <f>IFERROR('Data for Beta &gt;2'!C10,0)</f>
        <v>638.45000000000005</v>
      </c>
      <c r="D14" s="23">
        <f t="shared" si="9"/>
        <v>-2.273075156895743E-2</v>
      </c>
      <c r="F14">
        <f>IFERROR('Data for Beta &gt;2'!L10,0)</f>
        <v>16983.2</v>
      </c>
      <c r="G14" s="23">
        <f t="shared" si="10"/>
        <v>-3.8957878862471818E-2</v>
      </c>
      <c r="J14" s="23"/>
      <c r="K14" s="23"/>
      <c r="L14" s="100" t="s">
        <v>320</v>
      </c>
      <c r="M14" s="100">
        <v>0.29929208417885628</v>
      </c>
      <c r="X14" s="98">
        <f t="shared" si="2"/>
        <v>44207</v>
      </c>
      <c r="Y14">
        <f>IFERROR('Data for Beta &gt;2'!T10,0)</f>
        <v>67.92</v>
      </c>
      <c r="Z14" s="23">
        <f t="shared" si="3"/>
        <v>-1.4938361131254574E-2</v>
      </c>
      <c r="AB14">
        <f t="shared" si="4"/>
        <v>16983.2</v>
      </c>
      <c r="AC14" s="23">
        <f t="shared" si="11"/>
        <v>-3.8957878862471818E-2</v>
      </c>
      <c r="AF14" s="23"/>
      <c r="AG14" s="23"/>
      <c r="AH14" s="100" t="s">
        <v>320</v>
      </c>
      <c r="AI14" s="100">
        <v>0.26017537492062015</v>
      </c>
      <c r="AS14" s="98">
        <f t="shared" si="5"/>
        <v>44207</v>
      </c>
      <c r="AT14">
        <f>IFERROR('Data for Beta &gt;2'!AB10,0)</f>
        <v>207.23</v>
      </c>
      <c r="AU14" s="23">
        <f t="shared" si="6"/>
        <v>2.2197010802545325E-2</v>
      </c>
      <c r="AW14">
        <f t="shared" si="7"/>
        <v>16983.2</v>
      </c>
      <c r="AX14" s="23">
        <f t="shared" si="12"/>
        <v>-3.8957878862471818E-2</v>
      </c>
      <c r="BA14" s="23"/>
      <c r="BB14" s="23"/>
      <c r="BC14" s="100" t="s">
        <v>320</v>
      </c>
      <c r="BD14" s="100">
        <v>0.11670802368311681</v>
      </c>
      <c r="BM14" s="98">
        <v>44207</v>
      </c>
      <c r="BN14">
        <f>IFERROR('Data for Beta &gt;2'!AJ10,0)</f>
        <v>0</v>
      </c>
      <c r="BO14" s="23">
        <f t="shared" si="0"/>
        <v>0</v>
      </c>
      <c r="BQ14" s="62">
        <f t="shared" si="1"/>
        <v>16983.2</v>
      </c>
      <c r="BR14" s="23">
        <f t="shared" si="13"/>
        <v>-3.8957878862471818E-2</v>
      </c>
      <c r="BU14" s="23"/>
      <c r="BV14" s="23"/>
      <c r="BW14" s="100" t="s">
        <v>320</v>
      </c>
      <c r="BX14" s="100">
        <v>0.18920965687980495</v>
      </c>
      <c r="CG14" s="98">
        <f>IFERROR('Data for Beta &gt;2'!AQ10,0)</f>
        <v>44207</v>
      </c>
      <c r="CH14">
        <f>IFERROR('Data for Beta &gt;2'!AR10,0)</f>
        <v>446.55</v>
      </c>
      <c r="CI14" s="23">
        <f t="shared" si="8"/>
        <v>-3.2708762049171392E-2</v>
      </c>
      <c r="CK14">
        <f>IFERROR('Data for Beta &gt;2'!L10,0)</f>
        <v>16983.2</v>
      </c>
      <c r="CL14" s="23">
        <f t="shared" si="14"/>
        <v>-3.8957878862471818E-2</v>
      </c>
      <c r="CO14" s="23"/>
      <c r="CP14" s="23"/>
      <c r="CQ14" s="100" t="s">
        <v>320</v>
      </c>
      <c r="CR14" s="100">
        <v>9.119421732769864E-2</v>
      </c>
    </row>
    <row r="15" spans="1:96" x14ac:dyDescent="0.25">
      <c r="B15" s="98">
        <f>IFERROR('Data for Beta &gt;2'!B11,0)</f>
        <v>44208</v>
      </c>
      <c r="C15">
        <f>IFERROR('Data for Beta &gt;2'!C11,0)</f>
        <v>605.33000000000004</v>
      </c>
      <c r="D15" s="23">
        <f t="shared" si="9"/>
        <v>-5.187563630668024E-2</v>
      </c>
      <c r="F15">
        <f>IFERROR('Data for Beta &gt;2'!L11,0)</f>
        <v>17354.05</v>
      </c>
      <c r="G15" s="23">
        <f t="shared" si="10"/>
        <v>2.1836285270149247E-2</v>
      </c>
      <c r="J15" s="23"/>
      <c r="K15" s="23"/>
      <c r="L15" s="100" t="s">
        <v>321</v>
      </c>
      <c r="M15" s="100">
        <v>0.28631601166364995</v>
      </c>
      <c r="X15" s="98">
        <f t="shared" si="2"/>
        <v>44208</v>
      </c>
      <c r="Y15">
        <f>IFERROR('Data for Beta &gt;2'!T11,0)</f>
        <v>69.98</v>
      </c>
      <c r="Z15" s="23">
        <f t="shared" si="3"/>
        <v>3.0329799764428733E-2</v>
      </c>
      <c r="AB15">
        <f t="shared" si="4"/>
        <v>17354.05</v>
      </c>
      <c r="AC15" s="23">
        <f t="shared" si="11"/>
        <v>2.1836285270149247E-2</v>
      </c>
      <c r="AF15" s="23"/>
      <c r="AG15" s="23"/>
      <c r="AH15" s="100" t="s">
        <v>321</v>
      </c>
      <c r="AI15" s="100">
        <v>0.24647491890063161</v>
      </c>
      <c r="AS15" s="98">
        <f t="shared" si="5"/>
        <v>44208</v>
      </c>
      <c r="AT15">
        <f>IFERROR('Data for Beta &gt;2'!AB11,0)</f>
        <v>194.77</v>
      </c>
      <c r="AU15" s="23">
        <f t="shared" si="6"/>
        <v>-6.0126429571008E-2</v>
      </c>
      <c r="AW15">
        <f t="shared" si="7"/>
        <v>17354.05</v>
      </c>
      <c r="AX15" s="23">
        <f t="shared" si="12"/>
        <v>2.1836285270149247E-2</v>
      </c>
      <c r="BA15" s="23"/>
      <c r="BB15" s="23"/>
      <c r="BC15" s="100" t="s">
        <v>321</v>
      </c>
      <c r="BD15" s="100">
        <v>0.10035076486243379</v>
      </c>
      <c r="BM15" s="98">
        <v>44208</v>
      </c>
      <c r="BN15">
        <f>IFERROR('Data for Beta &gt;2'!AJ11,0)</f>
        <v>0</v>
      </c>
      <c r="BO15" s="23">
        <f t="shared" si="0"/>
        <v>0</v>
      </c>
      <c r="BQ15" s="62">
        <f t="shared" si="1"/>
        <v>17354.05</v>
      </c>
      <c r="BR15" s="23">
        <f t="shared" si="13"/>
        <v>2.1836285270149247E-2</v>
      </c>
      <c r="BU15" s="23"/>
      <c r="BV15" s="23"/>
      <c r="BW15" s="100" t="s">
        <v>321</v>
      </c>
      <c r="BX15" s="100">
        <v>0.17119209369935617</v>
      </c>
      <c r="CG15" s="98">
        <f>IFERROR('Data for Beta &gt;2'!AQ11,0)</f>
        <v>44208</v>
      </c>
      <c r="CH15">
        <f>IFERROR('Data for Beta &gt;2'!AR11,0)</f>
        <v>521.54999999999995</v>
      </c>
      <c r="CI15" s="23">
        <f t="shared" si="8"/>
        <v>0.16795431642593206</v>
      </c>
      <c r="CK15">
        <f>IFERROR('Data for Beta &gt;2'!L11,0)</f>
        <v>17354.05</v>
      </c>
      <c r="CL15" s="23">
        <f t="shared" si="14"/>
        <v>2.1836285270149247E-2</v>
      </c>
      <c r="CO15" s="23"/>
      <c r="CP15" s="23"/>
      <c r="CQ15" s="100" t="s">
        <v>321</v>
      </c>
      <c r="CR15" s="100">
        <v>7.0998533268314165E-2</v>
      </c>
    </row>
    <row r="16" spans="1:96" x14ac:dyDescent="0.25">
      <c r="B16" s="98">
        <f>IFERROR('Data for Beta &gt;2'!B12,0)</f>
        <v>44562</v>
      </c>
      <c r="C16">
        <f>IFERROR('Data for Beta &gt;2'!C12,0)</f>
        <v>721.85</v>
      </c>
      <c r="D16" s="23">
        <f t="shared" si="9"/>
        <v>0.19249004675135861</v>
      </c>
      <c r="F16">
        <f>IFERROR('Data for Beta &gt;2'!L12,0)</f>
        <v>17339.849999999999</v>
      </c>
      <c r="G16" s="23">
        <f t="shared" si="10"/>
        <v>-8.1825279977876253E-4</v>
      </c>
      <c r="J16" s="23"/>
      <c r="K16" s="23"/>
      <c r="L16" s="100" t="s">
        <v>322</v>
      </c>
      <c r="M16" s="100">
        <v>9.0077499264272651E-2</v>
      </c>
      <c r="X16" s="98">
        <f t="shared" si="2"/>
        <v>44562</v>
      </c>
      <c r="Y16">
        <f>IFERROR('Data for Beta &gt;2'!T12,0)</f>
        <v>69.900000000000006</v>
      </c>
      <c r="Z16" s="23">
        <f t="shared" si="3"/>
        <v>-1.1431837667904565E-3</v>
      </c>
      <c r="AB16">
        <f t="shared" si="4"/>
        <v>17339.849999999999</v>
      </c>
      <c r="AC16" s="23">
        <f t="shared" si="11"/>
        <v>-8.1825279977876253E-4</v>
      </c>
      <c r="AF16" s="23"/>
      <c r="AG16" s="23"/>
      <c r="AH16" s="100" t="s">
        <v>322</v>
      </c>
      <c r="AI16" s="100">
        <v>7.6506170476003041E-2</v>
      </c>
      <c r="AS16" s="98">
        <f t="shared" si="5"/>
        <v>44562</v>
      </c>
      <c r="AT16">
        <f>IFERROR('Data for Beta &gt;2'!AB12,0)</f>
        <v>248.95</v>
      </c>
      <c r="AU16" s="23">
        <f t="shared" si="6"/>
        <v>0.27817425681573127</v>
      </c>
      <c r="AW16">
        <f t="shared" si="7"/>
        <v>17339.849999999999</v>
      </c>
      <c r="AX16" s="23">
        <f t="shared" si="12"/>
        <v>-8.1825279977876253E-4</v>
      </c>
      <c r="BA16" s="23"/>
      <c r="BB16" s="23"/>
      <c r="BC16" s="100" t="s">
        <v>322</v>
      </c>
      <c r="BD16" s="100">
        <v>0.14685358997925807</v>
      </c>
      <c r="BM16" s="98">
        <v>44562</v>
      </c>
      <c r="BN16">
        <f>IFERROR('Data for Beta &gt;2'!AJ12,0)</f>
        <v>721.8</v>
      </c>
      <c r="BO16" s="23">
        <f t="shared" si="0"/>
        <v>0</v>
      </c>
      <c r="BQ16" s="62">
        <f t="shared" si="1"/>
        <v>17339.849999999999</v>
      </c>
      <c r="BR16" s="23">
        <f t="shared" si="13"/>
        <v>-8.1825279977876253E-4</v>
      </c>
      <c r="BU16" s="23"/>
      <c r="BV16" s="23"/>
      <c r="BW16" s="100" t="s">
        <v>322</v>
      </c>
      <c r="BX16" s="100">
        <v>0.14257185193574393</v>
      </c>
      <c r="CG16" s="98">
        <f>IFERROR('Data for Beta &gt;2'!AQ12,0)</f>
        <v>44562</v>
      </c>
      <c r="CH16">
        <f>IFERROR('Data for Beta &gt;2'!AR12,0)</f>
        <v>415.5</v>
      </c>
      <c r="CI16" s="23">
        <f t="shared" si="8"/>
        <v>-0.20333620937589869</v>
      </c>
      <c r="CK16">
        <f>IFERROR('Data for Beta &gt;2'!L12,0)</f>
        <v>17339.849999999999</v>
      </c>
      <c r="CL16" s="23">
        <f t="shared" si="14"/>
        <v>-8.1825279977876253E-4</v>
      </c>
      <c r="CO16" s="23"/>
      <c r="CP16" s="23"/>
      <c r="CQ16" s="100" t="s">
        <v>322</v>
      </c>
      <c r="CR16" s="100">
        <v>0.11924815896271544</v>
      </c>
    </row>
    <row r="17" spans="2:103" ht="15.75" thickBot="1" x14ac:dyDescent="0.3">
      <c r="B17" s="98">
        <f>IFERROR('Data for Beta &gt;2'!B13,0)</f>
        <v>44563</v>
      </c>
      <c r="C17">
        <f>IFERROR('Data for Beta &gt;2'!C13,0)</f>
        <v>693.88</v>
      </c>
      <c r="D17" s="23">
        <f t="shared" si="9"/>
        <v>-3.8747662256701565E-2</v>
      </c>
      <c r="F17">
        <f>IFERROR('Data for Beta &gt;2'!L13,0)</f>
        <v>16793.900000000001</v>
      </c>
      <c r="G17" s="23">
        <f t="shared" si="10"/>
        <v>-3.1485278131010208E-2</v>
      </c>
      <c r="J17" s="23"/>
      <c r="K17" s="23"/>
      <c r="L17" s="101" t="s">
        <v>323</v>
      </c>
      <c r="M17" s="101">
        <v>56</v>
      </c>
      <c r="X17" s="98">
        <f t="shared" si="2"/>
        <v>44563</v>
      </c>
      <c r="Y17">
        <f>IFERROR('Data for Beta &gt;2'!T13,0)</f>
        <v>70.150000000000006</v>
      </c>
      <c r="Z17" s="23">
        <f t="shared" si="3"/>
        <v>3.5765379113019691E-3</v>
      </c>
      <c r="AB17">
        <f t="shared" si="4"/>
        <v>16793.900000000001</v>
      </c>
      <c r="AC17" s="23">
        <f t="shared" si="11"/>
        <v>-3.1485278131010208E-2</v>
      </c>
      <c r="AF17" s="23"/>
      <c r="AG17" s="23"/>
      <c r="AH17" s="101" t="s">
        <v>323</v>
      </c>
      <c r="AI17" s="101">
        <v>56</v>
      </c>
      <c r="AS17" s="98">
        <f t="shared" si="5"/>
        <v>44563</v>
      </c>
      <c r="AT17">
        <f>IFERROR('Data for Beta &gt;2'!AB13,0)</f>
        <v>224.07</v>
      </c>
      <c r="AU17" s="23">
        <f t="shared" si="6"/>
        <v>-9.993974693713592E-2</v>
      </c>
      <c r="AW17">
        <f t="shared" si="7"/>
        <v>16793.900000000001</v>
      </c>
      <c r="AX17" s="23">
        <f t="shared" si="12"/>
        <v>-3.1485278131010208E-2</v>
      </c>
      <c r="BA17" s="23"/>
      <c r="BB17" s="23"/>
      <c r="BC17" s="101" t="s">
        <v>323</v>
      </c>
      <c r="BD17" s="101">
        <v>56</v>
      </c>
      <c r="BM17" s="98">
        <v>44563</v>
      </c>
      <c r="BN17">
        <f>IFERROR('Data for Beta &gt;2'!AJ13,0)</f>
        <v>613.54999999999995</v>
      </c>
      <c r="BO17" s="23">
        <f t="shared" ref="BO17:BO63" si="15">IFERROR(BN17/BN16-1,0)</f>
        <v>-0.14997229149348856</v>
      </c>
      <c r="BQ17" s="62">
        <f t="shared" si="1"/>
        <v>16793.900000000001</v>
      </c>
      <c r="BR17" s="23">
        <f t="shared" si="13"/>
        <v>-3.1485278131010208E-2</v>
      </c>
      <c r="BU17" s="23"/>
      <c r="BV17" s="23"/>
      <c r="BW17" s="101" t="s">
        <v>323</v>
      </c>
      <c r="BX17" s="101">
        <v>47</v>
      </c>
      <c r="CG17" s="98">
        <f>IFERROR('Data for Beta &gt;2'!AQ13,0)</f>
        <v>44563</v>
      </c>
      <c r="CH17">
        <f>IFERROR('Data for Beta &gt;2'!AR13,0)</f>
        <v>346.35</v>
      </c>
      <c r="CI17" s="23">
        <f t="shared" si="8"/>
        <v>-0.16642599277978332</v>
      </c>
      <c r="CK17">
        <f>IFERROR('Data for Beta &gt;2'!L13,0)</f>
        <v>16793.900000000001</v>
      </c>
      <c r="CL17" s="23">
        <f t="shared" si="14"/>
        <v>-3.1485278131010208E-2</v>
      </c>
      <c r="CO17" s="23"/>
      <c r="CP17" s="23"/>
      <c r="CQ17" s="101" t="s">
        <v>323</v>
      </c>
      <c r="CR17" s="101">
        <v>47</v>
      </c>
    </row>
    <row r="18" spans="2:103" x14ac:dyDescent="0.25">
      <c r="B18" s="98">
        <f>IFERROR('Data for Beta &gt;2'!B14,0)</f>
        <v>44564</v>
      </c>
      <c r="C18">
        <f>IFERROR('Data for Beta &gt;2'!C14,0)</f>
        <v>742.45</v>
      </c>
      <c r="D18" s="23">
        <f t="shared" si="9"/>
        <v>6.9997694125785603E-2</v>
      </c>
      <c r="F18">
        <f>IFERROR('Data for Beta &gt;2'!L14,0)</f>
        <v>17464.75</v>
      </c>
      <c r="G18" s="23">
        <f t="shared" si="10"/>
        <v>3.9946051840251462E-2</v>
      </c>
      <c r="J18" s="23"/>
      <c r="K18" s="23"/>
      <c r="X18" s="98">
        <f t="shared" si="2"/>
        <v>44564</v>
      </c>
      <c r="Y18">
        <f>IFERROR('Data for Beta &gt;2'!T14,0)</f>
        <v>70.27</v>
      </c>
      <c r="Z18" s="23">
        <f t="shared" si="3"/>
        <v>1.7106200997860643E-3</v>
      </c>
      <c r="AB18">
        <f t="shared" si="4"/>
        <v>17464.75</v>
      </c>
      <c r="AC18" s="23">
        <f t="shared" si="11"/>
        <v>3.9946051840251462E-2</v>
      </c>
      <c r="AF18" s="23"/>
      <c r="AG18" s="23"/>
      <c r="AS18" s="98">
        <f t="shared" si="5"/>
        <v>44564</v>
      </c>
      <c r="AT18">
        <f>IFERROR('Data for Beta &gt;2'!AB14,0)</f>
        <v>274.64999999999998</v>
      </c>
      <c r="AU18" s="23">
        <f t="shared" si="6"/>
        <v>0.22573302985674104</v>
      </c>
      <c r="AW18">
        <f t="shared" si="7"/>
        <v>17464.75</v>
      </c>
      <c r="AX18" s="23">
        <f t="shared" si="12"/>
        <v>3.9946051840251462E-2</v>
      </c>
      <c r="BA18" s="23"/>
      <c r="BB18" s="23"/>
      <c r="BM18" s="98">
        <v>44564</v>
      </c>
      <c r="BN18">
        <f>IFERROR('Data for Beta &gt;2'!AJ14,0)</f>
        <v>702.9</v>
      </c>
      <c r="BO18" s="23">
        <f t="shared" si="15"/>
        <v>0.14562790318637453</v>
      </c>
      <c r="BQ18" s="62">
        <f t="shared" si="1"/>
        <v>17464.75</v>
      </c>
      <c r="BR18" s="23">
        <f t="shared" si="13"/>
        <v>3.9946051840251462E-2</v>
      </c>
      <c r="BU18" s="23"/>
      <c r="BV18" s="23"/>
      <c r="CG18" s="98">
        <f>IFERROR('Data for Beta &gt;2'!AQ14,0)</f>
        <v>44564</v>
      </c>
      <c r="CH18">
        <f>IFERROR('Data for Beta &gt;2'!AR14,0)</f>
        <v>366.95</v>
      </c>
      <c r="CI18" s="23">
        <f t="shared" si="8"/>
        <v>5.9477407247004344E-2</v>
      </c>
      <c r="CK18">
        <f>IFERROR('Data for Beta &gt;2'!L14,0)</f>
        <v>17464.75</v>
      </c>
      <c r="CL18" s="23">
        <f t="shared" si="14"/>
        <v>3.9946051840251462E-2</v>
      </c>
      <c r="CO18" s="23"/>
      <c r="CP18" s="23"/>
    </row>
    <row r="19" spans="2:103" ht="15.75" thickBot="1" x14ac:dyDescent="0.3">
      <c r="B19" s="98">
        <f>IFERROR('Data for Beta &gt;2'!B15,0)</f>
        <v>44565</v>
      </c>
      <c r="C19">
        <f>IFERROR('Data for Beta &gt;2'!C15,0)</f>
        <v>797.55</v>
      </c>
      <c r="D19" s="23">
        <f t="shared" si="9"/>
        <v>7.4213751767795655E-2</v>
      </c>
      <c r="F19">
        <f>IFERROR('Data for Beta &gt;2'!L15,0)</f>
        <v>17102.55</v>
      </c>
      <c r="G19" s="23">
        <f t="shared" si="10"/>
        <v>-2.0738916961307807E-2</v>
      </c>
      <c r="J19" s="23"/>
      <c r="K19" s="23"/>
      <c r="L19" t="s">
        <v>324</v>
      </c>
      <c r="X19" s="98">
        <f t="shared" si="2"/>
        <v>44565</v>
      </c>
      <c r="Y19">
        <f>IFERROR('Data for Beta &gt;2'!T15,0)</f>
        <v>79.52</v>
      </c>
      <c r="Z19" s="23">
        <f t="shared" si="3"/>
        <v>0.13163512167354496</v>
      </c>
      <c r="AB19">
        <f t="shared" si="4"/>
        <v>17102.55</v>
      </c>
      <c r="AC19" s="23">
        <f t="shared" si="11"/>
        <v>-2.0738916961307807E-2</v>
      </c>
      <c r="AF19" s="23"/>
      <c r="AG19" s="23"/>
      <c r="AH19" t="s">
        <v>324</v>
      </c>
      <c r="AS19" s="98">
        <f t="shared" si="5"/>
        <v>44565</v>
      </c>
      <c r="AT19">
        <f>IFERROR('Data for Beta &gt;2'!AB15,0)</f>
        <v>374.1</v>
      </c>
      <c r="AU19" s="23">
        <f t="shared" si="6"/>
        <v>0.36209721463681066</v>
      </c>
      <c r="AW19">
        <f t="shared" si="7"/>
        <v>17102.55</v>
      </c>
      <c r="AX19" s="23">
        <f t="shared" si="12"/>
        <v>-2.0738916961307807E-2</v>
      </c>
      <c r="BA19" s="23"/>
      <c r="BB19" s="23"/>
      <c r="BC19" t="s">
        <v>324</v>
      </c>
      <c r="BM19" s="98">
        <v>44565</v>
      </c>
      <c r="BN19">
        <f>IFERROR('Data for Beta &gt;2'!AJ15,0)</f>
        <v>797.9</v>
      </c>
      <c r="BO19" s="23">
        <f t="shared" si="15"/>
        <v>0.13515436050647311</v>
      </c>
      <c r="BQ19" s="62">
        <f t="shared" si="1"/>
        <v>17102.55</v>
      </c>
      <c r="BR19" s="23">
        <f t="shared" si="13"/>
        <v>-2.0738916961307807E-2</v>
      </c>
      <c r="BU19" s="23"/>
      <c r="BV19" s="23"/>
      <c r="BW19" t="s">
        <v>324</v>
      </c>
      <c r="CG19" s="98">
        <f>IFERROR('Data for Beta &gt;2'!AQ15,0)</f>
        <v>44565</v>
      </c>
      <c r="CH19">
        <f>IFERROR('Data for Beta &gt;2'!AR15,0)</f>
        <v>323.10000000000002</v>
      </c>
      <c r="CI19" s="23">
        <f t="shared" si="8"/>
        <v>-0.11949856928736879</v>
      </c>
      <c r="CK19">
        <f>IFERROR('Data for Beta &gt;2'!L15,0)</f>
        <v>17102.55</v>
      </c>
      <c r="CL19" s="23">
        <f t="shared" si="14"/>
        <v>-2.0738916961307807E-2</v>
      </c>
      <c r="CO19" s="23"/>
      <c r="CP19" s="23"/>
      <c r="CQ19" t="s">
        <v>324</v>
      </c>
    </row>
    <row r="20" spans="2:103" x14ac:dyDescent="0.25">
      <c r="B20" s="98">
        <f>IFERROR('Data for Beta &gt;2'!B16,0)</f>
        <v>44566</v>
      </c>
      <c r="C20">
        <f>IFERROR('Data for Beta &gt;2'!C16,0)</f>
        <v>919.15</v>
      </c>
      <c r="D20" s="23">
        <f t="shared" si="9"/>
        <v>0.15246692997304256</v>
      </c>
      <c r="F20">
        <f>IFERROR('Data for Beta &gt;2'!L16,0)</f>
        <v>16584.55</v>
      </c>
      <c r="G20" s="23">
        <f t="shared" si="10"/>
        <v>-3.0287881046978327E-2</v>
      </c>
      <c r="J20" s="23"/>
      <c r="K20" s="23"/>
      <c r="L20" s="102"/>
      <c r="M20" s="102" t="s">
        <v>328</v>
      </c>
      <c r="N20" s="102" t="s">
        <v>329</v>
      </c>
      <c r="O20" s="102" t="s">
        <v>330</v>
      </c>
      <c r="P20" s="102" t="s">
        <v>331</v>
      </c>
      <c r="Q20" s="102" t="s">
        <v>332</v>
      </c>
      <c r="X20" s="98">
        <f t="shared" si="2"/>
        <v>44566</v>
      </c>
      <c r="Y20">
        <f>IFERROR('Data for Beta &gt;2'!T16,0)</f>
        <v>78.25</v>
      </c>
      <c r="Z20" s="23">
        <f t="shared" si="3"/>
        <v>-1.5970824949698148E-2</v>
      </c>
      <c r="AB20">
        <f t="shared" si="4"/>
        <v>16584.55</v>
      </c>
      <c r="AC20" s="23">
        <f t="shared" si="11"/>
        <v>-3.0287881046978327E-2</v>
      </c>
      <c r="AF20" s="23"/>
      <c r="AG20" s="23"/>
      <c r="AH20" s="102"/>
      <c r="AI20" s="102" t="s">
        <v>328</v>
      </c>
      <c r="AJ20" s="102" t="s">
        <v>329</v>
      </c>
      <c r="AK20" s="102" t="s">
        <v>330</v>
      </c>
      <c r="AL20" s="102" t="s">
        <v>331</v>
      </c>
      <c r="AM20" s="102" t="s">
        <v>332</v>
      </c>
      <c r="AS20" s="98">
        <f t="shared" si="5"/>
        <v>44566</v>
      </c>
      <c r="AT20">
        <f>IFERROR('Data for Beta &gt;2'!AB16,0)</f>
        <v>391.83</v>
      </c>
      <c r="AU20" s="23">
        <f t="shared" si="6"/>
        <v>4.7393744987971109E-2</v>
      </c>
      <c r="AW20">
        <f t="shared" si="7"/>
        <v>16584.55</v>
      </c>
      <c r="AX20" s="23">
        <f t="shared" si="12"/>
        <v>-3.0287881046978327E-2</v>
      </c>
      <c r="BA20" s="23"/>
      <c r="BB20" s="23"/>
      <c r="BC20" s="102"/>
      <c r="BD20" s="102" t="s">
        <v>328</v>
      </c>
      <c r="BE20" s="102" t="s">
        <v>329</v>
      </c>
      <c r="BF20" s="102" t="s">
        <v>330</v>
      </c>
      <c r="BG20" s="102" t="s">
        <v>331</v>
      </c>
      <c r="BH20" s="102" t="s">
        <v>332</v>
      </c>
      <c r="BM20" s="98">
        <v>44566</v>
      </c>
      <c r="BN20">
        <f>IFERROR('Data for Beta &gt;2'!AJ16,0)</f>
        <v>764.65</v>
      </c>
      <c r="BO20" s="23">
        <f t="shared" si="15"/>
        <v>-4.1671888707858096E-2</v>
      </c>
      <c r="BQ20" s="62">
        <f t="shared" si="1"/>
        <v>16584.55</v>
      </c>
      <c r="BR20" s="23">
        <f t="shared" si="13"/>
        <v>-3.0287881046978327E-2</v>
      </c>
      <c r="BU20" s="23"/>
      <c r="BV20" s="23"/>
      <c r="BW20" s="102"/>
      <c r="BX20" s="102" t="s">
        <v>328</v>
      </c>
      <c r="BY20" s="102" t="s">
        <v>329</v>
      </c>
      <c r="BZ20" s="102" t="s">
        <v>330</v>
      </c>
      <c r="CA20" s="102" t="s">
        <v>331</v>
      </c>
      <c r="CB20" s="102" t="s">
        <v>332</v>
      </c>
      <c r="CG20" s="98">
        <f>IFERROR('Data for Beta &gt;2'!AQ16,0)</f>
        <v>44566</v>
      </c>
      <c r="CH20">
        <f>IFERROR('Data for Beta &gt;2'!AR16,0)</f>
        <v>305.8</v>
      </c>
      <c r="CI20" s="23">
        <f t="shared" si="8"/>
        <v>-5.3543794490869767E-2</v>
      </c>
      <c r="CK20">
        <f>IFERROR('Data for Beta &gt;2'!L16,0)</f>
        <v>16584.55</v>
      </c>
      <c r="CL20" s="23">
        <f t="shared" si="14"/>
        <v>-3.0287881046978327E-2</v>
      </c>
      <c r="CO20" s="23"/>
      <c r="CP20" s="23"/>
      <c r="CQ20" s="102"/>
      <c r="CR20" s="102" t="s">
        <v>328</v>
      </c>
      <c r="CS20" s="102" t="s">
        <v>329</v>
      </c>
      <c r="CT20" s="102" t="s">
        <v>330</v>
      </c>
      <c r="CU20" s="102" t="s">
        <v>331</v>
      </c>
      <c r="CV20" s="102" t="s">
        <v>332</v>
      </c>
    </row>
    <row r="21" spans="2:103" x14ac:dyDescent="0.25">
      <c r="B21" s="98">
        <f>IFERROR('Data for Beta &gt;2'!B17,0)</f>
        <v>44567</v>
      </c>
      <c r="C21">
        <f>IFERROR('Data for Beta &gt;2'!C17,0)</f>
        <v>884.9</v>
      </c>
      <c r="D21" s="23">
        <f t="shared" si="9"/>
        <v>-3.7262688353369988E-2</v>
      </c>
      <c r="F21">
        <f>IFERROR('Data for Beta &gt;2'!L17,0)</f>
        <v>15780.25</v>
      </c>
      <c r="G21" s="23">
        <f t="shared" si="10"/>
        <v>-4.8496944445281853E-2</v>
      </c>
      <c r="J21" s="23"/>
      <c r="K21" s="23"/>
      <c r="L21" s="100" t="s">
        <v>325</v>
      </c>
      <c r="M21" s="100">
        <v>1</v>
      </c>
      <c r="N21" s="100">
        <v>0.18714774917684968</v>
      </c>
      <c r="O21" s="100">
        <v>0.18714774917684968</v>
      </c>
      <c r="P21" s="100">
        <v>23.064920747639366</v>
      </c>
      <c r="Q21" s="100">
        <v>1.2840151666993178E-5</v>
      </c>
      <c r="X21" s="98">
        <f t="shared" si="2"/>
        <v>44567</v>
      </c>
      <c r="Y21">
        <f>IFERROR('Data for Beta &gt;2'!T17,0)</f>
        <v>78.03</v>
      </c>
      <c r="Z21" s="23">
        <f t="shared" si="3"/>
        <v>-2.8115015974440327E-3</v>
      </c>
      <c r="AB21">
        <f t="shared" si="4"/>
        <v>15780.25</v>
      </c>
      <c r="AC21" s="23">
        <f t="shared" si="11"/>
        <v>-4.8496944445281853E-2</v>
      </c>
      <c r="AF21" s="23"/>
      <c r="AG21" s="23"/>
      <c r="AH21" s="100" t="s">
        <v>325</v>
      </c>
      <c r="AI21" s="100">
        <v>1</v>
      </c>
      <c r="AJ21" s="100">
        <v>0.11115374354454854</v>
      </c>
      <c r="AK21" s="100">
        <v>0.11115374354454854</v>
      </c>
      <c r="AL21" s="100">
        <v>18.990271166232191</v>
      </c>
      <c r="AM21" s="100">
        <v>5.9255859056925124E-5</v>
      </c>
      <c r="AS21" s="98">
        <f t="shared" si="5"/>
        <v>44567</v>
      </c>
      <c r="AT21">
        <f>IFERROR('Data for Beta &gt;2'!AB17,0)</f>
        <v>340.63</v>
      </c>
      <c r="AU21" s="23">
        <f t="shared" si="6"/>
        <v>-0.13066891253860091</v>
      </c>
      <c r="AW21">
        <f t="shared" si="7"/>
        <v>15780.25</v>
      </c>
      <c r="AX21" s="23">
        <f t="shared" si="12"/>
        <v>-4.8496944445281853E-2</v>
      </c>
      <c r="BA21" s="23"/>
      <c r="BB21" s="23"/>
      <c r="BC21" s="100" t="s">
        <v>325</v>
      </c>
      <c r="BD21" s="100">
        <v>1</v>
      </c>
      <c r="BE21" s="100">
        <v>0.15387190293897723</v>
      </c>
      <c r="BF21" s="100">
        <v>0.15387190293897723</v>
      </c>
      <c r="BG21" s="100">
        <v>7.1349377644831744</v>
      </c>
      <c r="BH21" s="100">
        <v>9.9699779319940372E-3</v>
      </c>
      <c r="BM21" s="98">
        <v>44567</v>
      </c>
      <c r="BN21">
        <f>IFERROR('Data for Beta &gt;2'!AJ17,0)</f>
        <v>640.5</v>
      </c>
      <c r="BO21" s="23">
        <f t="shared" si="15"/>
        <v>-0.1623618649055123</v>
      </c>
      <c r="BQ21" s="62">
        <f t="shared" si="1"/>
        <v>15780.25</v>
      </c>
      <c r="BR21" s="23">
        <f t="shared" si="13"/>
        <v>-4.8496944445281853E-2</v>
      </c>
      <c r="BU21" s="23"/>
      <c r="BV21" s="23"/>
      <c r="BW21" s="100" t="s">
        <v>325</v>
      </c>
      <c r="BX21" s="100">
        <v>1</v>
      </c>
      <c r="BY21" s="100">
        <v>0.21345917487069521</v>
      </c>
      <c r="BZ21" s="100">
        <v>0.21345917487069521</v>
      </c>
      <c r="CA21" s="100">
        <v>10.501401048790004</v>
      </c>
      <c r="CB21" s="100">
        <v>2.246822666687008E-3</v>
      </c>
      <c r="CG21" s="98">
        <f>IFERROR('Data for Beta &gt;2'!AQ17,0)</f>
        <v>44567</v>
      </c>
      <c r="CH21">
        <f>IFERROR('Data for Beta &gt;2'!AR17,0)</f>
        <v>272.10000000000002</v>
      </c>
      <c r="CI21" s="23">
        <f t="shared" si="8"/>
        <v>-0.11020274689339438</v>
      </c>
      <c r="CK21">
        <f>IFERROR('Data for Beta &gt;2'!L17,0)</f>
        <v>15780.25</v>
      </c>
      <c r="CL21" s="23">
        <f t="shared" si="14"/>
        <v>-4.8496944445281853E-2</v>
      </c>
      <c r="CO21" s="23"/>
      <c r="CP21" s="23"/>
      <c r="CQ21" s="100" t="s">
        <v>325</v>
      </c>
      <c r="CR21" s="100">
        <v>1</v>
      </c>
      <c r="CS21" s="100">
        <v>6.421139394991382E-2</v>
      </c>
      <c r="CT21" s="100">
        <v>6.421139394991382E-2</v>
      </c>
      <c r="CU21" s="100">
        <v>4.5155300043091513</v>
      </c>
      <c r="CV21" s="100">
        <v>3.9113952376957216E-2</v>
      </c>
    </row>
    <row r="22" spans="2:103" x14ac:dyDescent="0.25">
      <c r="B22" s="98">
        <f>IFERROR('Data for Beta &gt;2'!B18,0)</f>
        <v>44568</v>
      </c>
      <c r="C22">
        <f>IFERROR('Data for Beta &gt;2'!C18,0)</f>
        <v>1012.5</v>
      </c>
      <c r="D22" s="23">
        <f t="shared" si="9"/>
        <v>0.14419708441631829</v>
      </c>
      <c r="F22">
        <f>IFERROR('Data for Beta &gt;2'!L18,0)</f>
        <v>17158.25</v>
      </c>
      <c r="G22" s="23">
        <f t="shared" si="10"/>
        <v>8.7324345305048956E-2</v>
      </c>
      <c r="J22" s="23"/>
      <c r="K22" s="23"/>
      <c r="L22" s="100" t="s">
        <v>326</v>
      </c>
      <c r="M22" s="100">
        <v>54</v>
      </c>
      <c r="N22" s="100">
        <v>0.43815361718007212</v>
      </c>
      <c r="O22" s="100">
        <v>8.1139558737050397E-3</v>
      </c>
      <c r="P22" s="100"/>
      <c r="Q22" s="100"/>
      <c r="X22" s="98">
        <f t="shared" si="2"/>
        <v>44568</v>
      </c>
      <c r="Y22">
        <f>IFERROR('Data for Beta &gt;2'!T18,0)</f>
        <v>91.73</v>
      </c>
      <c r="Z22" s="23">
        <f t="shared" si="3"/>
        <v>0.17557349737280536</v>
      </c>
      <c r="AB22">
        <f t="shared" si="4"/>
        <v>17158.25</v>
      </c>
      <c r="AC22" s="23">
        <f t="shared" si="11"/>
        <v>8.7324345305048956E-2</v>
      </c>
      <c r="AF22" s="23"/>
      <c r="AG22" s="23"/>
      <c r="AH22" s="100" t="s">
        <v>326</v>
      </c>
      <c r="AI22" s="100">
        <v>54</v>
      </c>
      <c r="AJ22" s="100">
        <v>0.3160724825287749</v>
      </c>
      <c r="AK22" s="100">
        <v>5.8531941209032387E-3</v>
      </c>
      <c r="AL22" s="100"/>
      <c r="AM22" s="100"/>
      <c r="AS22" s="98">
        <f t="shared" si="5"/>
        <v>44568</v>
      </c>
      <c r="AT22">
        <f>IFERROR('Data for Beta &gt;2'!AB18,0)</f>
        <v>405.88</v>
      </c>
      <c r="AU22" s="23">
        <f t="shared" si="6"/>
        <v>0.19155682118427619</v>
      </c>
      <c r="AW22">
        <f t="shared" si="7"/>
        <v>17158.25</v>
      </c>
      <c r="AX22" s="23">
        <f t="shared" si="12"/>
        <v>8.7324345305048956E-2</v>
      </c>
      <c r="BA22" s="23"/>
      <c r="BB22" s="23"/>
      <c r="BC22" s="100" t="s">
        <v>326</v>
      </c>
      <c r="BD22" s="100">
        <v>54</v>
      </c>
      <c r="BE22" s="100">
        <v>1.1645627520489867</v>
      </c>
      <c r="BF22" s="100">
        <v>2.156597688979605E-2</v>
      </c>
      <c r="BG22" s="100"/>
      <c r="BH22" s="100"/>
      <c r="BM22" s="98">
        <v>44568</v>
      </c>
      <c r="BN22">
        <f>IFERROR('Data for Beta &gt;2'!AJ18,0)</f>
        <v>776.15</v>
      </c>
      <c r="BO22" s="23">
        <f t="shared" si="15"/>
        <v>0.21178766588602649</v>
      </c>
      <c r="BQ22" s="62">
        <f t="shared" si="1"/>
        <v>17158.25</v>
      </c>
      <c r="BR22" s="23">
        <f t="shared" si="13"/>
        <v>8.7324345305048956E-2</v>
      </c>
      <c r="BU22" s="23"/>
      <c r="BV22" s="23"/>
      <c r="BW22" s="100" t="s">
        <v>326</v>
      </c>
      <c r="BX22" s="100">
        <v>45</v>
      </c>
      <c r="BY22" s="100">
        <v>0.91470298339744593</v>
      </c>
      <c r="BZ22" s="100">
        <v>2.0326732964387688E-2</v>
      </c>
      <c r="CA22" s="100"/>
      <c r="CB22" s="100"/>
      <c r="CG22" s="98">
        <f>IFERROR('Data for Beta &gt;2'!AQ18,0)</f>
        <v>44568</v>
      </c>
      <c r="CH22">
        <f>IFERROR('Data for Beta &gt;2'!AR18,0)</f>
        <v>247.55</v>
      </c>
      <c r="CI22" s="23">
        <f t="shared" si="8"/>
        <v>-9.0224182285924326E-2</v>
      </c>
      <c r="CK22">
        <f>IFERROR('Data for Beta &gt;2'!L18,0)</f>
        <v>17158.25</v>
      </c>
      <c r="CL22" s="23">
        <f t="shared" si="14"/>
        <v>8.7324345305048956E-2</v>
      </c>
      <c r="CO22" s="23"/>
      <c r="CP22" s="23"/>
      <c r="CQ22" s="100" t="s">
        <v>326</v>
      </c>
      <c r="CR22" s="100">
        <v>45</v>
      </c>
      <c r="CS22" s="100">
        <v>0.63990555371986724</v>
      </c>
      <c r="CT22" s="100">
        <v>1.422012341599705E-2</v>
      </c>
      <c r="CU22" s="100"/>
      <c r="CV22" s="100"/>
    </row>
    <row r="23" spans="2:103" ht="15.75" thickBot="1" x14ac:dyDescent="0.3">
      <c r="B23" s="98">
        <f>IFERROR('Data for Beta &gt;2'!B19,0)</f>
        <v>44569</v>
      </c>
      <c r="C23">
        <f>IFERROR('Data for Beta &gt;2'!C19,0)</f>
        <v>1147.5999999999999</v>
      </c>
      <c r="D23" s="23">
        <f t="shared" si="9"/>
        <v>0.13343209876543205</v>
      </c>
      <c r="F23">
        <f>IFERROR('Data for Beta &gt;2'!L19,0)</f>
        <v>17759.3</v>
      </c>
      <c r="G23" s="23">
        <f t="shared" si="10"/>
        <v>3.5029796162195925E-2</v>
      </c>
      <c r="J23" s="23"/>
      <c r="K23" s="23"/>
      <c r="L23" s="101" t="s">
        <v>13</v>
      </c>
      <c r="M23" s="101">
        <v>55</v>
      </c>
      <c r="N23" s="101">
        <v>0.6253013663569218</v>
      </c>
      <c r="O23" s="101"/>
      <c r="P23" s="101"/>
      <c r="Q23" s="101"/>
      <c r="X23" s="98">
        <f t="shared" si="2"/>
        <v>44569</v>
      </c>
      <c r="Y23">
        <f>IFERROR('Data for Beta &gt;2'!T19,0)</f>
        <v>102.17</v>
      </c>
      <c r="Z23" s="23">
        <f t="shared" si="3"/>
        <v>0.1138122751553472</v>
      </c>
      <c r="AB23">
        <f t="shared" si="4"/>
        <v>17759.3</v>
      </c>
      <c r="AC23" s="23">
        <f t="shared" si="11"/>
        <v>3.5029796162195925E-2</v>
      </c>
      <c r="AF23" s="23"/>
      <c r="AG23" s="23"/>
      <c r="AH23" s="101" t="s">
        <v>13</v>
      </c>
      <c r="AI23" s="101">
        <v>55</v>
      </c>
      <c r="AJ23" s="101">
        <v>0.42722622607332345</v>
      </c>
      <c r="AK23" s="101"/>
      <c r="AL23" s="101"/>
      <c r="AM23" s="101"/>
      <c r="AS23" s="98">
        <f t="shared" si="5"/>
        <v>44569</v>
      </c>
      <c r="AT23">
        <f>IFERROR('Data for Beta &gt;2'!AB19,0)</f>
        <v>408.9</v>
      </c>
      <c r="AU23" s="23">
        <f t="shared" si="6"/>
        <v>7.4406228441903366E-3</v>
      </c>
      <c r="AW23">
        <f t="shared" si="7"/>
        <v>17759.3</v>
      </c>
      <c r="AX23" s="23">
        <f t="shared" si="12"/>
        <v>3.5029796162195925E-2</v>
      </c>
      <c r="BA23" s="23"/>
      <c r="BB23" s="23"/>
      <c r="BC23" s="101" t="s">
        <v>13</v>
      </c>
      <c r="BD23" s="101">
        <v>55</v>
      </c>
      <c r="BE23" s="101">
        <v>1.318434654987964</v>
      </c>
      <c r="BF23" s="101"/>
      <c r="BG23" s="101"/>
      <c r="BH23" s="101"/>
      <c r="BM23" s="98">
        <v>44569</v>
      </c>
      <c r="BN23">
        <f>IFERROR('Data for Beta &gt;2'!AJ19,0)</f>
        <v>1067.2</v>
      </c>
      <c r="BO23" s="23">
        <f t="shared" si="15"/>
        <v>0.37499194743284159</v>
      </c>
      <c r="BQ23" s="62">
        <f t="shared" si="1"/>
        <v>17759.3</v>
      </c>
      <c r="BR23" s="23">
        <f t="shared" si="13"/>
        <v>3.5029796162195925E-2</v>
      </c>
      <c r="BU23" s="23"/>
      <c r="BV23" s="23"/>
      <c r="BW23" s="101" t="s">
        <v>13</v>
      </c>
      <c r="BX23" s="101">
        <v>46</v>
      </c>
      <c r="BY23" s="101">
        <v>1.1281621582681411</v>
      </c>
      <c r="BZ23" s="101"/>
      <c r="CA23" s="101"/>
      <c r="CB23" s="101"/>
      <c r="CG23" s="98">
        <f>IFERROR('Data for Beta &gt;2'!AQ19,0)</f>
        <v>44569</v>
      </c>
      <c r="CH23">
        <f>IFERROR('Data for Beta &gt;2'!AR19,0)</f>
        <v>230.9</v>
      </c>
      <c r="CI23" s="23">
        <f t="shared" si="8"/>
        <v>-6.7259139567764081E-2</v>
      </c>
      <c r="CK23">
        <f>IFERROR('Data for Beta &gt;2'!L19,0)</f>
        <v>17759.3</v>
      </c>
      <c r="CL23" s="23">
        <f t="shared" si="14"/>
        <v>3.5029796162195925E-2</v>
      </c>
      <c r="CO23" s="23"/>
      <c r="CP23" s="23"/>
      <c r="CQ23" s="101" t="s">
        <v>13</v>
      </c>
      <c r="CR23" s="101">
        <v>46</v>
      </c>
      <c r="CS23" s="101">
        <v>0.70411694766978106</v>
      </c>
      <c r="CT23" s="101"/>
      <c r="CU23" s="101"/>
      <c r="CV23" s="101"/>
    </row>
    <row r="24" spans="2:103" ht="15.75" thickBot="1" x14ac:dyDescent="0.3">
      <c r="B24" s="98">
        <f>IFERROR('Data for Beta &gt;2'!B20,0)</f>
        <v>44570</v>
      </c>
      <c r="C24">
        <f>IFERROR('Data for Beta &gt;2'!C20,0)</f>
        <v>1172.43</v>
      </c>
      <c r="D24" s="23">
        <f t="shared" si="9"/>
        <v>2.1636458696409955E-2</v>
      </c>
      <c r="F24">
        <f>IFERROR('Data for Beta &gt;2'!L20,0)</f>
        <v>17094.349999999999</v>
      </c>
      <c r="G24" s="23">
        <f t="shared" si="10"/>
        <v>-3.7442354146841383E-2</v>
      </c>
      <c r="J24" s="23"/>
      <c r="K24" s="23"/>
      <c r="X24" s="98">
        <f t="shared" si="2"/>
        <v>44570</v>
      </c>
      <c r="Y24">
        <f>IFERROR('Data for Beta &gt;2'!T20,0)</f>
        <v>100.95</v>
      </c>
      <c r="Z24" s="23">
        <f t="shared" si="3"/>
        <v>-1.1940882842321643E-2</v>
      </c>
      <c r="AB24">
        <f t="shared" si="4"/>
        <v>17094.349999999999</v>
      </c>
      <c r="AC24" s="23">
        <f t="shared" si="11"/>
        <v>-3.7442354146841383E-2</v>
      </c>
      <c r="AF24" s="23"/>
      <c r="AG24" s="23"/>
      <c r="AS24" s="98">
        <f t="shared" si="5"/>
        <v>44570</v>
      </c>
      <c r="AT24">
        <f>IFERROR('Data for Beta &gt;2'!AB20,0)</f>
        <v>437.38</v>
      </c>
      <c r="AU24" s="23">
        <f t="shared" si="6"/>
        <v>6.9650281242357615E-2</v>
      </c>
      <c r="AW24">
        <f t="shared" si="7"/>
        <v>17094.349999999999</v>
      </c>
      <c r="AX24" s="23">
        <f t="shared" si="12"/>
        <v>-3.7442354146841383E-2</v>
      </c>
      <c r="BA24" s="23"/>
      <c r="BB24" s="23"/>
      <c r="BM24" s="98">
        <v>44570</v>
      </c>
      <c r="BN24">
        <f>IFERROR('Data for Beta &gt;2'!AJ20,0)</f>
        <v>1129.5999999999999</v>
      </c>
      <c r="BO24" s="23">
        <f t="shared" si="15"/>
        <v>5.8470764617690962E-2</v>
      </c>
      <c r="BQ24" s="62">
        <f t="shared" si="1"/>
        <v>17094.349999999999</v>
      </c>
      <c r="BR24" s="23">
        <f t="shared" si="13"/>
        <v>-3.7442354146841383E-2</v>
      </c>
      <c r="BU24" s="23"/>
      <c r="BV24" s="23"/>
      <c r="CG24" s="98">
        <f>IFERROR('Data for Beta &gt;2'!AQ20,0)</f>
        <v>44570</v>
      </c>
      <c r="CH24">
        <f>IFERROR('Data for Beta &gt;2'!AR20,0)</f>
        <v>211.65</v>
      </c>
      <c r="CI24" s="23">
        <f t="shared" si="8"/>
        <v>-8.3369423993070568E-2</v>
      </c>
      <c r="CK24">
        <f>IFERROR('Data for Beta &gt;2'!L20,0)</f>
        <v>17094.349999999999</v>
      </c>
      <c r="CL24" s="23">
        <f t="shared" si="14"/>
        <v>-3.7442354146841383E-2</v>
      </c>
      <c r="CO24" s="23"/>
      <c r="CP24" s="23"/>
    </row>
    <row r="25" spans="2:103" x14ac:dyDescent="0.25">
      <c r="B25" s="98">
        <f>IFERROR('Data for Beta &gt;2'!B21,0)</f>
        <v>44571</v>
      </c>
      <c r="C25">
        <f>IFERROR('Data for Beta &gt;2'!C21,0)</f>
        <v>1265.03</v>
      </c>
      <c r="D25" s="23">
        <f t="shared" si="9"/>
        <v>7.8981261141390036E-2</v>
      </c>
      <c r="F25">
        <f>IFERROR('Data for Beta &gt;2'!L21,0)</f>
        <v>18012.2</v>
      </c>
      <c r="G25" s="23">
        <f t="shared" si="10"/>
        <v>5.3693179325332796E-2</v>
      </c>
      <c r="J25" s="23"/>
      <c r="K25" s="23"/>
      <c r="L25" s="102"/>
      <c r="M25" s="102" t="s">
        <v>333</v>
      </c>
      <c r="N25" s="102" t="s">
        <v>322</v>
      </c>
      <c r="O25" s="102" t="s">
        <v>334</v>
      </c>
      <c r="P25" s="102" t="s">
        <v>335</v>
      </c>
      <c r="Q25" s="102" t="s">
        <v>336</v>
      </c>
      <c r="R25" s="102" t="s">
        <v>337</v>
      </c>
      <c r="S25" s="102" t="s">
        <v>338</v>
      </c>
      <c r="T25" s="102" t="s">
        <v>339</v>
      </c>
      <c r="X25" s="98">
        <f t="shared" si="2"/>
        <v>44571</v>
      </c>
      <c r="Y25">
        <f>IFERROR('Data for Beta &gt;2'!T21,0)</f>
        <v>106.85</v>
      </c>
      <c r="Z25" s="23">
        <f t="shared" si="3"/>
        <v>5.8444774640911357E-2</v>
      </c>
      <c r="AB25">
        <f t="shared" si="4"/>
        <v>18012.2</v>
      </c>
      <c r="AC25" s="23">
        <f t="shared" si="11"/>
        <v>5.3693179325332796E-2</v>
      </c>
      <c r="AF25" s="23"/>
      <c r="AG25" s="23"/>
      <c r="AH25" s="102"/>
      <c r="AI25" s="102" t="s">
        <v>333</v>
      </c>
      <c r="AJ25" s="102" t="s">
        <v>322</v>
      </c>
      <c r="AK25" s="102" t="s">
        <v>334</v>
      </c>
      <c r="AL25" s="102" t="s">
        <v>335</v>
      </c>
      <c r="AM25" s="102" t="s">
        <v>336</v>
      </c>
      <c r="AN25" s="102" t="s">
        <v>337</v>
      </c>
      <c r="AO25" s="102" t="s">
        <v>338</v>
      </c>
      <c r="AP25" s="102" t="s">
        <v>339</v>
      </c>
      <c r="AS25" s="98">
        <f t="shared" si="5"/>
        <v>44571</v>
      </c>
      <c r="AT25">
        <f>IFERROR('Data for Beta &gt;2'!AB21,0)</f>
        <v>479.1</v>
      </c>
      <c r="AU25" s="23">
        <f t="shared" si="6"/>
        <v>9.5386163061868423E-2</v>
      </c>
      <c r="AW25">
        <f t="shared" si="7"/>
        <v>18012.2</v>
      </c>
      <c r="AX25" s="23">
        <f t="shared" si="12"/>
        <v>5.3693179325332796E-2</v>
      </c>
      <c r="BA25" s="23"/>
      <c r="BB25" s="23"/>
      <c r="BC25" s="102"/>
      <c r="BD25" s="102" t="s">
        <v>333</v>
      </c>
      <c r="BE25" s="102" t="s">
        <v>322</v>
      </c>
      <c r="BF25" s="102" t="s">
        <v>334</v>
      </c>
      <c r="BG25" s="102" t="s">
        <v>335</v>
      </c>
      <c r="BH25" s="102" t="s">
        <v>336</v>
      </c>
      <c r="BI25" s="102" t="s">
        <v>337</v>
      </c>
      <c r="BJ25" s="102" t="s">
        <v>338</v>
      </c>
      <c r="BK25" s="102" t="s">
        <v>339</v>
      </c>
      <c r="BM25" s="98">
        <v>44571</v>
      </c>
      <c r="BN25">
        <f>IFERROR('Data for Beta &gt;2'!AJ21,0)</f>
        <v>1334.95</v>
      </c>
      <c r="BO25" s="23">
        <f t="shared" si="15"/>
        <v>0.18179001416430607</v>
      </c>
      <c r="BQ25" s="62">
        <f t="shared" si="1"/>
        <v>18012.2</v>
      </c>
      <c r="BR25" s="23">
        <f t="shared" si="13"/>
        <v>5.3693179325332796E-2</v>
      </c>
      <c r="BU25" s="23"/>
      <c r="BV25" s="23"/>
      <c r="BW25" s="102"/>
      <c r="BX25" s="102" t="s">
        <v>333</v>
      </c>
      <c r="BY25" s="102" t="s">
        <v>322</v>
      </c>
      <c r="BZ25" s="102" t="s">
        <v>334</v>
      </c>
      <c r="CA25" s="102" t="s">
        <v>335</v>
      </c>
      <c r="CB25" s="102" t="s">
        <v>336</v>
      </c>
      <c r="CC25" s="102" t="s">
        <v>337</v>
      </c>
      <c r="CD25" s="102" t="s">
        <v>338</v>
      </c>
      <c r="CE25" s="102" t="s">
        <v>339</v>
      </c>
      <c r="CG25" s="98">
        <f>IFERROR('Data for Beta &gt;2'!AQ21,0)</f>
        <v>44571</v>
      </c>
      <c r="CH25">
        <f>IFERROR('Data for Beta &gt;2'!AR21,0)</f>
        <v>223.4</v>
      </c>
      <c r="CI25" s="23">
        <f t="shared" si="8"/>
        <v>5.5516182376565082E-2</v>
      </c>
      <c r="CK25">
        <f>IFERROR('Data for Beta &gt;2'!L21,0)</f>
        <v>18012.2</v>
      </c>
      <c r="CL25" s="23">
        <f t="shared" si="14"/>
        <v>5.3693179325332796E-2</v>
      </c>
      <c r="CO25" s="23"/>
      <c r="CP25" s="23"/>
      <c r="CQ25" s="102"/>
      <c r="CR25" s="102" t="s">
        <v>333</v>
      </c>
      <c r="CS25" s="102" t="s">
        <v>322</v>
      </c>
      <c r="CT25" s="102" t="s">
        <v>334</v>
      </c>
      <c r="CU25" s="102" t="s">
        <v>335</v>
      </c>
      <c r="CV25" s="102" t="s">
        <v>336</v>
      </c>
      <c r="CW25" s="102" t="s">
        <v>337</v>
      </c>
      <c r="CX25" s="102" t="s">
        <v>338</v>
      </c>
      <c r="CY25" s="102" t="s">
        <v>339</v>
      </c>
    </row>
    <row r="26" spans="2:103" x14ac:dyDescent="0.25">
      <c r="B26" s="98">
        <f>IFERROR('Data for Beta &gt;2'!B22,0)</f>
        <v>44572</v>
      </c>
      <c r="C26">
        <f>IFERROR('Data for Beta &gt;2'!C22,0)</f>
        <v>1377.03</v>
      </c>
      <c r="D26" s="23">
        <f t="shared" si="9"/>
        <v>8.8535449752179751E-2</v>
      </c>
      <c r="F26">
        <f>IFERROR('Data for Beta &gt;2'!L22,0)</f>
        <v>18758.349999999999</v>
      </c>
      <c r="G26" s="23">
        <f t="shared" si="10"/>
        <v>4.1424701035964295E-2</v>
      </c>
      <c r="J26" s="23"/>
      <c r="K26" s="23"/>
      <c r="L26" s="100" t="s">
        <v>327</v>
      </c>
      <c r="M26" s="100">
        <v>2.7716447330277793E-2</v>
      </c>
      <c r="N26" s="100">
        <v>1.2601368945252945E-2</v>
      </c>
      <c r="O26" s="100">
        <v>2.1994790764950056</v>
      </c>
      <c r="P26" s="100">
        <v>3.2144980109857682E-2</v>
      </c>
      <c r="Q26" s="100">
        <v>2.4522237291239729E-3</v>
      </c>
      <c r="R26" s="100">
        <v>5.2980670931431613E-2</v>
      </c>
      <c r="S26" s="100">
        <v>2.4522237291239729E-3</v>
      </c>
      <c r="T26" s="100">
        <v>5.2980670931431613E-2</v>
      </c>
      <c r="X26" s="98">
        <f t="shared" si="2"/>
        <v>44572</v>
      </c>
      <c r="Y26">
        <f>IFERROR('Data for Beta &gt;2'!T22,0)</f>
        <v>105.1</v>
      </c>
      <c r="Z26" s="23">
        <f t="shared" si="3"/>
        <v>-1.6378100140383767E-2</v>
      </c>
      <c r="AB26">
        <f t="shared" si="4"/>
        <v>18758.349999999999</v>
      </c>
      <c r="AC26" s="23">
        <f t="shared" si="11"/>
        <v>4.1424701035964295E-2</v>
      </c>
      <c r="AF26" s="23"/>
      <c r="AG26" s="23"/>
      <c r="AH26" s="100" t="s">
        <v>327</v>
      </c>
      <c r="AI26" s="100">
        <v>2.9950494574097805E-2</v>
      </c>
      <c r="AJ26" s="100">
        <v>1.0702811341687808E-2</v>
      </c>
      <c r="AK26" s="100">
        <v>2.7983763908310357</v>
      </c>
      <c r="AL26" s="100">
        <v>7.1058498373124399E-3</v>
      </c>
      <c r="AM26" s="100">
        <v>8.492649789763683E-3</v>
      </c>
      <c r="AN26" s="100">
        <v>5.1408339358431927E-2</v>
      </c>
      <c r="AO26" s="100">
        <v>8.492649789763683E-3</v>
      </c>
      <c r="AP26" s="100">
        <v>5.1408339358431927E-2</v>
      </c>
      <c r="AS26" s="98">
        <f t="shared" si="5"/>
        <v>44572</v>
      </c>
      <c r="AT26">
        <f>IFERROR('Data for Beta &gt;2'!AB22,0)</f>
        <v>484.5</v>
      </c>
      <c r="AU26" s="23">
        <f t="shared" si="6"/>
        <v>1.1271133375078124E-2</v>
      </c>
      <c r="AW26">
        <f t="shared" si="7"/>
        <v>18758.349999999999</v>
      </c>
      <c r="AX26" s="23">
        <f t="shared" si="12"/>
        <v>4.1424701035964295E-2</v>
      </c>
      <c r="BA26" s="23"/>
      <c r="BB26" s="23"/>
      <c r="BC26" s="100" t="s">
        <v>327</v>
      </c>
      <c r="BD26" s="100">
        <v>3.3024283967473728E-2</v>
      </c>
      <c r="BE26" s="100">
        <v>2.0544045775896851E-2</v>
      </c>
      <c r="BF26" s="100">
        <v>1.6074868761351391</v>
      </c>
      <c r="BG26" s="100">
        <v>0.11377967625604503</v>
      </c>
      <c r="BH26" s="100">
        <v>-8.1640479042092221E-3</v>
      </c>
      <c r="BI26" s="100">
        <v>7.421261583915667E-2</v>
      </c>
      <c r="BJ26" s="100">
        <v>-8.1640479042092221E-3</v>
      </c>
      <c r="BK26" s="100">
        <v>7.421261583915667E-2</v>
      </c>
      <c r="BM26" s="98">
        <v>44572</v>
      </c>
      <c r="BN26">
        <f>IFERROR('Data for Beta &gt;2'!AJ22,0)</f>
        <v>1345.15</v>
      </c>
      <c r="BO26" s="23">
        <f t="shared" si="15"/>
        <v>7.6407356080752109E-3</v>
      </c>
      <c r="BQ26" s="62">
        <f t="shared" si="1"/>
        <v>18758.349999999999</v>
      </c>
      <c r="BR26" s="23">
        <f t="shared" si="13"/>
        <v>4.1424701035964295E-2</v>
      </c>
      <c r="BU26" s="23"/>
      <c r="BV26" s="23"/>
      <c r="BW26" s="100" t="s">
        <v>327</v>
      </c>
      <c r="BX26" s="100">
        <v>2.1820017574633501E-2</v>
      </c>
      <c r="BY26" s="100">
        <v>2.1513243579522067E-2</v>
      </c>
      <c r="BZ26" s="100">
        <v>1.0142597741701509</v>
      </c>
      <c r="CA26" s="100">
        <v>0.31588137703643021</v>
      </c>
      <c r="CB26" s="100">
        <v>-2.1509879224700993E-2</v>
      </c>
      <c r="CC26" s="100">
        <v>6.5149914373967999E-2</v>
      </c>
      <c r="CD26" s="100">
        <v>-2.1509879224700993E-2</v>
      </c>
      <c r="CE26" s="100">
        <v>6.5149914373967999E-2</v>
      </c>
      <c r="CG26" s="98">
        <f>IFERROR('Data for Beta &gt;2'!AQ22,0)</f>
        <v>44572</v>
      </c>
      <c r="CH26">
        <f>IFERROR('Data for Beta &gt;2'!AR22,0)</f>
        <v>222.9</v>
      </c>
      <c r="CI26" s="23">
        <f t="shared" si="8"/>
        <v>-2.2381378692927223E-3</v>
      </c>
      <c r="CK26">
        <f>IFERROR('Data for Beta &gt;2'!L22,0)</f>
        <v>18758.349999999999</v>
      </c>
      <c r="CL26" s="23">
        <f t="shared" si="14"/>
        <v>4.1424701035964295E-2</v>
      </c>
      <c r="CO26" s="23"/>
      <c r="CP26" s="23"/>
      <c r="CQ26" s="100" t="s">
        <v>327</v>
      </c>
      <c r="CR26" s="100">
        <v>1.7359915701896909E-2</v>
      </c>
      <c r="CS26" s="100">
        <v>1.8099109641549583E-2</v>
      </c>
      <c r="CT26" s="100">
        <v>0.95915854678532209</v>
      </c>
      <c r="CU26" s="100">
        <v>0.34260422882146635</v>
      </c>
      <c r="CV26" s="100">
        <v>-1.9093562362874097E-2</v>
      </c>
      <c r="CW26" s="100">
        <v>5.3813393766667911E-2</v>
      </c>
      <c r="CX26" s="100">
        <v>-1.9093562362874097E-2</v>
      </c>
      <c r="CY26" s="100">
        <v>5.3813393766667911E-2</v>
      </c>
    </row>
    <row r="27" spans="2:103" ht="15.75" thickBot="1" x14ac:dyDescent="0.3">
      <c r="B27" s="98">
        <f>IFERROR('Data for Beta &gt;2'!B23,0)</f>
        <v>44573</v>
      </c>
      <c r="C27">
        <f>IFERROR('Data for Beta &gt;2'!C23,0)</f>
        <v>1265.6300000000001</v>
      </c>
      <c r="D27" s="23">
        <f t="shared" si="9"/>
        <v>-8.0898745851579079E-2</v>
      </c>
      <c r="F27">
        <f>IFERROR('Data for Beta &gt;2'!L23,0)</f>
        <v>18105.3</v>
      </c>
      <c r="G27" s="23">
        <f t="shared" si="10"/>
        <v>-3.4813829574562805E-2</v>
      </c>
      <c r="J27" s="23"/>
      <c r="K27" s="23"/>
      <c r="L27" s="101" t="s">
        <v>340</v>
      </c>
      <c r="M27" s="101">
        <v>1.6170792976119297</v>
      </c>
      <c r="N27" s="101">
        <v>0.33670947207182284</v>
      </c>
      <c r="O27" s="101">
        <v>4.8025952096381586</v>
      </c>
      <c r="P27" s="101">
        <v>1.2840151666993079E-5</v>
      </c>
      <c r="Q27" s="101">
        <v>0.94201745091839684</v>
      </c>
      <c r="R27" s="101">
        <v>2.2921411443054627</v>
      </c>
      <c r="S27" s="101">
        <v>0.94201745091839684</v>
      </c>
      <c r="T27" s="101">
        <v>2.2921411443054627</v>
      </c>
      <c r="X27" s="98">
        <f t="shared" si="2"/>
        <v>44573</v>
      </c>
      <c r="Y27">
        <f>IFERROR('Data for Beta &gt;2'!T23,0)</f>
        <v>99.9</v>
      </c>
      <c r="Z27" s="23">
        <f t="shared" si="3"/>
        <v>-4.9476688867744922E-2</v>
      </c>
      <c r="AB27">
        <f t="shared" si="4"/>
        <v>18105.3</v>
      </c>
      <c r="AC27" s="23">
        <f t="shared" si="11"/>
        <v>-3.4813829574562805E-2</v>
      </c>
      <c r="AF27" s="23"/>
      <c r="AG27" s="23"/>
      <c r="AH27" s="101" t="s">
        <v>340</v>
      </c>
      <c r="AI27" s="101">
        <v>1.2462382022003764</v>
      </c>
      <c r="AJ27" s="101">
        <v>0.28597987823391058</v>
      </c>
      <c r="AK27" s="101">
        <v>4.3577828268779282</v>
      </c>
      <c r="AL27" s="101">
        <v>5.9255859056925124E-5</v>
      </c>
      <c r="AM27" s="101">
        <v>0.67288306749066629</v>
      </c>
      <c r="AN27" s="101">
        <v>1.8195933369100865</v>
      </c>
      <c r="AO27" s="101">
        <v>0.67288306749066629</v>
      </c>
      <c r="AP27" s="101">
        <v>1.8195933369100865</v>
      </c>
      <c r="AS27" s="98">
        <f t="shared" si="5"/>
        <v>44573</v>
      </c>
      <c r="AT27">
        <f>IFERROR('Data for Beta &gt;2'!AB23,0)</f>
        <v>472.05</v>
      </c>
      <c r="AU27" s="23">
        <f t="shared" si="6"/>
        <v>-2.569659442724459E-2</v>
      </c>
      <c r="AW27">
        <f t="shared" si="7"/>
        <v>18105.3</v>
      </c>
      <c r="AX27" s="23">
        <f t="shared" si="12"/>
        <v>-3.4813829574562805E-2</v>
      </c>
      <c r="BA27" s="23"/>
      <c r="BB27" s="23"/>
      <c r="BC27" s="101" t="s">
        <v>340</v>
      </c>
      <c r="BD27" s="101">
        <v>1.4662859576350844</v>
      </c>
      <c r="BE27" s="101">
        <v>0.54893836038563337</v>
      </c>
      <c r="BF27" s="101">
        <v>2.6711304282051036</v>
      </c>
      <c r="BG27" s="101">
        <v>9.969977931993966E-3</v>
      </c>
      <c r="BH27" s="101">
        <v>0.36573080840601624</v>
      </c>
      <c r="BI27" s="101">
        <v>2.5668411068641523</v>
      </c>
      <c r="BJ27" s="101">
        <v>0.36573080840601624</v>
      </c>
      <c r="BK27" s="101">
        <v>2.5668411068641523</v>
      </c>
      <c r="BM27" s="98">
        <v>44573</v>
      </c>
      <c r="BN27">
        <f>IFERROR('Data for Beta &gt;2'!AJ23,0)</f>
        <v>1095.55</v>
      </c>
      <c r="BO27" s="23">
        <f t="shared" si="15"/>
        <v>-0.1855555142549159</v>
      </c>
      <c r="BQ27" s="62">
        <f t="shared" si="1"/>
        <v>18105.3</v>
      </c>
      <c r="BR27" s="23">
        <f t="shared" si="13"/>
        <v>-3.4813829574562805E-2</v>
      </c>
      <c r="BU27" s="23"/>
      <c r="BV27" s="23"/>
      <c r="BW27" s="101" t="s">
        <v>340</v>
      </c>
      <c r="BX27" s="101">
        <v>1.8927245908754302</v>
      </c>
      <c r="BY27" s="101">
        <v>0.5840685240838277</v>
      </c>
      <c r="BZ27" s="101">
        <v>3.2405865285145539</v>
      </c>
      <c r="CA27" s="101">
        <v>2.2468226666869993E-3</v>
      </c>
      <c r="CB27" s="101">
        <v>0.71635019717955895</v>
      </c>
      <c r="CC27" s="101">
        <v>3.0690989845713013</v>
      </c>
      <c r="CD27" s="101">
        <v>0.71635019717955895</v>
      </c>
      <c r="CE27" s="101">
        <v>3.0690989845713013</v>
      </c>
      <c r="CG27" s="98">
        <f>IFERROR('Data for Beta &gt;2'!AQ23,0)</f>
        <v>44573</v>
      </c>
      <c r="CH27">
        <f>IFERROR('Data for Beta &gt;2'!AR23,0)</f>
        <v>213</v>
      </c>
      <c r="CI27" s="23">
        <f t="shared" si="8"/>
        <v>-4.4414535666218113E-2</v>
      </c>
      <c r="CK27">
        <f>IFERROR('Data for Beta &gt;2'!L23,0)</f>
        <v>18105.3</v>
      </c>
      <c r="CL27" s="23">
        <f t="shared" si="14"/>
        <v>-3.4813829574562805E-2</v>
      </c>
      <c r="CO27" s="23"/>
      <c r="CP27" s="23"/>
      <c r="CQ27" s="101" t="s">
        <v>340</v>
      </c>
      <c r="CR27" s="101">
        <v>0.97933054945283637</v>
      </c>
      <c r="CS27" s="101">
        <v>0.4608662827090082</v>
      </c>
      <c r="CT27" s="101">
        <v>2.1249776479551823</v>
      </c>
      <c r="CU27" s="101">
        <v>3.9113952376957362E-2</v>
      </c>
      <c r="CV27" s="101">
        <v>5.1098207627705006E-2</v>
      </c>
      <c r="CW27" s="101">
        <v>1.9075628912779679</v>
      </c>
      <c r="CX27" s="101">
        <v>5.1098207627705006E-2</v>
      </c>
      <c r="CY27" s="101">
        <v>1.9075628912779679</v>
      </c>
    </row>
    <row r="28" spans="2:103" x14ac:dyDescent="0.25">
      <c r="B28" s="98">
        <f>IFERROR('Data for Beta &gt;2'!B24,0)</f>
        <v>44927</v>
      </c>
      <c r="C28">
        <f>IFERROR('Data for Beta &gt;2'!C24,0)</f>
        <v>1276.43</v>
      </c>
      <c r="D28" s="23">
        <f t="shared" si="9"/>
        <v>8.5332996215323753E-3</v>
      </c>
      <c r="F28">
        <f>IFERROR('Data for Beta &gt;2'!L24,0)</f>
        <v>17662.150000000001</v>
      </c>
      <c r="G28" s="23">
        <f t="shared" si="10"/>
        <v>-2.4476258333195111E-2</v>
      </c>
      <c r="J28" s="23"/>
      <c r="K28" s="23"/>
      <c r="L28" s="23"/>
      <c r="M28" s="23"/>
      <c r="X28" s="98">
        <f t="shared" si="2"/>
        <v>44927</v>
      </c>
      <c r="Y28">
        <f>IFERROR('Data for Beta &gt;2'!T24,0)</f>
        <v>94.95</v>
      </c>
      <c r="Z28" s="23">
        <f t="shared" si="3"/>
        <v>-4.9549549549549599E-2</v>
      </c>
      <c r="AB28">
        <f t="shared" si="4"/>
        <v>17662.150000000001</v>
      </c>
      <c r="AC28" s="23">
        <f t="shared" si="11"/>
        <v>-2.4476258333195111E-2</v>
      </c>
      <c r="AF28" s="23"/>
      <c r="AG28" s="23"/>
      <c r="AS28" s="98">
        <f t="shared" si="5"/>
        <v>44927</v>
      </c>
      <c r="AT28">
        <f>IFERROR('Data for Beta &gt;2'!AB24,0)</f>
        <v>472.67</v>
      </c>
      <c r="AU28" s="23">
        <f t="shared" si="6"/>
        <v>1.3134201885394159E-3</v>
      </c>
      <c r="AW28">
        <f t="shared" si="7"/>
        <v>17662.150000000001</v>
      </c>
      <c r="AX28" s="23">
        <f t="shared" si="12"/>
        <v>-2.4476258333195111E-2</v>
      </c>
      <c r="BA28" s="23"/>
      <c r="BB28" s="23"/>
      <c r="BM28" s="98">
        <v>44927</v>
      </c>
      <c r="BN28">
        <f>IFERROR('Data for Beta &gt;2'!AJ24,0)</f>
        <v>1392.5</v>
      </c>
      <c r="BO28" s="23">
        <f t="shared" si="15"/>
        <v>0.27105107023869301</v>
      </c>
      <c r="BQ28" s="62">
        <f t="shared" si="1"/>
        <v>17662.150000000001</v>
      </c>
      <c r="BR28" s="23">
        <f t="shared" si="13"/>
        <v>-2.4476258333195111E-2</v>
      </c>
      <c r="BU28" s="23"/>
      <c r="BV28" s="23"/>
      <c r="CG28" s="98">
        <f>IFERROR('Data for Beta &gt;2'!AQ24,0)</f>
        <v>44927</v>
      </c>
      <c r="CH28">
        <f>IFERROR('Data for Beta &gt;2'!AR24,0)</f>
        <v>230.3</v>
      </c>
      <c r="CI28" s="23">
        <f t="shared" si="8"/>
        <v>8.1220657276995345E-2</v>
      </c>
      <c r="CK28">
        <f>IFERROR('Data for Beta &gt;2'!L24,0)</f>
        <v>17662.150000000001</v>
      </c>
      <c r="CL28" s="23">
        <f t="shared" si="14"/>
        <v>-2.4476258333195111E-2</v>
      </c>
      <c r="CO28" s="23"/>
      <c r="CP28" s="23"/>
    </row>
    <row r="29" spans="2:103" x14ac:dyDescent="0.25">
      <c r="B29" s="98">
        <f>IFERROR('Data for Beta &gt;2'!B25,0)</f>
        <v>44928</v>
      </c>
      <c r="C29">
        <f>IFERROR('Data for Beta &gt;2'!C25,0)</f>
        <v>1287.1500000000001</v>
      </c>
      <c r="D29" s="23">
        <f t="shared" si="9"/>
        <v>8.3984237286807151E-3</v>
      </c>
      <c r="F29">
        <f>IFERROR('Data for Beta &gt;2'!L25,0)</f>
        <v>17303.95</v>
      </c>
      <c r="G29" s="23">
        <f t="shared" si="10"/>
        <v>-2.0280656658447582E-2</v>
      </c>
      <c r="J29" s="23"/>
      <c r="K29" s="23"/>
      <c r="L29" s="23"/>
      <c r="M29" s="23"/>
      <c r="X29" s="98">
        <f t="shared" si="2"/>
        <v>44928</v>
      </c>
      <c r="Y29">
        <f>IFERROR('Data for Beta &gt;2'!T25,0)</f>
        <v>94.6</v>
      </c>
      <c r="Z29" s="23">
        <f t="shared" si="3"/>
        <v>-3.6861506055819726E-3</v>
      </c>
      <c r="AB29">
        <f t="shared" si="4"/>
        <v>17303.95</v>
      </c>
      <c r="AC29" s="23">
        <f t="shared" si="11"/>
        <v>-2.0280656658447582E-2</v>
      </c>
      <c r="AF29" s="23"/>
      <c r="AG29" s="23"/>
      <c r="AS29" s="98">
        <f t="shared" si="5"/>
        <v>44928</v>
      </c>
      <c r="AT29">
        <f>IFERROR('Data for Beta &gt;2'!AB25,0)</f>
        <v>467.25</v>
      </c>
      <c r="AU29" s="23">
        <f t="shared" si="6"/>
        <v>-1.1466773859140633E-2</v>
      </c>
      <c r="AW29">
        <f t="shared" si="7"/>
        <v>17303.95</v>
      </c>
      <c r="AX29" s="23">
        <f t="shared" si="12"/>
        <v>-2.0280656658447582E-2</v>
      </c>
      <c r="BA29" s="23"/>
      <c r="BB29" s="23"/>
      <c r="BM29" s="98">
        <v>44928</v>
      </c>
      <c r="BN29">
        <f>IFERROR('Data for Beta &gt;2'!AJ25,0)</f>
        <v>1305.9000000000001</v>
      </c>
      <c r="BO29" s="23">
        <f t="shared" si="15"/>
        <v>-6.2190305206463181E-2</v>
      </c>
      <c r="BQ29" s="62">
        <f t="shared" si="1"/>
        <v>17303.95</v>
      </c>
      <c r="BR29" s="23">
        <f t="shared" si="13"/>
        <v>-2.0280656658447582E-2</v>
      </c>
      <c r="BU29" s="23"/>
      <c r="BV29" s="23"/>
      <c r="CG29" s="98">
        <f>IFERROR('Data for Beta &gt;2'!AQ25,0)</f>
        <v>44928</v>
      </c>
      <c r="CH29">
        <f>IFERROR('Data for Beta &gt;2'!AR25,0)</f>
        <v>290.3</v>
      </c>
      <c r="CI29" s="23">
        <f t="shared" si="8"/>
        <v>0.26052974381241856</v>
      </c>
      <c r="CK29">
        <f>IFERROR('Data for Beta &gt;2'!L25,0)</f>
        <v>17303.95</v>
      </c>
      <c r="CL29" s="23">
        <f t="shared" si="14"/>
        <v>-2.0280656658447582E-2</v>
      </c>
      <c r="CO29" s="23"/>
      <c r="CP29" s="23"/>
    </row>
    <row r="30" spans="2:103" x14ac:dyDescent="0.25">
      <c r="B30" s="98">
        <f>IFERROR('Data for Beta &gt;2'!B26,0)</f>
        <v>44929</v>
      </c>
      <c r="C30">
        <f>IFERROR('Data for Beta &gt;2'!C26,0)</f>
        <v>1365.55</v>
      </c>
      <c r="D30" s="23">
        <f t="shared" si="9"/>
        <v>6.0909761877014912E-2</v>
      </c>
      <c r="F30">
        <f>IFERROR('Data for Beta &gt;2'!L26,0)</f>
        <v>17359.75</v>
      </c>
      <c r="G30" s="23">
        <f t="shared" si="10"/>
        <v>3.2246972512055549E-3</v>
      </c>
      <c r="J30" s="23"/>
      <c r="X30" s="98">
        <f t="shared" si="2"/>
        <v>44929</v>
      </c>
      <c r="Y30">
        <f>IFERROR('Data for Beta &gt;2'!T26,0)</f>
        <v>97.55</v>
      </c>
      <c r="Z30" s="23">
        <f t="shared" si="3"/>
        <v>3.118393234672312E-2</v>
      </c>
      <c r="AB30">
        <f t="shared" si="4"/>
        <v>17359.75</v>
      </c>
      <c r="AC30" s="23">
        <f t="shared" si="11"/>
        <v>3.2246972512055549E-3</v>
      </c>
      <c r="AF30" s="23"/>
      <c r="AS30" s="98">
        <f t="shared" si="5"/>
        <v>44929</v>
      </c>
      <c r="AT30">
        <f>IFERROR('Data for Beta &gt;2'!AB26,0)</f>
        <v>494.35</v>
      </c>
      <c r="AU30" s="23">
        <f t="shared" si="6"/>
        <v>5.7998929909042207E-2</v>
      </c>
      <c r="AW30">
        <f t="shared" si="7"/>
        <v>17359.75</v>
      </c>
      <c r="AX30" s="23">
        <f t="shared" si="12"/>
        <v>3.2246972512055549E-3</v>
      </c>
      <c r="BA30" s="23"/>
      <c r="BM30" s="98">
        <v>44929</v>
      </c>
      <c r="BN30">
        <f>IFERROR('Data for Beta &gt;2'!AJ26,0)</f>
        <v>1375.7</v>
      </c>
      <c r="BO30" s="23">
        <f t="shared" si="15"/>
        <v>5.3449728156826692E-2</v>
      </c>
      <c r="BQ30" s="62">
        <f t="shared" si="1"/>
        <v>17359.75</v>
      </c>
      <c r="BR30" s="23">
        <f t="shared" si="13"/>
        <v>3.2246972512055549E-3</v>
      </c>
      <c r="BU30" s="23"/>
      <c r="CG30" s="98">
        <f>IFERROR('Data for Beta &gt;2'!AQ26,0)</f>
        <v>44929</v>
      </c>
      <c r="CH30">
        <f>IFERROR('Data for Beta &gt;2'!AR26,0)</f>
        <v>274.35000000000002</v>
      </c>
      <c r="CI30" s="23">
        <f t="shared" si="8"/>
        <v>-5.4943162245952415E-2</v>
      </c>
      <c r="CK30">
        <f>IFERROR('Data for Beta &gt;2'!L26,0)</f>
        <v>17359.75</v>
      </c>
      <c r="CL30" s="23">
        <f t="shared" si="14"/>
        <v>3.2246972512055549E-3</v>
      </c>
      <c r="CO30" s="23"/>
    </row>
    <row r="31" spans="2:103" x14ac:dyDescent="0.25">
      <c r="B31" s="98">
        <f>IFERROR('Data for Beta &gt;2'!B27,0)</f>
        <v>44930</v>
      </c>
      <c r="C31">
        <f>IFERROR('Data for Beta &gt;2'!C27,0)</f>
        <v>1460.1</v>
      </c>
      <c r="D31" s="23">
        <f t="shared" si="9"/>
        <v>6.9239500567536805E-2</v>
      </c>
      <c r="F31">
        <f>IFERROR('Data for Beta &gt;2'!L27,0)</f>
        <v>18065</v>
      </c>
      <c r="G31" s="23">
        <f t="shared" si="10"/>
        <v>4.0625585045867663E-2</v>
      </c>
      <c r="J31" s="23"/>
      <c r="X31" s="98">
        <f t="shared" si="2"/>
        <v>44930</v>
      </c>
      <c r="Y31">
        <f>IFERROR('Data for Beta &gt;2'!T27,0)</f>
        <v>103.3</v>
      </c>
      <c r="Z31" s="23">
        <f t="shared" si="3"/>
        <v>5.8944131214761608E-2</v>
      </c>
      <c r="AB31">
        <f t="shared" si="4"/>
        <v>18065</v>
      </c>
      <c r="AC31" s="23">
        <f t="shared" si="11"/>
        <v>4.0625585045867663E-2</v>
      </c>
      <c r="AF31" s="23"/>
      <c r="AN31" s="98"/>
      <c r="AS31" s="98">
        <f t="shared" si="5"/>
        <v>44930</v>
      </c>
      <c r="AT31">
        <f>IFERROR('Data for Beta &gt;2'!AB27,0)</f>
        <v>502.65</v>
      </c>
      <c r="AU31" s="23">
        <f t="shared" si="6"/>
        <v>1.6789723879842233E-2</v>
      </c>
      <c r="AW31">
        <f t="shared" si="7"/>
        <v>18065</v>
      </c>
      <c r="AX31" s="23">
        <f t="shared" si="12"/>
        <v>4.0625585045867663E-2</v>
      </c>
      <c r="BA31" s="23"/>
      <c r="BM31" s="98">
        <v>44930</v>
      </c>
      <c r="BN31">
        <f>IFERROR('Data for Beta &gt;2'!AJ27,0)</f>
        <v>1662.95</v>
      </c>
      <c r="BO31" s="23">
        <f t="shared" si="15"/>
        <v>0.20880279130624402</v>
      </c>
      <c r="BQ31" s="62">
        <f t="shared" si="1"/>
        <v>18065</v>
      </c>
      <c r="BR31" s="23">
        <f t="shared" si="13"/>
        <v>4.0625585045867663E-2</v>
      </c>
      <c r="BU31" s="23"/>
      <c r="CG31" s="98">
        <f>IFERROR('Data for Beta &gt;2'!AQ27,0)</f>
        <v>44930</v>
      </c>
      <c r="CH31">
        <f>IFERROR('Data for Beta &gt;2'!AR27,0)</f>
        <v>278.25</v>
      </c>
      <c r="CI31" s="23">
        <f t="shared" si="8"/>
        <v>1.4215418261344981E-2</v>
      </c>
      <c r="CK31">
        <f>IFERROR('Data for Beta &gt;2'!L27,0)</f>
        <v>18065</v>
      </c>
      <c r="CL31" s="23">
        <f t="shared" si="14"/>
        <v>4.0625585045867663E-2</v>
      </c>
      <c r="CO31" s="23"/>
    </row>
    <row r="32" spans="2:103" x14ac:dyDescent="0.25">
      <c r="B32" s="98">
        <f>IFERROR('Data for Beta &gt;2'!B28,0)</f>
        <v>44931</v>
      </c>
      <c r="C32">
        <f>IFERROR('Data for Beta &gt;2'!C28,0)</f>
        <v>1558.53</v>
      </c>
      <c r="D32" s="23">
        <f t="shared" si="9"/>
        <v>6.7413190877337215E-2</v>
      </c>
      <c r="F32">
        <f>IFERROR('Data for Beta &gt;2'!L28,0)</f>
        <v>18534.400000000001</v>
      </c>
      <c r="G32" s="23">
        <f t="shared" si="10"/>
        <v>2.5983946858566309E-2</v>
      </c>
      <c r="J32" s="23"/>
      <c r="X32" s="98">
        <f t="shared" si="2"/>
        <v>44931</v>
      </c>
      <c r="Y32">
        <f>IFERROR('Data for Beta &gt;2'!T28,0)</f>
        <v>112.15</v>
      </c>
      <c r="Z32" s="23">
        <f t="shared" si="3"/>
        <v>8.5672797676670021E-2</v>
      </c>
      <c r="AB32">
        <f t="shared" si="4"/>
        <v>18534.400000000001</v>
      </c>
      <c r="AC32" s="23">
        <f t="shared" si="11"/>
        <v>2.5983946858566309E-2</v>
      </c>
      <c r="AF32" s="23"/>
      <c r="AN32" s="98"/>
      <c r="AS32" s="98">
        <f t="shared" si="5"/>
        <v>44931</v>
      </c>
      <c r="AT32">
        <f>IFERROR('Data for Beta &gt;2'!AB28,0)</f>
        <v>550.88</v>
      </c>
      <c r="AU32" s="23">
        <f t="shared" si="6"/>
        <v>9.5951457276434837E-2</v>
      </c>
      <c r="AW32">
        <f t="shared" si="7"/>
        <v>18534.400000000001</v>
      </c>
      <c r="AX32" s="23">
        <f t="shared" si="12"/>
        <v>2.5983946858566309E-2</v>
      </c>
      <c r="BA32" s="23"/>
      <c r="BM32" s="98">
        <v>44931</v>
      </c>
      <c r="BN32">
        <f>IFERROR('Data for Beta &gt;2'!AJ28,0)</f>
        <v>1689.1</v>
      </c>
      <c r="BO32" s="23">
        <f t="shared" si="15"/>
        <v>1.572506689918507E-2</v>
      </c>
      <c r="BQ32" s="62">
        <f t="shared" si="1"/>
        <v>18534.400000000001</v>
      </c>
      <c r="BR32" s="23">
        <f t="shared" si="13"/>
        <v>2.5983946858566309E-2</v>
      </c>
      <c r="BU32" s="23"/>
      <c r="CG32" s="98">
        <f>IFERROR('Data for Beta &gt;2'!AQ28,0)</f>
        <v>44931</v>
      </c>
      <c r="CH32">
        <f>IFERROR('Data for Beta &gt;2'!AR28,0)</f>
        <v>369.65</v>
      </c>
      <c r="CI32" s="23">
        <f t="shared" si="8"/>
        <v>0.32848158131176985</v>
      </c>
      <c r="CK32">
        <f>IFERROR('Data for Beta &gt;2'!L28,0)</f>
        <v>18534.400000000001</v>
      </c>
      <c r="CL32" s="23">
        <f t="shared" si="14"/>
        <v>2.5983946858566309E-2</v>
      </c>
      <c r="CO32" s="23"/>
    </row>
    <row r="33" spans="2:93" x14ac:dyDescent="0.25">
      <c r="B33" s="98">
        <f>IFERROR('Data for Beta &gt;2'!B29,0)</f>
        <v>44932</v>
      </c>
      <c r="C33">
        <f>IFERROR('Data for Beta &gt;2'!C29,0)</f>
        <v>1896.25</v>
      </c>
      <c r="D33" s="23">
        <f t="shared" si="9"/>
        <v>0.2166913694314514</v>
      </c>
      <c r="F33">
        <f>IFERROR('Data for Beta &gt;2'!L29,0)</f>
        <v>19189.05</v>
      </c>
      <c r="G33" s="23">
        <f t="shared" si="10"/>
        <v>3.5320808874309328E-2</v>
      </c>
      <c r="J33" s="23"/>
      <c r="X33" s="98">
        <f t="shared" si="2"/>
        <v>44932</v>
      </c>
      <c r="Y33">
        <f>IFERROR('Data for Beta &gt;2'!T29,0)</f>
        <v>125.75</v>
      </c>
      <c r="Z33" s="23">
        <f t="shared" si="3"/>
        <v>0.12126616139099422</v>
      </c>
      <c r="AB33">
        <f t="shared" si="4"/>
        <v>19189.05</v>
      </c>
      <c r="AC33" s="23">
        <f t="shared" si="11"/>
        <v>3.5320808874309328E-2</v>
      </c>
      <c r="AF33" s="23"/>
      <c r="AN33" s="98"/>
      <c r="AS33" s="98">
        <f t="shared" si="5"/>
        <v>44932</v>
      </c>
      <c r="AT33">
        <f>IFERROR('Data for Beta &gt;2'!AB29,0)</f>
        <v>560.13</v>
      </c>
      <c r="AU33" s="23">
        <f t="shared" si="6"/>
        <v>1.6791315713041044E-2</v>
      </c>
      <c r="AW33">
        <f t="shared" si="7"/>
        <v>19189.05</v>
      </c>
      <c r="AX33" s="23">
        <f t="shared" si="12"/>
        <v>3.5320808874309328E-2</v>
      </c>
      <c r="BA33" s="23"/>
      <c r="BM33" s="98">
        <v>44932</v>
      </c>
      <c r="BN33">
        <f>IFERROR('Data for Beta &gt;2'!AJ29,0)</f>
        <v>1868.2</v>
      </c>
      <c r="BO33" s="23">
        <f t="shared" si="15"/>
        <v>0.10603279853176262</v>
      </c>
      <c r="BQ33" s="62">
        <f t="shared" si="1"/>
        <v>19189.05</v>
      </c>
      <c r="BR33" s="23">
        <f t="shared" si="13"/>
        <v>3.5320808874309328E-2</v>
      </c>
      <c r="BU33" s="23"/>
      <c r="CG33" s="98">
        <f>IFERROR('Data for Beta &gt;2'!AQ29,0)</f>
        <v>44932</v>
      </c>
      <c r="CH33">
        <f>IFERROR('Data for Beta &gt;2'!AR29,0)</f>
        <v>386.95</v>
      </c>
      <c r="CI33" s="23">
        <f t="shared" si="8"/>
        <v>4.6801027999459066E-2</v>
      </c>
      <c r="CK33">
        <f>IFERROR('Data for Beta &gt;2'!L29,0)</f>
        <v>19189.05</v>
      </c>
      <c r="CL33" s="23">
        <f t="shared" si="14"/>
        <v>3.5320808874309328E-2</v>
      </c>
      <c r="CO33" s="23"/>
    </row>
    <row r="34" spans="2:93" x14ac:dyDescent="0.25">
      <c r="B34" s="98">
        <f>IFERROR('Data for Beta &gt;2'!B30,0)</f>
        <v>44933</v>
      </c>
      <c r="C34">
        <f>IFERROR('Data for Beta &gt;2'!C30,0)</f>
        <v>1980.75</v>
      </c>
      <c r="D34" s="23">
        <f t="shared" si="9"/>
        <v>4.456163480553732E-2</v>
      </c>
      <c r="F34">
        <f>IFERROR('Data for Beta &gt;2'!L30,0)</f>
        <v>19753.8</v>
      </c>
      <c r="G34" s="23">
        <f t="shared" si="10"/>
        <v>2.9430847280089489E-2</v>
      </c>
      <c r="J34" s="23"/>
      <c r="X34" s="98">
        <f t="shared" si="2"/>
        <v>44933</v>
      </c>
      <c r="Y34">
        <f>IFERROR('Data for Beta &gt;2'!T30,0)</f>
        <v>130.69999999999999</v>
      </c>
      <c r="Z34" s="23">
        <f t="shared" si="3"/>
        <v>3.9363817097415321E-2</v>
      </c>
      <c r="AB34">
        <f t="shared" si="4"/>
        <v>19753.8</v>
      </c>
      <c r="AC34" s="23">
        <f t="shared" si="11"/>
        <v>2.9430847280089489E-2</v>
      </c>
      <c r="AF34" s="23"/>
      <c r="AN34" s="98"/>
      <c r="AS34" s="98">
        <f t="shared" si="5"/>
        <v>44933</v>
      </c>
      <c r="AT34">
        <f>IFERROR('Data for Beta &gt;2'!AB30,0)</f>
        <v>613.78</v>
      </c>
      <c r="AU34" s="23">
        <f t="shared" si="6"/>
        <v>9.5781336475460943E-2</v>
      </c>
      <c r="AW34">
        <f t="shared" si="7"/>
        <v>19753.8</v>
      </c>
      <c r="AX34" s="23">
        <f t="shared" si="12"/>
        <v>2.9430847280089489E-2</v>
      </c>
      <c r="BA34" s="23"/>
      <c r="BM34" s="98">
        <v>44933</v>
      </c>
      <c r="BN34">
        <f>IFERROR('Data for Beta &gt;2'!AJ30,0)</f>
        <v>2037.7</v>
      </c>
      <c r="BO34" s="23">
        <f t="shared" si="15"/>
        <v>9.0729043999571823E-2</v>
      </c>
      <c r="BQ34" s="62">
        <f t="shared" si="1"/>
        <v>19753.8</v>
      </c>
      <c r="BR34" s="23">
        <f t="shared" si="13"/>
        <v>2.9430847280089489E-2</v>
      </c>
      <c r="BU34" s="23"/>
      <c r="CG34" s="98">
        <f>IFERROR('Data for Beta &gt;2'!AQ30,0)</f>
        <v>44933</v>
      </c>
      <c r="CH34">
        <f>IFERROR('Data for Beta &gt;2'!AR30,0)</f>
        <v>497.4</v>
      </c>
      <c r="CI34" s="23">
        <f t="shared" si="8"/>
        <v>0.2854373950122755</v>
      </c>
      <c r="CK34">
        <f>IFERROR('Data for Beta &gt;2'!L30,0)</f>
        <v>19753.8</v>
      </c>
      <c r="CL34" s="23">
        <f t="shared" si="14"/>
        <v>2.9430847280089489E-2</v>
      </c>
      <c r="CO34" s="23"/>
    </row>
    <row r="35" spans="2:93" x14ac:dyDescent="0.25">
      <c r="B35" s="98">
        <f>IFERROR('Data for Beta &gt;2'!B31,0)</f>
        <v>44934</v>
      </c>
      <c r="C35">
        <f>IFERROR('Data for Beta &gt;2'!C31,0)</f>
        <v>1950.15</v>
      </c>
      <c r="D35" s="23">
        <f t="shared" si="9"/>
        <v>-1.5448693676637593E-2</v>
      </c>
      <c r="F35">
        <f>IFERROR('Data for Beta &gt;2'!L31,0)</f>
        <v>19253.8</v>
      </c>
      <c r="G35" s="23">
        <f t="shared" si="10"/>
        <v>-2.5311585618969512E-2</v>
      </c>
      <c r="J35" s="23"/>
      <c r="X35" s="98">
        <f t="shared" si="2"/>
        <v>44934</v>
      </c>
      <c r="Y35">
        <f>IFERROR('Data for Beta &gt;2'!T31,0)</f>
        <v>133.19999999999999</v>
      </c>
      <c r="Z35" s="23">
        <f t="shared" si="3"/>
        <v>1.9127773527161329E-2</v>
      </c>
      <c r="AB35">
        <f t="shared" si="4"/>
        <v>19253.8</v>
      </c>
      <c r="AC35" s="23">
        <f t="shared" si="11"/>
        <v>-2.5311585618969512E-2</v>
      </c>
      <c r="AF35" s="23"/>
      <c r="AN35" s="98"/>
      <c r="AS35" s="98">
        <f t="shared" si="5"/>
        <v>44934</v>
      </c>
      <c r="AT35">
        <f>IFERROR('Data for Beta &gt;2'!AB31,0)</f>
        <v>563.20000000000005</v>
      </c>
      <c r="AU35" s="23">
        <f t="shared" si="6"/>
        <v>-8.2407377236143109E-2</v>
      </c>
      <c r="AW35">
        <f t="shared" si="7"/>
        <v>19253.8</v>
      </c>
      <c r="AX35" s="23">
        <f t="shared" si="12"/>
        <v>-2.5311585618969512E-2</v>
      </c>
      <c r="BA35" s="23"/>
      <c r="BM35" s="98">
        <v>44934</v>
      </c>
      <c r="BN35">
        <f>IFERROR('Data for Beta &gt;2'!AJ31,0)</f>
        <v>2372.1999999999998</v>
      </c>
      <c r="BO35" s="23">
        <f t="shared" si="15"/>
        <v>0.16415566570152618</v>
      </c>
      <c r="BQ35" s="62">
        <f t="shared" si="1"/>
        <v>19253.8</v>
      </c>
      <c r="BR35" s="23">
        <f t="shared" si="13"/>
        <v>-2.5311585618969512E-2</v>
      </c>
      <c r="BU35" s="23"/>
      <c r="CG35" s="98">
        <f>IFERROR('Data for Beta &gt;2'!AQ31,0)</f>
        <v>44934</v>
      </c>
      <c r="CH35">
        <f>IFERROR('Data for Beta &gt;2'!AR31,0)</f>
        <v>526.95000000000005</v>
      </c>
      <c r="CI35" s="23">
        <f t="shared" si="8"/>
        <v>5.94089264173705E-2</v>
      </c>
      <c r="CK35">
        <f>IFERROR('Data for Beta &gt;2'!L31,0)</f>
        <v>19253.8</v>
      </c>
      <c r="CL35" s="23">
        <f t="shared" si="14"/>
        <v>-2.5311585618969512E-2</v>
      </c>
      <c r="CO35" s="23"/>
    </row>
    <row r="36" spans="2:93" x14ac:dyDescent="0.25">
      <c r="B36" s="98">
        <f>IFERROR('Data for Beta &gt;2'!B32,0)</f>
        <v>44935</v>
      </c>
      <c r="C36">
        <f>IFERROR('Data for Beta &gt;2'!C32,0)</f>
        <v>1928.15</v>
      </c>
      <c r="D36" s="23">
        <f t="shared" si="9"/>
        <v>-1.1281183498705216E-2</v>
      </c>
      <c r="F36">
        <f>IFERROR('Data for Beta &gt;2'!L32,0)</f>
        <v>19638.3</v>
      </c>
      <c r="G36" s="23">
        <f t="shared" si="10"/>
        <v>1.9970083827608009E-2</v>
      </c>
      <c r="J36" s="23"/>
      <c r="X36" s="98">
        <f t="shared" si="2"/>
        <v>44935</v>
      </c>
      <c r="Y36">
        <f>IFERROR('Data for Beta &gt;2'!T32,0)</f>
        <v>138.30000000000001</v>
      </c>
      <c r="Z36" s="23">
        <f t="shared" si="3"/>
        <v>3.8288288288288452E-2</v>
      </c>
      <c r="AB36">
        <f t="shared" si="4"/>
        <v>19638.3</v>
      </c>
      <c r="AC36" s="23">
        <f t="shared" si="11"/>
        <v>1.9970083827608009E-2</v>
      </c>
      <c r="AF36" s="23"/>
      <c r="AN36" s="98"/>
      <c r="AS36" s="98">
        <f t="shared" si="5"/>
        <v>44935</v>
      </c>
      <c r="AT36">
        <f>IFERROR('Data for Beta &gt;2'!AB32,0)</f>
        <v>515.65</v>
      </c>
      <c r="AU36" s="23">
        <f t="shared" si="6"/>
        <v>-8.4428267045454697E-2</v>
      </c>
      <c r="AW36">
        <f t="shared" si="7"/>
        <v>19638.3</v>
      </c>
      <c r="AX36" s="23">
        <f t="shared" si="12"/>
        <v>1.9970083827608009E-2</v>
      </c>
      <c r="BA36" s="23"/>
      <c r="BM36" s="98">
        <v>44935</v>
      </c>
      <c r="BN36">
        <f>IFERROR('Data for Beta &gt;2'!AJ32,0)</f>
        <v>2101.1999999999998</v>
      </c>
      <c r="BO36" s="23">
        <f t="shared" si="15"/>
        <v>-0.11423994604164911</v>
      </c>
      <c r="BQ36" s="62">
        <f t="shared" si="1"/>
        <v>19638.3</v>
      </c>
      <c r="BR36" s="23">
        <f t="shared" si="13"/>
        <v>1.9970083827608009E-2</v>
      </c>
      <c r="BU36" s="23"/>
      <c r="CG36" s="98">
        <f>IFERROR('Data for Beta &gt;2'!AQ32,0)</f>
        <v>44935</v>
      </c>
      <c r="CH36">
        <f>IFERROR('Data for Beta &gt;2'!AR32,0)</f>
        <v>517.4</v>
      </c>
      <c r="CI36" s="23">
        <f t="shared" si="8"/>
        <v>-1.8123161590283821E-2</v>
      </c>
      <c r="CK36">
        <f>IFERROR('Data for Beta &gt;2'!L32,0)</f>
        <v>19638.3</v>
      </c>
      <c r="CL36" s="23">
        <f t="shared" si="14"/>
        <v>1.9970083827608009E-2</v>
      </c>
      <c r="CO36" s="23"/>
    </row>
    <row r="37" spans="2:93" x14ac:dyDescent="0.25">
      <c r="B37" s="98">
        <f>IFERROR('Data for Beta &gt;2'!B33,0)</f>
        <v>44936</v>
      </c>
      <c r="C37">
        <f>IFERROR('Data for Beta &gt;2'!C33,0)</f>
        <v>1823.05</v>
      </c>
      <c r="D37" s="23">
        <f t="shared" si="9"/>
        <v>-5.4508207349013404E-2</v>
      </c>
      <c r="F37">
        <f>IFERROR('Data for Beta &gt;2'!L33,0)</f>
        <v>19079.599999999999</v>
      </c>
      <c r="G37" s="23">
        <f t="shared" si="10"/>
        <v>-2.844950937708457E-2</v>
      </c>
      <c r="J37" s="23"/>
      <c r="X37" s="98">
        <f t="shared" si="2"/>
        <v>44936</v>
      </c>
      <c r="Y37">
        <f>IFERROR('Data for Beta &gt;2'!T33,0)</f>
        <v>133.25</v>
      </c>
      <c r="Z37" s="23">
        <f t="shared" si="3"/>
        <v>-3.6514822848879303E-2</v>
      </c>
      <c r="AB37">
        <f t="shared" si="4"/>
        <v>19079.599999999999</v>
      </c>
      <c r="AC37" s="23">
        <f t="shared" si="11"/>
        <v>-2.844950937708457E-2</v>
      </c>
      <c r="AF37" s="23"/>
      <c r="AN37" s="98"/>
      <c r="AS37" s="98">
        <f t="shared" si="5"/>
        <v>44936</v>
      </c>
      <c r="AT37">
        <f>IFERROR('Data for Beta &gt;2'!AB33,0)</f>
        <v>487.08</v>
      </c>
      <c r="AU37" s="23">
        <f t="shared" si="6"/>
        <v>-5.5405798506739101E-2</v>
      </c>
      <c r="AW37">
        <f t="shared" si="7"/>
        <v>19079.599999999999</v>
      </c>
      <c r="AX37" s="23">
        <f t="shared" si="12"/>
        <v>-2.844950937708457E-2</v>
      </c>
      <c r="BA37" s="23"/>
      <c r="BM37" s="98">
        <v>44936</v>
      </c>
      <c r="BN37">
        <f>IFERROR('Data for Beta &gt;2'!AJ33,0)</f>
        <v>1867.4</v>
      </c>
      <c r="BO37" s="23">
        <f t="shared" si="15"/>
        <v>-0.11126975061869393</v>
      </c>
      <c r="BQ37" s="62">
        <f t="shared" si="1"/>
        <v>19079.599999999999</v>
      </c>
      <c r="BR37" s="23">
        <f t="shared" si="13"/>
        <v>-2.844950937708457E-2</v>
      </c>
      <c r="BU37" s="23"/>
      <c r="CG37" s="98">
        <f>IFERROR('Data for Beta &gt;2'!AQ33,0)</f>
        <v>44936</v>
      </c>
      <c r="CH37">
        <f>IFERROR('Data for Beta &gt;2'!AR33,0)</f>
        <v>490.05</v>
      </c>
      <c r="CI37" s="23">
        <f t="shared" si="8"/>
        <v>-5.2860456126787692E-2</v>
      </c>
      <c r="CK37">
        <f>IFERROR('Data for Beta &gt;2'!L33,0)</f>
        <v>19079.599999999999</v>
      </c>
      <c r="CL37" s="23">
        <f t="shared" si="14"/>
        <v>-2.844950937708457E-2</v>
      </c>
      <c r="CO37" s="23"/>
    </row>
    <row r="38" spans="2:93" x14ac:dyDescent="0.25">
      <c r="B38" s="98">
        <f>IFERROR('Data for Beta &gt;2'!B34,0)</f>
        <v>44937</v>
      </c>
      <c r="C38">
        <f>IFERROR('Data for Beta &gt;2'!C34,0)</f>
        <v>2379.8000000000002</v>
      </c>
      <c r="D38" s="23">
        <f t="shared" si="9"/>
        <v>0.30539480540851893</v>
      </c>
      <c r="F38">
        <f>IFERROR('Data for Beta &gt;2'!L34,0)</f>
        <v>20133.150000000001</v>
      </c>
      <c r="G38" s="23">
        <f t="shared" si="10"/>
        <v>5.5218662865049728E-2</v>
      </c>
      <c r="J38" s="23"/>
      <c r="X38" s="98">
        <f t="shared" si="2"/>
        <v>44937</v>
      </c>
      <c r="Y38">
        <f>IFERROR('Data for Beta &gt;2'!T34,0)</f>
        <v>145.9</v>
      </c>
      <c r="Z38" s="23">
        <f t="shared" si="3"/>
        <v>9.4934333958724304E-2</v>
      </c>
      <c r="AB38">
        <f t="shared" si="4"/>
        <v>20133.150000000001</v>
      </c>
      <c r="AC38" s="23">
        <f t="shared" si="11"/>
        <v>5.5218662865049728E-2</v>
      </c>
      <c r="AF38" s="23"/>
      <c r="AN38" s="98"/>
      <c r="AS38" s="98">
        <f t="shared" si="5"/>
        <v>44937</v>
      </c>
      <c r="AT38">
        <f>IFERROR('Data for Beta &gt;2'!AB34,0)</f>
        <v>581.38</v>
      </c>
      <c r="AU38" s="23">
        <f t="shared" si="6"/>
        <v>0.19360269360269355</v>
      </c>
      <c r="AW38">
        <f t="shared" si="7"/>
        <v>20133.150000000001</v>
      </c>
      <c r="AX38" s="23">
        <f t="shared" si="12"/>
        <v>5.5218662865049728E-2</v>
      </c>
      <c r="BA38" s="23"/>
      <c r="BM38" s="98">
        <v>44937</v>
      </c>
      <c r="BN38">
        <f>IFERROR('Data for Beta &gt;2'!AJ34,0)</f>
        <v>2012.7</v>
      </c>
      <c r="BO38" s="23">
        <f t="shared" si="15"/>
        <v>7.7808718003641308E-2</v>
      </c>
      <c r="BQ38" s="62">
        <f t="shared" si="1"/>
        <v>20133.150000000001</v>
      </c>
      <c r="BR38" s="23">
        <f t="shared" si="13"/>
        <v>5.5218662865049728E-2</v>
      </c>
      <c r="BU38" s="23"/>
      <c r="CG38" s="98">
        <f>IFERROR('Data for Beta &gt;2'!AQ34,0)</f>
        <v>44937</v>
      </c>
      <c r="CH38">
        <f>IFERROR('Data for Beta &gt;2'!AR34,0)</f>
        <v>538.45000000000005</v>
      </c>
      <c r="CI38" s="23">
        <f t="shared" si="8"/>
        <v>9.8765432098765427E-2</v>
      </c>
      <c r="CK38">
        <f>IFERROR('Data for Beta &gt;2'!L34,0)</f>
        <v>20133.150000000001</v>
      </c>
      <c r="CL38" s="23">
        <f t="shared" si="14"/>
        <v>5.5218662865049728E-2</v>
      </c>
      <c r="CO38" s="23"/>
    </row>
    <row r="39" spans="2:93" x14ac:dyDescent="0.25">
      <c r="B39" s="98">
        <f>IFERROR('Data for Beta &gt;2'!B35,0)</f>
        <v>44938</v>
      </c>
      <c r="C39">
        <f>IFERROR('Data for Beta &gt;2'!C35,0)</f>
        <v>2804</v>
      </c>
      <c r="D39" s="23">
        <f t="shared" si="9"/>
        <v>0.17825027313219599</v>
      </c>
      <c r="F39">
        <f>IFERROR('Data for Beta &gt;2'!L35,0)</f>
        <v>21731.4</v>
      </c>
      <c r="G39" s="23">
        <f t="shared" si="10"/>
        <v>7.9384001013254268E-2</v>
      </c>
      <c r="J39" s="23"/>
      <c r="X39" s="98">
        <f t="shared" si="2"/>
        <v>44938</v>
      </c>
      <c r="Y39">
        <f>IFERROR('Data for Beta &gt;2'!T35,0)</f>
        <v>184.2</v>
      </c>
      <c r="Z39" s="23">
        <f t="shared" si="3"/>
        <v>0.26250856751199447</v>
      </c>
      <c r="AB39">
        <f t="shared" si="4"/>
        <v>21731.4</v>
      </c>
      <c r="AC39" s="23">
        <f t="shared" si="11"/>
        <v>7.9384001013254268E-2</v>
      </c>
      <c r="AF39" s="23"/>
      <c r="AN39" s="98"/>
      <c r="AS39" s="98">
        <f t="shared" si="5"/>
        <v>44938</v>
      </c>
      <c r="AT39">
        <f>IFERROR('Data for Beta &gt;2'!AB35,0)</f>
        <v>856.17</v>
      </c>
      <c r="AU39" s="23">
        <f t="shared" si="6"/>
        <v>0.47265127799373907</v>
      </c>
      <c r="AW39">
        <f t="shared" si="7"/>
        <v>21731.4</v>
      </c>
      <c r="AX39" s="23">
        <f t="shared" si="12"/>
        <v>7.9384001013254268E-2</v>
      </c>
      <c r="BA39" s="23"/>
      <c r="BM39" s="98">
        <v>44938</v>
      </c>
      <c r="BN39">
        <f>IFERROR('Data for Beta &gt;2'!AJ35,0)</f>
        <v>1861.2</v>
      </c>
      <c r="BO39" s="23">
        <f t="shared" si="15"/>
        <v>-7.527202265613353E-2</v>
      </c>
      <c r="BQ39" s="62">
        <f t="shared" si="1"/>
        <v>21731.4</v>
      </c>
      <c r="BR39" s="23">
        <f t="shared" si="13"/>
        <v>7.9384001013254268E-2</v>
      </c>
      <c r="BU39" s="23"/>
      <c r="CG39" s="98">
        <f>IFERROR('Data for Beta &gt;2'!AQ35,0)</f>
        <v>44938</v>
      </c>
      <c r="CH39">
        <f>IFERROR('Data for Beta &gt;2'!AR35,0)</f>
        <v>610.65</v>
      </c>
      <c r="CI39" s="23">
        <f t="shared" si="8"/>
        <v>0.13408858761259146</v>
      </c>
      <c r="CK39">
        <f>IFERROR('Data for Beta &gt;2'!L35,0)</f>
        <v>21731.4</v>
      </c>
      <c r="CL39" s="23">
        <f t="shared" si="14"/>
        <v>7.9384001013254268E-2</v>
      </c>
      <c r="CO39" s="23"/>
    </row>
    <row r="40" spans="2:93" x14ac:dyDescent="0.25">
      <c r="B40" s="98">
        <f>IFERROR('Data for Beta &gt;2'!B36,0)</f>
        <v>45292</v>
      </c>
      <c r="C40">
        <f>IFERROR('Data for Beta &gt;2'!C36,0)</f>
        <v>2999.4</v>
      </c>
      <c r="D40" s="23">
        <f t="shared" si="9"/>
        <v>6.9686162624821746E-2</v>
      </c>
      <c r="F40">
        <f>IFERROR('Data for Beta &gt;2'!L36,0)</f>
        <v>21725.7</v>
      </c>
      <c r="G40" s="23">
        <f t="shared" si="10"/>
        <v>-2.6229327148741266E-4</v>
      </c>
      <c r="J40" s="23"/>
      <c r="X40" s="98">
        <f t="shared" si="2"/>
        <v>45292</v>
      </c>
      <c r="Y40">
        <f>IFERROR('Data for Beta &gt;2'!T36,0)</f>
        <v>185.9</v>
      </c>
      <c r="Z40" s="23">
        <f t="shared" ref="Z40:Z63" si="16">IFERROR(Y40/Y39-1,0)</f>
        <v>9.229098805646041E-3</v>
      </c>
      <c r="AB40">
        <f t="shared" si="4"/>
        <v>21725.7</v>
      </c>
      <c r="AC40" s="23">
        <f t="shared" si="11"/>
        <v>-2.6229327148741266E-4</v>
      </c>
      <c r="AF40" s="23"/>
      <c r="AN40" s="98"/>
      <c r="AS40" s="98">
        <f t="shared" si="5"/>
        <v>45292</v>
      </c>
      <c r="AT40">
        <f>IFERROR('Data for Beta &gt;2'!AB36,0)</f>
        <v>853.53</v>
      </c>
      <c r="AU40" s="23">
        <f t="shared" ref="AU40:AU63" si="17">IFERROR(AT40/AT39-1,0)</f>
        <v>-3.083499772241427E-3</v>
      </c>
      <c r="AW40">
        <f t="shared" si="7"/>
        <v>21725.7</v>
      </c>
      <c r="AX40" s="23">
        <f t="shared" si="12"/>
        <v>-2.6229327148741266E-4</v>
      </c>
      <c r="BA40" s="23"/>
      <c r="BM40" s="98">
        <v>45292</v>
      </c>
      <c r="BN40">
        <f>IFERROR('Data for Beta &gt;2'!AJ36,0)</f>
        <v>1905.5</v>
      </c>
      <c r="BO40" s="23">
        <f t="shared" si="15"/>
        <v>2.3801848269933368E-2</v>
      </c>
      <c r="BQ40" s="62">
        <f t="shared" si="1"/>
        <v>21725.7</v>
      </c>
      <c r="BR40" s="23">
        <f t="shared" si="13"/>
        <v>-2.6229327148741266E-4</v>
      </c>
      <c r="BU40" s="23"/>
      <c r="CG40" s="98">
        <f>IFERROR('Data for Beta &gt;2'!AQ36,0)</f>
        <v>45292</v>
      </c>
      <c r="CH40">
        <f>IFERROR('Data for Beta &gt;2'!AR36,0)</f>
        <v>576.5</v>
      </c>
      <c r="CI40" s="23">
        <f t="shared" si="8"/>
        <v>-5.5924015393433169E-2</v>
      </c>
      <c r="CK40">
        <f>IFERROR('Data for Beta &gt;2'!L36,0)</f>
        <v>21725.7</v>
      </c>
      <c r="CL40" s="23">
        <f t="shared" si="14"/>
        <v>-2.6229327148741266E-4</v>
      </c>
      <c r="CO40" s="23"/>
    </row>
    <row r="41" spans="2:93" x14ac:dyDescent="0.25">
      <c r="B41" s="98">
        <f>IFERROR('Data for Beta &gt;2'!B37,0)</f>
        <v>45293</v>
      </c>
      <c r="C41">
        <f>IFERROR('Data for Beta &gt;2'!C37,0)</f>
        <v>3084.05</v>
      </c>
      <c r="D41" s="23">
        <f t="shared" si="9"/>
        <v>2.8222311128892397E-2</v>
      </c>
      <c r="F41">
        <f>IFERROR('Data for Beta &gt;2'!L37,0)</f>
        <v>21982.799999999999</v>
      </c>
      <c r="G41" s="23">
        <f t="shared" si="10"/>
        <v>1.1833910990209695E-2</v>
      </c>
      <c r="J41" s="23"/>
      <c r="X41" s="98">
        <f t="shared" si="2"/>
        <v>45293</v>
      </c>
      <c r="Y41">
        <f>IFERROR('Data for Beta &gt;2'!T37,0)</f>
        <v>205.1</v>
      </c>
      <c r="Z41" s="23">
        <f t="shared" si="16"/>
        <v>0.10328133405056472</v>
      </c>
      <c r="AB41">
        <f t="shared" si="4"/>
        <v>21982.799999999999</v>
      </c>
      <c r="AC41" s="23">
        <f t="shared" si="11"/>
        <v>1.1833910990209695E-2</v>
      </c>
      <c r="AF41" s="23"/>
      <c r="AN41" s="98"/>
      <c r="AS41" s="98">
        <f t="shared" si="5"/>
        <v>45293</v>
      </c>
      <c r="AT41">
        <f>IFERROR('Data for Beta &gt;2'!AB37,0)</f>
        <v>904.55</v>
      </c>
      <c r="AU41" s="23">
        <f t="shared" si="17"/>
        <v>5.9775286164516661E-2</v>
      </c>
      <c r="AW41">
        <f t="shared" si="7"/>
        <v>21982.799999999999</v>
      </c>
      <c r="AX41" s="23">
        <f t="shared" si="12"/>
        <v>1.1833910990209695E-2</v>
      </c>
      <c r="BA41" s="23"/>
      <c r="BM41" s="98">
        <v>45293</v>
      </c>
      <c r="BN41">
        <f>IFERROR('Data for Beta &gt;2'!AJ37,0)</f>
        <v>2484.35</v>
      </c>
      <c r="BO41" s="23">
        <f t="shared" si="15"/>
        <v>0.3037785358173708</v>
      </c>
      <c r="BQ41" s="62">
        <f t="shared" si="1"/>
        <v>21982.799999999999</v>
      </c>
      <c r="BR41" s="23">
        <f t="shared" si="13"/>
        <v>1.1833910990209695E-2</v>
      </c>
      <c r="BU41" s="23"/>
      <c r="CG41" s="98">
        <f>IFERROR('Data for Beta &gt;2'!AQ37,0)</f>
        <v>45293</v>
      </c>
      <c r="CH41">
        <f>IFERROR('Data for Beta &gt;2'!AR37,0)</f>
        <v>549.6</v>
      </c>
      <c r="CI41" s="23">
        <f t="shared" si="8"/>
        <v>-4.6660884648742407E-2</v>
      </c>
      <c r="CK41">
        <f>IFERROR('Data for Beta &gt;2'!L37,0)</f>
        <v>21982.799999999999</v>
      </c>
      <c r="CL41" s="23">
        <f t="shared" si="14"/>
        <v>1.1833910990209695E-2</v>
      </c>
      <c r="CO41" s="23"/>
    </row>
    <row r="42" spans="2:93" x14ac:dyDescent="0.25">
      <c r="B42" s="98">
        <f>IFERROR('Data for Beta &gt;2'!B38,0)</f>
        <v>45294</v>
      </c>
      <c r="C42">
        <f>IFERROR('Data for Beta &gt;2'!C38,0)</f>
        <v>3327</v>
      </c>
      <c r="D42" s="23">
        <f t="shared" si="9"/>
        <v>7.8776284431186117E-2</v>
      </c>
      <c r="F42">
        <f>IFERROR('Data for Beta &gt;2'!L38,0)</f>
        <v>22326.9</v>
      </c>
      <c r="G42" s="23">
        <f t="shared" si="10"/>
        <v>1.5653147005840973E-2</v>
      </c>
      <c r="J42" s="23"/>
      <c r="X42" s="98">
        <f t="shared" si="2"/>
        <v>45294</v>
      </c>
      <c r="Y42">
        <f>IFERROR('Data for Beta &gt;2'!T38,0)</f>
        <v>201.5</v>
      </c>
      <c r="Z42" s="23">
        <f t="shared" si="16"/>
        <v>-1.7552413456850324E-2</v>
      </c>
      <c r="AB42">
        <f t="shared" si="4"/>
        <v>22326.9</v>
      </c>
      <c r="AC42" s="23">
        <f t="shared" si="11"/>
        <v>1.5653147005840973E-2</v>
      </c>
      <c r="AF42" s="23"/>
      <c r="AN42" s="98"/>
      <c r="AS42" s="98">
        <f t="shared" si="5"/>
        <v>45294</v>
      </c>
      <c r="AT42">
        <f>IFERROR('Data for Beta &gt;2'!AB38,0)</f>
        <v>875.95</v>
      </c>
      <c r="AU42" s="23">
        <f t="shared" si="17"/>
        <v>-3.1617931568182933E-2</v>
      </c>
      <c r="AW42">
        <f t="shared" si="7"/>
        <v>22326.9</v>
      </c>
      <c r="AX42" s="23">
        <f t="shared" si="12"/>
        <v>1.5653147005840973E-2</v>
      </c>
      <c r="BA42" s="23"/>
      <c r="BM42" s="98">
        <v>45294</v>
      </c>
      <c r="BN42">
        <f>IFERROR('Data for Beta &gt;2'!AJ38,0)</f>
        <v>2422</v>
      </c>
      <c r="BO42" s="23">
        <f t="shared" si="15"/>
        <v>-2.5097107895425297E-2</v>
      </c>
      <c r="BQ42" s="62">
        <f t="shared" si="1"/>
        <v>22326.9</v>
      </c>
      <c r="BR42" s="23">
        <f t="shared" si="13"/>
        <v>1.5653147005840973E-2</v>
      </c>
      <c r="BU42" s="23"/>
      <c r="CG42" s="98">
        <f>IFERROR('Data for Beta &gt;2'!AQ38,0)</f>
        <v>45294</v>
      </c>
      <c r="CH42">
        <f>IFERROR('Data for Beta &gt;2'!AR38,0)</f>
        <v>606.75</v>
      </c>
      <c r="CI42" s="23">
        <f t="shared" si="8"/>
        <v>0.10398471615720517</v>
      </c>
      <c r="CK42">
        <f>IFERROR('Data for Beta &gt;2'!L38,0)</f>
        <v>22326.9</v>
      </c>
      <c r="CL42" s="23">
        <f t="shared" si="14"/>
        <v>1.5653147005840973E-2</v>
      </c>
      <c r="CO42" s="23"/>
    </row>
    <row r="43" spans="2:93" x14ac:dyDescent="0.25">
      <c r="B43" s="98">
        <f>IFERROR('Data for Beta &gt;2'!B39,0)</f>
        <v>45295</v>
      </c>
      <c r="C43">
        <f>IFERROR('Data for Beta &gt;2'!C39,0)</f>
        <v>3939.35</v>
      </c>
      <c r="D43" s="23">
        <f t="shared" si="9"/>
        <v>0.18405470393748113</v>
      </c>
      <c r="F43">
        <f>IFERROR('Data for Beta &gt;2'!L39,0)</f>
        <v>22604.85</v>
      </c>
      <c r="G43" s="23">
        <f t="shared" si="10"/>
        <v>1.2449108474530624E-2</v>
      </c>
      <c r="J43" s="23"/>
      <c r="X43" s="98">
        <f t="shared" si="2"/>
        <v>45295</v>
      </c>
      <c r="Y43">
        <f>IFERROR('Data for Beta &gt;2'!T39,0)</f>
        <v>233.75</v>
      </c>
      <c r="Z43" s="23">
        <f t="shared" si="16"/>
        <v>0.16004962779156329</v>
      </c>
      <c r="AB43">
        <f t="shared" si="4"/>
        <v>22604.85</v>
      </c>
      <c r="AC43" s="23">
        <f t="shared" si="11"/>
        <v>1.2449108474530624E-2</v>
      </c>
      <c r="AF43" s="23"/>
      <c r="AN43" s="98"/>
      <c r="AS43" s="98">
        <f t="shared" si="5"/>
        <v>45295</v>
      </c>
      <c r="AT43">
        <f>IFERROR('Data for Beta &gt;2'!AB39,0)</f>
        <v>988.78</v>
      </c>
      <c r="AU43" s="23">
        <f t="shared" si="17"/>
        <v>0.12880872195901594</v>
      </c>
      <c r="AW43">
        <f t="shared" si="7"/>
        <v>22604.85</v>
      </c>
      <c r="AX43" s="23">
        <f t="shared" si="12"/>
        <v>1.2449108474530624E-2</v>
      </c>
      <c r="BA43" s="23"/>
      <c r="BM43" s="98">
        <v>45295</v>
      </c>
      <c r="BN43">
        <f>IFERROR('Data for Beta &gt;2'!AJ39,0)</f>
        <v>2969.95</v>
      </c>
      <c r="BO43" s="23">
        <f t="shared" si="15"/>
        <v>0.22623864574731622</v>
      </c>
      <c r="BQ43" s="62">
        <f t="shared" si="1"/>
        <v>22604.85</v>
      </c>
      <c r="BR43" s="23">
        <f t="shared" si="13"/>
        <v>1.2449108474530624E-2</v>
      </c>
      <c r="BU43" s="23"/>
      <c r="CG43" s="98">
        <f>IFERROR('Data for Beta &gt;2'!AQ39,0)</f>
        <v>45295</v>
      </c>
      <c r="CH43">
        <f>IFERROR('Data for Beta &gt;2'!AR39,0)</f>
        <v>613.25</v>
      </c>
      <c r="CI43" s="23">
        <f t="shared" si="8"/>
        <v>1.0712814173877261E-2</v>
      </c>
      <c r="CK43">
        <f>IFERROR('Data for Beta &gt;2'!L39,0)</f>
        <v>22604.85</v>
      </c>
      <c r="CL43" s="23">
        <f t="shared" si="14"/>
        <v>1.2449108474530624E-2</v>
      </c>
      <c r="CO43" s="23"/>
    </row>
    <row r="44" spans="2:93" x14ac:dyDescent="0.25">
      <c r="B44" s="98">
        <f>IFERROR('Data for Beta &gt;2'!B40,0)</f>
        <v>45296</v>
      </c>
      <c r="C44">
        <f>IFERROR('Data for Beta &gt;2'!C40,0)</f>
        <v>4973.8500000000004</v>
      </c>
      <c r="D44" s="23">
        <f t="shared" si="9"/>
        <v>0.26260677522941611</v>
      </c>
      <c r="F44">
        <f>IFERROR('Data for Beta &gt;2'!L40,0)</f>
        <v>22530.7</v>
      </c>
      <c r="G44" s="23">
        <f t="shared" si="10"/>
        <v>-3.2802694996869608E-3</v>
      </c>
      <c r="J44" s="23"/>
      <c r="X44" s="98">
        <f t="shared" si="2"/>
        <v>45296</v>
      </c>
      <c r="Y44">
        <f>IFERROR('Data for Beta &gt;2'!T40,0)</f>
        <v>295.95</v>
      </c>
      <c r="Z44" s="23">
        <f t="shared" si="16"/>
        <v>0.26609625668449199</v>
      </c>
      <c r="AB44">
        <f t="shared" si="4"/>
        <v>22530.7</v>
      </c>
      <c r="AC44" s="23">
        <f t="shared" si="11"/>
        <v>-3.2802694996869608E-3</v>
      </c>
      <c r="AF44" s="23"/>
      <c r="AN44" s="98"/>
      <c r="AS44" s="98">
        <f t="shared" si="5"/>
        <v>45296</v>
      </c>
      <c r="AT44">
        <f>IFERROR('Data for Beta &gt;2'!AB40,0)</f>
        <v>1557.35</v>
      </c>
      <c r="AU44" s="23">
        <f t="shared" si="17"/>
        <v>0.57502174396731331</v>
      </c>
      <c r="AW44">
        <f t="shared" si="7"/>
        <v>22530.7</v>
      </c>
      <c r="AX44" s="23">
        <f t="shared" si="12"/>
        <v>-3.2802694996869608E-3</v>
      </c>
      <c r="BA44" s="23"/>
      <c r="BM44" s="98">
        <v>45296</v>
      </c>
      <c r="BN44">
        <f>IFERROR('Data for Beta &gt;2'!AJ40,0)</f>
        <v>2962.4</v>
      </c>
      <c r="BO44" s="23">
        <f t="shared" si="15"/>
        <v>-2.5421303388944994E-3</v>
      </c>
      <c r="BQ44" s="62">
        <f t="shared" si="1"/>
        <v>22530.7</v>
      </c>
      <c r="BR44" s="23">
        <f t="shared" si="13"/>
        <v>-3.2802694996869608E-3</v>
      </c>
      <c r="BU44" s="23"/>
      <c r="CG44" s="98">
        <f>IFERROR('Data for Beta &gt;2'!AQ40,0)</f>
        <v>45296</v>
      </c>
      <c r="CH44">
        <f>IFERROR('Data for Beta &gt;2'!AR40,0)</f>
        <v>612.45000000000005</v>
      </c>
      <c r="CI44" s="23">
        <f t="shared" si="8"/>
        <v>-1.304525071341156E-3</v>
      </c>
      <c r="CK44">
        <f>IFERROR('Data for Beta &gt;2'!L40,0)</f>
        <v>22530.7</v>
      </c>
      <c r="CL44" s="23">
        <f t="shared" si="14"/>
        <v>-3.2802694996869608E-3</v>
      </c>
      <c r="CO44" s="23"/>
    </row>
    <row r="45" spans="2:93" x14ac:dyDescent="0.25">
      <c r="B45" s="98">
        <f>IFERROR('Data for Beta &gt;2'!B41,0)</f>
        <v>45297</v>
      </c>
      <c r="C45">
        <f>IFERROR('Data for Beta &gt;2'!C41,0)</f>
        <v>5264.25</v>
      </c>
      <c r="D45" s="23">
        <f t="shared" si="9"/>
        <v>5.8385355408787865E-2</v>
      </c>
      <c r="F45">
        <f>IFERROR('Data for Beta &gt;2'!L41,0)</f>
        <v>24010.6</v>
      </c>
      <c r="G45" s="23">
        <f t="shared" si="10"/>
        <v>6.5683711558007341E-2</v>
      </c>
      <c r="J45" s="23"/>
      <c r="X45" s="98">
        <f t="shared" si="2"/>
        <v>45297</v>
      </c>
      <c r="Y45">
        <f>IFERROR('Data for Beta &gt;2'!T41,0)</f>
        <v>305.89999999999998</v>
      </c>
      <c r="Z45" s="23">
        <f t="shared" si="16"/>
        <v>3.3620544010812603E-2</v>
      </c>
      <c r="AB45">
        <f t="shared" si="4"/>
        <v>24010.6</v>
      </c>
      <c r="AC45" s="23">
        <f t="shared" si="11"/>
        <v>6.5683711558007341E-2</v>
      </c>
      <c r="AF45" s="23"/>
      <c r="AN45" s="98"/>
      <c r="AS45" s="98">
        <f t="shared" si="5"/>
        <v>45297</v>
      </c>
      <c r="AT45">
        <f>IFERROR('Data for Beta &gt;2'!AB41,0)</f>
        <v>1596.6</v>
      </c>
      <c r="AU45" s="23">
        <f t="shared" si="17"/>
        <v>2.5203069316467097E-2</v>
      </c>
      <c r="AW45">
        <f t="shared" si="7"/>
        <v>24010.6</v>
      </c>
      <c r="AX45" s="23">
        <f t="shared" si="12"/>
        <v>6.5683711558007341E-2</v>
      </c>
      <c r="BA45" s="23"/>
      <c r="BM45" s="98">
        <v>45297</v>
      </c>
      <c r="BN45">
        <f>IFERROR('Data for Beta &gt;2'!AJ41,0)</f>
        <v>3001.4</v>
      </c>
      <c r="BO45" s="23">
        <f t="shared" si="15"/>
        <v>1.3165001350256444E-2</v>
      </c>
      <c r="BQ45" s="62">
        <f t="shared" si="1"/>
        <v>24010.6</v>
      </c>
      <c r="BR45" s="23">
        <f t="shared" si="13"/>
        <v>6.5683711558007341E-2</v>
      </c>
      <c r="BU45" s="23"/>
      <c r="CG45" s="98">
        <f>IFERROR('Data for Beta &gt;2'!AQ41,0)</f>
        <v>45297</v>
      </c>
      <c r="CH45">
        <f>IFERROR('Data for Beta &gt;2'!AR41,0)</f>
        <v>747.35</v>
      </c>
      <c r="CI45" s="23">
        <f t="shared" si="8"/>
        <v>0.22026287860233484</v>
      </c>
      <c r="CK45">
        <f>IFERROR('Data for Beta &gt;2'!L41,0)</f>
        <v>24010.6</v>
      </c>
      <c r="CL45" s="23">
        <f t="shared" si="14"/>
        <v>6.5683711558007341E-2</v>
      </c>
      <c r="CO45" s="23"/>
    </row>
    <row r="46" spans="2:93" x14ac:dyDescent="0.25">
      <c r="B46" s="98">
        <f>IFERROR('Data for Beta &gt;2'!B42,0)</f>
        <v>45298</v>
      </c>
      <c r="C46">
        <f>IFERROR('Data for Beta &gt;2'!C42,0)</f>
        <v>4922.8500000000004</v>
      </c>
      <c r="D46" s="23">
        <f t="shared" si="9"/>
        <v>-6.4852543097307258E-2</v>
      </c>
      <c r="F46">
        <f>IFERROR('Data for Beta &gt;2'!L42,0)</f>
        <v>24951.15</v>
      </c>
      <c r="G46" s="23">
        <f t="shared" si="10"/>
        <v>3.917228224200997E-2</v>
      </c>
      <c r="J46" s="23"/>
      <c r="X46" s="98">
        <f t="shared" si="2"/>
        <v>45298</v>
      </c>
      <c r="Y46">
        <f>IFERROR('Data for Beta &gt;2'!T42,0)</f>
        <v>316.05</v>
      </c>
      <c r="Z46" s="23">
        <f t="shared" si="16"/>
        <v>3.3180778032036784E-2</v>
      </c>
      <c r="AB46">
        <f t="shared" si="4"/>
        <v>24951.15</v>
      </c>
      <c r="AC46" s="23">
        <f t="shared" si="11"/>
        <v>3.917228224200997E-2</v>
      </c>
      <c r="AF46" s="23"/>
      <c r="AN46" s="98"/>
      <c r="AS46" s="98">
        <f t="shared" si="5"/>
        <v>45298</v>
      </c>
      <c r="AT46">
        <f>IFERROR('Data for Beta &gt;2'!AB42,0)</f>
        <v>1460.1</v>
      </c>
      <c r="AU46" s="23">
        <f t="shared" si="17"/>
        <v>-8.549417512213453E-2</v>
      </c>
      <c r="AW46">
        <f t="shared" si="7"/>
        <v>24951.15</v>
      </c>
      <c r="AX46" s="23">
        <f t="shared" si="12"/>
        <v>3.917228224200997E-2</v>
      </c>
      <c r="BA46" s="23"/>
      <c r="BM46" s="98">
        <v>45298</v>
      </c>
      <c r="BN46">
        <f>IFERROR('Data for Beta &gt;2'!AJ42,0)</f>
        <v>3188.4</v>
      </c>
      <c r="BO46" s="23">
        <f t="shared" si="15"/>
        <v>6.2304258012927383E-2</v>
      </c>
      <c r="BQ46" s="62">
        <f t="shared" si="1"/>
        <v>24951.15</v>
      </c>
      <c r="BR46" s="23">
        <f t="shared" si="13"/>
        <v>3.917228224200997E-2</v>
      </c>
      <c r="BU46" s="23"/>
      <c r="CG46" s="98">
        <f>IFERROR('Data for Beta &gt;2'!AQ42,0)</f>
        <v>45298</v>
      </c>
      <c r="CH46">
        <f>IFERROR('Data for Beta &gt;2'!AR42,0)</f>
        <v>793.35</v>
      </c>
      <c r="CI46" s="23">
        <f t="shared" si="8"/>
        <v>6.1550812872148253E-2</v>
      </c>
      <c r="CK46">
        <f>IFERROR('Data for Beta &gt;2'!L42,0)</f>
        <v>24951.15</v>
      </c>
      <c r="CL46" s="23">
        <f t="shared" si="14"/>
        <v>3.917228224200997E-2</v>
      </c>
      <c r="CO46" s="23"/>
    </row>
    <row r="47" spans="2:93" x14ac:dyDescent="0.25">
      <c r="B47" s="98">
        <f>IFERROR('Data for Beta &gt;2'!B43,0)</f>
        <v>45299</v>
      </c>
      <c r="C47">
        <f>IFERROR('Data for Beta &gt;2'!C43,0)</f>
        <v>4679.95</v>
      </c>
      <c r="D47" s="23">
        <f t="shared" si="9"/>
        <v>-4.9341336827244509E-2</v>
      </c>
      <c r="F47">
        <f>IFERROR('Data for Beta &gt;2'!L43,0)</f>
        <v>25235.9</v>
      </c>
      <c r="G47" s="23">
        <f t="shared" si="10"/>
        <v>1.141229963348378E-2</v>
      </c>
      <c r="J47" s="23"/>
      <c r="X47" s="98">
        <f t="shared" si="2"/>
        <v>45299</v>
      </c>
      <c r="Y47">
        <f>IFERROR('Data for Beta &gt;2'!T43,0)</f>
        <v>299.3</v>
      </c>
      <c r="Z47" s="23">
        <f t="shared" si="16"/>
        <v>-5.2997943363391919E-2</v>
      </c>
      <c r="AB47">
        <f t="shared" si="4"/>
        <v>25235.9</v>
      </c>
      <c r="AC47" s="23">
        <f t="shared" si="11"/>
        <v>1.141229963348378E-2</v>
      </c>
      <c r="AF47" s="23"/>
      <c r="AN47" s="98"/>
      <c r="AS47" s="98">
        <f t="shared" si="5"/>
        <v>45299</v>
      </c>
      <c r="AT47">
        <f>IFERROR('Data for Beta &gt;2'!AB43,0)</f>
        <v>1302.9000000000001</v>
      </c>
      <c r="AU47" s="23">
        <f t="shared" si="17"/>
        <v>-0.10766385863981909</v>
      </c>
      <c r="AW47">
        <f t="shared" si="7"/>
        <v>25235.9</v>
      </c>
      <c r="AX47" s="23">
        <f t="shared" si="12"/>
        <v>1.141229963348378E-2</v>
      </c>
      <c r="BA47" s="23"/>
      <c r="BM47" s="98">
        <v>45299</v>
      </c>
      <c r="BN47">
        <f>IFERROR('Data for Beta &gt;2'!AJ43,0)</f>
        <v>2804.35</v>
      </c>
      <c r="BO47" s="23">
        <f t="shared" si="15"/>
        <v>-0.12045226445866275</v>
      </c>
      <c r="BQ47" s="62">
        <f t="shared" si="1"/>
        <v>25235.9</v>
      </c>
      <c r="BR47" s="23">
        <f t="shared" si="13"/>
        <v>1.141229963348378E-2</v>
      </c>
      <c r="BU47" s="23"/>
      <c r="CG47" s="98">
        <f>IFERROR('Data for Beta &gt;2'!AQ43,0)</f>
        <v>45299</v>
      </c>
      <c r="CH47">
        <f>IFERROR('Data for Beta &gt;2'!AR43,0)</f>
        <v>767.9</v>
      </c>
      <c r="CI47" s="23">
        <f t="shared" si="8"/>
        <v>-3.2079158000882346E-2</v>
      </c>
      <c r="CK47">
        <f>IFERROR('Data for Beta &gt;2'!L43,0)</f>
        <v>25235.9</v>
      </c>
      <c r="CL47" s="23">
        <f t="shared" si="14"/>
        <v>1.141229963348378E-2</v>
      </c>
      <c r="CO47" s="23"/>
    </row>
    <row r="48" spans="2:93" x14ac:dyDescent="0.25">
      <c r="B48" s="98">
        <f>IFERROR('Data for Beta &gt;2'!B44,0)</f>
        <v>45300</v>
      </c>
      <c r="C48">
        <f>IFERROR('Data for Beta &gt;2'!C44,0)</f>
        <v>4420.6499999999996</v>
      </c>
      <c r="D48" s="23">
        <f t="shared" si="9"/>
        <v>-5.5406574856568969E-2</v>
      </c>
      <c r="F48">
        <f>IFERROR('Data for Beta &gt;2'!L44,0)</f>
        <v>25810.85</v>
      </c>
      <c r="G48" s="23">
        <f t="shared" si="10"/>
        <v>2.2783019428670892E-2</v>
      </c>
      <c r="J48" s="23"/>
      <c r="X48" s="98">
        <f t="shared" si="2"/>
        <v>45300</v>
      </c>
      <c r="Y48">
        <f>IFERROR('Data for Beta &gt;2'!T44,0)</f>
        <v>285.10000000000002</v>
      </c>
      <c r="Z48" s="23">
        <f t="shared" si="16"/>
        <v>-4.744403608419645E-2</v>
      </c>
      <c r="AB48">
        <f t="shared" si="4"/>
        <v>25810.85</v>
      </c>
      <c r="AC48" s="23">
        <f t="shared" si="11"/>
        <v>2.2783019428670892E-2</v>
      </c>
      <c r="AF48" s="23"/>
      <c r="AN48" s="98"/>
      <c r="AS48" s="98">
        <f t="shared" si="5"/>
        <v>45300</v>
      </c>
      <c r="AT48">
        <f>IFERROR('Data for Beta &gt;2'!AB44,0)</f>
        <v>1160</v>
      </c>
      <c r="AU48" s="23">
        <f t="shared" si="17"/>
        <v>-0.10967840970143528</v>
      </c>
      <c r="AW48">
        <f t="shared" si="7"/>
        <v>25810.85</v>
      </c>
      <c r="AX48" s="23">
        <f t="shared" si="12"/>
        <v>2.2783019428670892E-2</v>
      </c>
      <c r="BA48" s="23"/>
      <c r="BM48" s="98">
        <v>45300</v>
      </c>
      <c r="BN48">
        <f>IFERROR('Data for Beta &gt;2'!AJ44,0)</f>
        <v>2315.6999999999998</v>
      </c>
      <c r="BO48" s="23">
        <f t="shared" si="15"/>
        <v>-0.17424715174639405</v>
      </c>
      <c r="BQ48" s="62">
        <f t="shared" si="1"/>
        <v>25810.85</v>
      </c>
      <c r="BR48" s="23">
        <f t="shared" si="13"/>
        <v>2.2783019428670892E-2</v>
      </c>
      <c r="BU48" s="23"/>
      <c r="CG48" s="98">
        <f>IFERROR('Data for Beta &gt;2'!AQ44,0)</f>
        <v>45300</v>
      </c>
      <c r="CH48">
        <f>IFERROR('Data for Beta &gt;2'!AR44,0)</f>
        <v>675.35</v>
      </c>
      <c r="CI48" s="23">
        <f t="shared" si="8"/>
        <v>-0.12052350566480008</v>
      </c>
      <c r="CK48">
        <f>IFERROR('Data for Beta &gt;2'!L44,0)</f>
        <v>25810.85</v>
      </c>
      <c r="CL48" s="23">
        <f t="shared" si="14"/>
        <v>2.2783019428670892E-2</v>
      </c>
      <c r="CO48" s="23"/>
    </row>
    <row r="49" spans="2:93" x14ac:dyDescent="0.25">
      <c r="B49" s="98">
        <f>IFERROR('Data for Beta &gt;2'!B45,0)</f>
        <v>45301</v>
      </c>
      <c r="C49">
        <f>IFERROR('Data for Beta &gt;2'!C45,0)</f>
        <v>4246.7</v>
      </c>
      <c r="D49" s="23">
        <f t="shared" si="9"/>
        <v>-3.9349416940947513E-2</v>
      </c>
      <c r="F49">
        <f>IFERROR('Data for Beta &gt;2'!L45,0)</f>
        <v>24205.35</v>
      </c>
      <c r="G49" s="23">
        <f t="shared" si="10"/>
        <v>-6.2202523357425266E-2</v>
      </c>
      <c r="J49" s="23"/>
      <c r="X49" s="98">
        <f t="shared" si="2"/>
        <v>45301</v>
      </c>
      <c r="Y49">
        <f>IFERROR('Data for Beta &gt;2'!T45,0)</f>
        <v>284.89999999999998</v>
      </c>
      <c r="Z49" s="23">
        <f t="shared" si="16"/>
        <v>-7.0150824272197099E-4</v>
      </c>
      <c r="AB49">
        <f t="shared" si="4"/>
        <v>24205.35</v>
      </c>
      <c r="AC49" s="23">
        <f t="shared" si="11"/>
        <v>-6.2202523357425266E-2</v>
      </c>
      <c r="AF49" s="23"/>
      <c r="AN49" s="98"/>
      <c r="AS49" s="98">
        <f t="shared" si="5"/>
        <v>45301</v>
      </c>
      <c r="AT49">
        <f>IFERROR('Data for Beta &gt;2'!AB45,0)</f>
        <v>1085.3</v>
      </c>
      <c r="AU49" s="23">
        <f t="shared" si="17"/>
        <v>-6.439655172413794E-2</v>
      </c>
      <c r="AW49">
        <f t="shared" si="7"/>
        <v>24205.35</v>
      </c>
      <c r="AX49" s="23">
        <f t="shared" si="12"/>
        <v>-6.2202523357425266E-2</v>
      </c>
      <c r="BA49" s="23"/>
      <c r="BM49" s="98">
        <v>45301</v>
      </c>
      <c r="BN49">
        <f>IFERROR('Data for Beta &gt;2'!AJ45,0)</f>
        <v>2419.85</v>
      </c>
      <c r="BO49" s="23">
        <f t="shared" si="15"/>
        <v>4.4975601330051518E-2</v>
      </c>
      <c r="BQ49" s="62">
        <f t="shared" si="1"/>
        <v>24205.35</v>
      </c>
      <c r="BR49" s="23">
        <f t="shared" si="13"/>
        <v>-6.2202523357425266E-2</v>
      </c>
      <c r="BU49" s="23"/>
      <c r="CG49" s="98">
        <f>IFERROR('Data for Beta &gt;2'!AQ45,0)</f>
        <v>45301</v>
      </c>
      <c r="CH49">
        <f>IFERROR('Data for Beta &gt;2'!AR45,0)</f>
        <v>703.8</v>
      </c>
      <c r="CI49" s="23">
        <f t="shared" si="8"/>
        <v>4.2126304878951526E-2</v>
      </c>
      <c r="CK49">
        <f>IFERROR('Data for Beta &gt;2'!L45,0)</f>
        <v>24205.35</v>
      </c>
      <c r="CL49" s="23">
        <f t="shared" si="14"/>
        <v>-6.2202523357425266E-2</v>
      </c>
      <c r="CO49" s="23"/>
    </row>
    <row r="50" spans="2:93" x14ac:dyDescent="0.25">
      <c r="B50" s="98">
        <f>IFERROR('Data for Beta &gt;2'!B46,0)</f>
        <v>45302</v>
      </c>
      <c r="C50">
        <f>IFERROR('Data for Beta &gt;2'!C46,0)</f>
        <v>4476.8500000000004</v>
      </c>
      <c r="D50" s="23">
        <f t="shared" si="9"/>
        <v>5.4195022017095695E-2</v>
      </c>
      <c r="F50">
        <f>IFERROR('Data for Beta &gt;2'!L46,0)</f>
        <v>24131.1</v>
      </c>
      <c r="G50" s="23">
        <f t="shared" si="10"/>
        <v>-3.0675036717089377E-3</v>
      </c>
      <c r="J50" s="23"/>
      <c r="X50" s="98">
        <f t="shared" si="2"/>
        <v>45302</v>
      </c>
      <c r="Y50">
        <f>IFERROR('Data for Beta &gt;2'!T46,0)</f>
        <v>308</v>
      </c>
      <c r="Z50" s="23">
        <f t="shared" si="16"/>
        <v>8.1081081081081141E-2</v>
      </c>
      <c r="AB50">
        <f t="shared" si="4"/>
        <v>24131.1</v>
      </c>
      <c r="AC50" s="23">
        <f t="shared" si="11"/>
        <v>-3.0675036717089377E-3</v>
      </c>
      <c r="AF50" s="23"/>
      <c r="AN50" s="98"/>
      <c r="AS50" s="98">
        <f t="shared" si="5"/>
        <v>45302</v>
      </c>
      <c r="AT50">
        <f>IFERROR('Data for Beta &gt;2'!AB46,0)</f>
        <v>1150</v>
      </c>
      <c r="AU50" s="23">
        <f t="shared" si="17"/>
        <v>5.9614853036026982E-2</v>
      </c>
      <c r="AW50">
        <f t="shared" si="7"/>
        <v>24131.1</v>
      </c>
      <c r="AX50" s="23">
        <f t="shared" si="12"/>
        <v>-3.0675036717089377E-3</v>
      </c>
      <c r="BA50" s="23"/>
      <c r="BM50" s="98">
        <v>45302</v>
      </c>
      <c r="BN50">
        <f>IFERROR('Data for Beta &gt;2'!AJ46,0)</f>
        <v>2503.4</v>
      </c>
      <c r="BO50" s="23">
        <f t="shared" si="15"/>
        <v>3.4526933487613043E-2</v>
      </c>
      <c r="BQ50" s="62">
        <f t="shared" si="1"/>
        <v>24131.1</v>
      </c>
      <c r="BR50" s="23">
        <f t="shared" si="13"/>
        <v>-3.0675036717089377E-3</v>
      </c>
      <c r="BU50" s="23"/>
      <c r="CG50" s="98">
        <f>IFERROR('Data for Beta &gt;2'!AQ46,0)</f>
        <v>45302</v>
      </c>
      <c r="CH50">
        <f>IFERROR('Data for Beta &gt;2'!AR46,0)</f>
        <v>759.1</v>
      </c>
      <c r="CI50" s="23">
        <f t="shared" si="8"/>
        <v>7.8573458368854876E-2</v>
      </c>
      <c r="CK50">
        <f>IFERROR('Data for Beta &gt;2'!L46,0)</f>
        <v>24131.1</v>
      </c>
      <c r="CL50" s="23">
        <f t="shared" si="14"/>
        <v>-3.0675036717089377E-3</v>
      </c>
      <c r="CO50" s="23"/>
    </row>
    <row r="51" spans="2:93" x14ac:dyDescent="0.25">
      <c r="B51" s="98">
        <f>IFERROR('Data for Beta &gt;2'!B47,0)</f>
        <v>45303</v>
      </c>
      <c r="C51">
        <f>IFERROR('Data for Beta &gt;2'!C47,0)</f>
        <v>4178.3500000000004</v>
      </c>
      <c r="D51" s="23">
        <f t="shared" si="9"/>
        <v>-6.6676346091559924E-2</v>
      </c>
      <c r="F51">
        <f>IFERROR('Data for Beta &gt;2'!L47,0)</f>
        <v>23644.799999999999</v>
      </c>
      <c r="G51" s="23">
        <f t="shared" si="10"/>
        <v>-2.0152417419844082E-2</v>
      </c>
      <c r="J51" s="23"/>
      <c r="X51" s="98">
        <f t="shared" si="2"/>
        <v>45303</v>
      </c>
      <c r="Y51">
        <f>IFERROR('Data for Beta &gt;2'!T47,0)</f>
        <v>293.14999999999998</v>
      </c>
      <c r="Z51" s="23">
        <f t="shared" si="16"/>
        <v>-4.8214285714285765E-2</v>
      </c>
      <c r="AB51">
        <f t="shared" si="4"/>
        <v>23644.799999999999</v>
      </c>
      <c r="AC51" s="23">
        <f t="shared" si="11"/>
        <v>-2.0152417419844082E-2</v>
      </c>
      <c r="AF51" s="23"/>
      <c r="AN51" s="98"/>
      <c r="AS51" s="98">
        <f t="shared" si="5"/>
        <v>45303</v>
      </c>
      <c r="AT51">
        <f>IFERROR('Data for Beta &gt;2'!AB47,0)</f>
        <v>1122.8499999999999</v>
      </c>
      <c r="AU51" s="23">
        <f t="shared" si="17"/>
        <v>-2.3608695652173939E-2</v>
      </c>
      <c r="AW51">
        <f t="shared" si="7"/>
        <v>23644.799999999999</v>
      </c>
      <c r="AX51" s="23">
        <f t="shared" si="12"/>
        <v>-2.0152417419844082E-2</v>
      </c>
      <c r="BA51" s="23"/>
      <c r="BM51" s="98">
        <v>45303</v>
      </c>
      <c r="BN51">
        <f>IFERROR('Data for Beta &gt;2'!AJ47,0)</f>
        <v>2470.6999999999998</v>
      </c>
      <c r="BO51" s="23">
        <f t="shared" si="15"/>
        <v>-1.3062235359910579E-2</v>
      </c>
      <c r="BQ51" s="62">
        <f t="shared" si="1"/>
        <v>23644.799999999999</v>
      </c>
      <c r="BR51" s="23">
        <f t="shared" si="13"/>
        <v>-2.0152417419844082E-2</v>
      </c>
      <c r="BU51" s="23"/>
      <c r="CG51" s="98">
        <f>IFERROR('Data for Beta &gt;2'!AQ47,0)</f>
        <v>45303</v>
      </c>
      <c r="CH51">
        <f>IFERROR('Data for Beta &gt;2'!AR47,0)</f>
        <v>751.65</v>
      </c>
      <c r="CI51" s="23">
        <f t="shared" si="8"/>
        <v>-9.8142537215123449E-3</v>
      </c>
      <c r="CK51">
        <f>IFERROR('Data for Beta &gt;2'!L47,0)</f>
        <v>23644.799999999999</v>
      </c>
      <c r="CL51" s="23">
        <f t="shared" si="14"/>
        <v>-2.0152417419844082E-2</v>
      </c>
      <c r="CO51" s="23"/>
    </row>
    <row r="52" spans="2:93" x14ac:dyDescent="0.25">
      <c r="B52" s="98">
        <f>IFERROR('Data for Beta &gt;2'!B48,0)</f>
        <v>45658</v>
      </c>
      <c r="C52">
        <f>IFERROR('Data for Beta &gt;2'!C48,0)</f>
        <v>3936.8</v>
      </c>
      <c r="D52" s="23">
        <f t="shared" si="9"/>
        <v>-5.7809901037490952E-2</v>
      </c>
      <c r="F52">
        <f>IFERROR('Data for Beta &gt;2'!L48,0)</f>
        <v>23508.400000000001</v>
      </c>
      <c r="G52" s="23">
        <f t="shared" si="10"/>
        <v>-5.7687102449586192E-3</v>
      </c>
      <c r="J52" s="23"/>
      <c r="X52" s="98">
        <f t="shared" si="2"/>
        <v>45658</v>
      </c>
      <c r="Y52">
        <f>IFERROR('Data for Beta &gt;2'!T48,0)</f>
        <v>292.64999999999998</v>
      </c>
      <c r="Z52" s="23">
        <f t="shared" si="16"/>
        <v>-1.7056114617090001E-3</v>
      </c>
      <c r="AB52">
        <f t="shared" si="4"/>
        <v>23508.400000000001</v>
      </c>
      <c r="AC52" s="23">
        <f t="shared" si="11"/>
        <v>-5.7687102449586192E-3</v>
      </c>
      <c r="AF52" s="23"/>
      <c r="AN52" s="98"/>
      <c r="AS52" s="98">
        <f t="shared" si="5"/>
        <v>45658</v>
      </c>
      <c r="AT52">
        <f>IFERROR('Data for Beta &gt;2'!AB48,0)</f>
        <v>1305</v>
      </c>
      <c r="AU52" s="23">
        <f t="shared" si="17"/>
        <v>0.1622211337222248</v>
      </c>
      <c r="AW52">
        <f t="shared" si="7"/>
        <v>23508.400000000001</v>
      </c>
      <c r="AX52" s="23">
        <f t="shared" si="12"/>
        <v>-5.7687102449586192E-3</v>
      </c>
      <c r="BA52" s="23"/>
      <c r="BM52" s="98">
        <v>45658</v>
      </c>
      <c r="BN52">
        <f>IFERROR('Data for Beta &gt;2'!AJ48,0)</f>
        <v>2207.4</v>
      </c>
      <c r="BO52" s="23">
        <f t="shared" si="15"/>
        <v>-0.10656898854575614</v>
      </c>
      <c r="BQ52" s="62">
        <f t="shared" si="1"/>
        <v>23508.400000000001</v>
      </c>
      <c r="BR52" s="23">
        <f t="shared" si="13"/>
        <v>-5.7687102449586192E-3</v>
      </c>
      <c r="BU52" s="23"/>
      <c r="CG52" s="98">
        <f>IFERROR('Data for Beta &gt;2'!AQ48,0)</f>
        <v>45658</v>
      </c>
      <c r="CH52">
        <f>IFERROR('Data for Beta &gt;2'!AR48,0)</f>
        <v>870</v>
      </c>
      <c r="CI52" s="23">
        <f t="shared" si="8"/>
        <v>0.15745360207543402</v>
      </c>
      <c r="CK52">
        <f>IFERROR('Data for Beta &gt;2'!L48,0)</f>
        <v>23508.400000000001</v>
      </c>
      <c r="CL52" s="23">
        <f t="shared" si="14"/>
        <v>-5.7687102449586192E-3</v>
      </c>
      <c r="CO52" s="23"/>
    </row>
    <row r="53" spans="2:93" x14ac:dyDescent="0.25">
      <c r="B53" s="98">
        <f>IFERROR('Data for Beta &gt;2'!B49,0)</f>
        <v>45659</v>
      </c>
      <c r="C53">
        <f>IFERROR('Data for Beta &gt;2'!C49,0)</f>
        <v>3088.2</v>
      </c>
      <c r="D53" s="23">
        <f t="shared" si="9"/>
        <v>-0.2155557813452551</v>
      </c>
      <c r="F53">
        <f>IFERROR('Data for Beta &gt;2'!L49,0)</f>
        <v>22124.7</v>
      </c>
      <c r="G53" s="23">
        <f t="shared" si="10"/>
        <v>-5.8859811811948104E-2</v>
      </c>
      <c r="J53" s="23"/>
      <c r="X53" s="98">
        <f t="shared" si="2"/>
        <v>45659</v>
      </c>
      <c r="Y53">
        <f>IFERROR('Data for Beta &gt;2'!T49,0)</f>
        <v>246.25</v>
      </c>
      <c r="Z53" s="23">
        <f t="shared" si="16"/>
        <v>-0.15855117033999655</v>
      </c>
      <c r="AB53">
        <f t="shared" si="4"/>
        <v>22124.7</v>
      </c>
      <c r="AC53" s="23">
        <f t="shared" si="11"/>
        <v>-5.8859811811948104E-2</v>
      </c>
      <c r="AF53" s="23"/>
      <c r="AN53" s="98"/>
      <c r="AS53" s="98">
        <f t="shared" si="5"/>
        <v>45659</v>
      </c>
      <c r="AT53">
        <f>IFERROR('Data for Beta &gt;2'!AB49,0)</f>
        <v>975.4</v>
      </c>
      <c r="AU53" s="23">
        <f t="shared" si="17"/>
        <v>-0.25256704980842914</v>
      </c>
      <c r="AW53">
        <f t="shared" si="7"/>
        <v>22124.7</v>
      </c>
      <c r="AX53" s="23">
        <f t="shared" si="12"/>
        <v>-5.8859811811948104E-2</v>
      </c>
      <c r="BA53" s="23"/>
      <c r="BM53" s="98">
        <v>45659</v>
      </c>
      <c r="BN53">
        <f>IFERROR('Data for Beta &gt;2'!AJ49,0)</f>
        <v>1437.75</v>
      </c>
      <c r="BO53" s="23">
        <f t="shared" si="15"/>
        <v>-0.34866811633596084</v>
      </c>
      <c r="BQ53" s="62">
        <f t="shared" si="1"/>
        <v>22124.7</v>
      </c>
      <c r="BR53" s="23">
        <f t="shared" si="13"/>
        <v>-5.8859811811948104E-2</v>
      </c>
      <c r="BU53" s="23"/>
      <c r="CG53" s="98">
        <f>IFERROR('Data for Beta &gt;2'!AQ49,0)</f>
        <v>45659</v>
      </c>
      <c r="CH53">
        <f>IFERROR('Data for Beta &gt;2'!AR49,0)</f>
        <v>738.45</v>
      </c>
      <c r="CI53" s="23">
        <f t="shared" si="8"/>
        <v>-0.15120689655172403</v>
      </c>
      <c r="CK53">
        <f>IFERROR('Data for Beta &gt;2'!L49,0)</f>
        <v>22124.7</v>
      </c>
      <c r="CL53" s="23">
        <f t="shared" si="14"/>
        <v>-5.8859811811948104E-2</v>
      </c>
      <c r="CO53" s="23"/>
    </row>
    <row r="54" spans="2:93" x14ac:dyDescent="0.25">
      <c r="B54" s="98">
        <f>IFERROR('Data for Beta &gt;2'!B50,0)</f>
        <v>45660</v>
      </c>
      <c r="C54">
        <f>IFERROR('Data for Beta &gt;2'!C50,0)</f>
        <v>4177.45</v>
      </c>
      <c r="D54" s="23">
        <f t="shared" si="9"/>
        <v>0.35271355482157896</v>
      </c>
      <c r="F54">
        <f>IFERROR('Data for Beta &gt;2'!L50,0)</f>
        <v>23519.35</v>
      </c>
      <c r="G54" s="23">
        <f t="shared" si="10"/>
        <v>6.3035882972424462E-2</v>
      </c>
      <c r="J54" s="23"/>
      <c r="X54" s="98">
        <f t="shared" si="2"/>
        <v>45660</v>
      </c>
      <c r="Y54">
        <f>IFERROR('Data for Beta &gt;2'!T50,0)</f>
        <v>301.32</v>
      </c>
      <c r="Z54" s="23">
        <f t="shared" si="16"/>
        <v>0.22363451776649734</v>
      </c>
      <c r="AB54">
        <f t="shared" si="4"/>
        <v>23519.35</v>
      </c>
      <c r="AC54" s="23">
        <f t="shared" si="11"/>
        <v>6.3035882972424462E-2</v>
      </c>
      <c r="AF54" s="23"/>
      <c r="AN54" s="98"/>
      <c r="AS54" s="98">
        <f t="shared" si="5"/>
        <v>45660</v>
      </c>
      <c r="AT54">
        <f>IFERROR('Data for Beta &gt;2'!AB50,0)</f>
        <v>1281.4000000000001</v>
      </c>
      <c r="AU54" s="23">
        <f t="shared" si="17"/>
        <v>0.31371744925158929</v>
      </c>
      <c r="AW54">
        <f t="shared" si="7"/>
        <v>23519.35</v>
      </c>
      <c r="AX54" s="23">
        <f t="shared" si="12"/>
        <v>6.3035882972424462E-2</v>
      </c>
      <c r="BA54" s="23"/>
      <c r="BM54" s="98">
        <v>45660</v>
      </c>
      <c r="BN54">
        <f>IFERROR('Data for Beta &gt;2'!AJ50,0)</f>
        <v>1689.95</v>
      </c>
      <c r="BO54" s="23">
        <f t="shared" si="15"/>
        <v>0.17541297165710312</v>
      </c>
      <c r="BQ54" s="62">
        <f t="shared" si="1"/>
        <v>23519.35</v>
      </c>
      <c r="BR54" s="23">
        <f t="shared" si="13"/>
        <v>6.3035882972424462E-2</v>
      </c>
      <c r="BU54" s="23"/>
      <c r="CG54" s="98">
        <f>IFERROR('Data for Beta &gt;2'!AQ50,0)</f>
        <v>45660</v>
      </c>
      <c r="CH54">
        <f>IFERROR('Data for Beta &gt;2'!AR50,0)</f>
        <v>700.85</v>
      </c>
      <c r="CI54" s="23">
        <f t="shared" si="8"/>
        <v>-5.0917462252014434E-2</v>
      </c>
      <c r="CK54">
        <f>IFERROR('Data for Beta &gt;2'!L50,0)</f>
        <v>23519.35</v>
      </c>
      <c r="CL54" s="23">
        <f t="shared" si="14"/>
        <v>6.3035882972424462E-2</v>
      </c>
      <c r="CO54" s="23"/>
    </row>
    <row r="55" spans="2:93" x14ac:dyDescent="0.25">
      <c r="B55" s="98">
        <f>IFERROR('Data for Beta &gt;2'!B51,0)</f>
        <v>45661</v>
      </c>
      <c r="C55">
        <f>IFERROR('Data for Beta &gt;2'!C51,0)</f>
        <v>4487.8999999999996</v>
      </c>
      <c r="D55" s="23">
        <f t="shared" si="9"/>
        <v>7.4315671043339693E-2</v>
      </c>
      <c r="F55">
        <f>IFERROR('Data for Beta &gt;2'!L51,0)</f>
        <v>24334.2</v>
      </c>
      <c r="G55" s="23">
        <f t="shared" si="10"/>
        <v>3.4645940470293679E-2</v>
      </c>
      <c r="J55" s="23"/>
      <c r="X55" s="98">
        <f t="shared" si="2"/>
        <v>45661</v>
      </c>
      <c r="Y55">
        <f>IFERROR('Data for Beta &gt;2'!T51,0)</f>
        <v>314.10000000000002</v>
      </c>
      <c r="Z55" s="23">
        <f t="shared" si="16"/>
        <v>4.2413381123058702E-2</v>
      </c>
      <c r="AB55">
        <f t="shared" si="4"/>
        <v>24334.2</v>
      </c>
      <c r="AC55" s="23">
        <f t="shared" si="11"/>
        <v>3.4645940470293679E-2</v>
      </c>
      <c r="AF55" s="23"/>
      <c r="AN55" s="98"/>
      <c r="AS55" s="98">
        <f t="shared" si="5"/>
        <v>45661</v>
      </c>
      <c r="AT55">
        <f>IFERROR('Data for Beta &gt;2'!AB51,0)</f>
        <v>1529.6</v>
      </c>
      <c r="AU55" s="23">
        <f t="shared" si="17"/>
        <v>0.19369439675355071</v>
      </c>
      <c r="AW55">
        <f t="shared" si="7"/>
        <v>24334.2</v>
      </c>
      <c r="AX55" s="23">
        <f t="shared" si="12"/>
        <v>3.4645940470293679E-2</v>
      </c>
      <c r="BA55" s="23"/>
      <c r="BM55" s="98">
        <v>45661</v>
      </c>
      <c r="BN55">
        <f>IFERROR('Data for Beta &gt;2'!AJ51,0)</f>
        <v>2486.6</v>
      </c>
      <c r="BO55" s="23">
        <f t="shared" si="15"/>
        <v>0.4714044794224681</v>
      </c>
      <c r="BQ55" s="62">
        <f t="shared" si="1"/>
        <v>24334.2</v>
      </c>
      <c r="BR55" s="23">
        <f t="shared" si="13"/>
        <v>3.4645940470293679E-2</v>
      </c>
      <c r="BU55" s="23"/>
      <c r="CG55" s="98">
        <f>IFERROR('Data for Beta &gt;2'!AQ51,0)</f>
        <v>45661</v>
      </c>
      <c r="CH55">
        <f>IFERROR('Data for Beta &gt;2'!AR51,0)</f>
        <v>719.45</v>
      </c>
      <c r="CI55" s="23">
        <f t="shared" si="8"/>
        <v>2.6539202397089179E-2</v>
      </c>
      <c r="CK55">
        <f>IFERROR('Data for Beta &gt;2'!L51,0)</f>
        <v>24334.2</v>
      </c>
      <c r="CL55" s="23">
        <f t="shared" si="14"/>
        <v>3.4645940470293679E-2</v>
      </c>
      <c r="CO55" s="23"/>
    </row>
    <row r="56" spans="2:93" x14ac:dyDescent="0.25">
      <c r="B56" s="98">
        <f>IFERROR('Data for Beta &gt;2'!B52,0)</f>
        <v>45662</v>
      </c>
      <c r="C56">
        <f>IFERROR('Data for Beta &gt;2'!C52,0)</f>
        <v>4974.1000000000004</v>
      </c>
      <c r="D56" s="23">
        <f t="shared" si="9"/>
        <v>0.10833574723144479</v>
      </c>
      <c r="F56">
        <f>IFERROR('Data for Beta &gt;2'!L52,0)</f>
        <v>24750.7</v>
      </c>
      <c r="G56" s="23">
        <f t="shared" si="10"/>
        <v>1.7115828751304685E-2</v>
      </c>
      <c r="J56" s="23"/>
      <c r="X56" s="98">
        <f t="shared" si="2"/>
        <v>45662</v>
      </c>
      <c r="Y56">
        <f>IFERROR('Data for Beta &gt;2'!T52,0)</f>
        <v>384.6</v>
      </c>
      <c r="Z56" s="23">
        <f t="shared" si="16"/>
        <v>0.22445081184336191</v>
      </c>
      <c r="AB56">
        <f t="shared" si="4"/>
        <v>24750.7</v>
      </c>
      <c r="AC56" s="23">
        <f t="shared" si="11"/>
        <v>1.7115828751304685E-2</v>
      </c>
      <c r="AF56" s="23"/>
      <c r="AN56" s="98"/>
      <c r="AS56" s="98">
        <f t="shared" si="5"/>
        <v>45662</v>
      </c>
      <c r="AT56">
        <f>IFERROR('Data for Beta &gt;2'!AB52,0)</f>
        <v>2015.5</v>
      </c>
      <c r="AU56" s="23">
        <f t="shared" si="17"/>
        <v>0.31766474895397501</v>
      </c>
      <c r="AW56">
        <f t="shared" si="7"/>
        <v>24750.7</v>
      </c>
      <c r="AX56" s="23">
        <f t="shared" si="12"/>
        <v>1.7115828751304685E-2</v>
      </c>
      <c r="BA56" s="23"/>
      <c r="BM56" s="98">
        <v>45662</v>
      </c>
      <c r="BN56">
        <f>IFERROR('Data for Beta &gt;2'!AJ52,0)</f>
        <v>2848.2</v>
      </c>
      <c r="BO56" s="23">
        <f t="shared" si="15"/>
        <v>0.14541944824258013</v>
      </c>
      <c r="BQ56" s="62">
        <f t="shared" si="1"/>
        <v>24750.7</v>
      </c>
      <c r="BR56" s="23">
        <f t="shared" si="13"/>
        <v>1.7115828751304685E-2</v>
      </c>
      <c r="BU56" s="23"/>
      <c r="CG56" s="98">
        <f>IFERROR('Data for Beta &gt;2'!AQ52,0)</f>
        <v>45662</v>
      </c>
      <c r="CH56">
        <f>IFERROR('Data for Beta &gt;2'!AR52,0)</f>
        <v>833.05</v>
      </c>
      <c r="CI56" s="23">
        <f t="shared" si="8"/>
        <v>0.1578983946069914</v>
      </c>
      <c r="CK56">
        <f>IFERROR('Data for Beta &gt;2'!L52,0)</f>
        <v>24750.7</v>
      </c>
      <c r="CL56" s="23">
        <f t="shared" si="14"/>
        <v>1.7115828751304685E-2</v>
      </c>
      <c r="CO56" s="23"/>
    </row>
    <row r="57" spans="2:93" x14ac:dyDescent="0.25">
      <c r="B57" s="98">
        <f>IFERROR('Data for Beta &gt;2'!B53,0)</f>
        <v>45663</v>
      </c>
      <c r="C57">
        <f>IFERROR('Data for Beta &gt;2'!C53,0)</f>
        <v>4869.8</v>
      </c>
      <c r="D57" s="23">
        <f t="shared" si="9"/>
        <v>-2.0968617438330561E-2</v>
      </c>
      <c r="F57">
        <f>IFERROR('Data for Beta &gt;2'!L53,0)</f>
        <v>25517.05</v>
      </c>
      <c r="G57" s="23">
        <f t="shared" si="10"/>
        <v>3.0962760649193788E-2</v>
      </c>
      <c r="J57" s="23"/>
      <c r="X57" s="98">
        <f t="shared" si="2"/>
        <v>45663</v>
      </c>
      <c r="Y57">
        <f>IFERROR('Data for Beta &gt;2'!T53,0)</f>
        <v>421.5</v>
      </c>
      <c r="Z57" s="23">
        <f t="shared" si="16"/>
        <v>9.5943837753510008E-2</v>
      </c>
      <c r="AB57">
        <f t="shared" si="4"/>
        <v>25517.05</v>
      </c>
      <c r="AC57" s="23">
        <f t="shared" si="11"/>
        <v>3.0962760649193788E-2</v>
      </c>
      <c r="AF57" s="23"/>
      <c r="AN57" s="98"/>
      <c r="AS57" s="98">
        <f t="shared" si="5"/>
        <v>45663</v>
      </c>
      <c r="AT57">
        <f>IFERROR('Data for Beta &gt;2'!AB53,0)</f>
        <v>1943.2</v>
      </c>
      <c r="AU57" s="23">
        <f t="shared" si="17"/>
        <v>-3.5871992061523139E-2</v>
      </c>
      <c r="AW57">
        <f t="shared" si="7"/>
        <v>25517.05</v>
      </c>
      <c r="AX57" s="23">
        <f t="shared" si="12"/>
        <v>3.0962760649193788E-2</v>
      </c>
      <c r="BA57" s="23"/>
      <c r="BM57" s="98">
        <v>45663</v>
      </c>
      <c r="BN57">
        <f>IFERROR('Data for Beta &gt;2'!AJ53,0)</f>
        <v>2900.7</v>
      </c>
      <c r="BO57" s="23">
        <f t="shared" si="15"/>
        <v>1.8432694333263111E-2</v>
      </c>
      <c r="BQ57" s="62">
        <f t="shared" si="1"/>
        <v>25517.05</v>
      </c>
      <c r="BR57" s="23">
        <f t="shared" si="13"/>
        <v>3.0962760649193788E-2</v>
      </c>
      <c r="BU57" s="23"/>
      <c r="CG57" s="98">
        <f>IFERROR('Data for Beta &gt;2'!AQ53,0)</f>
        <v>45663</v>
      </c>
      <c r="CH57">
        <f>IFERROR('Data for Beta &gt;2'!AR53,0)</f>
        <v>842.55</v>
      </c>
      <c r="CI57" s="23">
        <f t="shared" si="8"/>
        <v>1.1403877318288291E-2</v>
      </c>
      <c r="CK57">
        <f>IFERROR('Data for Beta &gt;2'!L53,0)</f>
        <v>25517.05</v>
      </c>
      <c r="CL57" s="23">
        <f t="shared" si="14"/>
        <v>3.0962760649193788E-2</v>
      </c>
      <c r="CO57" s="23"/>
    </row>
    <row r="58" spans="2:93" x14ac:dyDescent="0.25">
      <c r="B58" s="98">
        <f>IFERROR('Data for Beta &gt;2'!B54,0)</f>
        <v>45664</v>
      </c>
      <c r="C58">
        <f>IFERROR('Data for Beta &gt;2'!C54,0)</f>
        <v>4533.8999999999996</v>
      </c>
      <c r="D58" s="23">
        <f t="shared" si="9"/>
        <v>-6.8976138650458041E-2</v>
      </c>
      <c r="F58">
        <f>IFERROR('Data for Beta &gt;2'!L54,0)</f>
        <v>24768.35</v>
      </c>
      <c r="G58" s="23">
        <f t="shared" si="10"/>
        <v>-2.9341166004691055E-2</v>
      </c>
      <c r="J58" s="23"/>
      <c r="X58" s="98">
        <f t="shared" si="2"/>
        <v>45664</v>
      </c>
      <c r="Y58">
        <f>IFERROR('Data for Beta &gt;2'!T54,0)</f>
        <v>383.1</v>
      </c>
      <c r="Z58" s="23">
        <f t="shared" si="16"/>
        <v>-9.110320284697504E-2</v>
      </c>
      <c r="AB58">
        <f t="shared" si="4"/>
        <v>24768.35</v>
      </c>
      <c r="AC58" s="23">
        <f t="shared" si="11"/>
        <v>-2.9341166004691055E-2</v>
      </c>
      <c r="AF58" s="23"/>
      <c r="AN58" s="98"/>
      <c r="AS58" s="98">
        <f t="shared" si="5"/>
        <v>45664</v>
      </c>
      <c r="AT58">
        <f>IFERROR('Data for Beta &gt;2'!AB54,0)</f>
        <v>1619</v>
      </c>
      <c r="AU58" s="23">
        <f t="shared" si="17"/>
        <v>-0.16683820502264313</v>
      </c>
      <c r="AW58">
        <f t="shared" si="7"/>
        <v>24768.35</v>
      </c>
      <c r="AX58" s="23">
        <f t="shared" si="12"/>
        <v>-2.9341166004691055E-2</v>
      </c>
      <c r="BA58" s="23"/>
      <c r="BM58" s="98">
        <v>45664</v>
      </c>
      <c r="BN58">
        <f>IFERROR('Data for Beta &gt;2'!AJ54,0)</f>
        <v>2640.9</v>
      </c>
      <c r="BO58" s="23">
        <f t="shared" si="15"/>
        <v>-8.9564587858103173E-2</v>
      </c>
      <c r="BQ58" s="62">
        <f t="shared" si="1"/>
        <v>24768.35</v>
      </c>
      <c r="BR58" s="23">
        <f t="shared" si="13"/>
        <v>-2.9341166004691055E-2</v>
      </c>
      <c r="BU58" s="23"/>
      <c r="CG58" s="98">
        <f>IFERROR('Data for Beta &gt;2'!AQ54,0)</f>
        <v>45664</v>
      </c>
      <c r="CH58">
        <f>IFERROR('Data for Beta &gt;2'!AR54,0)</f>
        <v>806.15</v>
      </c>
      <c r="CI58" s="23">
        <f t="shared" si="8"/>
        <v>-4.3202183846655973E-2</v>
      </c>
      <c r="CK58">
        <f>IFERROR('Data for Beta &gt;2'!L54,0)</f>
        <v>24768.35</v>
      </c>
      <c r="CL58" s="23">
        <f t="shared" si="14"/>
        <v>-2.9341166004691055E-2</v>
      </c>
      <c r="CO58" s="23"/>
    </row>
    <row r="59" spans="2:93" x14ac:dyDescent="0.25">
      <c r="B59" s="98">
        <f>IFERROR('Data for Beta &gt;2'!B55,0)</f>
        <v>45665</v>
      </c>
      <c r="C59">
        <f>IFERROR('Data for Beta &gt;2'!C55,0)</f>
        <v>4332.6000000000004</v>
      </c>
      <c r="D59" s="23">
        <f t="shared" si="9"/>
        <v>-4.4398861906967402E-2</v>
      </c>
      <c r="F59">
        <f>IFERROR('Data for Beta &gt;2'!L55,0)</f>
        <v>24426.85</v>
      </c>
      <c r="G59" s="23">
        <f t="shared" si="10"/>
        <v>-1.3787757359694952E-2</v>
      </c>
      <c r="J59" s="23"/>
      <c r="X59" s="98">
        <f t="shared" si="2"/>
        <v>45665</v>
      </c>
      <c r="Y59">
        <f>IFERROR('Data for Beta &gt;2'!T55,0)</f>
        <v>369.4</v>
      </c>
      <c r="Z59" s="23">
        <f t="shared" si="16"/>
        <v>-3.5760897937875291E-2</v>
      </c>
      <c r="AB59">
        <f t="shared" si="4"/>
        <v>24426.85</v>
      </c>
      <c r="AC59" s="23">
        <f t="shared" si="11"/>
        <v>-1.3787757359694952E-2</v>
      </c>
      <c r="AF59" s="23"/>
      <c r="AN59" s="98"/>
      <c r="AS59" s="98">
        <f t="shared" si="5"/>
        <v>45665</v>
      </c>
      <c r="AT59">
        <f>IFERROR('Data for Beta &gt;2'!AB55,0)</f>
        <v>1435.7</v>
      </c>
      <c r="AU59" s="23">
        <f t="shared" si="17"/>
        <v>-0.11321803582458301</v>
      </c>
      <c r="AW59">
        <f t="shared" si="7"/>
        <v>24426.85</v>
      </c>
      <c r="AX59" s="23">
        <f t="shared" si="12"/>
        <v>-1.3787757359694952E-2</v>
      </c>
      <c r="BA59" s="23"/>
      <c r="BM59" s="98">
        <v>45665</v>
      </c>
      <c r="BN59">
        <f>IFERROR('Data for Beta &gt;2'!AJ55,0)</f>
        <v>2402.8000000000002</v>
      </c>
      <c r="BO59" s="23">
        <f t="shared" si="15"/>
        <v>-9.0158658033246186E-2</v>
      </c>
      <c r="BQ59" s="62">
        <f t="shared" si="1"/>
        <v>24426.85</v>
      </c>
      <c r="BR59" s="23">
        <f t="shared" si="13"/>
        <v>-1.3787757359694952E-2</v>
      </c>
      <c r="BU59" s="23"/>
      <c r="CG59" s="98">
        <f>IFERROR('Data for Beta &gt;2'!AQ55,0)</f>
        <v>45665</v>
      </c>
      <c r="CH59">
        <f>IFERROR('Data for Beta &gt;2'!AR55,0)</f>
        <v>768.1</v>
      </c>
      <c r="CI59" s="23">
        <f t="shared" si="8"/>
        <v>-4.7199652670098513E-2</v>
      </c>
      <c r="CK59">
        <f>IFERROR('Data for Beta &gt;2'!L55,0)</f>
        <v>24426.85</v>
      </c>
      <c r="CL59" s="23">
        <f t="shared" si="14"/>
        <v>-1.3787757359694952E-2</v>
      </c>
      <c r="CO59" s="23"/>
    </row>
    <row r="60" spans="2:93" x14ac:dyDescent="0.25">
      <c r="B60" s="98">
        <f>IFERROR('Data for Beta &gt;2'!B56,0)</f>
        <v>45666</v>
      </c>
      <c r="C60">
        <f>IFERROR('Data for Beta &gt;2'!C56,0)</f>
        <v>4746.5</v>
      </c>
      <c r="D60" s="23">
        <f t="shared" si="9"/>
        <v>9.5531551493329481E-2</v>
      </c>
      <c r="F60">
        <f>IFERROR('Data for Beta &gt;2'!L56,0)</f>
        <v>24611.1</v>
      </c>
      <c r="G60" s="23">
        <f t="shared" si="10"/>
        <v>7.5429291947182175E-3</v>
      </c>
      <c r="J60" s="23"/>
      <c r="X60" s="98">
        <f t="shared" si="2"/>
        <v>45666</v>
      </c>
      <c r="Y60">
        <f>IFERROR('Data for Beta &gt;2'!T56,0)</f>
        <v>403.95</v>
      </c>
      <c r="Z60" s="23">
        <f t="shared" si="16"/>
        <v>9.3530048727666459E-2</v>
      </c>
      <c r="AB60">
        <f t="shared" si="4"/>
        <v>24611.1</v>
      </c>
      <c r="AC60" s="23">
        <f t="shared" si="11"/>
        <v>7.5429291947182175E-3</v>
      </c>
      <c r="AF60" s="23"/>
      <c r="AN60" s="98"/>
      <c r="AS60" s="98">
        <f t="shared" si="5"/>
        <v>45666</v>
      </c>
      <c r="AT60">
        <f>IFERROR('Data for Beta &gt;2'!AB56,0)</f>
        <v>1493.2</v>
      </c>
      <c r="AU60" s="23">
        <f t="shared" si="17"/>
        <v>4.005014975273391E-2</v>
      </c>
      <c r="AW60">
        <f t="shared" si="7"/>
        <v>24611.1</v>
      </c>
      <c r="AX60" s="23">
        <f t="shared" si="12"/>
        <v>7.5429291947182175E-3</v>
      </c>
      <c r="BA60" s="23"/>
      <c r="BM60" s="98">
        <v>45666</v>
      </c>
      <c r="BN60">
        <f>IFERROR('Data for Beta &gt;2'!AJ56,0)</f>
        <v>2549.4</v>
      </c>
      <c r="BO60" s="23">
        <f t="shared" si="15"/>
        <v>6.1012152488763016E-2</v>
      </c>
      <c r="BQ60" s="62">
        <f t="shared" si="1"/>
        <v>24611.1</v>
      </c>
      <c r="BR60" s="23">
        <f t="shared" si="13"/>
        <v>7.5429291947182175E-3</v>
      </c>
      <c r="BU60" s="23"/>
      <c r="CG60" s="98">
        <f>IFERROR('Data for Beta &gt;2'!AQ56,0)</f>
        <v>45666</v>
      </c>
      <c r="CH60">
        <f>IFERROR('Data for Beta &gt;2'!AR56,0)</f>
        <v>763.1</v>
      </c>
      <c r="CI60" s="23">
        <f t="shared" si="8"/>
        <v>-6.5095690665277761E-3</v>
      </c>
      <c r="CK60">
        <f>IFERROR('Data for Beta &gt;2'!L56,0)</f>
        <v>24611.1</v>
      </c>
      <c r="CL60" s="23">
        <f t="shared" si="14"/>
        <v>7.5429291947182175E-3</v>
      </c>
      <c r="CO60" s="23"/>
    </row>
    <row r="61" spans="2:93" x14ac:dyDescent="0.25">
      <c r="B61" s="98">
        <f>IFERROR('Data for Beta &gt;2'!B57,0)</f>
        <v>45667</v>
      </c>
      <c r="C61">
        <f>IFERROR('Data for Beta &gt;2'!C57,0)</f>
        <v>4679.8</v>
      </c>
      <c r="D61" s="23">
        <f t="shared" si="9"/>
        <v>-1.4052459707152631E-2</v>
      </c>
      <c r="F61">
        <f>IFERROR('Data for Beta &gt;2'!L57,0)</f>
        <v>25722.1</v>
      </c>
      <c r="G61" s="23">
        <f t="shared" si="10"/>
        <v>4.5142232569856722E-2</v>
      </c>
      <c r="J61" s="23"/>
      <c r="X61" s="98">
        <f t="shared" si="2"/>
        <v>45667</v>
      </c>
      <c r="Y61">
        <f>IFERROR('Data for Beta &gt;2'!T57,0)</f>
        <v>426.1</v>
      </c>
      <c r="Z61" s="23">
        <f t="shared" si="16"/>
        <v>5.4833518999876318E-2</v>
      </c>
      <c r="AB61">
        <f t="shared" si="4"/>
        <v>25722.1</v>
      </c>
      <c r="AC61" s="23">
        <f t="shared" si="11"/>
        <v>4.5142232569856722E-2</v>
      </c>
      <c r="AF61" s="23"/>
      <c r="AN61" s="98"/>
      <c r="AS61" s="98">
        <f t="shared" si="5"/>
        <v>45667</v>
      </c>
      <c r="AT61">
        <f>IFERROR('Data for Beta &gt;2'!AB57,0)</f>
        <v>1529.9</v>
      </c>
      <c r="AU61" s="23">
        <f t="shared" si="17"/>
        <v>2.4578087329225839E-2</v>
      </c>
      <c r="AW61">
        <f t="shared" si="7"/>
        <v>25722.1</v>
      </c>
      <c r="AX61" s="23">
        <f t="shared" si="12"/>
        <v>4.5142232569856722E-2</v>
      </c>
      <c r="BA61" s="23"/>
      <c r="BM61" s="98">
        <v>45667</v>
      </c>
      <c r="BN61">
        <f>IFERROR('Data for Beta &gt;2'!AJ57,0)</f>
        <v>2744</v>
      </c>
      <c r="BO61" s="23">
        <f t="shared" si="15"/>
        <v>7.6331685886875222E-2</v>
      </c>
      <c r="BQ61" s="62">
        <f t="shared" si="1"/>
        <v>25722.1</v>
      </c>
      <c r="BR61" s="23">
        <f t="shared" si="13"/>
        <v>4.5142232569856722E-2</v>
      </c>
      <c r="BU61" s="23"/>
      <c r="CG61" s="98">
        <f>IFERROR('Data for Beta &gt;2'!AQ57,0)</f>
        <v>45667</v>
      </c>
      <c r="CH61">
        <f>IFERROR('Data for Beta &gt;2'!AR57,0)</f>
        <v>797.55</v>
      </c>
      <c r="CI61" s="23">
        <f t="shared" si="8"/>
        <v>4.514480408858601E-2</v>
      </c>
      <c r="CK61">
        <f>IFERROR('Data for Beta &gt;2'!L57,0)</f>
        <v>25722.1</v>
      </c>
      <c r="CL61" s="23">
        <f t="shared" si="14"/>
        <v>4.5142232569856722E-2</v>
      </c>
      <c r="CO61" s="23"/>
    </row>
    <row r="62" spans="2:93" x14ac:dyDescent="0.25">
      <c r="B62" s="98">
        <f>IFERROR('Data for Beta &gt;2'!B58,0)</f>
        <v>45668</v>
      </c>
      <c r="C62">
        <f>IFERROR('Data for Beta &gt;2'!C58,0)</f>
        <v>4542.3999999999996</v>
      </c>
      <c r="D62" s="23">
        <f t="shared" si="9"/>
        <v>-2.9360229069618438E-2</v>
      </c>
      <c r="F62">
        <f>IFERROR('Data for Beta &gt;2'!L58,0)</f>
        <v>26202.95</v>
      </c>
      <c r="G62" s="23">
        <f t="shared" si="10"/>
        <v>1.8694041310779452E-2</v>
      </c>
      <c r="J62" s="23"/>
      <c r="X62" s="98">
        <f t="shared" si="2"/>
        <v>45668</v>
      </c>
      <c r="Y62">
        <f>IFERROR('Data for Beta &gt;2'!T58,0)</f>
        <v>411.75</v>
      </c>
      <c r="Z62" s="23">
        <f t="shared" si="16"/>
        <v>-3.3677540483454615E-2</v>
      </c>
      <c r="AB62">
        <f t="shared" si="4"/>
        <v>26202.95</v>
      </c>
      <c r="AC62" s="23">
        <f t="shared" si="11"/>
        <v>1.8694041310779452E-2</v>
      </c>
      <c r="AF62" s="23"/>
      <c r="AN62" s="98"/>
      <c r="AS62" s="98">
        <f t="shared" si="5"/>
        <v>45668</v>
      </c>
      <c r="AT62">
        <f>IFERROR('Data for Beta &gt;2'!AB58,0)</f>
        <v>1513.6</v>
      </c>
      <c r="AU62" s="23">
        <f t="shared" si="17"/>
        <v>-1.0654291130139382E-2</v>
      </c>
      <c r="AW62">
        <f t="shared" si="7"/>
        <v>26202.95</v>
      </c>
      <c r="AX62" s="23">
        <f t="shared" si="12"/>
        <v>1.8694041310779452E-2</v>
      </c>
      <c r="BA62" s="23"/>
      <c r="BM62" s="98">
        <v>45668</v>
      </c>
      <c r="BN62">
        <f>IFERROR('Data for Beta &gt;2'!AJ58,0)</f>
        <v>2970.8</v>
      </c>
      <c r="BO62" s="23">
        <f t="shared" si="15"/>
        <v>8.2653061224489788E-2</v>
      </c>
      <c r="BQ62" s="62">
        <f t="shared" si="1"/>
        <v>26202.95</v>
      </c>
      <c r="BR62" s="23">
        <f t="shared" si="13"/>
        <v>1.8694041310779452E-2</v>
      </c>
      <c r="BU62" s="23"/>
      <c r="CG62" s="98">
        <f>IFERROR('Data for Beta &gt;2'!AQ58,0)</f>
        <v>45668</v>
      </c>
      <c r="CH62">
        <f>IFERROR('Data for Beta &gt;2'!AR58,0)</f>
        <v>749.65</v>
      </c>
      <c r="CI62" s="23">
        <f t="shared" si="8"/>
        <v>-6.0058930474578331E-2</v>
      </c>
      <c r="CK62">
        <f>IFERROR('Data for Beta &gt;2'!L58,0)</f>
        <v>26202.95</v>
      </c>
      <c r="CL62" s="23">
        <f t="shared" si="14"/>
        <v>1.8694041310779452E-2</v>
      </c>
      <c r="CO62" s="23"/>
    </row>
    <row r="63" spans="2:93" x14ac:dyDescent="0.25">
      <c r="B63" s="98">
        <f>IFERROR('Data for Beta &gt;2'!B59,0)</f>
        <v>45669</v>
      </c>
      <c r="C63">
        <f>IFERROR('Data for Beta &gt;2'!C59,0)</f>
        <v>4409.8</v>
      </c>
      <c r="D63" s="23">
        <f t="shared" si="9"/>
        <v>-2.9191616766466977E-2</v>
      </c>
      <c r="F63">
        <f>IFERROR('Data for Beta &gt;2'!L59,0)</f>
        <v>26177.15</v>
      </c>
      <c r="G63" s="23">
        <f t="shared" si="10"/>
        <v>-9.8462196050441708E-4</v>
      </c>
      <c r="J63" s="23"/>
      <c r="X63" s="98">
        <f t="shared" si="2"/>
        <v>45669</v>
      </c>
      <c r="Y63">
        <f>IFERROR('Data for Beta &gt;2'!T59,0)</f>
        <v>399.4</v>
      </c>
      <c r="Z63" s="23">
        <f t="shared" si="16"/>
        <v>-2.9993928354584143E-2</v>
      </c>
      <c r="AB63">
        <f t="shared" si="4"/>
        <v>26177.15</v>
      </c>
      <c r="AC63" s="23">
        <f t="shared" si="11"/>
        <v>-9.8462196050441708E-4</v>
      </c>
      <c r="AF63" s="23"/>
      <c r="AS63" s="98">
        <f t="shared" si="5"/>
        <v>45669</v>
      </c>
      <c r="AT63">
        <f>IFERROR('Data for Beta &gt;2'!AB59,0)</f>
        <v>1431.4</v>
      </c>
      <c r="AU63" s="23">
        <f t="shared" si="17"/>
        <v>-5.430761099365744E-2</v>
      </c>
      <c r="AW63">
        <f t="shared" si="7"/>
        <v>26177.15</v>
      </c>
      <c r="AX63" s="23">
        <f t="shared" si="12"/>
        <v>-9.8462196050441708E-4</v>
      </c>
      <c r="BA63" s="23"/>
      <c r="BM63" s="98">
        <v>45669</v>
      </c>
      <c r="BN63">
        <f>IFERROR('Data for Beta &gt;2'!AJ59,0)</f>
        <v>2657.8</v>
      </c>
      <c r="BO63" s="23">
        <f t="shared" si="15"/>
        <v>-0.10535882590547996</v>
      </c>
      <c r="BQ63" s="62">
        <f>AW63</f>
        <v>26177.15</v>
      </c>
      <c r="BR63" s="23">
        <f t="shared" si="13"/>
        <v>-9.8462196050441708E-4</v>
      </c>
      <c r="BU63" s="23"/>
      <c r="CG63" s="98">
        <f>IFERROR('Data for Beta &gt;2'!AQ59,0)</f>
        <v>45669</v>
      </c>
      <c r="CH63">
        <f>IFERROR('Data for Beta &gt;2'!AR59,0)</f>
        <v>739.85</v>
      </c>
      <c r="CI63" s="23">
        <f t="shared" si="8"/>
        <v>-1.3072767291402609E-2</v>
      </c>
      <c r="CK63">
        <f>IFERROR('Data for Beta &gt;2'!L59,0)</f>
        <v>26177.15</v>
      </c>
      <c r="CL63" s="23">
        <f t="shared" si="14"/>
        <v>-9.8462196050441708E-4</v>
      </c>
      <c r="CO63" s="23"/>
    </row>
    <row r="64" spans="2:93" x14ac:dyDescent="0.25">
      <c r="B64" s="98"/>
      <c r="J64" s="23"/>
    </row>
    <row r="65" spans="2:2" x14ac:dyDescent="0.25">
      <c r="B65" s="98"/>
    </row>
    <row r="66" spans="2:2" x14ac:dyDescent="0.25">
      <c r="B66" s="98"/>
    </row>
    <row r="67" spans="2:2" x14ac:dyDescent="0.25">
      <c r="B67" s="98"/>
    </row>
    <row r="68" spans="2:2" x14ac:dyDescent="0.25">
      <c r="B68" s="98"/>
    </row>
    <row r="69" spans="2:2" x14ac:dyDescent="0.25">
      <c r="B69" s="98"/>
    </row>
    <row r="70" spans="2:2" x14ac:dyDescent="0.25">
      <c r="B70" s="98"/>
    </row>
    <row r="71" spans="2:2" x14ac:dyDescent="0.25">
      <c r="B71" s="98"/>
    </row>
    <row r="72" spans="2:2" x14ac:dyDescent="0.25">
      <c r="B72" s="98"/>
    </row>
    <row r="73" spans="2:2" x14ac:dyDescent="0.25">
      <c r="B73" s="98"/>
    </row>
    <row r="74" spans="2:2" x14ac:dyDescent="0.25">
      <c r="B74" s="98"/>
    </row>
    <row r="75" spans="2:2" x14ac:dyDescent="0.25">
      <c r="B75" s="98"/>
    </row>
    <row r="76" spans="2:2" x14ac:dyDescent="0.25">
      <c r="B76" s="98"/>
    </row>
    <row r="77" spans="2:2" x14ac:dyDescent="0.25">
      <c r="B77" s="98"/>
    </row>
    <row r="78" spans="2:2" x14ac:dyDescent="0.25">
      <c r="B78" s="98"/>
    </row>
    <row r="79" spans="2:2" x14ac:dyDescent="0.25">
      <c r="B79" s="98"/>
    </row>
    <row r="80" spans="2:2" x14ac:dyDescent="0.25">
      <c r="B80" s="98"/>
    </row>
    <row r="81" spans="2:2" x14ac:dyDescent="0.25">
      <c r="B81" s="98"/>
    </row>
    <row r="82" spans="2:2" x14ac:dyDescent="0.25">
      <c r="B82" s="98"/>
    </row>
    <row r="83" spans="2:2" x14ac:dyDescent="0.25">
      <c r="B83" s="98"/>
    </row>
    <row r="84" spans="2:2" x14ac:dyDescent="0.25">
      <c r="B84" s="98"/>
    </row>
    <row r="85" spans="2:2" x14ac:dyDescent="0.25">
      <c r="B85" s="98"/>
    </row>
    <row r="86" spans="2:2" x14ac:dyDescent="0.25">
      <c r="B86" s="98"/>
    </row>
    <row r="87" spans="2:2" x14ac:dyDescent="0.25">
      <c r="B87" s="98"/>
    </row>
    <row r="88" spans="2:2" x14ac:dyDescent="0.25">
      <c r="B88" s="98"/>
    </row>
    <row r="89" spans="2:2" x14ac:dyDescent="0.25">
      <c r="B89" s="98"/>
    </row>
    <row r="90" spans="2:2" x14ac:dyDescent="0.25">
      <c r="B90" s="98"/>
    </row>
    <row r="91" spans="2:2" x14ac:dyDescent="0.25">
      <c r="B91" s="98"/>
    </row>
    <row r="92" spans="2:2" x14ac:dyDescent="0.25">
      <c r="B92" s="98"/>
    </row>
    <row r="93" spans="2:2" x14ac:dyDescent="0.25">
      <c r="B93" s="98"/>
    </row>
    <row r="94" spans="2:2" x14ac:dyDescent="0.25">
      <c r="B94" s="98"/>
    </row>
    <row r="95" spans="2:2" x14ac:dyDescent="0.25">
      <c r="B95" s="98"/>
    </row>
    <row r="96" spans="2:2" x14ac:dyDescent="0.25">
      <c r="B96" s="98"/>
    </row>
    <row r="97" spans="2:2" x14ac:dyDescent="0.25">
      <c r="B97" s="98"/>
    </row>
    <row r="98" spans="2:2" x14ac:dyDescent="0.25">
      <c r="B98" s="98"/>
    </row>
    <row r="99" spans="2:2" x14ac:dyDescent="0.25">
      <c r="B99" s="98"/>
    </row>
    <row r="100" spans="2:2" x14ac:dyDescent="0.25">
      <c r="B100" s="98"/>
    </row>
    <row r="101" spans="2:2" x14ac:dyDescent="0.25">
      <c r="B101" s="98"/>
    </row>
    <row r="102" spans="2:2" x14ac:dyDescent="0.25">
      <c r="B102" s="98"/>
    </row>
    <row r="103" spans="2:2" x14ac:dyDescent="0.25">
      <c r="B103" s="98"/>
    </row>
    <row r="104" spans="2:2" x14ac:dyDescent="0.25">
      <c r="B104" s="98"/>
    </row>
    <row r="105" spans="2:2" x14ac:dyDescent="0.25">
      <c r="B105" s="98"/>
    </row>
    <row r="106" spans="2:2" x14ac:dyDescent="0.25">
      <c r="B106" s="98"/>
    </row>
    <row r="107" spans="2:2" x14ac:dyDescent="0.25">
      <c r="B107" s="98"/>
    </row>
    <row r="108" spans="2:2" x14ac:dyDescent="0.25">
      <c r="B108" s="98"/>
    </row>
    <row r="109" spans="2:2" x14ac:dyDescent="0.25">
      <c r="B109" s="98"/>
    </row>
    <row r="110" spans="2:2" x14ac:dyDescent="0.25">
      <c r="B110" s="98"/>
    </row>
    <row r="111" spans="2:2" x14ac:dyDescent="0.25">
      <c r="B111" s="98"/>
    </row>
    <row r="112" spans="2:2" x14ac:dyDescent="0.25">
      <c r="B112" s="98"/>
    </row>
    <row r="113" spans="2:2" x14ac:dyDescent="0.25">
      <c r="B113" s="98"/>
    </row>
    <row r="114" spans="2:2" x14ac:dyDescent="0.25">
      <c r="B114" s="98"/>
    </row>
    <row r="115" spans="2:2" x14ac:dyDescent="0.25">
      <c r="B115" s="98"/>
    </row>
    <row r="116" spans="2:2" x14ac:dyDescent="0.25">
      <c r="B116" s="98"/>
    </row>
    <row r="117" spans="2:2" x14ac:dyDescent="0.25">
      <c r="B117" s="98"/>
    </row>
    <row r="118" spans="2:2" x14ac:dyDescent="0.25">
      <c r="B118" s="98"/>
    </row>
    <row r="119" spans="2:2" x14ac:dyDescent="0.25">
      <c r="B119" s="98"/>
    </row>
    <row r="120" spans="2:2" x14ac:dyDescent="0.25">
      <c r="B120" s="98"/>
    </row>
    <row r="121" spans="2:2" x14ac:dyDescent="0.25">
      <c r="B121" s="98"/>
    </row>
    <row r="122" spans="2:2" x14ac:dyDescent="0.25">
      <c r="B122" s="98"/>
    </row>
    <row r="123" spans="2:2" x14ac:dyDescent="0.25">
      <c r="B123" s="98"/>
    </row>
    <row r="124" spans="2:2" x14ac:dyDescent="0.25">
      <c r="B124" s="98"/>
    </row>
    <row r="125" spans="2:2" x14ac:dyDescent="0.25">
      <c r="B125" s="98"/>
    </row>
    <row r="126" spans="2:2" x14ac:dyDescent="0.25">
      <c r="B126" s="98"/>
    </row>
    <row r="127" spans="2:2" x14ac:dyDescent="0.25">
      <c r="B127" s="98"/>
    </row>
    <row r="128" spans="2:2" x14ac:dyDescent="0.25">
      <c r="B128" s="98"/>
    </row>
    <row r="129" spans="2:2" x14ac:dyDescent="0.25">
      <c r="B129" s="98"/>
    </row>
    <row r="130" spans="2:2" x14ac:dyDescent="0.25">
      <c r="B130" s="98"/>
    </row>
    <row r="131" spans="2:2" x14ac:dyDescent="0.25">
      <c r="B131" s="98"/>
    </row>
    <row r="132" spans="2:2" x14ac:dyDescent="0.25">
      <c r="B132" s="98"/>
    </row>
    <row r="133" spans="2:2" x14ac:dyDescent="0.25">
      <c r="B133" s="98"/>
    </row>
    <row r="134" spans="2:2" x14ac:dyDescent="0.25">
      <c r="B134" s="98"/>
    </row>
    <row r="135" spans="2:2" x14ac:dyDescent="0.25">
      <c r="B135" s="98"/>
    </row>
    <row r="136" spans="2:2" x14ac:dyDescent="0.25">
      <c r="B136" s="98"/>
    </row>
    <row r="137" spans="2:2" x14ac:dyDescent="0.25">
      <c r="B137" s="98"/>
    </row>
    <row r="138" spans="2:2" x14ac:dyDescent="0.25">
      <c r="B138" s="98"/>
    </row>
    <row r="139" spans="2:2" x14ac:dyDescent="0.25">
      <c r="B139" s="98"/>
    </row>
    <row r="140" spans="2:2" x14ac:dyDescent="0.25">
      <c r="B140" s="98"/>
    </row>
    <row r="141" spans="2:2" x14ac:dyDescent="0.25">
      <c r="B141" s="98"/>
    </row>
    <row r="142" spans="2:2" x14ac:dyDescent="0.25">
      <c r="B142" s="98"/>
    </row>
    <row r="143" spans="2:2" x14ac:dyDescent="0.25">
      <c r="B143" s="98"/>
    </row>
    <row r="144" spans="2:2" x14ac:dyDescent="0.25">
      <c r="B144" s="98"/>
    </row>
    <row r="145" spans="2:2" x14ac:dyDescent="0.25">
      <c r="B145" s="98"/>
    </row>
    <row r="146" spans="2:2" x14ac:dyDescent="0.25">
      <c r="B146" s="98"/>
    </row>
    <row r="147" spans="2:2" x14ac:dyDescent="0.25">
      <c r="B147" s="98"/>
    </row>
    <row r="148" spans="2:2" x14ac:dyDescent="0.25">
      <c r="B148" s="98"/>
    </row>
    <row r="149" spans="2:2" x14ac:dyDescent="0.25">
      <c r="B149" s="98"/>
    </row>
    <row r="150" spans="2:2" x14ac:dyDescent="0.25">
      <c r="B150" s="98"/>
    </row>
    <row r="151" spans="2:2" x14ac:dyDescent="0.25">
      <c r="B151" s="98"/>
    </row>
    <row r="152" spans="2:2" x14ac:dyDescent="0.25">
      <c r="B152" s="98"/>
    </row>
    <row r="153" spans="2:2" x14ac:dyDescent="0.25">
      <c r="B153" s="98"/>
    </row>
    <row r="154" spans="2:2" x14ac:dyDescent="0.25">
      <c r="B154" s="98"/>
    </row>
    <row r="155" spans="2:2" x14ac:dyDescent="0.25">
      <c r="B155" s="98"/>
    </row>
    <row r="156" spans="2:2" x14ac:dyDescent="0.25">
      <c r="B156" s="98"/>
    </row>
    <row r="157" spans="2:2" x14ac:dyDescent="0.25">
      <c r="B157" s="98"/>
    </row>
    <row r="158" spans="2:2" x14ac:dyDescent="0.25">
      <c r="B158" s="98"/>
    </row>
    <row r="159" spans="2:2" x14ac:dyDescent="0.25">
      <c r="B159" s="98"/>
    </row>
    <row r="160" spans="2:2" x14ac:dyDescent="0.25">
      <c r="B160" s="98"/>
    </row>
    <row r="161" spans="2:2" x14ac:dyDescent="0.25">
      <c r="B161" s="98"/>
    </row>
    <row r="162" spans="2:2" x14ac:dyDescent="0.25">
      <c r="B162" s="98"/>
    </row>
    <row r="163" spans="2:2" x14ac:dyDescent="0.25">
      <c r="B163" s="98"/>
    </row>
    <row r="164" spans="2:2" x14ac:dyDescent="0.25">
      <c r="B164" s="98"/>
    </row>
    <row r="165" spans="2:2" x14ac:dyDescent="0.25">
      <c r="B165" s="98"/>
    </row>
    <row r="166" spans="2:2" x14ac:dyDescent="0.25">
      <c r="B166" s="98"/>
    </row>
    <row r="167" spans="2:2" x14ac:dyDescent="0.25">
      <c r="B167" s="98"/>
    </row>
    <row r="168" spans="2:2" x14ac:dyDescent="0.25">
      <c r="B168" s="98"/>
    </row>
    <row r="169" spans="2:2" x14ac:dyDescent="0.25">
      <c r="B169" s="98"/>
    </row>
    <row r="170" spans="2:2" x14ac:dyDescent="0.25">
      <c r="B170" s="98"/>
    </row>
    <row r="171" spans="2:2" x14ac:dyDescent="0.25">
      <c r="B171" s="98"/>
    </row>
    <row r="172" spans="2:2" x14ac:dyDescent="0.25">
      <c r="B172" s="98"/>
    </row>
    <row r="173" spans="2:2" x14ac:dyDescent="0.25">
      <c r="B173" s="98"/>
    </row>
    <row r="174" spans="2:2" x14ac:dyDescent="0.25">
      <c r="B174" s="98"/>
    </row>
    <row r="175" spans="2:2" x14ac:dyDescent="0.25">
      <c r="B175" s="98"/>
    </row>
    <row r="176" spans="2:2" x14ac:dyDescent="0.25">
      <c r="B176" s="98"/>
    </row>
    <row r="177" spans="2:2" x14ac:dyDescent="0.25">
      <c r="B177" s="98"/>
    </row>
    <row r="178" spans="2:2" x14ac:dyDescent="0.25">
      <c r="B178" s="98"/>
    </row>
    <row r="179" spans="2:2" x14ac:dyDescent="0.25">
      <c r="B179" s="98"/>
    </row>
    <row r="180" spans="2:2" x14ac:dyDescent="0.25">
      <c r="B180" s="98"/>
    </row>
    <row r="181" spans="2:2" x14ac:dyDescent="0.25">
      <c r="B181" s="98"/>
    </row>
    <row r="182" spans="2:2" x14ac:dyDescent="0.25">
      <c r="B182" s="98"/>
    </row>
    <row r="183" spans="2:2" x14ac:dyDescent="0.25">
      <c r="B183" s="98"/>
    </row>
    <row r="184" spans="2:2" x14ac:dyDescent="0.25">
      <c r="B184" s="98"/>
    </row>
    <row r="185" spans="2:2" x14ac:dyDescent="0.25">
      <c r="B185" s="98"/>
    </row>
    <row r="186" spans="2:2" x14ac:dyDescent="0.25">
      <c r="B186" s="98"/>
    </row>
    <row r="187" spans="2:2" x14ac:dyDescent="0.25">
      <c r="B187" s="98"/>
    </row>
    <row r="188" spans="2:2" x14ac:dyDescent="0.25">
      <c r="B188" s="98"/>
    </row>
    <row r="189" spans="2:2" x14ac:dyDescent="0.25">
      <c r="B189" s="98"/>
    </row>
    <row r="190" spans="2:2" x14ac:dyDescent="0.25">
      <c r="B190" s="98"/>
    </row>
    <row r="191" spans="2:2" x14ac:dyDescent="0.25">
      <c r="B191" s="98"/>
    </row>
    <row r="192" spans="2:2" x14ac:dyDescent="0.25">
      <c r="B192" s="98"/>
    </row>
    <row r="193" spans="2:2" x14ac:dyDescent="0.25">
      <c r="B193" s="98"/>
    </row>
    <row r="194" spans="2:2" x14ac:dyDescent="0.25">
      <c r="B194" s="98"/>
    </row>
    <row r="195" spans="2:2" x14ac:dyDescent="0.25">
      <c r="B195" s="98"/>
    </row>
    <row r="196" spans="2:2" x14ac:dyDescent="0.25">
      <c r="B196" s="98"/>
    </row>
    <row r="197" spans="2:2" x14ac:dyDescent="0.25">
      <c r="B197" s="98"/>
    </row>
    <row r="198" spans="2:2" x14ac:dyDescent="0.25">
      <c r="B198" s="98"/>
    </row>
    <row r="199" spans="2:2" x14ac:dyDescent="0.25">
      <c r="B199" s="98"/>
    </row>
    <row r="200" spans="2:2" x14ac:dyDescent="0.25">
      <c r="B200" s="98"/>
    </row>
    <row r="201" spans="2:2" x14ac:dyDescent="0.25">
      <c r="B201" s="98"/>
    </row>
    <row r="202" spans="2:2" x14ac:dyDescent="0.25">
      <c r="B202" s="98"/>
    </row>
    <row r="203" spans="2:2" x14ac:dyDescent="0.25">
      <c r="B203" s="98"/>
    </row>
    <row r="204" spans="2:2" x14ac:dyDescent="0.25">
      <c r="B204" s="98"/>
    </row>
    <row r="205" spans="2:2" x14ac:dyDescent="0.25">
      <c r="B205" s="98"/>
    </row>
    <row r="206" spans="2:2" x14ac:dyDescent="0.25">
      <c r="B206" s="98"/>
    </row>
    <row r="207" spans="2:2" x14ac:dyDescent="0.25">
      <c r="B207" s="98"/>
    </row>
    <row r="208" spans="2:2" x14ac:dyDescent="0.25">
      <c r="B208" s="98"/>
    </row>
    <row r="209" spans="2:2" x14ac:dyDescent="0.25">
      <c r="B209" s="98"/>
    </row>
    <row r="210" spans="2:2" x14ac:dyDescent="0.25">
      <c r="B210" s="98"/>
    </row>
    <row r="211" spans="2:2" x14ac:dyDescent="0.25">
      <c r="B211" s="98"/>
    </row>
    <row r="212" spans="2:2" x14ac:dyDescent="0.25">
      <c r="B212" s="98"/>
    </row>
    <row r="213" spans="2:2" x14ac:dyDescent="0.25">
      <c r="B213" s="98"/>
    </row>
    <row r="214" spans="2:2" x14ac:dyDescent="0.25">
      <c r="B214" s="98"/>
    </row>
    <row r="215" spans="2:2" x14ac:dyDescent="0.25">
      <c r="B215" s="98"/>
    </row>
    <row r="216" spans="2:2" x14ac:dyDescent="0.25">
      <c r="B216" s="98"/>
    </row>
    <row r="217" spans="2:2" x14ac:dyDescent="0.25">
      <c r="B217" s="98"/>
    </row>
    <row r="218" spans="2:2" x14ac:dyDescent="0.25">
      <c r="B218" s="98"/>
    </row>
    <row r="219" spans="2:2" x14ac:dyDescent="0.25">
      <c r="B219" s="98"/>
    </row>
    <row r="220" spans="2:2" x14ac:dyDescent="0.25">
      <c r="B220" s="98"/>
    </row>
    <row r="221" spans="2:2" x14ac:dyDescent="0.25">
      <c r="B221" s="98"/>
    </row>
    <row r="222" spans="2:2" x14ac:dyDescent="0.25">
      <c r="B222" s="98"/>
    </row>
    <row r="223" spans="2:2" x14ac:dyDescent="0.25">
      <c r="B223" s="98"/>
    </row>
    <row r="224" spans="2:2" x14ac:dyDescent="0.25">
      <c r="B224" s="98"/>
    </row>
    <row r="225" spans="2:2" x14ac:dyDescent="0.25">
      <c r="B225" s="98"/>
    </row>
    <row r="226" spans="2:2" x14ac:dyDescent="0.25">
      <c r="B226" s="98"/>
    </row>
    <row r="227" spans="2:2" x14ac:dyDescent="0.25">
      <c r="B227" s="98"/>
    </row>
    <row r="228" spans="2:2" x14ac:dyDescent="0.25">
      <c r="B228" s="98"/>
    </row>
    <row r="229" spans="2:2" x14ac:dyDescent="0.25">
      <c r="B229" s="98"/>
    </row>
    <row r="230" spans="2:2" x14ac:dyDescent="0.25">
      <c r="B230" s="98"/>
    </row>
    <row r="231" spans="2:2" x14ac:dyDescent="0.25">
      <c r="B231" s="98"/>
    </row>
    <row r="232" spans="2:2" x14ac:dyDescent="0.25">
      <c r="B232" s="98"/>
    </row>
    <row r="233" spans="2:2" x14ac:dyDescent="0.25">
      <c r="B233" s="98"/>
    </row>
    <row r="234" spans="2:2" x14ac:dyDescent="0.25">
      <c r="B234" s="98"/>
    </row>
    <row r="235" spans="2:2" x14ac:dyDescent="0.25">
      <c r="B235" s="98"/>
    </row>
    <row r="236" spans="2:2" x14ac:dyDescent="0.25">
      <c r="B236" s="98"/>
    </row>
    <row r="237" spans="2:2" x14ac:dyDescent="0.25">
      <c r="B237" s="98"/>
    </row>
    <row r="238" spans="2:2" x14ac:dyDescent="0.25">
      <c r="B238" s="98"/>
    </row>
    <row r="239" spans="2:2" x14ac:dyDescent="0.25">
      <c r="B239" s="98"/>
    </row>
    <row r="240" spans="2:2" x14ac:dyDescent="0.25">
      <c r="B240" s="98"/>
    </row>
    <row r="241" spans="2:2" x14ac:dyDescent="0.25">
      <c r="B241" s="98"/>
    </row>
    <row r="242" spans="2:2" x14ac:dyDescent="0.25">
      <c r="B242" s="98"/>
    </row>
    <row r="243" spans="2:2" x14ac:dyDescent="0.25">
      <c r="B243" s="98"/>
    </row>
    <row r="244" spans="2:2" x14ac:dyDescent="0.25">
      <c r="B244" s="98"/>
    </row>
    <row r="245" spans="2:2" x14ac:dyDescent="0.25">
      <c r="B245" s="98"/>
    </row>
    <row r="246" spans="2:2" x14ac:dyDescent="0.25">
      <c r="B246" s="98"/>
    </row>
    <row r="247" spans="2:2" x14ac:dyDescent="0.25">
      <c r="B247" s="98"/>
    </row>
    <row r="248" spans="2:2" x14ac:dyDescent="0.25">
      <c r="B248" s="98"/>
    </row>
    <row r="249" spans="2:2" x14ac:dyDescent="0.25">
      <c r="B249" s="98"/>
    </row>
    <row r="250" spans="2:2" x14ac:dyDescent="0.25">
      <c r="B250" s="98"/>
    </row>
    <row r="251" spans="2:2" x14ac:dyDescent="0.25">
      <c r="B251" s="98"/>
    </row>
    <row r="252" spans="2:2" x14ac:dyDescent="0.25">
      <c r="B252" s="98"/>
    </row>
    <row r="253" spans="2:2" x14ac:dyDescent="0.25">
      <c r="B253" s="98"/>
    </row>
    <row r="254" spans="2:2" x14ac:dyDescent="0.25">
      <c r="B254" s="98"/>
    </row>
    <row r="255" spans="2:2" x14ac:dyDescent="0.25">
      <c r="B255" s="98"/>
    </row>
    <row r="256" spans="2:2" x14ac:dyDescent="0.25">
      <c r="B256" s="98"/>
    </row>
    <row r="257" spans="2:2" x14ac:dyDescent="0.25">
      <c r="B257" s="98"/>
    </row>
    <row r="258" spans="2:2" x14ac:dyDescent="0.25">
      <c r="B258" s="98"/>
    </row>
    <row r="259" spans="2:2" x14ac:dyDescent="0.25">
      <c r="B259" s="98"/>
    </row>
    <row r="260" spans="2:2" x14ac:dyDescent="0.25">
      <c r="B260" s="98"/>
    </row>
    <row r="261" spans="2:2" x14ac:dyDescent="0.25">
      <c r="B261" s="98"/>
    </row>
    <row r="262" spans="2:2" x14ac:dyDescent="0.25">
      <c r="B262" s="98"/>
    </row>
    <row r="263" spans="2:2" x14ac:dyDescent="0.25">
      <c r="B263" s="98"/>
    </row>
    <row r="264" spans="2:2" x14ac:dyDescent="0.25">
      <c r="B264" s="98"/>
    </row>
    <row r="265" spans="2:2" x14ac:dyDescent="0.25">
      <c r="B265" s="98"/>
    </row>
    <row r="266" spans="2:2" x14ac:dyDescent="0.25">
      <c r="B266" s="98"/>
    </row>
    <row r="267" spans="2:2" x14ac:dyDescent="0.25">
      <c r="B267" s="98"/>
    </row>
    <row r="268" spans="2:2" x14ac:dyDescent="0.25">
      <c r="B268" s="98"/>
    </row>
    <row r="269" spans="2:2" x14ac:dyDescent="0.25">
      <c r="B269" s="98"/>
    </row>
    <row r="270" spans="2:2" x14ac:dyDescent="0.25">
      <c r="B270" s="98"/>
    </row>
    <row r="271" spans="2:2" x14ac:dyDescent="0.25">
      <c r="B271" s="98"/>
    </row>
    <row r="272" spans="2:2" x14ac:dyDescent="0.25">
      <c r="B272" s="98"/>
    </row>
    <row r="273" spans="2:2" x14ac:dyDescent="0.25">
      <c r="B273" s="98"/>
    </row>
    <row r="274" spans="2:2" x14ac:dyDescent="0.25">
      <c r="B274" s="98"/>
    </row>
    <row r="275" spans="2:2" x14ac:dyDescent="0.25">
      <c r="B275" s="98"/>
    </row>
    <row r="276" spans="2:2" x14ac:dyDescent="0.25">
      <c r="B276" s="98"/>
    </row>
    <row r="277" spans="2:2" x14ac:dyDescent="0.25">
      <c r="B277" s="98"/>
    </row>
    <row r="278" spans="2:2" x14ac:dyDescent="0.25">
      <c r="B278" s="98"/>
    </row>
    <row r="279" spans="2:2" x14ac:dyDescent="0.25">
      <c r="B279" s="98"/>
    </row>
    <row r="280" spans="2:2" x14ac:dyDescent="0.25">
      <c r="B280" s="98"/>
    </row>
    <row r="281" spans="2:2" x14ac:dyDescent="0.25">
      <c r="B281" s="98"/>
    </row>
    <row r="282" spans="2:2" x14ac:dyDescent="0.25">
      <c r="B282" s="98"/>
    </row>
    <row r="283" spans="2:2" x14ac:dyDescent="0.25">
      <c r="B283" s="98"/>
    </row>
    <row r="284" spans="2:2" x14ac:dyDescent="0.25">
      <c r="B284" s="98"/>
    </row>
    <row r="285" spans="2:2" x14ac:dyDescent="0.25">
      <c r="B285" s="98"/>
    </row>
    <row r="286" spans="2:2" x14ac:dyDescent="0.25">
      <c r="B286" s="98"/>
    </row>
    <row r="287" spans="2:2" x14ac:dyDescent="0.25">
      <c r="B287" s="98"/>
    </row>
    <row r="288" spans="2:2" x14ac:dyDescent="0.25">
      <c r="B288" s="98"/>
    </row>
    <row r="289" spans="2:2" x14ac:dyDescent="0.25">
      <c r="B289" s="98"/>
    </row>
    <row r="290" spans="2:2" x14ac:dyDescent="0.25">
      <c r="B290" s="98"/>
    </row>
    <row r="291" spans="2:2" x14ac:dyDescent="0.25">
      <c r="B291" s="98"/>
    </row>
    <row r="292" spans="2:2" x14ac:dyDescent="0.25">
      <c r="B292" s="98"/>
    </row>
    <row r="293" spans="2:2" x14ac:dyDescent="0.25">
      <c r="B293" s="98"/>
    </row>
    <row r="294" spans="2:2" x14ac:dyDescent="0.25">
      <c r="B294" s="98"/>
    </row>
    <row r="295" spans="2:2" x14ac:dyDescent="0.25">
      <c r="B295" s="98"/>
    </row>
    <row r="296" spans="2:2" x14ac:dyDescent="0.25">
      <c r="B296" s="98"/>
    </row>
    <row r="297" spans="2:2" x14ac:dyDescent="0.25">
      <c r="B297" s="98"/>
    </row>
    <row r="298" spans="2:2" x14ac:dyDescent="0.25">
      <c r="B298" s="98"/>
    </row>
    <row r="299" spans="2:2" x14ac:dyDescent="0.25">
      <c r="B299" s="98"/>
    </row>
    <row r="300" spans="2:2" x14ac:dyDescent="0.25">
      <c r="B300" s="98"/>
    </row>
    <row r="301" spans="2:2" x14ac:dyDescent="0.25">
      <c r="B301" s="98"/>
    </row>
    <row r="302" spans="2:2" x14ac:dyDescent="0.25">
      <c r="B302" s="98"/>
    </row>
    <row r="303" spans="2:2" x14ac:dyDescent="0.25">
      <c r="B303" s="98"/>
    </row>
    <row r="304" spans="2:2" x14ac:dyDescent="0.25">
      <c r="B304" s="98"/>
    </row>
    <row r="305" spans="2:2" x14ac:dyDescent="0.25">
      <c r="B305" s="98"/>
    </row>
    <row r="306" spans="2:2" x14ac:dyDescent="0.25">
      <c r="B306" s="98"/>
    </row>
    <row r="307" spans="2:2" x14ac:dyDescent="0.25">
      <c r="B307" s="98"/>
    </row>
    <row r="308" spans="2:2" x14ac:dyDescent="0.25">
      <c r="B308" s="98"/>
    </row>
    <row r="309" spans="2:2" x14ac:dyDescent="0.25">
      <c r="B309" s="98"/>
    </row>
    <row r="310" spans="2:2" x14ac:dyDescent="0.25">
      <c r="B310" s="98"/>
    </row>
    <row r="311" spans="2:2" x14ac:dyDescent="0.25">
      <c r="B311" s="98"/>
    </row>
    <row r="312" spans="2:2" x14ac:dyDescent="0.25">
      <c r="B312" s="98"/>
    </row>
    <row r="313" spans="2:2" x14ac:dyDescent="0.25">
      <c r="B313" s="98"/>
    </row>
    <row r="314" spans="2:2" x14ac:dyDescent="0.25">
      <c r="B314" s="98"/>
    </row>
    <row r="315" spans="2:2" x14ac:dyDescent="0.25">
      <c r="B315" s="98"/>
    </row>
    <row r="316" spans="2:2" x14ac:dyDescent="0.25">
      <c r="B316" s="98"/>
    </row>
    <row r="317" spans="2:2" x14ac:dyDescent="0.25">
      <c r="B317" s="98"/>
    </row>
    <row r="318" spans="2:2" x14ac:dyDescent="0.25">
      <c r="B318" s="98"/>
    </row>
    <row r="319" spans="2:2" x14ac:dyDescent="0.25">
      <c r="B319" s="98"/>
    </row>
    <row r="320" spans="2:2" x14ac:dyDescent="0.25">
      <c r="B320" s="98"/>
    </row>
    <row r="321" spans="2:2" x14ac:dyDescent="0.25">
      <c r="B321" s="98"/>
    </row>
    <row r="322" spans="2:2" x14ac:dyDescent="0.25">
      <c r="B322" s="98"/>
    </row>
    <row r="323" spans="2:2" x14ac:dyDescent="0.25">
      <c r="B323" s="98"/>
    </row>
    <row r="324" spans="2:2" x14ac:dyDescent="0.25">
      <c r="B324" s="98"/>
    </row>
    <row r="325" spans="2:2" x14ac:dyDescent="0.25">
      <c r="B325" s="98"/>
    </row>
    <row r="326" spans="2:2" x14ac:dyDescent="0.25">
      <c r="B326" s="98"/>
    </row>
    <row r="327" spans="2:2" x14ac:dyDescent="0.25">
      <c r="B327" s="98"/>
    </row>
    <row r="328" spans="2:2" x14ac:dyDescent="0.25">
      <c r="B328" s="98"/>
    </row>
    <row r="329" spans="2:2" x14ac:dyDescent="0.25">
      <c r="B329" s="98"/>
    </row>
    <row r="330" spans="2:2" x14ac:dyDescent="0.25">
      <c r="B330" s="98"/>
    </row>
    <row r="331" spans="2:2" x14ac:dyDescent="0.25">
      <c r="B331" s="98"/>
    </row>
    <row r="332" spans="2:2" x14ac:dyDescent="0.25">
      <c r="B332" s="98"/>
    </row>
    <row r="333" spans="2:2" x14ac:dyDescent="0.25">
      <c r="B333" s="98"/>
    </row>
    <row r="334" spans="2:2" x14ac:dyDescent="0.25">
      <c r="B334" s="98"/>
    </row>
    <row r="335" spans="2:2" x14ac:dyDescent="0.25">
      <c r="B335" s="98"/>
    </row>
    <row r="336" spans="2:2" x14ac:dyDescent="0.25">
      <c r="B336" s="98"/>
    </row>
    <row r="337" spans="2:2" x14ac:dyDescent="0.25">
      <c r="B337" s="98"/>
    </row>
    <row r="338" spans="2:2" x14ac:dyDescent="0.25">
      <c r="B338" s="98"/>
    </row>
    <row r="339" spans="2:2" x14ac:dyDescent="0.25">
      <c r="B339" s="98"/>
    </row>
    <row r="340" spans="2:2" x14ac:dyDescent="0.25">
      <c r="B340" s="98"/>
    </row>
    <row r="341" spans="2:2" x14ac:dyDescent="0.25">
      <c r="B341" s="98"/>
    </row>
    <row r="342" spans="2:2" x14ac:dyDescent="0.25">
      <c r="B342" s="98"/>
    </row>
    <row r="343" spans="2:2" x14ac:dyDescent="0.25">
      <c r="B343" s="98"/>
    </row>
    <row r="344" spans="2:2" x14ac:dyDescent="0.25">
      <c r="B344" s="98"/>
    </row>
    <row r="345" spans="2:2" x14ac:dyDescent="0.25">
      <c r="B345" s="98"/>
    </row>
    <row r="346" spans="2:2" x14ac:dyDescent="0.25">
      <c r="B346" s="98"/>
    </row>
    <row r="347" spans="2:2" x14ac:dyDescent="0.25">
      <c r="B347" s="98"/>
    </row>
    <row r="348" spans="2:2" x14ac:dyDescent="0.25">
      <c r="B348" s="98"/>
    </row>
    <row r="349" spans="2:2" x14ac:dyDescent="0.25">
      <c r="B349" s="98"/>
    </row>
    <row r="350" spans="2:2" x14ac:dyDescent="0.25">
      <c r="B350" s="98"/>
    </row>
    <row r="351" spans="2:2" x14ac:dyDescent="0.25">
      <c r="B351" s="98"/>
    </row>
    <row r="352" spans="2:2" x14ac:dyDescent="0.25">
      <c r="B352" s="98"/>
    </row>
    <row r="353" spans="2:2" x14ac:dyDescent="0.25">
      <c r="B353" s="98"/>
    </row>
    <row r="354" spans="2:2" x14ac:dyDescent="0.25">
      <c r="B354" s="98"/>
    </row>
    <row r="355" spans="2:2" x14ac:dyDescent="0.25">
      <c r="B355" s="98"/>
    </row>
    <row r="356" spans="2:2" x14ac:dyDescent="0.25">
      <c r="B356" s="98"/>
    </row>
    <row r="357" spans="2:2" x14ac:dyDescent="0.25">
      <c r="B357" s="98"/>
    </row>
    <row r="358" spans="2:2" x14ac:dyDescent="0.25">
      <c r="B358" s="98"/>
    </row>
    <row r="359" spans="2:2" x14ac:dyDescent="0.25">
      <c r="B359" s="98"/>
    </row>
    <row r="360" spans="2:2" x14ac:dyDescent="0.25">
      <c r="B360" s="98"/>
    </row>
    <row r="361" spans="2:2" x14ac:dyDescent="0.25">
      <c r="B361" s="98"/>
    </row>
    <row r="362" spans="2:2" x14ac:dyDescent="0.25">
      <c r="B362" s="98"/>
    </row>
    <row r="363" spans="2:2" x14ac:dyDescent="0.25">
      <c r="B363" s="98"/>
    </row>
    <row r="364" spans="2:2" x14ac:dyDescent="0.25">
      <c r="B364" s="98"/>
    </row>
    <row r="365" spans="2:2" x14ac:dyDescent="0.25">
      <c r="B365" s="98"/>
    </row>
    <row r="366" spans="2:2" x14ac:dyDescent="0.25">
      <c r="B366" s="98"/>
    </row>
    <row r="367" spans="2:2" x14ac:dyDescent="0.25">
      <c r="B367" s="98"/>
    </row>
    <row r="368" spans="2:2" x14ac:dyDescent="0.25">
      <c r="B368" s="98"/>
    </row>
    <row r="369" spans="2:2" x14ac:dyDescent="0.25">
      <c r="B369" s="98"/>
    </row>
    <row r="370" spans="2:2" x14ac:dyDescent="0.25">
      <c r="B370" s="98"/>
    </row>
    <row r="371" spans="2:2" x14ac:dyDescent="0.25">
      <c r="B371" s="98"/>
    </row>
    <row r="372" spans="2:2" x14ac:dyDescent="0.25">
      <c r="B372" s="98"/>
    </row>
    <row r="373" spans="2:2" x14ac:dyDescent="0.25">
      <c r="B373" s="98"/>
    </row>
    <row r="374" spans="2:2" x14ac:dyDescent="0.25">
      <c r="B374" s="98"/>
    </row>
    <row r="375" spans="2:2" x14ac:dyDescent="0.25">
      <c r="B375" s="98"/>
    </row>
    <row r="376" spans="2:2" x14ac:dyDescent="0.25">
      <c r="B376" s="98"/>
    </row>
    <row r="377" spans="2:2" x14ac:dyDescent="0.25">
      <c r="B377" s="98"/>
    </row>
    <row r="378" spans="2:2" x14ac:dyDescent="0.25">
      <c r="B378" s="98"/>
    </row>
    <row r="379" spans="2:2" x14ac:dyDescent="0.25">
      <c r="B379" s="98"/>
    </row>
    <row r="380" spans="2:2" x14ac:dyDescent="0.25">
      <c r="B380" s="98"/>
    </row>
    <row r="381" spans="2:2" x14ac:dyDescent="0.25">
      <c r="B381" s="98"/>
    </row>
    <row r="382" spans="2:2" x14ac:dyDescent="0.25">
      <c r="B382" s="98"/>
    </row>
    <row r="383" spans="2:2" x14ac:dyDescent="0.25">
      <c r="B383" s="98"/>
    </row>
    <row r="384" spans="2:2" x14ac:dyDescent="0.25">
      <c r="B384" s="98"/>
    </row>
    <row r="385" spans="2:2" x14ac:dyDescent="0.25">
      <c r="B385" s="98"/>
    </row>
    <row r="386" spans="2:2" x14ac:dyDescent="0.25">
      <c r="B386" s="98"/>
    </row>
    <row r="387" spans="2:2" x14ac:dyDescent="0.25">
      <c r="B387" s="98"/>
    </row>
    <row r="388" spans="2:2" x14ac:dyDescent="0.25">
      <c r="B388" s="98"/>
    </row>
    <row r="389" spans="2:2" x14ac:dyDescent="0.25">
      <c r="B389" s="98"/>
    </row>
    <row r="390" spans="2:2" x14ac:dyDescent="0.25">
      <c r="B390" s="98"/>
    </row>
    <row r="391" spans="2:2" x14ac:dyDescent="0.25">
      <c r="B391" s="98"/>
    </row>
    <row r="392" spans="2:2" x14ac:dyDescent="0.25">
      <c r="B392" s="98"/>
    </row>
    <row r="393" spans="2:2" x14ac:dyDescent="0.25">
      <c r="B393" s="98"/>
    </row>
    <row r="394" spans="2:2" x14ac:dyDescent="0.25">
      <c r="B394" s="98"/>
    </row>
    <row r="395" spans="2:2" x14ac:dyDescent="0.25">
      <c r="B395" s="98"/>
    </row>
    <row r="396" spans="2:2" x14ac:dyDescent="0.25">
      <c r="B396" s="98"/>
    </row>
    <row r="397" spans="2:2" x14ac:dyDescent="0.25">
      <c r="B397" s="98"/>
    </row>
    <row r="398" spans="2:2" x14ac:dyDescent="0.25">
      <c r="B398" s="98"/>
    </row>
    <row r="399" spans="2:2" x14ac:dyDescent="0.25">
      <c r="B399" s="98"/>
    </row>
    <row r="400" spans="2:2" x14ac:dyDescent="0.25">
      <c r="B400" s="98"/>
    </row>
  </sheetData>
  <sheetProtection sheet="1" objects="1" scenarios="1"/>
  <mergeCells count="22">
    <mergeCell ref="BM4:BO4"/>
    <mergeCell ref="CG2:CR2"/>
    <mergeCell ref="CG4:CI4"/>
    <mergeCell ref="CG5:CI5"/>
    <mergeCell ref="CK5:CL5"/>
    <mergeCell ref="CN5:CO5"/>
    <mergeCell ref="B2:M2"/>
    <mergeCell ref="B5:D5"/>
    <mergeCell ref="F5:G5"/>
    <mergeCell ref="I5:J5"/>
    <mergeCell ref="BM2:BX2"/>
    <mergeCell ref="X5:Z5"/>
    <mergeCell ref="AB5:AC5"/>
    <mergeCell ref="AE5:AF5"/>
    <mergeCell ref="X2:AI2"/>
    <mergeCell ref="AS2:BD2"/>
    <mergeCell ref="AS5:AU5"/>
    <mergeCell ref="AW5:AX5"/>
    <mergeCell ref="AZ5:BA5"/>
    <mergeCell ref="BM5:BO5"/>
    <mergeCell ref="BQ5:BR5"/>
    <mergeCell ref="BT5:BU5"/>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9ECA-6EE9-4FA9-90A3-A3863E5ACEF8}">
  <sheetPr codeName="Sheet11">
    <tabColor theme="7" tint="0.59999389629810485"/>
  </sheetPr>
  <dimension ref="B2:K30"/>
  <sheetViews>
    <sheetView showGridLines="0" zoomScale="95" zoomScaleNormal="95" workbookViewId="0">
      <selection activeCell="E17" sqref="E17"/>
    </sheetView>
  </sheetViews>
  <sheetFormatPr defaultRowHeight="15" x14ac:dyDescent="0.25"/>
  <cols>
    <col min="1" max="1" width="1.85546875" customWidth="1"/>
    <col min="5" max="5" width="19" bestFit="1" customWidth="1"/>
  </cols>
  <sheetData>
    <row r="2" spans="2:11" ht="18.75" x14ac:dyDescent="0.3">
      <c r="B2" s="250" t="s">
        <v>565</v>
      </c>
      <c r="C2" s="250"/>
      <c r="D2" s="250"/>
      <c r="E2" s="250"/>
      <c r="F2" s="250"/>
      <c r="G2" s="250"/>
      <c r="H2" s="250"/>
      <c r="I2" s="250"/>
      <c r="J2" s="250"/>
      <c r="K2" s="250"/>
    </row>
    <row r="3" spans="2:11" ht="4.5" customHeight="1" x14ac:dyDescent="0.25"/>
    <row r="4" spans="2:11" ht="15.75" x14ac:dyDescent="0.25">
      <c r="B4" s="112" t="s">
        <v>143</v>
      </c>
      <c r="C4" s="113" t="s">
        <v>564</v>
      </c>
    </row>
    <row r="5" spans="2:11" ht="15.75" x14ac:dyDescent="0.25">
      <c r="B5" s="112">
        <v>2000</v>
      </c>
      <c r="C5" s="114">
        <v>-0.14649999999999999</v>
      </c>
      <c r="E5" t="s">
        <v>566</v>
      </c>
      <c r="F5" s="83">
        <f>AVERAGE(C5:C29)</f>
        <v>0.15334799999999998</v>
      </c>
    </row>
    <row r="6" spans="2:11" ht="17.25" x14ac:dyDescent="0.25">
      <c r="B6" s="112">
        <v>2001</v>
      </c>
      <c r="C6" s="114">
        <v>-0.1618</v>
      </c>
      <c r="E6" t="s">
        <v>567</v>
      </c>
      <c r="F6" s="114" t="s">
        <v>568</v>
      </c>
    </row>
    <row r="7" spans="2:11" ht="15.75" x14ac:dyDescent="0.25">
      <c r="B7" s="112">
        <v>2002</v>
      </c>
      <c r="C7" s="114">
        <v>3.2500000000000001E-2</v>
      </c>
      <c r="E7" s="17" t="s">
        <v>569</v>
      </c>
      <c r="F7" s="115">
        <f>SUM(F5:F6)</f>
        <v>0.15334799999999998</v>
      </c>
    </row>
    <row r="8" spans="2:11" ht="15.75" x14ac:dyDescent="0.25">
      <c r="B8" s="112">
        <v>2003</v>
      </c>
      <c r="C8" s="114">
        <v>0.71900000000000008</v>
      </c>
    </row>
    <row r="9" spans="2:11" ht="15.75" x14ac:dyDescent="0.25">
      <c r="B9" s="112">
        <v>2004</v>
      </c>
      <c r="C9" s="114">
        <v>0.10679999999999999</v>
      </c>
    </row>
    <row r="10" spans="2:11" ht="15.75" x14ac:dyDescent="0.25">
      <c r="B10" s="112">
        <v>2005</v>
      </c>
      <c r="C10" s="114">
        <v>0.36340000000000006</v>
      </c>
    </row>
    <row r="11" spans="2:11" ht="15.75" x14ac:dyDescent="0.25">
      <c r="B11" s="112">
        <v>2006</v>
      </c>
      <c r="C11" s="114">
        <v>0.39829999999999999</v>
      </c>
    </row>
    <row r="12" spans="2:11" ht="15.75" x14ac:dyDescent="0.25">
      <c r="B12" s="112">
        <v>2007</v>
      </c>
      <c r="C12" s="114">
        <v>0.54770000000000008</v>
      </c>
    </row>
    <row r="13" spans="2:11" ht="15.75" x14ac:dyDescent="0.25">
      <c r="B13" s="112">
        <v>2008</v>
      </c>
      <c r="C13" s="114">
        <v>-0.51790000000000003</v>
      </c>
    </row>
    <row r="14" spans="2:11" ht="15.75" x14ac:dyDescent="0.25">
      <c r="B14" s="112">
        <v>2009</v>
      </c>
      <c r="C14" s="114">
        <v>0.75760000000000005</v>
      </c>
    </row>
    <row r="15" spans="2:11" ht="15.75" x14ac:dyDescent="0.25">
      <c r="B15" s="112">
        <v>2010</v>
      </c>
      <c r="C15" s="114">
        <v>0.17949999999999999</v>
      </c>
    </row>
    <row r="16" spans="2:11" ht="15.75" x14ac:dyDescent="0.25">
      <c r="B16" s="112">
        <v>2011</v>
      </c>
      <c r="C16" s="114">
        <v>-0.2462</v>
      </c>
    </row>
    <row r="17" spans="2:3" ht="15.75" x14ac:dyDescent="0.25">
      <c r="B17" s="112">
        <v>2012</v>
      </c>
      <c r="C17" s="114">
        <v>0.27699999999999997</v>
      </c>
    </row>
    <row r="18" spans="2:3" ht="15.75" x14ac:dyDescent="0.25">
      <c r="B18" s="112">
        <v>2013</v>
      </c>
      <c r="C18" s="114">
        <v>6.7599999999999993E-2</v>
      </c>
    </row>
    <row r="19" spans="2:3" ht="15.75" x14ac:dyDescent="0.25">
      <c r="B19" s="112">
        <v>2014</v>
      </c>
      <c r="C19" s="114">
        <v>0.31390000000000001</v>
      </c>
    </row>
    <row r="20" spans="2:3" ht="15.75" x14ac:dyDescent="0.25">
      <c r="B20" s="112">
        <v>2015</v>
      </c>
      <c r="C20" s="114">
        <v>-4.0599999999999997E-2</v>
      </c>
    </row>
    <row r="21" spans="2:3" ht="15.75" x14ac:dyDescent="0.25">
      <c r="B21" s="112">
        <v>2016</v>
      </c>
      <c r="C21" s="114">
        <v>3.0099999999999998E-2</v>
      </c>
    </row>
    <row r="22" spans="2:3" ht="15.75" x14ac:dyDescent="0.25">
      <c r="B22" s="112">
        <v>2017</v>
      </c>
      <c r="C22" s="114">
        <v>0.28649999999999998</v>
      </c>
    </row>
    <row r="23" spans="2:3" ht="15.75" x14ac:dyDescent="0.25">
      <c r="B23" s="112">
        <v>2018</v>
      </c>
      <c r="C23" s="114">
        <v>3.15E-2</v>
      </c>
    </row>
    <row r="24" spans="2:3" ht="15.75" x14ac:dyDescent="0.25">
      <c r="B24" s="112">
        <v>2019</v>
      </c>
      <c r="C24" s="114">
        <v>0.1202</v>
      </c>
    </row>
    <row r="25" spans="2:3" ht="15.75" x14ac:dyDescent="0.25">
      <c r="B25" s="112">
        <v>2020</v>
      </c>
      <c r="C25" s="114">
        <v>0.14899999999999999</v>
      </c>
    </row>
    <row r="26" spans="2:3" ht="15.75" x14ac:dyDescent="0.25">
      <c r="B26" s="112">
        <v>2021</v>
      </c>
      <c r="C26" s="114">
        <v>0.2412</v>
      </c>
    </row>
    <row r="27" spans="2:3" ht="15.75" x14ac:dyDescent="0.25">
      <c r="B27" s="112">
        <v>2022</v>
      </c>
      <c r="C27" s="114">
        <v>4.3200000000000002E-2</v>
      </c>
    </row>
    <row r="28" spans="2:3" ht="15.75" x14ac:dyDescent="0.25">
      <c r="B28" s="112">
        <v>2023</v>
      </c>
      <c r="C28" s="114">
        <v>0.19420000000000001</v>
      </c>
    </row>
    <row r="29" spans="2:3" ht="15.75" x14ac:dyDescent="0.25">
      <c r="B29" s="112">
        <v>2024</v>
      </c>
      <c r="C29" s="114">
        <v>8.7499999999999994E-2</v>
      </c>
    </row>
    <row r="30" spans="2:3" ht="15.75" x14ac:dyDescent="0.25">
      <c r="B30" s="112"/>
      <c r="C30" s="113"/>
    </row>
  </sheetData>
  <mergeCells count="1">
    <mergeCell ref="B2:K2"/>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K93"/>
  <sheetViews>
    <sheetView zoomScale="90" zoomScaleNormal="90" zoomScalePageLayoutView="120" workbookViewId="0">
      <pane xSplit="1" ySplit="1" topLeftCell="B38" activePane="bottomRight" state="frozen"/>
      <selection activeCell="C4" sqref="C4"/>
      <selection pane="topRight" activeCell="C4" sqref="C4"/>
      <selection pane="bottomLeft" activeCell="C4" sqref="C4"/>
      <selection pane="bottomRight" activeCell="H30" sqref="H30"/>
    </sheetView>
  </sheetViews>
  <sheetFormatPr defaultColWidth="8.85546875" defaultRowHeight="15" x14ac:dyDescent="0.25"/>
  <cols>
    <col min="1" max="1" width="27.7109375" style="2" bestFit="1" customWidth="1"/>
    <col min="2" max="11" width="13.42578125" style="2" bestFit="1" customWidth="1"/>
    <col min="12" max="16384" width="8.85546875" style="2"/>
  </cols>
  <sheetData>
    <row r="1" spans="1:11" s="1" customFormat="1" x14ac:dyDescent="0.25">
      <c r="A1" s="1" t="s">
        <v>0</v>
      </c>
      <c r="B1" s="1" t="s">
        <v>33</v>
      </c>
      <c r="E1" s="256"/>
      <c r="F1" s="256"/>
      <c r="G1" s="256"/>
      <c r="H1" s="256"/>
      <c r="I1" s="256"/>
      <c r="J1" s="256"/>
      <c r="K1" s="256"/>
    </row>
    <row r="2" spans="1:11" x14ac:dyDescent="0.25">
      <c r="A2" s="1" t="s">
        <v>31</v>
      </c>
      <c r="B2" s="2">
        <v>2.1</v>
      </c>
      <c r="E2" s="257" t="s">
        <v>22</v>
      </c>
      <c r="F2" s="257"/>
      <c r="G2" s="257"/>
      <c r="H2" s="257"/>
      <c r="I2" s="257"/>
      <c r="J2" s="257"/>
      <c r="K2" s="257"/>
    </row>
    <row r="3" spans="1:11" x14ac:dyDescent="0.25">
      <c r="A3" s="1" t="s">
        <v>32</v>
      </c>
      <c r="B3" s="2">
        <v>2.1</v>
      </c>
    </row>
    <row r="4" spans="1:11" x14ac:dyDescent="0.25">
      <c r="A4" s="1"/>
    </row>
    <row r="5" spans="1:11" x14ac:dyDescent="0.25">
      <c r="A5" s="1" t="s">
        <v>34</v>
      </c>
      <c r="E5" s="3"/>
    </row>
    <row r="6" spans="1:11" x14ac:dyDescent="0.25">
      <c r="A6" s="2" t="s">
        <v>28</v>
      </c>
      <c r="B6" s="2">
        <f>IF(B9&gt;0, B9/B8, 0)</f>
        <v>66.890714087375031</v>
      </c>
      <c r="E6" s="3"/>
    </row>
    <row r="7" spans="1:11" x14ac:dyDescent="0.25">
      <c r="A7" s="2" t="s">
        <v>17</v>
      </c>
      <c r="B7">
        <v>5</v>
      </c>
      <c r="E7" s="3"/>
    </row>
    <row r="8" spans="1:11" x14ac:dyDescent="0.25">
      <c r="A8" s="2" t="s">
        <v>29</v>
      </c>
      <c r="B8">
        <v>4321.6000000000004</v>
      </c>
      <c r="E8" s="3"/>
    </row>
    <row r="9" spans="1:11" x14ac:dyDescent="0.25">
      <c r="A9" s="2" t="s">
        <v>44</v>
      </c>
      <c r="B9">
        <v>289074.90999999997</v>
      </c>
      <c r="E9" s="3"/>
    </row>
    <row r="10" spans="1:11" x14ac:dyDescent="0.25">
      <c r="E10" s="3"/>
    </row>
    <row r="15" spans="1:11" x14ac:dyDescent="0.25">
      <c r="A15" s="1" t="s">
        <v>23</v>
      </c>
    </row>
    <row r="16" spans="1:11" s="6" customFormat="1" x14ac:dyDescent="0.25">
      <c r="A16" s="5" t="s">
        <v>24</v>
      </c>
      <c r="B16" s="4">
        <v>42460</v>
      </c>
      <c r="C16" s="4">
        <v>42825</v>
      </c>
      <c r="D16" s="4">
        <v>43190</v>
      </c>
      <c r="E16" s="4">
        <v>43555</v>
      </c>
      <c r="F16" s="4">
        <v>43921</v>
      </c>
      <c r="G16" s="4">
        <v>44286</v>
      </c>
      <c r="H16" s="4">
        <v>44651</v>
      </c>
      <c r="I16" s="4">
        <v>45016</v>
      </c>
      <c r="J16" s="4">
        <v>45382</v>
      </c>
      <c r="K16" s="4">
        <v>45747</v>
      </c>
    </row>
    <row r="17" spans="1:11" s="3" customFormat="1" x14ac:dyDescent="0.25">
      <c r="A17" s="3" t="s">
        <v>1</v>
      </c>
      <c r="B17">
        <v>16758.5</v>
      </c>
      <c r="C17">
        <v>17949.919999999998</v>
      </c>
      <c r="D17">
        <v>18519.740000000002</v>
      </c>
      <c r="E17" s="3">
        <v>20008</v>
      </c>
      <c r="F17">
        <v>21445.16</v>
      </c>
      <c r="G17">
        <v>22882.32</v>
      </c>
      <c r="H17">
        <v>24620.02</v>
      </c>
      <c r="I17">
        <v>26927.46</v>
      </c>
      <c r="J17">
        <v>30381.08</v>
      </c>
      <c r="K17">
        <v>30980.95</v>
      </c>
    </row>
    <row r="18" spans="1:11" s="3" customFormat="1" x14ac:dyDescent="0.25">
      <c r="A18" s="2" t="s">
        <v>45</v>
      </c>
      <c r="B18">
        <v>9175.6</v>
      </c>
      <c r="C18">
        <v>8425.61</v>
      </c>
      <c r="D18">
        <v>7712.8</v>
      </c>
      <c r="E18">
        <v>7301.75</v>
      </c>
      <c r="F18">
        <v>8483.24</v>
      </c>
      <c r="G18">
        <v>8467.86</v>
      </c>
      <c r="H18">
        <v>9151.74</v>
      </c>
      <c r="I18">
        <v>10536.96</v>
      </c>
      <c r="J18">
        <v>12718.89</v>
      </c>
      <c r="K18">
        <v>19589.16</v>
      </c>
    </row>
    <row r="19" spans="1:11" s="3" customFormat="1" x14ac:dyDescent="0.25">
      <c r="A19" s="2" t="s">
        <v>46</v>
      </c>
      <c r="B19">
        <v>562.4</v>
      </c>
      <c r="C19">
        <v>-510.92</v>
      </c>
      <c r="D19">
        <v>-728.64</v>
      </c>
      <c r="E19">
        <v>-1172.1500000000001</v>
      </c>
      <c r="F19">
        <v>-635.67999999999995</v>
      </c>
      <c r="G19">
        <v>-2458.14</v>
      </c>
      <c r="H19">
        <v>-592.29999999999995</v>
      </c>
      <c r="I19">
        <v>690.72</v>
      </c>
      <c r="J19">
        <v>1958.64</v>
      </c>
      <c r="K19">
        <v>7625.79</v>
      </c>
    </row>
    <row r="20" spans="1:11" s="3" customFormat="1" x14ac:dyDescent="0.25">
      <c r="A20" s="2" t="s">
        <v>47</v>
      </c>
      <c r="B20">
        <v>233.8</v>
      </c>
      <c r="C20">
        <v>171.87</v>
      </c>
      <c r="D20">
        <v>175.78</v>
      </c>
      <c r="E20">
        <v>182.21</v>
      </c>
      <c r="F20">
        <v>151.37</v>
      </c>
      <c r="G20">
        <v>183.39</v>
      </c>
      <c r="H20">
        <v>200.47</v>
      </c>
      <c r="I20">
        <v>202.55</v>
      </c>
      <c r="J20">
        <v>210.48</v>
      </c>
      <c r="K20">
        <v>211.98</v>
      </c>
    </row>
    <row r="21" spans="1:11" s="3" customFormat="1" x14ac:dyDescent="0.25">
      <c r="A21" s="2" t="s">
        <v>48</v>
      </c>
      <c r="B21">
        <v>391.4</v>
      </c>
      <c r="C21">
        <v>1160.02</v>
      </c>
      <c r="D21">
        <v>1292.02</v>
      </c>
      <c r="E21">
        <v>1120.3800000000001</v>
      </c>
      <c r="F21">
        <v>889.29</v>
      </c>
      <c r="G21">
        <v>923.25</v>
      </c>
      <c r="H21">
        <v>945.09</v>
      </c>
      <c r="I21">
        <v>1201.69</v>
      </c>
      <c r="J21">
        <v>1207.8699999999999</v>
      </c>
      <c r="K21">
        <v>1218.44</v>
      </c>
    </row>
    <row r="22" spans="1:11" s="3" customFormat="1" x14ac:dyDescent="0.25">
      <c r="A22" s="2" t="s">
        <v>49</v>
      </c>
      <c r="B22">
        <v>3274.5</v>
      </c>
      <c r="C22">
        <v>3570.49</v>
      </c>
      <c r="D22">
        <v>4310.68</v>
      </c>
      <c r="E22">
        <v>4311.03</v>
      </c>
      <c r="F22">
        <v>4777.62</v>
      </c>
      <c r="G22">
        <v>4305.17</v>
      </c>
      <c r="H22">
        <v>4604.42</v>
      </c>
      <c r="I22">
        <v>4910.37</v>
      </c>
      <c r="J22">
        <v>5290.69</v>
      </c>
      <c r="K22">
        <v>5730.37</v>
      </c>
    </row>
    <row r="23" spans="1:11" s="3" customFormat="1" x14ac:dyDescent="0.25">
      <c r="A23" s="2" t="s">
        <v>50</v>
      </c>
      <c r="B23">
        <v>226.58</v>
      </c>
      <c r="C23">
        <v>222.3</v>
      </c>
      <c r="D23">
        <v>209.9</v>
      </c>
      <c r="E23">
        <v>352.05</v>
      </c>
      <c r="F23">
        <v>155.55000000000001</v>
      </c>
      <c r="G23">
        <v>138.35</v>
      </c>
      <c r="H23">
        <v>179.9</v>
      </c>
      <c r="I23">
        <v>215.6</v>
      </c>
      <c r="J23">
        <v>241.69</v>
      </c>
      <c r="K23">
        <v>310.08999999999997</v>
      </c>
    </row>
    <row r="24" spans="1:11" s="3" customFormat="1" x14ac:dyDescent="0.25">
      <c r="A24" s="2" t="s">
        <v>51</v>
      </c>
      <c r="B24">
        <v>1545.12</v>
      </c>
      <c r="C24">
        <v>658.02</v>
      </c>
      <c r="D24">
        <v>641.23</v>
      </c>
      <c r="E24">
        <v>1017.4</v>
      </c>
      <c r="F24">
        <v>1438.17</v>
      </c>
      <c r="G24">
        <v>1062.18</v>
      </c>
      <c r="H24">
        <v>3530.73</v>
      </c>
      <c r="I24">
        <v>3865.35</v>
      </c>
      <c r="J24">
        <v>2918.52</v>
      </c>
      <c r="K24">
        <v>1925.68</v>
      </c>
    </row>
    <row r="25" spans="1:11" s="3" customFormat="1" x14ac:dyDescent="0.25">
      <c r="A25" s="3" t="s">
        <v>4</v>
      </c>
      <c r="B25">
        <v>1608.1</v>
      </c>
      <c r="C25">
        <v>1058.2</v>
      </c>
      <c r="D25">
        <v>775.7</v>
      </c>
      <c r="E25">
        <v>376.26</v>
      </c>
      <c r="F25">
        <v>422.51</v>
      </c>
      <c r="G25">
        <v>364.28</v>
      </c>
      <c r="H25">
        <v>984.93</v>
      </c>
      <c r="I25">
        <v>1672.92</v>
      </c>
      <c r="J25">
        <v>1923.1</v>
      </c>
      <c r="K25">
        <v>2608.23</v>
      </c>
    </row>
    <row r="26" spans="1:11" s="3" customFormat="1" x14ac:dyDescent="0.25">
      <c r="A26" s="3" t="s">
        <v>5</v>
      </c>
      <c r="B26">
        <v>862.8</v>
      </c>
      <c r="C26">
        <v>680.68</v>
      </c>
      <c r="D26">
        <v>947.09</v>
      </c>
      <c r="E26">
        <v>1025.26</v>
      </c>
      <c r="F26">
        <v>998.52</v>
      </c>
      <c r="G26">
        <v>1157.8900000000001</v>
      </c>
      <c r="H26">
        <v>1110.53</v>
      </c>
      <c r="I26">
        <v>1784.67</v>
      </c>
      <c r="J26">
        <v>1407.17</v>
      </c>
      <c r="K26">
        <v>1340.37</v>
      </c>
    </row>
    <row r="27" spans="1:11" s="3" customFormat="1" x14ac:dyDescent="0.25">
      <c r="A27" s="3" t="s">
        <v>6</v>
      </c>
      <c r="B27">
        <v>5.9</v>
      </c>
      <c r="C27">
        <v>16.45</v>
      </c>
      <c r="D27">
        <v>34.619999999999997</v>
      </c>
      <c r="E27">
        <v>177.6</v>
      </c>
      <c r="F27">
        <v>359.59</v>
      </c>
      <c r="G27">
        <v>266.89</v>
      </c>
      <c r="H27">
        <v>65.239999999999995</v>
      </c>
      <c r="I27">
        <v>64.41</v>
      </c>
      <c r="J27">
        <v>42.63</v>
      </c>
      <c r="K27">
        <v>21.62</v>
      </c>
    </row>
    <row r="28" spans="1:11" s="3" customFormat="1" x14ac:dyDescent="0.25">
      <c r="A28" s="3" t="s">
        <v>7</v>
      </c>
      <c r="B28">
        <v>3213.3</v>
      </c>
      <c r="C28">
        <v>3591.76</v>
      </c>
      <c r="D28">
        <v>3242.68</v>
      </c>
      <c r="E28">
        <v>3724.66</v>
      </c>
      <c r="F28">
        <v>3978.64</v>
      </c>
      <c r="G28">
        <v>4283.4799999999996</v>
      </c>
      <c r="H28">
        <v>5224.53</v>
      </c>
      <c r="I28">
        <v>6509.5</v>
      </c>
      <c r="J28">
        <v>10224.879999999999</v>
      </c>
      <c r="K28">
        <v>10867.26</v>
      </c>
    </row>
    <row r="29" spans="1:11" s="3" customFormat="1" x14ac:dyDescent="0.25">
      <c r="A29" s="3" t="s">
        <v>8</v>
      </c>
      <c r="B29">
        <v>1209</v>
      </c>
      <c r="C29">
        <v>966.95</v>
      </c>
      <c r="D29">
        <v>1252.43</v>
      </c>
      <c r="E29">
        <v>1396.28</v>
      </c>
      <c r="F29">
        <v>1095.99</v>
      </c>
      <c r="G29">
        <v>1037.93</v>
      </c>
      <c r="H29">
        <v>144.65</v>
      </c>
      <c r="I29">
        <v>681.77</v>
      </c>
      <c r="J29">
        <v>2603.9299999999998</v>
      </c>
      <c r="K29">
        <v>2503.21</v>
      </c>
    </row>
    <row r="30" spans="1:11" s="3" customFormat="1" x14ac:dyDescent="0.25">
      <c r="A30" s="3" t="s">
        <v>9</v>
      </c>
      <c r="B30">
        <v>2004.3</v>
      </c>
      <c r="C30">
        <v>2624.81</v>
      </c>
      <c r="D30">
        <v>1990.47</v>
      </c>
      <c r="E30">
        <v>2328.63</v>
      </c>
      <c r="F30">
        <v>2882.82</v>
      </c>
      <c r="G30">
        <v>3245.95</v>
      </c>
      <c r="H30">
        <v>5080.04</v>
      </c>
      <c r="I30">
        <v>5827.74</v>
      </c>
      <c r="J30">
        <v>7621.05</v>
      </c>
      <c r="K30">
        <v>8364.1299999999992</v>
      </c>
    </row>
    <row r="31" spans="1:11" s="3" customFormat="1" x14ac:dyDescent="0.25">
      <c r="A31" s="3" t="s">
        <v>35</v>
      </c>
      <c r="B31">
        <v>629.01</v>
      </c>
      <c r="C31">
        <v>800</v>
      </c>
      <c r="D31">
        <v>1075.73</v>
      </c>
      <c r="E31">
        <v>662.09</v>
      </c>
      <c r="F31">
        <v>1111.8499999999999</v>
      </c>
      <c r="G31">
        <v>1003.17</v>
      </c>
      <c r="H31">
        <v>1337.56</v>
      </c>
      <c r="I31">
        <v>1839.14</v>
      </c>
      <c r="J31">
        <v>2340.73</v>
      </c>
      <c r="K31">
        <v>2675.12</v>
      </c>
    </row>
    <row r="32" spans="1:11" s="3" customFormat="1" x14ac:dyDescent="0.25"/>
    <row r="33" spans="1:11" x14ac:dyDescent="0.25">
      <c r="A33" s="3"/>
    </row>
    <row r="34" spans="1:11" x14ac:dyDescent="0.25">
      <c r="A34" s="3"/>
    </row>
    <row r="35" spans="1:11" x14ac:dyDescent="0.25">
      <c r="A35" s="3"/>
    </row>
    <row r="36" spans="1:11" x14ac:dyDescent="0.25">
      <c r="A36" s="3"/>
    </row>
    <row r="37" spans="1:11" x14ac:dyDescent="0.25">
      <c r="A37" s="3"/>
    </row>
    <row r="38" spans="1:11" x14ac:dyDescent="0.25">
      <c r="A38" s="3"/>
    </row>
    <row r="39" spans="1:11" x14ac:dyDescent="0.25">
      <c r="A39" s="3"/>
    </row>
    <row r="40" spans="1:11" x14ac:dyDescent="0.25">
      <c r="A40" s="1" t="s">
        <v>25</v>
      </c>
    </row>
    <row r="41" spans="1:11" s="6" customFormat="1" x14ac:dyDescent="0.25">
      <c r="A41" s="5" t="s">
        <v>24</v>
      </c>
      <c r="B41" s="4">
        <v>45107</v>
      </c>
      <c r="C41" s="4">
        <v>45199</v>
      </c>
      <c r="D41" s="4">
        <v>45291</v>
      </c>
      <c r="E41" s="4">
        <v>45382</v>
      </c>
      <c r="F41" s="4">
        <v>45473</v>
      </c>
      <c r="G41" s="4">
        <v>45565</v>
      </c>
      <c r="H41" s="4">
        <v>45657</v>
      </c>
      <c r="I41" s="4">
        <v>45747</v>
      </c>
      <c r="J41" s="4">
        <v>45838</v>
      </c>
      <c r="K41" s="4">
        <v>45930</v>
      </c>
    </row>
    <row r="42" spans="1:11" s="3" customFormat="1" x14ac:dyDescent="0.25">
      <c r="A42" s="3" t="s">
        <v>1</v>
      </c>
      <c r="B42">
        <v>3915.35</v>
      </c>
      <c r="C42">
        <v>5635.7</v>
      </c>
      <c r="D42">
        <v>6061.28</v>
      </c>
      <c r="E42">
        <v>14768.75</v>
      </c>
      <c r="F42">
        <v>4347.5</v>
      </c>
      <c r="G42">
        <v>5976.29</v>
      </c>
      <c r="H42">
        <v>6957.31</v>
      </c>
      <c r="I42">
        <v>13699.85</v>
      </c>
      <c r="J42">
        <v>4819.01</v>
      </c>
      <c r="K42">
        <v>6628.61</v>
      </c>
    </row>
    <row r="43" spans="1:11" s="3" customFormat="1" x14ac:dyDescent="0.25">
      <c r="A43" s="3" t="s">
        <v>2</v>
      </c>
      <c r="B43">
        <v>3038.52</v>
      </c>
      <c r="C43">
        <v>4108.0600000000004</v>
      </c>
      <c r="D43">
        <v>4625.95</v>
      </c>
      <c r="E43">
        <v>8867.49</v>
      </c>
      <c r="F43">
        <v>3356.79</v>
      </c>
      <c r="G43">
        <v>4336.33</v>
      </c>
      <c r="H43">
        <v>5274.8</v>
      </c>
      <c r="I43">
        <v>8404.9500000000007</v>
      </c>
      <c r="J43">
        <v>3536.61</v>
      </c>
      <c r="K43">
        <v>5070.72</v>
      </c>
    </row>
    <row r="44" spans="1:11" s="3" customFormat="1" x14ac:dyDescent="0.25">
      <c r="A44" s="3" t="s">
        <v>4</v>
      </c>
      <c r="B44">
        <v>413.6</v>
      </c>
      <c r="C44">
        <v>473.75</v>
      </c>
      <c r="D44">
        <v>466.63</v>
      </c>
      <c r="E44">
        <v>569.12</v>
      </c>
      <c r="F44">
        <v>742.38</v>
      </c>
      <c r="G44">
        <v>560.33000000000004</v>
      </c>
      <c r="H44">
        <v>636.83000000000004</v>
      </c>
      <c r="I44">
        <v>668.69</v>
      </c>
      <c r="J44">
        <v>757.37</v>
      </c>
      <c r="K44">
        <v>895.01</v>
      </c>
    </row>
    <row r="45" spans="1:11" s="3" customFormat="1" x14ac:dyDescent="0.25">
      <c r="A45" s="3" t="s">
        <v>5</v>
      </c>
      <c r="B45">
        <v>201.38</v>
      </c>
      <c r="C45">
        <v>349.65</v>
      </c>
      <c r="D45">
        <v>212.17</v>
      </c>
      <c r="E45">
        <v>643.97</v>
      </c>
      <c r="F45">
        <v>149.22999999999999</v>
      </c>
      <c r="G45">
        <v>177.57</v>
      </c>
      <c r="H45">
        <v>277.08</v>
      </c>
      <c r="I45">
        <v>736.49</v>
      </c>
      <c r="J45">
        <v>185.16</v>
      </c>
      <c r="K45">
        <v>225.56</v>
      </c>
    </row>
    <row r="46" spans="1:11" s="3" customFormat="1" x14ac:dyDescent="0.25">
      <c r="A46" s="3" t="s">
        <v>6</v>
      </c>
      <c r="B46">
        <v>0.02</v>
      </c>
      <c r="C46">
        <v>0.32</v>
      </c>
      <c r="D46">
        <v>0.36</v>
      </c>
      <c r="E46">
        <v>31.41</v>
      </c>
      <c r="F46">
        <v>0.14000000000000001</v>
      </c>
      <c r="G46">
        <v>0.02</v>
      </c>
      <c r="H46">
        <v>0.08</v>
      </c>
      <c r="I46">
        <v>8.44</v>
      </c>
      <c r="J46">
        <v>0.3</v>
      </c>
      <c r="K46">
        <v>0.36</v>
      </c>
    </row>
    <row r="47" spans="1:11" s="3" customFormat="1" x14ac:dyDescent="0.25">
      <c r="A47" s="3" t="s">
        <v>7</v>
      </c>
      <c r="B47">
        <v>1089.03</v>
      </c>
      <c r="C47">
        <v>1651.42</v>
      </c>
      <c r="D47">
        <v>1689.43</v>
      </c>
      <c r="E47">
        <v>5795</v>
      </c>
      <c r="F47">
        <v>1583.72</v>
      </c>
      <c r="G47">
        <v>2022.7</v>
      </c>
      <c r="H47">
        <v>2042.18</v>
      </c>
      <c r="I47">
        <v>5218.66</v>
      </c>
      <c r="J47">
        <v>1854.31</v>
      </c>
      <c r="K47">
        <v>2226.98</v>
      </c>
    </row>
    <row r="48" spans="1:11" s="3" customFormat="1" x14ac:dyDescent="0.25">
      <c r="A48" s="3" t="s">
        <v>8</v>
      </c>
      <c r="B48">
        <v>274.94</v>
      </c>
      <c r="C48">
        <v>414.75</v>
      </c>
      <c r="D48">
        <v>427.92</v>
      </c>
      <c r="E48">
        <v>1486.32</v>
      </c>
      <c r="F48">
        <v>146.58000000000001</v>
      </c>
      <c r="G48">
        <v>512.21</v>
      </c>
      <c r="H48">
        <v>602.39</v>
      </c>
      <c r="I48">
        <v>1242.03</v>
      </c>
      <c r="J48">
        <v>470.54</v>
      </c>
      <c r="K48">
        <v>557.92999999999995</v>
      </c>
    </row>
    <row r="49" spans="1:11" s="3" customFormat="1" x14ac:dyDescent="0.25">
      <c r="A49" s="3" t="s">
        <v>9</v>
      </c>
      <c r="B49">
        <v>814.24</v>
      </c>
      <c r="C49">
        <v>1236.7</v>
      </c>
      <c r="D49">
        <v>1261.4000000000001</v>
      </c>
      <c r="E49">
        <v>4308.71</v>
      </c>
      <c r="F49">
        <v>1437.16</v>
      </c>
      <c r="G49">
        <v>1510.48</v>
      </c>
      <c r="H49">
        <v>1439.83</v>
      </c>
      <c r="I49">
        <v>3976.66</v>
      </c>
      <c r="J49">
        <v>1383.77</v>
      </c>
      <c r="K49">
        <v>1669.07</v>
      </c>
    </row>
    <row r="50" spans="1:11" x14ac:dyDescent="0.25">
      <c r="A50" s="3" t="s">
        <v>3</v>
      </c>
      <c r="B50">
        <v>876.83</v>
      </c>
      <c r="C50">
        <v>1527.64</v>
      </c>
      <c r="D50">
        <v>1435.33</v>
      </c>
      <c r="E50">
        <v>5901.26</v>
      </c>
      <c r="F50">
        <v>990.71</v>
      </c>
      <c r="G50">
        <v>1639.96</v>
      </c>
      <c r="H50">
        <v>1682.51</v>
      </c>
      <c r="I50">
        <v>5294.9</v>
      </c>
      <c r="J50">
        <v>1282.4000000000001</v>
      </c>
      <c r="K50">
        <v>1557.89</v>
      </c>
    </row>
    <row r="51" spans="1:11" x14ac:dyDescent="0.25">
      <c r="A51" s="3"/>
    </row>
    <row r="52" spans="1:11" x14ac:dyDescent="0.25">
      <c r="A52" s="3"/>
    </row>
    <row r="53" spans="1:11" x14ac:dyDescent="0.25">
      <c r="A53" s="3"/>
    </row>
    <row r="54" spans="1:11" x14ac:dyDescent="0.25">
      <c r="A54" s="3"/>
    </row>
    <row r="55" spans="1:11" x14ac:dyDescent="0.25">
      <c r="A55" s="1" t="s">
        <v>26</v>
      </c>
    </row>
    <row r="56" spans="1:11" s="6" customFormat="1" x14ac:dyDescent="0.25">
      <c r="A56" s="5" t="s">
        <v>24</v>
      </c>
      <c r="B56" s="4">
        <v>42460</v>
      </c>
      <c r="C56" s="4">
        <v>42825</v>
      </c>
      <c r="D56" s="4">
        <v>43190</v>
      </c>
      <c r="E56" s="4">
        <v>43555</v>
      </c>
      <c r="F56" s="4">
        <v>43921</v>
      </c>
      <c r="G56" s="4">
        <v>44286</v>
      </c>
      <c r="H56" s="4">
        <v>44651</v>
      </c>
      <c r="I56" s="4">
        <v>45016</v>
      </c>
      <c r="J56" s="4">
        <v>45382</v>
      </c>
      <c r="K56" s="4">
        <v>45747</v>
      </c>
    </row>
    <row r="57" spans="1:11" x14ac:dyDescent="0.25">
      <c r="A57" s="3" t="s">
        <v>11</v>
      </c>
      <c r="B57">
        <v>361.5</v>
      </c>
      <c r="C57">
        <v>361.5</v>
      </c>
      <c r="D57">
        <v>334.39</v>
      </c>
      <c r="E57">
        <v>334.39</v>
      </c>
      <c r="F57">
        <v>334.39</v>
      </c>
      <c r="G57">
        <v>334.39</v>
      </c>
      <c r="H57">
        <v>334.39</v>
      </c>
      <c r="I57">
        <v>334.39</v>
      </c>
      <c r="J57">
        <v>334.39</v>
      </c>
      <c r="K57">
        <v>334.39</v>
      </c>
    </row>
    <row r="58" spans="1:11" x14ac:dyDescent="0.25">
      <c r="A58" s="3" t="s">
        <v>12</v>
      </c>
      <c r="B58">
        <v>10670.9</v>
      </c>
      <c r="C58">
        <v>12197.61</v>
      </c>
      <c r="D58">
        <v>9176.86</v>
      </c>
      <c r="E58">
        <v>11747.73</v>
      </c>
      <c r="F58">
        <v>12914.12</v>
      </c>
      <c r="G58">
        <v>15089.51</v>
      </c>
      <c r="H58">
        <v>18978.740000000002</v>
      </c>
      <c r="I58">
        <v>23237.759999999998</v>
      </c>
      <c r="J58">
        <v>28803.78</v>
      </c>
      <c r="K58">
        <v>34647.22</v>
      </c>
    </row>
    <row r="59" spans="1:11" x14ac:dyDescent="0.25">
      <c r="A59" s="3" t="s">
        <v>36</v>
      </c>
      <c r="B59">
        <v>79.8</v>
      </c>
      <c r="C59">
        <v>1022.03</v>
      </c>
      <c r="D59">
        <v>904.52</v>
      </c>
      <c r="E59">
        <v>4116.2</v>
      </c>
      <c r="F59">
        <v>5926.97</v>
      </c>
      <c r="G59">
        <v>53.28</v>
      </c>
      <c r="H59">
        <v>49.27</v>
      </c>
      <c r="I59">
        <v>51.69</v>
      </c>
      <c r="J59">
        <v>50.12</v>
      </c>
      <c r="K59">
        <v>51.44</v>
      </c>
    </row>
    <row r="60" spans="1:11" x14ac:dyDescent="0.25">
      <c r="A60" s="3" t="s">
        <v>37</v>
      </c>
      <c r="B60">
        <v>45419.7</v>
      </c>
      <c r="C60">
        <v>38162.559999999998</v>
      </c>
      <c r="D60">
        <v>38046.839999999997</v>
      </c>
      <c r="E60">
        <v>35298.01</v>
      </c>
      <c r="F60">
        <v>35027.18</v>
      </c>
      <c r="G60">
        <v>37619.24</v>
      </c>
      <c r="H60">
        <v>40891.94</v>
      </c>
      <c r="I60">
        <v>45652.160000000003</v>
      </c>
      <c r="J60">
        <v>51722.55</v>
      </c>
      <c r="K60">
        <v>73665.41</v>
      </c>
    </row>
    <row r="61" spans="1:11" s="1" customFormat="1" x14ac:dyDescent="0.25">
      <c r="A61" s="1" t="s">
        <v>13</v>
      </c>
      <c r="B61">
        <v>56531.9</v>
      </c>
      <c r="C61">
        <v>51743.7</v>
      </c>
      <c r="D61">
        <v>48462.61</v>
      </c>
      <c r="E61">
        <v>51496.33</v>
      </c>
      <c r="F61">
        <v>54202.66</v>
      </c>
      <c r="G61">
        <v>53096.42</v>
      </c>
      <c r="H61">
        <v>60254.34</v>
      </c>
      <c r="I61">
        <v>69276</v>
      </c>
      <c r="J61">
        <v>80910.84</v>
      </c>
      <c r="K61">
        <v>108698.46</v>
      </c>
    </row>
    <row r="62" spans="1:11" x14ac:dyDescent="0.25">
      <c r="A62" s="3" t="s">
        <v>14</v>
      </c>
      <c r="B62">
        <v>6925.2</v>
      </c>
      <c r="C62">
        <v>7349.56</v>
      </c>
      <c r="D62">
        <v>7566.22</v>
      </c>
      <c r="E62">
        <v>7459.35</v>
      </c>
      <c r="F62">
        <v>7357.49</v>
      </c>
      <c r="G62">
        <v>7165.88</v>
      </c>
      <c r="H62">
        <v>6765.88</v>
      </c>
      <c r="I62">
        <v>6834.4</v>
      </c>
      <c r="J62">
        <v>6736.89</v>
      </c>
      <c r="K62">
        <v>6670.8</v>
      </c>
    </row>
    <row r="63" spans="1:11" x14ac:dyDescent="0.25">
      <c r="A63" s="3" t="s">
        <v>15</v>
      </c>
      <c r="B63">
        <v>1025.4000000000001</v>
      </c>
      <c r="C63">
        <v>1389.4</v>
      </c>
      <c r="D63">
        <v>1461.72</v>
      </c>
      <c r="E63">
        <v>1502.11</v>
      </c>
      <c r="F63">
        <v>2042.69</v>
      </c>
      <c r="G63">
        <v>1949.6</v>
      </c>
      <c r="H63">
        <v>2472.94</v>
      </c>
      <c r="I63">
        <v>1885</v>
      </c>
      <c r="J63">
        <v>2493.4299999999998</v>
      </c>
      <c r="K63">
        <v>3097.75</v>
      </c>
    </row>
    <row r="64" spans="1:11" x14ac:dyDescent="0.25">
      <c r="A64" s="3" t="s">
        <v>16</v>
      </c>
      <c r="B64">
        <v>915.8</v>
      </c>
      <c r="C64">
        <v>993.99</v>
      </c>
      <c r="D64">
        <v>1010.11</v>
      </c>
      <c r="E64">
        <v>909.64</v>
      </c>
      <c r="F64">
        <v>990.8</v>
      </c>
      <c r="G64">
        <v>1121.32</v>
      </c>
      <c r="H64">
        <v>1362.7</v>
      </c>
      <c r="I64">
        <v>1457.92</v>
      </c>
      <c r="J64">
        <v>1591.33</v>
      </c>
      <c r="K64">
        <v>1754.2</v>
      </c>
    </row>
    <row r="65" spans="1:11" x14ac:dyDescent="0.25">
      <c r="A65" s="3" t="s">
        <v>38</v>
      </c>
      <c r="B65">
        <v>47665.5</v>
      </c>
      <c r="C65">
        <v>42010.75</v>
      </c>
      <c r="D65">
        <v>38424.559999999998</v>
      </c>
      <c r="E65">
        <v>41625.230000000003</v>
      </c>
      <c r="F65">
        <v>43811.68</v>
      </c>
      <c r="G65">
        <v>42859.62</v>
      </c>
      <c r="H65">
        <v>49652.82</v>
      </c>
      <c r="I65">
        <v>59098.68</v>
      </c>
      <c r="J65">
        <v>70089.19</v>
      </c>
      <c r="K65">
        <v>97175.71</v>
      </c>
    </row>
    <row r="66" spans="1:11" s="1" customFormat="1" x14ac:dyDescent="0.25">
      <c r="A66" s="1" t="s">
        <v>13</v>
      </c>
      <c r="B66">
        <v>56531.9</v>
      </c>
      <c r="C66">
        <v>51743.7</v>
      </c>
      <c r="D66">
        <v>48462.61</v>
      </c>
      <c r="E66">
        <v>51496.33</v>
      </c>
      <c r="F66">
        <v>54202.66</v>
      </c>
      <c r="G66">
        <v>53096.42</v>
      </c>
      <c r="H66">
        <v>60254.34</v>
      </c>
      <c r="I66">
        <v>69276</v>
      </c>
      <c r="J66">
        <v>80910.84</v>
      </c>
      <c r="K66">
        <v>108698.46</v>
      </c>
    </row>
    <row r="67" spans="1:11" s="3" customFormat="1" x14ac:dyDescent="0.25">
      <c r="A67" s="3" t="s">
        <v>43</v>
      </c>
      <c r="B67">
        <v>4836.8999999999996</v>
      </c>
      <c r="C67">
        <v>4220.16</v>
      </c>
      <c r="D67">
        <v>6751.54</v>
      </c>
      <c r="E67">
        <v>12458</v>
      </c>
      <c r="F67">
        <v>11234.73</v>
      </c>
      <c r="G67">
        <v>5668.05</v>
      </c>
      <c r="H67">
        <v>4641.53</v>
      </c>
      <c r="I67">
        <v>4719.18</v>
      </c>
      <c r="J67">
        <v>4616.8500000000004</v>
      </c>
      <c r="K67">
        <v>4647.79</v>
      </c>
    </row>
    <row r="68" spans="1:11" x14ac:dyDescent="0.25">
      <c r="A68" s="3" t="s">
        <v>30</v>
      </c>
      <c r="B68">
        <v>23981.7</v>
      </c>
      <c r="C68">
        <v>21519.73</v>
      </c>
      <c r="D68">
        <v>20130.73</v>
      </c>
      <c r="E68">
        <v>20446.8</v>
      </c>
      <c r="F68">
        <v>20361.18</v>
      </c>
      <c r="G68">
        <v>18005.41</v>
      </c>
      <c r="H68">
        <v>16209.64</v>
      </c>
      <c r="I68">
        <v>14220.89</v>
      </c>
      <c r="J68">
        <v>16033.2</v>
      </c>
      <c r="K68">
        <v>24107.31</v>
      </c>
    </row>
    <row r="69" spans="1:11" x14ac:dyDescent="0.25">
      <c r="A69" s="2" t="s">
        <v>52</v>
      </c>
      <c r="B69">
        <v>13303.4</v>
      </c>
      <c r="C69">
        <v>11149.06</v>
      </c>
      <c r="D69">
        <v>6545.52</v>
      </c>
      <c r="E69">
        <v>123.66</v>
      </c>
      <c r="F69">
        <v>316.56</v>
      </c>
      <c r="G69">
        <v>7177.35</v>
      </c>
      <c r="H69">
        <v>14347.72</v>
      </c>
      <c r="I69">
        <v>20316.61</v>
      </c>
      <c r="J69">
        <v>26431.61</v>
      </c>
      <c r="K69">
        <v>38182.25</v>
      </c>
    </row>
    <row r="70" spans="1:11" x14ac:dyDescent="0.25">
      <c r="A70" s="2" t="s">
        <v>39</v>
      </c>
      <c r="B70">
        <v>361500000</v>
      </c>
      <c r="C70">
        <v>361500000</v>
      </c>
      <c r="D70">
        <v>334387500</v>
      </c>
      <c r="E70">
        <v>334387500</v>
      </c>
      <c r="F70">
        <v>334387500</v>
      </c>
      <c r="G70">
        <v>334387500</v>
      </c>
      <c r="H70">
        <v>334387500</v>
      </c>
      <c r="I70">
        <v>334387500</v>
      </c>
      <c r="J70">
        <v>668775000</v>
      </c>
      <c r="K70">
        <v>668775000</v>
      </c>
    </row>
    <row r="71" spans="1:11" x14ac:dyDescent="0.25">
      <c r="A71" s="2" t="s">
        <v>40</v>
      </c>
    </row>
    <row r="72" spans="1:11" x14ac:dyDescent="0.25">
      <c r="A72" s="2" t="s">
        <v>53</v>
      </c>
      <c r="B72">
        <v>10</v>
      </c>
      <c r="C72">
        <v>10</v>
      </c>
      <c r="D72">
        <v>10</v>
      </c>
      <c r="E72">
        <v>10</v>
      </c>
      <c r="F72">
        <v>10</v>
      </c>
      <c r="G72">
        <v>10</v>
      </c>
      <c r="H72">
        <v>10</v>
      </c>
      <c r="I72">
        <v>10</v>
      </c>
      <c r="J72">
        <v>5</v>
      </c>
      <c r="K72">
        <v>5</v>
      </c>
    </row>
    <row r="74" spans="1:11" x14ac:dyDescent="0.25">
      <c r="A74" s="3"/>
    </row>
    <row r="75" spans="1:11" x14ac:dyDescent="0.25">
      <c r="A75" s="3"/>
    </row>
    <row r="76" spans="1:11" x14ac:dyDescent="0.25">
      <c r="A76" s="3"/>
    </row>
    <row r="77" spans="1:11" x14ac:dyDescent="0.25">
      <c r="A77" s="3"/>
    </row>
    <row r="78" spans="1:11" x14ac:dyDescent="0.25">
      <c r="A78" s="3"/>
    </row>
    <row r="79" spans="1:11" x14ac:dyDescent="0.25">
      <c r="A79" s="3"/>
    </row>
    <row r="80" spans="1:11" x14ac:dyDescent="0.25">
      <c r="A80" s="1" t="s">
        <v>27</v>
      </c>
    </row>
    <row r="81" spans="1:11" s="6" customFormat="1" x14ac:dyDescent="0.25">
      <c r="A81" s="5" t="s">
        <v>24</v>
      </c>
      <c r="B81" s="4">
        <v>42460</v>
      </c>
      <c r="C81" s="4">
        <v>42825</v>
      </c>
      <c r="D81" s="4">
        <v>43190</v>
      </c>
      <c r="E81" s="4">
        <v>43555</v>
      </c>
      <c r="F81" s="4">
        <v>43921</v>
      </c>
      <c r="G81" s="4">
        <v>44286</v>
      </c>
      <c r="H81" s="4">
        <v>44651</v>
      </c>
      <c r="I81" s="4">
        <v>45016</v>
      </c>
      <c r="J81" s="4">
        <v>45382</v>
      </c>
      <c r="K81" s="4">
        <v>45747</v>
      </c>
    </row>
    <row r="82" spans="1:11" s="1" customFormat="1" x14ac:dyDescent="0.25">
      <c r="A82" s="3" t="s">
        <v>18</v>
      </c>
      <c r="C82">
        <v>-404.5</v>
      </c>
      <c r="D82">
        <v>-747.6</v>
      </c>
      <c r="E82">
        <v>-7700.28</v>
      </c>
      <c r="F82">
        <v>1527.39</v>
      </c>
      <c r="G82">
        <v>15117</v>
      </c>
      <c r="H82">
        <v>10173.129999999999</v>
      </c>
      <c r="I82">
        <v>8829.7199999999993</v>
      </c>
      <c r="J82">
        <v>8222.82</v>
      </c>
      <c r="K82">
        <v>13643.46</v>
      </c>
    </row>
    <row r="83" spans="1:11" s="3" customFormat="1" x14ac:dyDescent="0.25">
      <c r="A83" s="3" t="s">
        <v>19</v>
      </c>
      <c r="C83">
        <v>3011.8</v>
      </c>
      <c r="D83">
        <v>597</v>
      </c>
      <c r="E83">
        <v>5294.17</v>
      </c>
      <c r="F83">
        <v>-1338.88</v>
      </c>
      <c r="G83">
        <v>-1179.99</v>
      </c>
      <c r="H83">
        <v>-12785.23</v>
      </c>
      <c r="I83">
        <v>-5728.02</v>
      </c>
      <c r="J83">
        <v>-6410.05</v>
      </c>
      <c r="K83">
        <v>-10771.09</v>
      </c>
    </row>
    <row r="84" spans="1:11" s="3" customFormat="1" x14ac:dyDescent="0.25">
      <c r="A84" s="3" t="s">
        <v>20</v>
      </c>
      <c r="C84">
        <v>-164.28</v>
      </c>
      <c r="D84">
        <v>-2540.35</v>
      </c>
      <c r="E84">
        <v>2326.11</v>
      </c>
      <c r="F84">
        <v>63.94</v>
      </c>
      <c r="G84">
        <v>-7070.18</v>
      </c>
      <c r="H84">
        <v>-1463.68</v>
      </c>
      <c r="I84">
        <v>-1731.3</v>
      </c>
      <c r="J84">
        <v>-1998.85</v>
      </c>
      <c r="K84">
        <v>-2578.5100000000002</v>
      </c>
    </row>
    <row r="85" spans="1:11" s="1" customFormat="1" x14ac:dyDescent="0.25">
      <c r="A85" s="3" t="s">
        <v>21</v>
      </c>
      <c r="C85">
        <v>2443.02</v>
      </c>
      <c r="D85">
        <v>-2690.95</v>
      </c>
      <c r="E85">
        <v>-80</v>
      </c>
      <c r="F85">
        <v>252.45</v>
      </c>
      <c r="G85">
        <v>6866.83</v>
      </c>
      <c r="H85">
        <v>-4075.78</v>
      </c>
      <c r="I85">
        <v>1370.4</v>
      </c>
      <c r="J85">
        <v>-186.08</v>
      </c>
      <c r="K85">
        <v>293.86</v>
      </c>
    </row>
    <row r="86" spans="1:11" x14ac:dyDescent="0.25">
      <c r="A86" s="3"/>
    </row>
    <row r="87" spans="1:11" x14ac:dyDescent="0.25">
      <c r="A87" s="3"/>
    </row>
    <row r="88" spans="1:11" x14ac:dyDescent="0.25">
      <c r="A88" s="3"/>
    </row>
    <row r="89" spans="1:11" x14ac:dyDescent="0.25">
      <c r="A89" s="3"/>
    </row>
    <row r="90" spans="1:11" s="1" customFormat="1" x14ac:dyDescent="0.25">
      <c r="A90" s="1" t="s">
        <v>42</v>
      </c>
      <c r="D90">
        <v>566.42999999999995</v>
      </c>
      <c r="E90">
        <v>353.23</v>
      </c>
      <c r="F90">
        <v>260.14999999999998</v>
      </c>
      <c r="G90">
        <v>497.48</v>
      </c>
      <c r="H90">
        <v>742.45</v>
      </c>
      <c r="I90">
        <v>1365.55</v>
      </c>
      <c r="J90">
        <v>3327</v>
      </c>
      <c r="K90">
        <v>4177.45</v>
      </c>
    </row>
    <row r="92" spans="1:11" s="1" customFormat="1" x14ac:dyDescent="0.25">
      <c r="A92" s="1" t="s">
        <v>41</v>
      </c>
    </row>
    <row r="93" spans="1:11" x14ac:dyDescent="0.25">
      <c r="A93" s="2" t="s">
        <v>54</v>
      </c>
      <c r="B93" s="7">
        <v>72.3</v>
      </c>
      <c r="C93" s="7">
        <v>72.3</v>
      </c>
      <c r="D93" s="7">
        <v>66.88</v>
      </c>
      <c r="E93" s="7">
        <v>66.88</v>
      </c>
      <c r="F93" s="7">
        <v>66.88</v>
      </c>
      <c r="G93" s="7">
        <v>66.88</v>
      </c>
      <c r="H93" s="7">
        <v>66.88</v>
      </c>
      <c r="I93" s="7">
        <v>66.88</v>
      </c>
      <c r="J93" s="7">
        <v>66.88</v>
      </c>
      <c r="K93" s="7">
        <v>66.88</v>
      </c>
    </row>
  </sheetData>
  <sheetProtection sheet="1" objects="1" scenarios="1"/>
  <mergeCells count="2">
    <mergeCell ref="E1:K1"/>
    <mergeCell ref="E2:K2"/>
  </mergeCells>
  <conditionalFormatting sqref="E1:K1">
    <cfRule type="cellIs" dxfId="0" priority="1" operator="notEqual">
      <formula>""</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9962-8C34-418C-9C2B-2654DB6C16D4}">
  <sheetPr codeName="Sheet13"/>
  <dimension ref="B1:AW59"/>
  <sheetViews>
    <sheetView zoomScale="50" zoomScaleNormal="50" workbookViewId="0">
      <selection activeCell="AJ3" sqref="AJ3"/>
    </sheetView>
  </sheetViews>
  <sheetFormatPr defaultRowHeight="15" x14ac:dyDescent="0.25"/>
  <cols>
    <col min="1" max="1" width="1.85546875" customWidth="1"/>
    <col min="2" max="2" width="27.5703125" style="98" bestFit="1" customWidth="1"/>
    <col min="3" max="6" width="8.7109375" bestFit="1" customWidth="1"/>
    <col min="7" max="7" width="9" bestFit="1" customWidth="1"/>
    <col min="8" max="8" width="9.7109375" bestFit="1" customWidth="1"/>
    <col min="11" max="11" width="27.5703125" style="98" bestFit="1" customWidth="1"/>
    <col min="12" max="15" width="9.85546875" bestFit="1" customWidth="1"/>
    <col min="16" max="16" width="7.28515625" bestFit="1" customWidth="1"/>
    <col min="17" max="17" width="8.42578125" bestFit="1" customWidth="1"/>
    <col min="19" max="19" width="27.5703125" style="98" bestFit="1" customWidth="1"/>
    <col min="23" max="23" width="9.28515625" bestFit="1" customWidth="1"/>
    <col min="25" max="25" width="9.7109375" bestFit="1" customWidth="1"/>
    <col min="27" max="27" width="27.5703125" style="98" bestFit="1" customWidth="1"/>
    <col min="28" max="31" width="9.28515625" bestFit="1" customWidth="1"/>
    <col min="33" max="33" width="9.7109375" bestFit="1" customWidth="1"/>
    <col min="35" max="35" width="27.5703125" style="98" bestFit="1" customWidth="1"/>
    <col min="36" max="39" width="9.28515625" bestFit="1" customWidth="1"/>
    <col min="41" max="41" width="9.7109375" bestFit="1" customWidth="1"/>
    <col min="43" max="43" width="27.5703125" style="98" bestFit="1" customWidth="1"/>
    <col min="44" max="47" width="9.28515625" bestFit="1" customWidth="1"/>
    <col min="49" max="49" width="9.7109375" bestFit="1" customWidth="1"/>
  </cols>
  <sheetData>
    <row r="1" spans="2:49" x14ac:dyDescent="0.25">
      <c r="B1" s="258" t="str">
        <f>'Data Sheet'!B1</f>
        <v>HINDUSTAN AERONAUTICS LTD</v>
      </c>
      <c r="C1" s="258"/>
      <c r="D1" s="258"/>
      <c r="E1" s="258"/>
      <c r="F1" s="258"/>
      <c r="G1" s="258"/>
      <c r="H1" s="258"/>
      <c r="I1" t="s">
        <v>622</v>
      </c>
      <c r="K1" s="258" t="s">
        <v>262</v>
      </c>
      <c r="L1" s="258"/>
      <c r="M1" s="258"/>
      <c r="N1" s="258"/>
      <c r="O1" s="258"/>
      <c r="P1" s="258"/>
      <c r="Q1" s="258"/>
      <c r="S1" s="258" t="str">
        <f>Wacc!B11</f>
        <v>Bharat Electron</v>
      </c>
      <c r="T1" s="258"/>
      <c r="U1" s="258"/>
      <c r="V1" s="258"/>
      <c r="W1" s="258"/>
      <c r="X1" s="258"/>
      <c r="Y1" s="258"/>
      <c r="AA1" s="258" t="str">
        <f>Wacc!B12</f>
        <v>Bharat Dynamics</v>
      </c>
      <c r="AB1" s="258"/>
      <c r="AC1" s="258"/>
      <c r="AD1" s="258"/>
      <c r="AE1" s="258"/>
      <c r="AF1" s="258"/>
      <c r="AG1" s="258"/>
      <c r="AI1" s="258" t="str">
        <f>Wacc!B13</f>
        <v>Data Pattern</v>
      </c>
      <c r="AJ1" s="258"/>
      <c r="AK1" s="258"/>
      <c r="AL1" s="258"/>
      <c r="AM1" s="258"/>
      <c r="AN1" s="258"/>
      <c r="AO1" s="258"/>
      <c r="AQ1" s="258" t="str">
        <f>Wacc!B14</f>
        <v>Zen Technologies</v>
      </c>
      <c r="AR1" s="258"/>
      <c r="AS1" s="258"/>
      <c r="AT1" s="258"/>
      <c r="AU1" s="258"/>
      <c r="AV1" s="258"/>
      <c r="AW1" s="258"/>
    </row>
    <row r="2" spans="2:49" x14ac:dyDescent="0.25">
      <c r="B2" s="120" t="s">
        <v>196</v>
      </c>
      <c r="C2" t="s">
        <v>197</v>
      </c>
      <c r="D2" t="s">
        <v>198</v>
      </c>
      <c r="E2" t="s">
        <v>199</v>
      </c>
      <c r="F2" t="s">
        <v>200</v>
      </c>
      <c r="G2" t="s">
        <v>201</v>
      </c>
      <c r="H2" t="s">
        <v>202</v>
      </c>
      <c r="K2" s="120" t="s">
        <v>196</v>
      </c>
      <c r="L2" t="s">
        <v>197</v>
      </c>
      <c r="M2" t="s">
        <v>198</v>
      </c>
      <c r="N2" t="s">
        <v>199</v>
      </c>
      <c r="O2" t="s">
        <v>200</v>
      </c>
      <c r="P2" t="s">
        <v>201</v>
      </c>
      <c r="Q2" t="s">
        <v>202</v>
      </c>
      <c r="S2" s="120" t="s">
        <v>196</v>
      </c>
      <c r="T2" t="s">
        <v>197</v>
      </c>
      <c r="U2" t="s">
        <v>198</v>
      </c>
      <c r="V2" t="s">
        <v>199</v>
      </c>
      <c r="W2" t="s">
        <v>200</v>
      </c>
      <c r="X2" t="s">
        <v>201</v>
      </c>
      <c r="Y2" t="s">
        <v>202</v>
      </c>
      <c r="AA2" s="120" t="s">
        <v>196</v>
      </c>
      <c r="AB2" t="s">
        <v>197</v>
      </c>
      <c r="AC2" t="s">
        <v>198</v>
      </c>
      <c r="AD2" t="s">
        <v>199</v>
      </c>
      <c r="AE2" t="s">
        <v>200</v>
      </c>
      <c r="AF2" t="s">
        <v>201</v>
      </c>
      <c r="AG2" t="s">
        <v>202</v>
      </c>
      <c r="AI2" s="120" t="s">
        <v>196</v>
      </c>
      <c r="AJ2" t="s">
        <v>197</v>
      </c>
      <c r="AK2" t="s">
        <v>198</v>
      </c>
      <c r="AL2" t="s">
        <v>199</v>
      </c>
      <c r="AM2" t="s">
        <v>200</v>
      </c>
      <c r="AN2" t="s">
        <v>201</v>
      </c>
      <c r="AO2" t="s">
        <v>202</v>
      </c>
      <c r="AQ2" s="120" t="s">
        <v>196</v>
      </c>
      <c r="AR2" t="s">
        <v>197</v>
      </c>
      <c r="AS2" t="s">
        <v>198</v>
      </c>
      <c r="AT2" t="s">
        <v>199</v>
      </c>
      <c r="AU2" t="s">
        <v>200</v>
      </c>
      <c r="AV2" t="s">
        <v>201</v>
      </c>
      <c r="AW2" t="s">
        <v>202</v>
      </c>
    </row>
    <row r="3" spans="2:49" x14ac:dyDescent="0.25">
      <c r="B3" s="98">
        <v>44200</v>
      </c>
      <c r="C3">
        <v>478.63</v>
      </c>
      <c r="D3">
        <v>508.5</v>
      </c>
      <c r="E3">
        <v>526</v>
      </c>
      <c r="F3">
        <v>464.5</v>
      </c>
      <c r="G3" t="s">
        <v>203</v>
      </c>
      <c r="H3">
        <v>-3.7900000000000003E-2</v>
      </c>
      <c r="K3" s="98">
        <v>44200</v>
      </c>
      <c r="L3">
        <v>14631.1</v>
      </c>
      <c r="M3">
        <v>14798.4</v>
      </c>
      <c r="N3">
        <v>15044.35</v>
      </c>
      <c r="O3">
        <v>14151.4</v>
      </c>
      <c r="P3" t="s">
        <v>263</v>
      </c>
      <c r="Q3">
        <v>-4.1000000000000003E-3</v>
      </c>
      <c r="S3" s="98">
        <v>44200</v>
      </c>
      <c r="T3">
        <v>43.92</v>
      </c>
      <c r="U3">
        <v>42</v>
      </c>
      <c r="V3">
        <v>45.48</v>
      </c>
      <c r="W3">
        <v>40.17</v>
      </c>
      <c r="X3" t="s">
        <v>348</v>
      </c>
      <c r="Y3" s="83">
        <v>5.3199999999999997E-2</v>
      </c>
      <c r="AA3" s="98">
        <v>44200</v>
      </c>
      <c r="AB3">
        <v>168.43</v>
      </c>
      <c r="AC3">
        <v>166.5</v>
      </c>
      <c r="AD3">
        <v>175.95</v>
      </c>
      <c r="AE3">
        <v>160.55000000000001</v>
      </c>
      <c r="AF3" t="s">
        <v>461</v>
      </c>
      <c r="AG3">
        <v>1.29E-2</v>
      </c>
      <c r="AI3" s="98">
        <v>44200</v>
      </c>
      <c r="AJ3">
        <v>0</v>
      </c>
      <c r="AK3">
        <v>0</v>
      </c>
      <c r="AL3">
        <v>0</v>
      </c>
      <c r="AM3">
        <v>0</v>
      </c>
      <c r="AN3">
        <v>0</v>
      </c>
      <c r="AO3">
        <v>0</v>
      </c>
      <c r="AQ3" s="98">
        <v>44200</v>
      </c>
      <c r="AR3">
        <v>264.3</v>
      </c>
      <c r="AS3">
        <v>275</v>
      </c>
      <c r="AT3">
        <v>289.95</v>
      </c>
      <c r="AU3">
        <v>254.7</v>
      </c>
      <c r="AV3" t="s">
        <v>508</v>
      </c>
      <c r="AW3">
        <v>-3.5200000000000002E-2</v>
      </c>
    </row>
    <row r="4" spans="2:49" x14ac:dyDescent="0.25">
      <c r="B4" s="98">
        <v>44201</v>
      </c>
      <c r="C4">
        <v>510.27</v>
      </c>
      <c r="D4">
        <v>477.85</v>
      </c>
      <c r="E4">
        <v>523</v>
      </c>
      <c r="F4">
        <v>471</v>
      </c>
      <c r="G4" t="s">
        <v>204</v>
      </c>
      <c r="H4">
        <v>6.6100000000000006E-2</v>
      </c>
      <c r="K4" s="98">
        <v>44201</v>
      </c>
      <c r="L4">
        <v>15582.8</v>
      </c>
      <c r="M4">
        <v>14481.05</v>
      </c>
      <c r="N4">
        <v>15606.35</v>
      </c>
      <c r="O4">
        <v>14416.25</v>
      </c>
      <c r="P4" t="s">
        <v>264</v>
      </c>
      <c r="Q4">
        <v>6.5000000000000002E-2</v>
      </c>
      <c r="S4" s="98">
        <v>44201</v>
      </c>
      <c r="T4">
        <v>48.47</v>
      </c>
      <c r="U4">
        <v>43.67</v>
      </c>
      <c r="V4">
        <v>53.33</v>
      </c>
      <c r="W4">
        <v>42.95</v>
      </c>
      <c r="X4" t="s">
        <v>349</v>
      </c>
      <c r="Y4" s="83">
        <v>0.1036</v>
      </c>
      <c r="AA4" s="98">
        <v>44201</v>
      </c>
      <c r="AB4">
        <v>180.85</v>
      </c>
      <c r="AC4">
        <v>168.38</v>
      </c>
      <c r="AD4">
        <v>188</v>
      </c>
      <c r="AE4">
        <v>163</v>
      </c>
      <c r="AF4" t="s">
        <v>460</v>
      </c>
      <c r="AG4">
        <v>7.3800000000000004E-2</v>
      </c>
      <c r="AI4" s="98">
        <v>44201</v>
      </c>
      <c r="AJ4">
        <v>0</v>
      </c>
      <c r="AK4">
        <v>0</v>
      </c>
      <c r="AL4">
        <v>0</v>
      </c>
      <c r="AM4">
        <v>0</v>
      </c>
      <c r="AN4">
        <v>0</v>
      </c>
      <c r="AO4">
        <v>0</v>
      </c>
      <c r="AQ4" s="98">
        <v>44201</v>
      </c>
      <c r="AR4">
        <v>285.8</v>
      </c>
      <c r="AS4">
        <v>264</v>
      </c>
      <c r="AT4">
        <v>306.89999999999998</v>
      </c>
      <c r="AU4">
        <v>262.3</v>
      </c>
      <c r="AV4" t="s">
        <v>509</v>
      </c>
      <c r="AW4">
        <v>8.1299999999999997E-2</v>
      </c>
    </row>
    <row r="5" spans="2:49" x14ac:dyDescent="0.25">
      <c r="B5" s="98">
        <v>44202</v>
      </c>
      <c r="C5">
        <v>510.9</v>
      </c>
      <c r="D5">
        <v>524.5</v>
      </c>
      <c r="E5">
        <v>544.5</v>
      </c>
      <c r="F5">
        <v>495.6</v>
      </c>
      <c r="G5" t="s">
        <v>205</v>
      </c>
      <c r="H5">
        <v>1.1999999999999999E-3</v>
      </c>
      <c r="K5" s="98">
        <v>44202</v>
      </c>
      <c r="L5">
        <v>15721.5</v>
      </c>
      <c r="M5">
        <v>15629.65</v>
      </c>
      <c r="N5">
        <v>15915.65</v>
      </c>
      <c r="O5">
        <v>15450.9</v>
      </c>
      <c r="P5" t="s">
        <v>265</v>
      </c>
      <c r="Q5">
        <v>8.8999999999999999E-3</v>
      </c>
      <c r="S5" s="98">
        <v>44202</v>
      </c>
      <c r="T5">
        <v>59.33</v>
      </c>
      <c r="U5">
        <v>51</v>
      </c>
      <c r="V5">
        <v>59.63</v>
      </c>
      <c r="W5">
        <v>46.83</v>
      </c>
      <c r="X5" t="s">
        <v>350</v>
      </c>
      <c r="Y5" s="83">
        <v>0.22420000000000001</v>
      </c>
      <c r="AA5" s="98">
        <v>44202</v>
      </c>
      <c r="AB5">
        <v>178.98</v>
      </c>
      <c r="AC5">
        <v>186</v>
      </c>
      <c r="AD5">
        <v>188.8</v>
      </c>
      <c r="AE5">
        <v>172.63</v>
      </c>
      <c r="AF5" t="s">
        <v>459</v>
      </c>
      <c r="AG5">
        <v>-1.04E-2</v>
      </c>
      <c r="AI5" s="98">
        <v>44202</v>
      </c>
      <c r="AJ5">
        <v>0</v>
      </c>
      <c r="AK5">
        <v>0</v>
      </c>
      <c r="AL5">
        <v>0</v>
      </c>
      <c r="AM5">
        <v>0</v>
      </c>
      <c r="AN5">
        <v>0</v>
      </c>
      <c r="AO5">
        <v>0</v>
      </c>
      <c r="AQ5" s="98">
        <v>44202</v>
      </c>
      <c r="AR5">
        <v>311.35000000000002</v>
      </c>
      <c r="AS5">
        <v>288.39999999999998</v>
      </c>
      <c r="AT5">
        <v>319.2</v>
      </c>
      <c r="AU5">
        <v>279</v>
      </c>
      <c r="AV5" t="s">
        <v>510</v>
      </c>
      <c r="AW5">
        <v>8.9399999999999993E-2</v>
      </c>
    </row>
    <row r="6" spans="2:49" x14ac:dyDescent="0.25">
      <c r="B6" s="98">
        <v>44203</v>
      </c>
      <c r="C6">
        <v>558.16999999999996</v>
      </c>
      <c r="D6">
        <v>512.75</v>
      </c>
      <c r="E6">
        <v>578.5</v>
      </c>
      <c r="F6">
        <v>505</v>
      </c>
      <c r="G6" t="s">
        <v>206</v>
      </c>
      <c r="H6">
        <v>9.2499999999999999E-2</v>
      </c>
      <c r="K6" s="98">
        <v>44203</v>
      </c>
      <c r="L6">
        <v>15763.05</v>
      </c>
      <c r="M6">
        <v>15755.05</v>
      </c>
      <c r="N6">
        <v>15962.25</v>
      </c>
      <c r="O6">
        <v>15513.45</v>
      </c>
      <c r="P6" t="s">
        <v>266</v>
      </c>
      <c r="Q6">
        <v>2.5999999999999999E-3</v>
      </c>
      <c r="S6" s="98">
        <v>44203</v>
      </c>
      <c r="T6">
        <v>61.55</v>
      </c>
      <c r="U6">
        <v>59.27</v>
      </c>
      <c r="V6">
        <v>63.9</v>
      </c>
      <c r="W6">
        <v>59.03</v>
      </c>
      <c r="X6" t="s">
        <v>351</v>
      </c>
      <c r="Y6" s="83">
        <v>3.7400000000000003E-2</v>
      </c>
      <c r="AA6" s="98">
        <v>44203</v>
      </c>
      <c r="AB6">
        <v>210.02</v>
      </c>
      <c r="AC6">
        <v>181.48</v>
      </c>
      <c r="AD6">
        <v>213.3</v>
      </c>
      <c r="AE6">
        <v>179.63</v>
      </c>
      <c r="AF6" t="s">
        <v>458</v>
      </c>
      <c r="AG6">
        <v>0.17349999999999999</v>
      </c>
      <c r="AI6" s="98">
        <v>44203</v>
      </c>
      <c r="AJ6">
        <v>0</v>
      </c>
      <c r="AK6">
        <v>0</v>
      </c>
      <c r="AL6">
        <v>0</v>
      </c>
      <c r="AM6">
        <v>0</v>
      </c>
      <c r="AN6">
        <v>0</v>
      </c>
      <c r="AO6">
        <v>0</v>
      </c>
      <c r="AQ6" s="98">
        <v>44203</v>
      </c>
      <c r="AR6">
        <v>415.9</v>
      </c>
      <c r="AS6">
        <v>317</v>
      </c>
      <c r="AT6">
        <v>428.4</v>
      </c>
      <c r="AU6">
        <v>312.3</v>
      </c>
      <c r="AV6" t="s">
        <v>511</v>
      </c>
      <c r="AW6">
        <v>0.33579999999999999</v>
      </c>
    </row>
    <row r="7" spans="2:49" x14ac:dyDescent="0.25">
      <c r="B7" s="98">
        <v>44204</v>
      </c>
      <c r="C7">
        <v>687.9</v>
      </c>
      <c r="D7">
        <v>560.03</v>
      </c>
      <c r="E7">
        <v>728.5</v>
      </c>
      <c r="F7">
        <v>529.54999999999995</v>
      </c>
      <c r="G7" t="s">
        <v>207</v>
      </c>
      <c r="H7">
        <v>0.2324</v>
      </c>
      <c r="K7" s="98">
        <v>44204</v>
      </c>
      <c r="L7">
        <v>17132.2</v>
      </c>
      <c r="M7">
        <v>15874.9</v>
      </c>
      <c r="N7">
        <v>17153.5</v>
      </c>
      <c r="O7">
        <v>15834.65</v>
      </c>
      <c r="P7" t="s">
        <v>267</v>
      </c>
      <c r="Q7">
        <v>8.6900000000000005E-2</v>
      </c>
      <c r="S7" s="98">
        <v>44204</v>
      </c>
      <c r="T7">
        <v>62.22</v>
      </c>
      <c r="U7">
        <v>61.67</v>
      </c>
      <c r="V7">
        <v>62.47</v>
      </c>
      <c r="W7">
        <v>54.12</v>
      </c>
      <c r="X7" t="s">
        <v>352</v>
      </c>
      <c r="Y7" s="83">
        <v>1.0800000000000001E-2</v>
      </c>
      <c r="AA7" s="98">
        <v>44204</v>
      </c>
      <c r="AB7">
        <v>196.55</v>
      </c>
      <c r="AC7">
        <v>210.4</v>
      </c>
      <c r="AD7">
        <v>214.6</v>
      </c>
      <c r="AE7">
        <v>183.5</v>
      </c>
      <c r="AF7" t="s">
        <v>457</v>
      </c>
      <c r="AG7">
        <v>-6.4199999999999993E-2</v>
      </c>
      <c r="AI7" s="98">
        <v>44204</v>
      </c>
      <c r="AJ7">
        <v>0</v>
      </c>
      <c r="AK7">
        <v>0</v>
      </c>
      <c r="AL7">
        <v>0</v>
      </c>
      <c r="AM7">
        <v>0</v>
      </c>
      <c r="AN7">
        <v>0</v>
      </c>
      <c r="AO7">
        <v>0</v>
      </c>
      <c r="AQ7" s="98">
        <v>44204</v>
      </c>
      <c r="AR7">
        <v>450.3</v>
      </c>
      <c r="AS7">
        <v>419.65</v>
      </c>
      <c r="AT7">
        <v>465.25</v>
      </c>
      <c r="AU7">
        <v>377</v>
      </c>
      <c r="AV7" t="s">
        <v>512</v>
      </c>
      <c r="AW7">
        <v>8.2699999999999996E-2</v>
      </c>
    </row>
    <row r="8" spans="2:49" x14ac:dyDescent="0.25">
      <c r="B8" s="98">
        <v>44205</v>
      </c>
      <c r="C8">
        <v>677.22</v>
      </c>
      <c r="D8">
        <v>682</v>
      </c>
      <c r="E8">
        <v>743.47</v>
      </c>
      <c r="F8">
        <v>658</v>
      </c>
      <c r="G8" t="s">
        <v>208</v>
      </c>
      <c r="H8">
        <v>-1.55E-2</v>
      </c>
      <c r="K8" s="98">
        <v>44205</v>
      </c>
      <c r="L8">
        <v>17618.150000000001</v>
      </c>
      <c r="M8">
        <v>17185.599999999999</v>
      </c>
      <c r="N8">
        <v>17947.650000000001</v>
      </c>
      <c r="O8">
        <v>17055.05</v>
      </c>
      <c r="P8" t="s">
        <v>268</v>
      </c>
      <c r="Q8">
        <v>2.8400000000000002E-2</v>
      </c>
      <c r="S8" s="98">
        <v>44205</v>
      </c>
      <c r="T8">
        <v>67.650000000000006</v>
      </c>
      <c r="U8">
        <v>62.4</v>
      </c>
      <c r="V8">
        <v>70.819999999999993</v>
      </c>
      <c r="W8">
        <v>62.18</v>
      </c>
      <c r="X8" t="s">
        <v>353</v>
      </c>
      <c r="Y8" s="83">
        <v>8.7300000000000003E-2</v>
      </c>
      <c r="AA8" s="98">
        <v>44205</v>
      </c>
      <c r="AB8">
        <v>191.48</v>
      </c>
      <c r="AC8">
        <v>196.52</v>
      </c>
      <c r="AD8">
        <v>206.45</v>
      </c>
      <c r="AE8">
        <v>188.1</v>
      </c>
      <c r="AF8" t="s">
        <v>456</v>
      </c>
      <c r="AG8">
        <v>-2.58E-2</v>
      </c>
      <c r="AI8" s="98">
        <v>44205</v>
      </c>
      <c r="AJ8">
        <v>0</v>
      </c>
      <c r="AK8">
        <v>0</v>
      </c>
      <c r="AL8">
        <v>0</v>
      </c>
      <c r="AM8">
        <v>0</v>
      </c>
      <c r="AN8">
        <v>0</v>
      </c>
      <c r="AO8">
        <v>0</v>
      </c>
      <c r="AQ8" s="98">
        <v>44205</v>
      </c>
      <c r="AR8">
        <v>477.8</v>
      </c>
      <c r="AS8">
        <v>450.3</v>
      </c>
      <c r="AT8">
        <v>587</v>
      </c>
      <c r="AU8">
        <v>428.15</v>
      </c>
      <c r="AV8" t="s">
        <v>513</v>
      </c>
      <c r="AW8">
        <v>6.1100000000000002E-2</v>
      </c>
    </row>
    <row r="9" spans="2:49" x14ac:dyDescent="0.25">
      <c r="B9" s="98">
        <v>44206</v>
      </c>
      <c r="C9">
        <v>653.29999999999995</v>
      </c>
      <c r="D9">
        <v>676.65</v>
      </c>
      <c r="E9">
        <v>783</v>
      </c>
      <c r="F9">
        <v>616.95000000000005</v>
      </c>
      <c r="G9" t="s">
        <v>209</v>
      </c>
      <c r="H9">
        <v>-3.5299999999999998E-2</v>
      </c>
      <c r="K9" s="98">
        <v>44206</v>
      </c>
      <c r="L9">
        <v>17671.650000000001</v>
      </c>
      <c r="M9">
        <v>17531.900000000001</v>
      </c>
      <c r="N9">
        <v>18604.45</v>
      </c>
      <c r="O9">
        <v>17452.900000000001</v>
      </c>
      <c r="P9" t="s">
        <v>269</v>
      </c>
      <c r="Q9">
        <v>3.0000000000000001E-3</v>
      </c>
      <c r="S9" s="98">
        <v>44206</v>
      </c>
      <c r="T9">
        <v>68.95</v>
      </c>
      <c r="U9">
        <v>66.67</v>
      </c>
      <c r="V9">
        <v>73.83</v>
      </c>
      <c r="W9">
        <v>61.15</v>
      </c>
      <c r="X9" t="s">
        <v>354</v>
      </c>
      <c r="Y9" s="83">
        <v>1.9199999999999998E-2</v>
      </c>
      <c r="AA9" s="98">
        <v>44206</v>
      </c>
      <c r="AB9">
        <v>202.73</v>
      </c>
      <c r="AC9">
        <v>191</v>
      </c>
      <c r="AD9">
        <v>227.5</v>
      </c>
      <c r="AE9">
        <v>184.07</v>
      </c>
      <c r="AF9" t="s">
        <v>455</v>
      </c>
      <c r="AG9">
        <v>5.8799999999999998E-2</v>
      </c>
      <c r="AI9" s="98">
        <v>44206</v>
      </c>
      <c r="AJ9">
        <v>0</v>
      </c>
      <c r="AK9">
        <v>0</v>
      </c>
      <c r="AL9">
        <v>0</v>
      </c>
      <c r="AM9">
        <v>0</v>
      </c>
      <c r="AN9">
        <v>0</v>
      </c>
      <c r="AO9">
        <v>0</v>
      </c>
      <c r="AQ9" s="98">
        <v>44206</v>
      </c>
      <c r="AR9">
        <v>461.65</v>
      </c>
      <c r="AS9">
        <v>473</v>
      </c>
      <c r="AT9">
        <v>524.4</v>
      </c>
      <c r="AU9">
        <v>432.15</v>
      </c>
      <c r="AV9" t="s">
        <v>514</v>
      </c>
      <c r="AW9">
        <v>-3.3799999999999997E-2</v>
      </c>
    </row>
    <row r="10" spans="2:49" x14ac:dyDescent="0.25">
      <c r="B10" s="98">
        <v>44207</v>
      </c>
      <c r="C10">
        <v>638.45000000000005</v>
      </c>
      <c r="D10">
        <v>659.83</v>
      </c>
      <c r="E10">
        <v>728</v>
      </c>
      <c r="F10">
        <v>617.58000000000004</v>
      </c>
      <c r="G10" t="s">
        <v>210</v>
      </c>
      <c r="H10">
        <v>-2.2700000000000001E-2</v>
      </c>
      <c r="K10" s="98">
        <v>44207</v>
      </c>
      <c r="L10">
        <v>16983.2</v>
      </c>
      <c r="M10">
        <v>17783.150000000001</v>
      </c>
      <c r="N10">
        <v>18210.150000000001</v>
      </c>
      <c r="O10">
        <v>16782.400000000001</v>
      </c>
      <c r="P10" t="s">
        <v>270</v>
      </c>
      <c r="Q10">
        <v>-3.9E-2</v>
      </c>
      <c r="S10" s="98">
        <v>44207</v>
      </c>
      <c r="T10">
        <v>67.92</v>
      </c>
      <c r="U10">
        <v>69.23</v>
      </c>
      <c r="V10">
        <v>76</v>
      </c>
      <c r="W10">
        <v>62.93</v>
      </c>
      <c r="X10" t="s">
        <v>355</v>
      </c>
      <c r="Y10" s="83">
        <v>-1.4999999999999999E-2</v>
      </c>
      <c r="AA10" s="98">
        <v>44207</v>
      </c>
      <c r="AB10">
        <v>207.23</v>
      </c>
      <c r="AC10">
        <v>202.73</v>
      </c>
      <c r="AD10">
        <v>225.5</v>
      </c>
      <c r="AE10">
        <v>185</v>
      </c>
      <c r="AF10" t="s">
        <v>454</v>
      </c>
      <c r="AG10">
        <v>2.2200000000000001E-2</v>
      </c>
      <c r="AI10" s="98">
        <v>44207</v>
      </c>
      <c r="AJ10">
        <v>0</v>
      </c>
      <c r="AK10">
        <v>0</v>
      </c>
      <c r="AL10">
        <v>0</v>
      </c>
      <c r="AM10">
        <v>0</v>
      </c>
      <c r="AN10">
        <v>0</v>
      </c>
      <c r="AO10">
        <v>0</v>
      </c>
      <c r="AQ10" s="98">
        <v>44207</v>
      </c>
      <c r="AR10">
        <v>446.55</v>
      </c>
      <c r="AS10">
        <v>464</v>
      </c>
      <c r="AT10">
        <v>508.6</v>
      </c>
      <c r="AU10">
        <v>380.6</v>
      </c>
      <c r="AV10" t="s">
        <v>515</v>
      </c>
      <c r="AW10">
        <v>-3.27E-2</v>
      </c>
    </row>
    <row r="11" spans="2:49" x14ac:dyDescent="0.25">
      <c r="B11" s="98">
        <v>44208</v>
      </c>
      <c r="C11">
        <v>605.33000000000004</v>
      </c>
      <c r="D11">
        <v>638.70000000000005</v>
      </c>
      <c r="E11">
        <v>664</v>
      </c>
      <c r="F11">
        <v>590.6</v>
      </c>
      <c r="G11" t="s">
        <v>211</v>
      </c>
      <c r="H11">
        <v>-5.1900000000000002E-2</v>
      </c>
      <c r="K11" s="98">
        <v>44208</v>
      </c>
      <c r="L11">
        <v>17354.05</v>
      </c>
      <c r="M11">
        <v>17104.400000000001</v>
      </c>
      <c r="N11">
        <v>17639.5</v>
      </c>
      <c r="O11">
        <v>16410.2</v>
      </c>
      <c r="P11" t="s">
        <v>271</v>
      </c>
      <c r="Q11">
        <v>2.18E-2</v>
      </c>
      <c r="S11" s="98">
        <v>44208</v>
      </c>
      <c r="T11">
        <v>69.98</v>
      </c>
      <c r="U11">
        <v>68</v>
      </c>
      <c r="V11">
        <v>71.569999999999993</v>
      </c>
      <c r="W11">
        <v>63.88</v>
      </c>
      <c r="X11" t="s">
        <v>356</v>
      </c>
      <c r="Y11" s="83">
        <v>3.04E-2</v>
      </c>
      <c r="AA11" s="98">
        <v>44208</v>
      </c>
      <c r="AB11">
        <v>194.77</v>
      </c>
      <c r="AC11">
        <v>207.1</v>
      </c>
      <c r="AD11">
        <v>219.5</v>
      </c>
      <c r="AE11">
        <v>188.6</v>
      </c>
      <c r="AF11" t="s">
        <v>453</v>
      </c>
      <c r="AG11">
        <v>-6.0100000000000001E-2</v>
      </c>
      <c r="AI11" s="98">
        <v>44208</v>
      </c>
      <c r="AJ11">
        <v>0</v>
      </c>
      <c r="AK11">
        <v>0</v>
      </c>
      <c r="AL11">
        <v>0</v>
      </c>
      <c r="AM11">
        <v>0</v>
      </c>
      <c r="AN11">
        <v>0</v>
      </c>
      <c r="AO11">
        <v>0</v>
      </c>
      <c r="AQ11" s="98">
        <v>44208</v>
      </c>
      <c r="AR11">
        <v>521.54999999999995</v>
      </c>
      <c r="AS11">
        <v>445</v>
      </c>
      <c r="AT11">
        <v>538</v>
      </c>
      <c r="AU11">
        <v>420.9</v>
      </c>
      <c r="AV11" t="s">
        <v>516</v>
      </c>
      <c r="AW11">
        <v>0.16800000000000001</v>
      </c>
    </row>
    <row r="12" spans="2:49" x14ac:dyDescent="0.25">
      <c r="B12" s="98">
        <v>44562</v>
      </c>
      <c r="C12">
        <v>721.85</v>
      </c>
      <c r="D12">
        <v>607</v>
      </c>
      <c r="E12">
        <v>735.5</v>
      </c>
      <c r="F12">
        <v>606.03</v>
      </c>
      <c r="G12" t="s">
        <v>212</v>
      </c>
      <c r="H12">
        <v>0.1925</v>
      </c>
      <c r="K12" s="98">
        <v>44562</v>
      </c>
      <c r="L12">
        <v>17339.849999999999</v>
      </c>
      <c r="M12">
        <v>17387.150000000001</v>
      </c>
      <c r="N12">
        <v>18350.95</v>
      </c>
      <c r="O12">
        <v>16836.8</v>
      </c>
      <c r="P12" t="s">
        <v>272</v>
      </c>
      <c r="Q12">
        <v>-8.0000000000000004E-4</v>
      </c>
      <c r="S12" s="98">
        <v>44562</v>
      </c>
      <c r="T12">
        <v>69.900000000000006</v>
      </c>
      <c r="U12">
        <v>69.92</v>
      </c>
      <c r="V12">
        <v>74.27</v>
      </c>
      <c r="W12">
        <v>64.73</v>
      </c>
      <c r="X12" t="s">
        <v>357</v>
      </c>
      <c r="Y12" s="83">
        <v>-1.1999999999999999E-3</v>
      </c>
      <c r="AA12" s="98">
        <v>44562</v>
      </c>
      <c r="AB12">
        <v>248.95</v>
      </c>
      <c r="AC12">
        <v>194</v>
      </c>
      <c r="AD12">
        <v>255.88</v>
      </c>
      <c r="AE12">
        <v>192.82</v>
      </c>
      <c r="AF12" t="s">
        <v>452</v>
      </c>
      <c r="AG12">
        <v>0.27810000000000001</v>
      </c>
      <c r="AI12" s="98">
        <v>44562</v>
      </c>
      <c r="AJ12">
        <v>721.8</v>
      </c>
      <c r="AK12">
        <v>764</v>
      </c>
      <c r="AL12">
        <v>834</v>
      </c>
      <c r="AM12">
        <v>705.6</v>
      </c>
      <c r="AN12" t="s">
        <v>462</v>
      </c>
      <c r="AO12">
        <v>-5.0099999999999999E-2</v>
      </c>
      <c r="AQ12" s="98">
        <v>44562</v>
      </c>
      <c r="AR12">
        <v>415.5</v>
      </c>
      <c r="AS12">
        <v>524.9</v>
      </c>
      <c r="AT12">
        <v>539</v>
      </c>
      <c r="AU12">
        <v>383.95</v>
      </c>
      <c r="AV12" t="s">
        <v>517</v>
      </c>
      <c r="AW12">
        <v>-0.20330000000000001</v>
      </c>
    </row>
    <row r="13" spans="2:49" x14ac:dyDescent="0.25">
      <c r="B13" s="98">
        <v>44563</v>
      </c>
      <c r="C13">
        <v>693.88</v>
      </c>
      <c r="D13">
        <v>728.83</v>
      </c>
      <c r="E13">
        <v>737.4</v>
      </c>
      <c r="F13">
        <v>620</v>
      </c>
      <c r="G13" t="s">
        <v>213</v>
      </c>
      <c r="H13">
        <v>-3.8800000000000001E-2</v>
      </c>
      <c r="K13" s="98">
        <v>44563</v>
      </c>
      <c r="L13">
        <v>16793.900000000001</v>
      </c>
      <c r="M13">
        <v>17529.45</v>
      </c>
      <c r="N13">
        <v>17794.599999999999</v>
      </c>
      <c r="O13">
        <v>16203.25</v>
      </c>
      <c r="P13" t="s">
        <v>273</v>
      </c>
      <c r="Q13">
        <v>-3.15E-2</v>
      </c>
      <c r="S13" s="98">
        <v>44563</v>
      </c>
      <c r="T13">
        <v>70.150000000000006</v>
      </c>
      <c r="U13">
        <v>70.55</v>
      </c>
      <c r="V13">
        <v>70.819999999999993</v>
      </c>
      <c r="W13">
        <v>62.33</v>
      </c>
      <c r="X13" t="s">
        <v>358</v>
      </c>
      <c r="Y13" s="83">
        <v>3.5999999999999999E-3</v>
      </c>
      <c r="AA13" s="98">
        <v>44563</v>
      </c>
      <c r="AB13">
        <v>224.07</v>
      </c>
      <c r="AC13">
        <v>251.95</v>
      </c>
      <c r="AD13">
        <v>268.14999999999998</v>
      </c>
      <c r="AE13">
        <v>203.25</v>
      </c>
      <c r="AF13" t="s">
        <v>451</v>
      </c>
      <c r="AG13">
        <v>-9.9900000000000003E-2</v>
      </c>
      <c r="AI13" s="98">
        <v>44563</v>
      </c>
      <c r="AJ13">
        <v>613.54999999999995</v>
      </c>
      <c r="AK13">
        <v>727.6</v>
      </c>
      <c r="AL13">
        <v>753.85</v>
      </c>
      <c r="AM13">
        <v>575</v>
      </c>
      <c r="AN13" t="s">
        <v>463</v>
      </c>
      <c r="AO13">
        <v>-0.15</v>
      </c>
      <c r="AQ13" s="98">
        <v>44563</v>
      </c>
      <c r="AR13">
        <v>346.35</v>
      </c>
      <c r="AS13">
        <v>427</v>
      </c>
      <c r="AT13">
        <v>441</v>
      </c>
      <c r="AU13">
        <v>313.35000000000002</v>
      </c>
      <c r="AV13" t="s">
        <v>518</v>
      </c>
      <c r="AW13">
        <v>-0.16639999999999999</v>
      </c>
    </row>
    <row r="14" spans="2:49" x14ac:dyDescent="0.25">
      <c r="B14" s="98">
        <v>44564</v>
      </c>
      <c r="C14">
        <v>742.45</v>
      </c>
      <c r="D14">
        <v>693.45</v>
      </c>
      <c r="E14">
        <v>748.15</v>
      </c>
      <c r="F14">
        <v>652.28</v>
      </c>
      <c r="G14" t="s">
        <v>214</v>
      </c>
      <c r="H14">
        <v>7.0000000000000007E-2</v>
      </c>
      <c r="K14" s="98">
        <v>44564</v>
      </c>
      <c r="L14">
        <v>17464.75</v>
      </c>
      <c r="M14">
        <v>16593.099999999999</v>
      </c>
      <c r="N14">
        <v>17559.8</v>
      </c>
      <c r="O14">
        <v>15671.45</v>
      </c>
      <c r="P14" t="s">
        <v>274</v>
      </c>
      <c r="Q14">
        <v>3.9899999999999998E-2</v>
      </c>
      <c r="S14" s="98">
        <v>44564</v>
      </c>
      <c r="T14">
        <v>70.27</v>
      </c>
      <c r="U14">
        <v>69.180000000000007</v>
      </c>
      <c r="V14">
        <v>75.5</v>
      </c>
      <c r="W14">
        <v>67.75</v>
      </c>
      <c r="X14" t="s">
        <v>359</v>
      </c>
      <c r="Y14" s="83">
        <v>1.6999999999999999E-3</v>
      </c>
      <c r="AA14" s="98">
        <v>44564</v>
      </c>
      <c r="AB14">
        <v>274.64999999999998</v>
      </c>
      <c r="AC14">
        <v>229.48</v>
      </c>
      <c r="AD14">
        <v>306</v>
      </c>
      <c r="AE14">
        <v>219.32</v>
      </c>
      <c r="AF14" t="s">
        <v>450</v>
      </c>
      <c r="AG14">
        <v>0.22570000000000001</v>
      </c>
      <c r="AI14" s="98">
        <v>44564</v>
      </c>
      <c r="AJ14">
        <v>702.9</v>
      </c>
      <c r="AK14">
        <v>610</v>
      </c>
      <c r="AL14">
        <v>740.35</v>
      </c>
      <c r="AM14">
        <v>603.95000000000005</v>
      </c>
      <c r="AN14" t="s">
        <v>464</v>
      </c>
      <c r="AO14">
        <v>0.14560000000000001</v>
      </c>
      <c r="AQ14" s="98">
        <v>44564</v>
      </c>
      <c r="AR14">
        <v>366.95</v>
      </c>
      <c r="AS14">
        <v>346</v>
      </c>
      <c r="AT14">
        <v>392.35</v>
      </c>
      <c r="AU14">
        <v>331.3</v>
      </c>
      <c r="AV14" t="s">
        <v>519</v>
      </c>
      <c r="AW14">
        <v>5.9499999999999997E-2</v>
      </c>
    </row>
    <row r="15" spans="2:49" x14ac:dyDescent="0.25">
      <c r="B15" s="98">
        <v>44565</v>
      </c>
      <c r="C15">
        <v>797.55</v>
      </c>
      <c r="D15">
        <v>746</v>
      </c>
      <c r="E15">
        <v>879</v>
      </c>
      <c r="F15">
        <v>740.22</v>
      </c>
      <c r="G15" t="s">
        <v>215</v>
      </c>
      <c r="H15">
        <v>7.4200000000000002E-2</v>
      </c>
      <c r="K15" s="98">
        <v>44565</v>
      </c>
      <c r="L15">
        <v>17102.55</v>
      </c>
      <c r="M15">
        <v>17436.900000000001</v>
      </c>
      <c r="N15">
        <v>18114.650000000001</v>
      </c>
      <c r="O15">
        <v>16824.7</v>
      </c>
      <c r="P15" t="s">
        <v>275</v>
      </c>
      <c r="Q15">
        <v>-2.07E-2</v>
      </c>
      <c r="S15" s="98">
        <v>44565</v>
      </c>
      <c r="T15">
        <v>79.52</v>
      </c>
      <c r="U15">
        <v>70.319999999999993</v>
      </c>
      <c r="V15">
        <v>86.5</v>
      </c>
      <c r="W15">
        <v>70.08</v>
      </c>
      <c r="X15" t="s">
        <v>360</v>
      </c>
      <c r="Y15" s="83">
        <v>0.13159999999999999</v>
      </c>
      <c r="AA15" s="98">
        <v>44565</v>
      </c>
      <c r="AB15">
        <v>374.1</v>
      </c>
      <c r="AC15">
        <v>274.2</v>
      </c>
      <c r="AD15">
        <v>452.45</v>
      </c>
      <c r="AE15">
        <v>272.5</v>
      </c>
      <c r="AF15" t="s">
        <v>449</v>
      </c>
      <c r="AG15">
        <v>0.36209999999999998</v>
      </c>
      <c r="AI15" s="98">
        <v>44565</v>
      </c>
      <c r="AJ15">
        <v>797.9</v>
      </c>
      <c r="AK15">
        <v>705</v>
      </c>
      <c r="AL15">
        <v>934.8</v>
      </c>
      <c r="AM15">
        <v>705</v>
      </c>
      <c r="AN15" t="s">
        <v>465</v>
      </c>
      <c r="AO15">
        <v>0.13519999999999999</v>
      </c>
      <c r="AQ15" s="98">
        <v>44565</v>
      </c>
      <c r="AR15">
        <v>323.10000000000002</v>
      </c>
      <c r="AS15">
        <v>366.5</v>
      </c>
      <c r="AT15">
        <v>394.7</v>
      </c>
      <c r="AU15">
        <v>312.5</v>
      </c>
      <c r="AV15" t="s">
        <v>520</v>
      </c>
      <c r="AW15">
        <v>-0.1195</v>
      </c>
    </row>
    <row r="16" spans="2:49" x14ac:dyDescent="0.25">
      <c r="B16" s="98">
        <v>44566</v>
      </c>
      <c r="C16">
        <v>919.15</v>
      </c>
      <c r="D16">
        <v>789</v>
      </c>
      <c r="E16">
        <v>936</v>
      </c>
      <c r="F16">
        <v>734</v>
      </c>
      <c r="G16" t="s">
        <v>216</v>
      </c>
      <c r="H16">
        <v>0.1525</v>
      </c>
      <c r="K16" s="98">
        <v>44566</v>
      </c>
      <c r="L16">
        <v>16584.55</v>
      </c>
      <c r="M16">
        <v>16924.45</v>
      </c>
      <c r="N16">
        <v>17132.849999999999</v>
      </c>
      <c r="O16">
        <v>15735.75</v>
      </c>
      <c r="P16" t="s">
        <v>276</v>
      </c>
      <c r="Q16">
        <v>-3.0300000000000001E-2</v>
      </c>
      <c r="S16" s="98">
        <v>44566</v>
      </c>
      <c r="T16">
        <v>78.25</v>
      </c>
      <c r="U16">
        <v>78.33</v>
      </c>
      <c r="V16">
        <v>80.069999999999993</v>
      </c>
      <c r="W16">
        <v>71.92</v>
      </c>
      <c r="X16" t="s">
        <v>361</v>
      </c>
      <c r="Y16" s="83">
        <v>-1.5900000000000001E-2</v>
      </c>
      <c r="AA16" s="98">
        <v>44566</v>
      </c>
      <c r="AB16">
        <v>391.83</v>
      </c>
      <c r="AC16">
        <v>371</v>
      </c>
      <c r="AD16">
        <v>406.4</v>
      </c>
      <c r="AE16">
        <v>304.23</v>
      </c>
      <c r="AF16" t="s">
        <v>448</v>
      </c>
      <c r="AG16">
        <v>4.7399999999999998E-2</v>
      </c>
      <c r="AI16" s="98">
        <v>44566</v>
      </c>
      <c r="AJ16">
        <v>764.65</v>
      </c>
      <c r="AK16">
        <v>780</v>
      </c>
      <c r="AL16">
        <v>792.1</v>
      </c>
      <c r="AM16">
        <v>650</v>
      </c>
      <c r="AN16" t="s">
        <v>466</v>
      </c>
      <c r="AO16">
        <v>-4.1700000000000001E-2</v>
      </c>
      <c r="AQ16" s="98">
        <v>44566</v>
      </c>
      <c r="AR16">
        <v>305.8</v>
      </c>
      <c r="AS16">
        <v>315.2</v>
      </c>
      <c r="AT16">
        <v>320.95</v>
      </c>
      <c r="AU16">
        <v>262.64999999999998</v>
      </c>
      <c r="AV16" t="s">
        <v>521</v>
      </c>
      <c r="AW16">
        <v>-5.3499999999999999E-2</v>
      </c>
    </row>
    <row r="17" spans="2:49" x14ac:dyDescent="0.25">
      <c r="B17" s="98">
        <v>44567</v>
      </c>
      <c r="C17">
        <v>884.9</v>
      </c>
      <c r="D17">
        <v>924</v>
      </c>
      <c r="E17">
        <v>986.28</v>
      </c>
      <c r="F17">
        <v>850</v>
      </c>
      <c r="G17" t="s">
        <v>217</v>
      </c>
      <c r="H17">
        <v>-3.73E-2</v>
      </c>
      <c r="K17" s="98">
        <v>44567</v>
      </c>
      <c r="L17">
        <v>15780.25</v>
      </c>
      <c r="M17">
        <v>16594.400000000001</v>
      </c>
      <c r="N17">
        <v>16793.849999999999</v>
      </c>
      <c r="O17">
        <v>15183.4</v>
      </c>
      <c r="P17" t="s">
        <v>277</v>
      </c>
      <c r="Q17">
        <v>-4.8500000000000001E-2</v>
      </c>
      <c r="S17" s="98">
        <v>44567</v>
      </c>
      <c r="T17">
        <v>78.03</v>
      </c>
      <c r="U17">
        <v>78.45</v>
      </c>
      <c r="V17">
        <v>83.48</v>
      </c>
      <c r="W17">
        <v>74.569999999999993</v>
      </c>
      <c r="X17" t="s">
        <v>362</v>
      </c>
      <c r="Y17" s="83">
        <v>-2.8E-3</v>
      </c>
      <c r="AA17" s="98">
        <v>44567</v>
      </c>
      <c r="AB17">
        <v>340.63</v>
      </c>
      <c r="AC17">
        <v>404</v>
      </c>
      <c r="AD17">
        <v>426.67</v>
      </c>
      <c r="AE17">
        <v>323.8</v>
      </c>
      <c r="AF17" t="s">
        <v>447</v>
      </c>
      <c r="AG17">
        <v>-0.13070000000000001</v>
      </c>
      <c r="AI17" s="98">
        <v>44567</v>
      </c>
      <c r="AJ17">
        <v>640.5</v>
      </c>
      <c r="AK17">
        <v>765</v>
      </c>
      <c r="AL17">
        <v>792</v>
      </c>
      <c r="AM17">
        <v>607.75</v>
      </c>
      <c r="AN17" t="s">
        <v>467</v>
      </c>
      <c r="AO17">
        <v>-0.16239999999999999</v>
      </c>
      <c r="AQ17" s="98">
        <v>44567</v>
      </c>
      <c r="AR17">
        <v>272.10000000000002</v>
      </c>
      <c r="AS17">
        <v>307.45</v>
      </c>
      <c r="AT17">
        <v>323.60000000000002</v>
      </c>
      <c r="AU17">
        <v>246.65</v>
      </c>
      <c r="AV17" t="s">
        <v>522</v>
      </c>
      <c r="AW17">
        <v>-0.11020000000000001</v>
      </c>
    </row>
    <row r="18" spans="2:49" x14ac:dyDescent="0.25">
      <c r="B18" s="98">
        <v>44568</v>
      </c>
      <c r="C18">
        <v>1012.5</v>
      </c>
      <c r="D18">
        <v>881.5</v>
      </c>
      <c r="E18">
        <v>1033.3</v>
      </c>
      <c r="F18">
        <v>860.05</v>
      </c>
      <c r="G18" t="s">
        <v>218</v>
      </c>
      <c r="H18">
        <v>0.14419999999999999</v>
      </c>
      <c r="K18" s="98">
        <v>44568</v>
      </c>
      <c r="L18">
        <v>17158.25</v>
      </c>
      <c r="M18">
        <v>15703.7</v>
      </c>
      <c r="N18">
        <v>17172.8</v>
      </c>
      <c r="O18">
        <v>15511.05</v>
      </c>
      <c r="P18" t="s">
        <v>278</v>
      </c>
      <c r="Q18">
        <v>8.7300000000000003E-2</v>
      </c>
      <c r="S18" s="98">
        <v>44568</v>
      </c>
      <c r="T18">
        <v>91.73</v>
      </c>
      <c r="U18">
        <v>77.67</v>
      </c>
      <c r="V18">
        <v>92.3</v>
      </c>
      <c r="W18">
        <v>74.72</v>
      </c>
      <c r="X18" t="s">
        <v>363</v>
      </c>
      <c r="Y18" s="83">
        <v>0.17560000000000001</v>
      </c>
      <c r="AA18" s="98">
        <v>44568</v>
      </c>
      <c r="AB18">
        <v>405.88</v>
      </c>
      <c r="AC18">
        <v>338.5</v>
      </c>
      <c r="AD18">
        <v>409.7</v>
      </c>
      <c r="AE18">
        <v>330.02</v>
      </c>
      <c r="AF18" t="s">
        <v>446</v>
      </c>
      <c r="AG18">
        <v>0.19159999999999999</v>
      </c>
      <c r="AI18" s="98">
        <v>44568</v>
      </c>
      <c r="AJ18">
        <v>776.15</v>
      </c>
      <c r="AK18">
        <v>639.70000000000005</v>
      </c>
      <c r="AL18">
        <v>789</v>
      </c>
      <c r="AM18">
        <v>630.15</v>
      </c>
      <c r="AN18" t="s">
        <v>468</v>
      </c>
      <c r="AO18">
        <v>0.21179999999999999</v>
      </c>
      <c r="AQ18" s="98">
        <v>44568</v>
      </c>
      <c r="AR18">
        <v>247.55</v>
      </c>
      <c r="AS18">
        <v>273.14999999999998</v>
      </c>
      <c r="AT18">
        <v>275.8</v>
      </c>
      <c r="AU18">
        <v>245.1</v>
      </c>
      <c r="AV18" t="s">
        <v>523</v>
      </c>
      <c r="AW18">
        <v>-9.0200000000000002E-2</v>
      </c>
    </row>
    <row r="19" spans="2:49" x14ac:dyDescent="0.25">
      <c r="B19" s="98">
        <v>44569</v>
      </c>
      <c r="C19">
        <v>1147.5999999999999</v>
      </c>
      <c r="D19">
        <v>1015</v>
      </c>
      <c r="E19">
        <v>1174.97</v>
      </c>
      <c r="F19">
        <v>987.88</v>
      </c>
      <c r="G19" t="s">
        <v>219</v>
      </c>
      <c r="H19">
        <v>0.13339999999999999</v>
      </c>
      <c r="K19" s="98">
        <v>44569</v>
      </c>
      <c r="L19">
        <v>17759.3</v>
      </c>
      <c r="M19">
        <v>17243.2</v>
      </c>
      <c r="N19">
        <v>17992.2</v>
      </c>
      <c r="O19">
        <v>17154.8</v>
      </c>
      <c r="P19" t="s">
        <v>279</v>
      </c>
      <c r="Q19">
        <v>3.5000000000000003E-2</v>
      </c>
      <c r="S19" s="98">
        <v>44569</v>
      </c>
      <c r="T19">
        <v>102.17</v>
      </c>
      <c r="U19">
        <v>92.07</v>
      </c>
      <c r="V19">
        <v>103.95</v>
      </c>
      <c r="W19">
        <v>89.08</v>
      </c>
      <c r="X19" t="s">
        <v>364</v>
      </c>
      <c r="Y19" s="83">
        <v>0.1137</v>
      </c>
      <c r="AA19" s="98">
        <v>44569</v>
      </c>
      <c r="AB19">
        <v>408.9</v>
      </c>
      <c r="AC19">
        <v>406.5</v>
      </c>
      <c r="AD19">
        <v>448.95</v>
      </c>
      <c r="AE19">
        <v>392.88</v>
      </c>
      <c r="AF19" t="s">
        <v>445</v>
      </c>
      <c r="AG19">
        <v>7.4999999999999997E-3</v>
      </c>
      <c r="AI19" s="98">
        <v>44569</v>
      </c>
      <c r="AJ19">
        <v>1067.2</v>
      </c>
      <c r="AK19">
        <v>776.95</v>
      </c>
      <c r="AL19">
        <v>1097.55</v>
      </c>
      <c r="AM19">
        <v>742.1</v>
      </c>
      <c r="AN19" t="s">
        <v>469</v>
      </c>
      <c r="AO19">
        <v>0.375</v>
      </c>
      <c r="AQ19" s="98">
        <v>44569</v>
      </c>
      <c r="AR19">
        <v>230.9</v>
      </c>
      <c r="AS19">
        <v>250</v>
      </c>
      <c r="AT19">
        <v>255.5</v>
      </c>
      <c r="AU19">
        <v>221.75</v>
      </c>
      <c r="AV19" t="s">
        <v>524</v>
      </c>
      <c r="AW19">
        <v>-6.7299999999999999E-2</v>
      </c>
    </row>
    <row r="20" spans="2:49" x14ac:dyDescent="0.25">
      <c r="B20" s="98">
        <v>44570</v>
      </c>
      <c r="C20">
        <v>1172.43</v>
      </c>
      <c r="D20">
        <v>1135.5</v>
      </c>
      <c r="E20">
        <v>1319.18</v>
      </c>
      <c r="F20">
        <v>1120.53</v>
      </c>
      <c r="G20" t="s">
        <v>220</v>
      </c>
      <c r="H20">
        <v>2.1600000000000001E-2</v>
      </c>
      <c r="K20" s="98">
        <v>44570</v>
      </c>
      <c r="L20">
        <v>17094.349999999999</v>
      </c>
      <c r="M20">
        <v>17485.7</v>
      </c>
      <c r="N20">
        <v>18096.150000000001</v>
      </c>
      <c r="O20">
        <v>16747.7</v>
      </c>
      <c r="P20" t="s">
        <v>280</v>
      </c>
      <c r="Q20">
        <v>-3.7400000000000003E-2</v>
      </c>
      <c r="S20" s="98">
        <v>44570</v>
      </c>
      <c r="T20">
        <v>100.95</v>
      </c>
      <c r="U20">
        <v>102.28</v>
      </c>
      <c r="V20">
        <v>114.65</v>
      </c>
      <c r="W20">
        <v>96.25</v>
      </c>
      <c r="X20" t="s">
        <v>365</v>
      </c>
      <c r="Y20" s="83">
        <v>-1.1900000000000001E-2</v>
      </c>
      <c r="AA20" s="98">
        <v>44570</v>
      </c>
      <c r="AB20">
        <v>437.38</v>
      </c>
      <c r="AC20">
        <v>409.45</v>
      </c>
      <c r="AD20">
        <v>489.55</v>
      </c>
      <c r="AE20">
        <v>404</v>
      </c>
      <c r="AF20" t="s">
        <v>444</v>
      </c>
      <c r="AG20">
        <v>6.9599999999999995E-2</v>
      </c>
      <c r="AI20" s="98">
        <v>44570</v>
      </c>
      <c r="AJ20">
        <v>1129.5999999999999</v>
      </c>
      <c r="AK20">
        <v>1058.95</v>
      </c>
      <c r="AL20">
        <v>1270.4000000000001</v>
      </c>
      <c r="AM20">
        <v>1050</v>
      </c>
      <c r="AN20" t="s">
        <v>470</v>
      </c>
      <c r="AO20">
        <v>5.8500000000000003E-2</v>
      </c>
      <c r="AQ20" s="98">
        <v>44570</v>
      </c>
      <c r="AR20">
        <v>211.65</v>
      </c>
      <c r="AS20">
        <v>230</v>
      </c>
      <c r="AT20">
        <v>245.95</v>
      </c>
      <c r="AU20">
        <v>208</v>
      </c>
      <c r="AV20" t="s">
        <v>525</v>
      </c>
      <c r="AW20">
        <v>-8.3400000000000002E-2</v>
      </c>
    </row>
    <row r="21" spans="2:49" x14ac:dyDescent="0.25">
      <c r="B21" s="98">
        <v>44571</v>
      </c>
      <c r="C21">
        <v>1265.03</v>
      </c>
      <c r="D21">
        <v>1177.43</v>
      </c>
      <c r="E21">
        <v>1278.5</v>
      </c>
      <c r="F21">
        <v>1138</v>
      </c>
      <c r="G21" t="s">
        <v>221</v>
      </c>
      <c r="H21">
        <v>7.9000000000000001E-2</v>
      </c>
      <c r="K21" s="98">
        <v>44571</v>
      </c>
      <c r="L21">
        <v>18012.2</v>
      </c>
      <c r="M21">
        <v>17102.099999999999</v>
      </c>
      <c r="N21">
        <v>18022.8</v>
      </c>
      <c r="O21">
        <v>16855.55</v>
      </c>
      <c r="P21" t="s">
        <v>281</v>
      </c>
      <c r="Q21">
        <v>5.3699999999999998E-2</v>
      </c>
      <c r="S21" s="98">
        <v>44571</v>
      </c>
      <c r="T21">
        <v>106.85</v>
      </c>
      <c r="U21">
        <v>101.45</v>
      </c>
      <c r="V21">
        <v>109.2</v>
      </c>
      <c r="W21">
        <v>98.1</v>
      </c>
      <c r="X21" t="s">
        <v>366</v>
      </c>
      <c r="Y21" s="83">
        <v>5.8400000000000001E-2</v>
      </c>
      <c r="AA21" s="98">
        <v>44571</v>
      </c>
      <c r="AB21">
        <v>479.1</v>
      </c>
      <c r="AC21">
        <v>434</v>
      </c>
      <c r="AD21">
        <v>513.47</v>
      </c>
      <c r="AE21">
        <v>417.98</v>
      </c>
      <c r="AF21" t="s">
        <v>443</v>
      </c>
      <c r="AG21">
        <v>9.5399999999999999E-2</v>
      </c>
      <c r="AI21" s="98">
        <v>44571</v>
      </c>
      <c r="AJ21">
        <v>1334.95</v>
      </c>
      <c r="AK21">
        <v>1128</v>
      </c>
      <c r="AL21">
        <v>1465</v>
      </c>
      <c r="AM21">
        <v>1077</v>
      </c>
      <c r="AN21" t="s">
        <v>471</v>
      </c>
      <c r="AO21">
        <v>0.18179999999999999</v>
      </c>
      <c r="AQ21" s="98">
        <v>44571</v>
      </c>
      <c r="AR21">
        <v>223.4</v>
      </c>
      <c r="AS21">
        <v>212.4</v>
      </c>
      <c r="AT21">
        <v>229.95</v>
      </c>
      <c r="AU21">
        <v>208.65</v>
      </c>
      <c r="AV21" t="s">
        <v>526</v>
      </c>
      <c r="AW21">
        <v>5.5500000000000001E-2</v>
      </c>
    </row>
    <row r="22" spans="2:49" x14ac:dyDescent="0.25">
      <c r="B22" s="98">
        <v>44572</v>
      </c>
      <c r="C22">
        <v>1377.03</v>
      </c>
      <c r="D22">
        <v>1269</v>
      </c>
      <c r="E22">
        <v>1387.47</v>
      </c>
      <c r="F22">
        <v>1205.5999999999999</v>
      </c>
      <c r="G22" t="s">
        <v>222</v>
      </c>
      <c r="H22">
        <v>8.8499999999999995E-2</v>
      </c>
      <c r="K22" s="98">
        <v>44572</v>
      </c>
      <c r="L22">
        <v>18758.349999999999</v>
      </c>
      <c r="M22">
        <v>18130.7</v>
      </c>
      <c r="N22">
        <v>18816.05</v>
      </c>
      <c r="O22">
        <v>17959.2</v>
      </c>
      <c r="P22" t="s">
        <v>282</v>
      </c>
      <c r="Q22">
        <v>4.1399999999999999E-2</v>
      </c>
      <c r="S22" s="98">
        <v>44572</v>
      </c>
      <c r="T22">
        <v>105.1</v>
      </c>
      <c r="U22">
        <v>107.3</v>
      </c>
      <c r="V22">
        <v>112.2</v>
      </c>
      <c r="W22">
        <v>104.15</v>
      </c>
      <c r="X22" t="s">
        <v>367</v>
      </c>
      <c r="Y22" s="83">
        <v>-1.6400000000000001E-2</v>
      </c>
      <c r="AA22" s="98">
        <v>44572</v>
      </c>
      <c r="AB22">
        <v>484.5</v>
      </c>
      <c r="AC22">
        <v>479.75</v>
      </c>
      <c r="AD22">
        <v>502.5</v>
      </c>
      <c r="AE22">
        <v>456.35</v>
      </c>
      <c r="AF22" t="s">
        <v>442</v>
      </c>
      <c r="AG22">
        <v>1.1299999999999999E-2</v>
      </c>
      <c r="AI22" s="98">
        <v>44572</v>
      </c>
      <c r="AJ22">
        <v>1345.15</v>
      </c>
      <c r="AK22">
        <v>1359</v>
      </c>
      <c r="AL22">
        <v>1459.9</v>
      </c>
      <c r="AM22">
        <v>1267.95</v>
      </c>
      <c r="AN22" t="s">
        <v>472</v>
      </c>
      <c r="AO22">
        <v>7.6E-3</v>
      </c>
      <c r="AQ22" s="98">
        <v>44572</v>
      </c>
      <c r="AR22">
        <v>222.9</v>
      </c>
      <c r="AS22">
        <v>223.4</v>
      </c>
      <c r="AT22">
        <v>225</v>
      </c>
      <c r="AU22">
        <v>209.5</v>
      </c>
      <c r="AV22" t="s">
        <v>527</v>
      </c>
      <c r="AW22">
        <v>-2.2000000000000001E-3</v>
      </c>
    </row>
    <row r="23" spans="2:49" x14ac:dyDescent="0.25">
      <c r="B23" s="98">
        <v>44573</v>
      </c>
      <c r="C23">
        <v>1265.6300000000001</v>
      </c>
      <c r="D23">
        <v>1380</v>
      </c>
      <c r="E23">
        <v>1405.9</v>
      </c>
      <c r="F23">
        <v>1207.5</v>
      </c>
      <c r="G23" t="s">
        <v>223</v>
      </c>
      <c r="H23">
        <v>-8.09E-2</v>
      </c>
      <c r="K23" s="98">
        <v>44573</v>
      </c>
      <c r="L23">
        <v>18105.3</v>
      </c>
      <c r="M23">
        <v>18871.95</v>
      </c>
      <c r="N23">
        <v>18887.599999999999</v>
      </c>
      <c r="O23">
        <v>17774.25</v>
      </c>
      <c r="P23" t="s">
        <v>283</v>
      </c>
      <c r="Q23">
        <v>-3.4799999999999998E-2</v>
      </c>
      <c r="S23" s="98">
        <v>44573</v>
      </c>
      <c r="T23">
        <v>99.9</v>
      </c>
      <c r="U23">
        <v>105.65</v>
      </c>
      <c r="V23">
        <v>108.4</v>
      </c>
      <c r="W23">
        <v>94.65</v>
      </c>
      <c r="X23" t="s">
        <v>368</v>
      </c>
      <c r="Y23" s="83">
        <v>-4.9500000000000002E-2</v>
      </c>
      <c r="AA23" s="98">
        <v>44573</v>
      </c>
      <c r="AB23">
        <v>472.05</v>
      </c>
      <c r="AC23">
        <v>486.75</v>
      </c>
      <c r="AD23">
        <v>496</v>
      </c>
      <c r="AE23">
        <v>398.7</v>
      </c>
      <c r="AF23" t="s">
        <v>441</v>
      </c>
      <c r="AG23">
        <v>-2.5700000000000001E-2</v>
      </c>
      <c r="AI23" s="98">
        <v>44573</v>
      </c>
      <c r="AJ23">
        <v>1095.55</v>
      </c>
      <c r="AK23">
        <v>1351.9</v>
      </c>
      <c r="AL23">
        <v>1374.35</v>
      </c>
      <c r="AM23">
        <v>996.35</v>
      </c>
      <c r="AN23" t="s">
        <v>473</v>
      </c>
      <c r="AO23">
        <v>-0.18559999999999999</v>
      </c>
      <c r="AQ23" s="98">
        <v>44573</v>
      </c>
      <c r="AR23">
        <v>213</v>
      </c>
      <c r="AS23">
        <v>225.45</v>
      </c>
      <c r="AT23">
        <v>247.4</v>
      </c>
      <c r="AU23">
        <v>201.5</v>
      </c>
      <c r="AV23" t="s">
        <v>528</v>
      </c>
      <c r="AW23">
        <v>-4.4400000000000002E-2</v>
      </c>
    </row>
    <row r="24" spans="2:49" x14ac:dyDescent="0.25">
      <c r="B24" s="98">
        <v>44927</v>
      </c>
      <c r="C24">
        <v>1276.43</v>
      </c>
      <c r="D24">
        <v>1270</v>
      </c>
      <c r="E24">
        <v>1286.97</v>
      </c>
      <c r="F24">
        <v>1203</v>
      </c>
      <c r="G24" t="s">
        <v>224</v>
      </c>
      <c r="H24">
        <v>8.5000000000000006E-3</v>
      </c>
      <c r="K24" s="98">
        <v>44927</v>
      </c>
      <c r="L24">
        <v>17662.150000000001</v>
      </c>
      <c r="M24">
        <v>18131.7</v>
      </c>
      <c r="N24">
        <v>18251.95</v>
      </c>
      <c r="O24">
        <v>17405.55</v>
      </c>
      <c r="P24" t="s">
        <v>284</v>
      </c>
      <c r="Q24">
        <v>-2.4500000000000001E-2</v>
      </c>
      <c r="S24" s="98">
        <v>44927</v>
      </c>
      <c r="T24">
        <v>94.95</v>
      </c>
      <c r="U24">
        <v>100.4</v>
      </c>
      <c r="V24">
        <v>104</v>
      </c>
      <c r="W24">
        <v>87</v>
      </c>
      <c r="X24" t="s">
        <v>369</v>
      </c>
      <c r="Y24" s="83">
        <v>-4.9500000000000002E-2</v>
      </c>
      <c r="AA24" s="98">
        <v>44927</v>
      </c>
      <c r="AB24">
        <v>472.67</v>
      </c>
      <c r="AC24">
        <v>471</v>
      </c>
      <c r="AD24">
        <v>481.92</v>
      </c>
      <c r="AE24">
        <v>431.33</v>
      </c>
      <c r="AF24" t="s">
        <v>440</v>
      </c>
      <c r="AG24">
        <v>1.2999999999999999E-3</v>
      </c>
      <c r="AI24" s="98">
        <v>44927</v>
      </c>
      <c r="AJ24">
        <v>1392.5</v>
      </c>
      <c r="AK24">
        <v>1100</v>
      </c>
      <c r="AL24">
        <v>1427</v>
      </c>
      <c r="AM24">
        <v>1096</v>
      </c>
      <c r="AN24" t="s">
        <v>474</v>
      </c>
      <c r="AO24">
        <v>0.27110000000000001</v>
      </c>
      <c r="AQ24" s="98">
        <v>44927</v>
      </c>
      <c r="AR24">
        <v>230.3</v>
      </c>
      <c r="AS24">
        <v>213.7</v>
      </c>
      <c r="AT24">
        <v>239</v>
      </c>
      <c r="AU24">
        <v>205.4</v>
      </c>
      <c r="AV24" t="s">
        <v>529</v>
      </c>
      <c r="AW24">
        <v>8.1199999999999994E-2</v>
      </c>
    </row>
    <row r="25" spans="2:49" x14ac:dyDescent="0.25">
      <c r="B25" s="98">
        <v>44928</v>
      </c>
      <c r="C25">
        <v>1287.1500000000001</v>
      </c>
      <c r="D25">
        <v>1287.5</v>
      </c>
      <c r="E25">
        <v>1374</v>
      </c>
      <c r="F25">
        <v>1150</v>
      </c>
      <c r="G25" t="s">
        <v>225</v>
      </c>
      <c r="H25">
        <v>8.3999999999999995E-3</v>
      </c>
      <c r="K25" s="98">
        <v>44928</v>
      </c>
      <c r="L25">
        <v>17303.95</v>
      </c>
      <c r="M25">
        <v>17811.599999999999</v>
      </c>
      <c r="N25">
        <v>18134.75</v>
      </c>
      <c r="O25">
        <v>17255.2</v>
      </c>
      <c r="P25" t="s">
        <v>285</v>
      </c>
      <c r="Q25">
        <v>-2.0299999999999999E-2</v>
      </c>
      <c r="S25" s="98">
        <v>44928</v>
      </c>
      <c r="T25">
        <v>94.6</v>
      </c>
      <c r="U25">
        <v>97</v>
      </c>
      <c r="V25">
        <v>98.65</v>
      </c>
      <c r="W25">
        <v>88.3</v>
      </c>
      <c r="X25" t="s">
        <v>370</v>
      </c>
      <c r="Y25" s="83">
        <v>-3.7000000000000002E-3</v>
      </c>
      <c r="AA25" s="98">
        <v>44928</v>
      </c>
      <c r="AB25">
        <v>467.25</v>
      </c>
      <c r="AC25">
        <v>479.5</v>
      </c>
      <c r="AD25">
        <v>492</v>
      </c>
      <c r="AE25">
        <v>393.5</v>
      </c>
      <c r="AF25" t="s">
        <v>439</v>
      </c>
      <c r="AG25">
        <v>-1.15E-2</v>
      </c>
      <c r="AI25" s="98">
        <v>44928</v>
      </c>
      <c r="AJ25">
        <v>1305.9000000000001</v>
      </c>
      <c r="AK25">
        <v>1413.9</v>
      </c>
      <c r="AL25">
        <v>1540</v>
      </c>
      <c r="AM25">
        <v>1179</v>
      </c>
      <c r="AN25" t="s">
        <v>470</v>
      </c>
      <c r="AO25">
        <v>-6.2199999999999998E-2</v>
      </c>
      <c r="AQ25" s="98">
        <v>44928</v>
      </c>
      <c r="AR25">
        <v>290.3</v>
      </c>
      <c r="AS25">
        <v>233</v>
      </c>
      <c r="AT25">
        <v>308.45</v>
      </c>
      <c r="AU25">
        <v>230.6</v>
      </c>
      <c r="AV25" t="s">
        <v>530</v>
      </c>
      <c r="AW25">
        <v>0.26050000000000001</v>
      </c>
    </row>
    <row r="26" spans="2:49" x14ac:dyDescent="0.25">
      <c r="B26" s="98">
        <v>44929</v>
      </c>
      <c r="C26">
        <v>1365.55</v>
      </c>
      <c r="D26">
        <v>1290</v>
      </c>
      <c r="E26">
        <v>1457</v>
      </c>
      <c r="F26">
        <v>1237.55</v>
      </c>
      <c r="G26" t="s">
        <v>226</v>
      </c>
      <c r="H26">
        <v>6.0900000000000003E-2</v>
      </c>
      <c r="K26" s="98">
        <v>44929</v>
      </c>
      <c r="L26">
        <v>17359.75</v>
      </c>
      <c r="M26">
        <v>17360.099999999999</v>
      </c>
      <c r="N26">
        <v>17799.95</v>
      </c>
      <c r="O26">
        <v>16828.349999999999</v>
      </c>
      <c r="P26" t="s">
        <v>273</v>
      </c>
      <c r="Q26">
        <v>3.2000000000000002E-3</v>
      </c>
      <c r="S26" s="98">
        <v>44929</v>
      </c>
      <c r="T26">
        <v>97.55</v>
      </c>
      <c r="U26">
        <v>95.2</v>
      </c>
      <c r="V26">
        <v>98.45</v>
      </c>
      <c r="W26">
        <v>89.65</v>
      </c>
      <c r="X26" t="s">
        <v>371</v>
      </c>
      <c r="Y26" s="83">
        <v>3.1199999999999999E-2</v>
      </c>
      <c r="AA26" s="98">
        <v>44929</v>
      </c>
      <c r="AB26">
        <v>494.35</v>
      </c>
      <c r="AC26">
        <v>470.5</v>
      </c>
      <c r="AD26">
        <v>506.5</v>
      </c>
      <c r="AE26">
        <v>439.25</v>
      </c>
      <c r="AF26" t="s">
        <v>438</v>
      </c>
      <c r="AG26">
        <v>5.8000000000000003E-2</v>
      </c>
      <c r="AI26" s="98">
        <v>44929</v>
      </c>
      <c r="AJ26">
        <v>1375.7</v>
      </c>
      <c r="AK26">
        <v>1309.95</v>
      </c>
      <c r="AL26">
        <v>1425.65</v>
      </c>
      <c r="AM26">
        <v>1260</v>
      </c>
      <c r="AN26" t="s">
        <v>475</v>
      </c>
      <c r="AO26">
        <v>5.3400000000000003E-2</v>
      </c>
      <c r="AQ26" s="98">
        <v>44929</v>
      </c>
      <c r="AR26">
        <v>274.35000000000002</v>
      </c>
      <c r="AS26">
        <v>290.8</v>
      </c>
      <c r="AT26">
        <v>293.60000000000002</v>
      </c>
      <c r="AU26">
        <v>258.8</v>
      </c>
      <c r="AV26" t="s">
        <v>531</v>
      </c>
      <c r="AW26">
        <v>-5.4899999999999997E-2</v>
      </c>
    </row>
    <row r="27" spans="2:49" x14ac:dyDescent="0.25">
      <c r="B27" s="98">
        <v>44930</v>
      </c>
      <c r="C27">
        <v>1460.1</v>
      </c>
      <c r="D27">
        <v>1380</v>
      </c>
      <c r="E27">
        <v>1462.47</v>
      </c>
      <c r="F27">
        <v>1335</v>
      </c>
      <c r="G27" t="s">
        <v>227</v>
      </c>
      <c r="H27">
        <v>6.9199999999999998E-2</v>
      </c>
      <c r="K27" s="98">
        <v>44930</v>
      </c>
      <c r="L27">
        <v>18065</v>
      </c>
      <c r="M27">
        <v>17427.95</v>
      </c>
      <c r="N27">
        <v>18089.150000000001</v>
      </c>
      <c r="O27">
        <v>17312.75</v>
      </c>
      <c r="P27" t="s">
        <v>286</v>
      </c>
      <c r="Q27">
        <v>4.0599999999999997E-2</v>
      </c>
      <c r="S27" s="98">
        <v>44930</v>
      </c>
      <c r="T27">
        <v>103.3</v>
      </c>
      <c r="U27">
        <v>98.95</v>
      </c>
      <c r="V27">
        <v>103.85</v>
      </c>
      <c r="W27">
        <v>95.05</v>
      </c>
      <c r="X27" t="s">
        <v>372</v>
      </c>
      <c r="Y27" s="83">
        <v>5.8900000000000001E-2</v>
      </c>
      <c r="AA27" s="98">
        <v>44930</v>
      </c>
      <c r="AB27">
        <v>502.65</v>
      </c>
      <c r="AC27">
        <v>495</v>
      </c>
      <c r="AD27">
        <v>515</v>
      </c>
      <c r="AE27">
        <v>475.88</v>
      </c>
      <c r="AF27" t="s">
        <v>437</v>
      </c>
      <c r="AG27">
        <v>1.6799999999999999E-2</v>
      </c>
      <c r="AI27" s="98">
        <v>44930</v>
      </c>
      <c r="AJ27">
        <v>1662.95</v>
      </c>
      <c r="AK27">
        <v>1382.85</v>
      </c>
      <c r="AL27">
        <v>1748.4</v>
      </c>
      <c r="AM27">
        <v>1381.05</v>
      </c>
      <c r="AN27" t="s">
        <v>476</v>
      </c>
      <c r="AO27">
        <v>0.20880000000000001</v>
      </c>
      <c r="AQ27" s="98">
        <v>44930</v>
      </c>
      <c r="AR27">
        <v>278.25</v>
      </c>
      <c r="AS27">
        <v>275</v>
      </c>
      <c r="AT27">
        <v>291</v>
      </c>
      <c r="AU27">
        <v>259.3</v>
      </c>
      <c r="AV27" t="s">
        <v>532</v>
      </c>
      <c r="AW27">
        <v>1.4200000000000001E-2</v>
      </c>
    </row>
    <row r="28" spans="2:49" x14ac:dyDescent="0.25">
      <c r="B28" s="98">
        <v>44931</v>
      </c>
      <c r="C28">
        <v>1558.53</v>
      </c>
      <c r="D28">
        <v>1469.93</v>
      </c>
      <c r="E28">
        <v>1592.5</v>
      </c>
      <c r="F28">
        <v>1442.95</v>
      </c>
      <c r="G28" t="s">
        <v>228</v>
      </c>
      <c r="H28">
        <v>6.7400000000000002E-2</v>
      </c>
      <c r="K28" s="98">
        <v>44931</v>
      </c>
      <c r="L28">
        <v>18534.400000000001</v>
      </c>
      <c r="M28">
        <v>18124.8</v>
      </c>
      <c r="N28">
        <v>18662.45</v>
      </c>
      <c r="O28">
        <v>18042.400000000001</v>
      </c>
      <c r="P28" t="s">
        <v>287</v>
      </c>
      <c r="Q28">
        <v>2.5999999999999999E-2</v>
      </c>
      <c r="S28" s="98">
        <v>44931</v>
      </c>
      <c r="T28">
        <v>112.15</v>
      </c>
      <c r="U28">
        <v>104</v>
      </c>
      <c r="V28">
        <v>112.6</v>
      </c>
      <c r="W28">
        <v>103.5</v>
      </c>
      <c r="X28" t="s">
        <v>373</v>
      </c>
      <c r="Y28" s="83">
        <v>8.5699999999999998E-2</v>
      </c>
      <c r="AA28" s="98">
        <v>44931</v>
      </c>
      <c r="AB28">
        <v>550.88</v>
      </c>
      <c r="AC28">
        <v>506.45</v>
      </c>
      <c r="AD28">
        <v>557.45000000000005</v>
      </c>
      <c r="AE28">
        <v>487.65</v>
      </c>
      <c r="AF28" t="s">
        <v>436</v>
      </c>
      <c r="AG28">
        <v>9.5899999999999999E-2</v>
      </c>
      <c r="AI28" s="98">
        <v>44931</v>
      </c>
      <c r="AJ28">
        <v>1689.1</v>
      </c>
      <c r="AK28">
        <v>1674</v>
      </c>
      <c r="AL28">
        <v>1769.9</v>
      </c>
      <c r="AM28">
        <v>1512</v>
      </c>
      <c r="AN28" t="s">
        <v>474</v>
      </c>
      <c r="AO28">
        <v>1.5699999999999999E-2</v>
      </c>
      <c r="AQ28" s="98">
        <v>44931</v>
      </c>
      <c r="AR28">
        <v>369.65</v>
      </c>
      <c r="AS28">
        <v>279</v>
      </c>
      <c r="AT28">
        <v>389.8</v>
      </c>
      <c r="AU28">
        <v>279</v>
      </c>
      <c r="AV28" t="s">
        <v>533</v>
      </c>
      <c r="AW28">
        <v>0.32850000000000001</v>
      </c>
    </row>
    <row r="29" spans="2:49" x14ac:dyDescent="0.25">
      <c r="B29" s="98">
        <v>44932</v>
      </c>
      <c r="C29">
        <v>1896.25</v>
      </c>
      <c r="D29">
        <v>1540</v>
      </c>
      <c r="E29">
        <v>1975</v>
      </c>
      <c r="F29">
        <v>1530.25</v>
      </c>
      <c r="G29" t="s">
        <v>229</v>
      </c>
      <c r="H29">
        <v>0.2167</v>
      </c>
      <c r="K29" s="98">
        <v>44932</v>
      </c>
      <c r="L29">
        <v>19189.05</v>
      </c>
      <c r="M29">
        <v>18579.400000000001</v>
      </c>
      <c r="N29">
        <v>19201.7</v>
      </c>
      <c r="O29">
        <v>18464.55</v>
      </c>
      <c r="P29" t="s">
        <v>288</v>
      </c>
      <c r="Q29">
        <v>3.5299999999999998E-2</v>
      </c>
      <c r="S29" s="98">
        <v>44932</v>
      </c>
      <c r="T29">
        <v>125.75</v>
      </c>
      <c r="U29">
        <v>112.2</v>
      </c>
      <c r="V29">
        <v>127.35</v>
      </c>
      <c r="W29">
        <v>112</v>
      </c>
      <c r="X29" t="s">
        <v>374</v>
      </c>
      <c r="Y29" s="83">
        <v>0.12130000000000001</v>
      </c>
      <c r="AA29" s="98">
        <v>44932</v>
      </c>
      <c r="AB29">
        <v>560.13</v>
      </c>
      <c r="AC29">
        <v>550</v>
      </c>
      <c r="AD29">
        <v>623.5</v>
      </c>
      <c r="AE29">
        <v>531.47</v>
      </c>
      <c r="AF29" t="s">
        <v>435</v>
      </c>
      <c r="AG29">
        <v>1.6799999999999999E-2</v>
      </c>
      <c r="AI29" s="98">
        <v>44932</v>
      </c>
      <c r="AJ29">
        <v>1868.2</v>
      </c>
      <c r="AK29">
        <v>1689.1</v>
      </c>
      <c r="AL29">
        <v>1955</v>
      </c>
      <c r="AM29">
        <v>1661</v>
      </c>
      <c r="AN29" t="s">
        <v>477</v>
      </c>
      <c r="AO29">
        <v>0.106</v>
      </c>
      <c r="AQ29" s="98">
        <v>44932</v>
      </c>
      <c r="AR29">
        <v>386.95</v>
      </c>
      <c r="AS29">
        <v>370.75</v>
      </c>
      <c r="AT29">
        <v>418.7</v>
      </c>
      <c r="AU29">
        <v>370</v>
      </c>
      <c r="AV29" t="s">
        <v>534</v>
      </c>
      <c r="AW29">
        <v>4.6800000000000001E-2</v>
      </c>
    </row>
    <row r="30" spans="2:49" x14ac:dyDescent="0.25">
      <c r="B30" s="98">
        <v>44933</v>
      </c>
      <c r="C30">
        <v>1980.75</v>
      </c>
      <c r="D30">
        <v>1904.57</v>
      </c>
      <c r="E30">
        <v>1999.45</v>
      </c>
      <c r="F30">
        <v>1845</v>
      </c>
      <c r="G30" t="s">
        <v>230</v>
      </c>
      <c r="H30">
        <v>4.4600000000000001E-2</v>
      </c>
      <c r="K30" s="98">
        <v>44933</v>
      </c>
      <c r="L30">
        <v>19753.8</v>
      </c>
      <c r="M30">
        <v>19246.5</v>
      </c>
      <c r="N30">
        <v>19991.849999999999</v>
      </c>
      <c r="O30">
        <v>19234.400000000001</v>
      </c>
      <c r="P30" t="s">
        <v>289</v>
      </c>
      <c r="Q30">
        <v>2.9399999999999999E-2</v>
      </c>
      <c r="S30" s="98">
        <v>44933</v>
      </c>
      <c r="T30">
        <v>130.69999999999999</v>
      </c>
      <c r="U30">
        <v>126</v>
      </c>
      <c r="V30">
        <v>131.69999999999999</v>
      </c>
      <c r="W30">
        <v>121.05</v>
      </c>
      <c r="X30" t="s">
        <v>375</v>
      </c>
      <c r="Y30" s="83">
        <v>3.9399999999999998E-2</v>
      </c>
      <c r="AA30" s="98">
        <v>44933</v>
      </c>
      <c r="AB30">
        <v>613.78</v>
      </c>
      <c r="AC30">
        <v>563.20000000000005</v>
      </c>
      <c r="AD30">
        <v>639</v>
      </c>
      <c r="AE30">
        <v>538.75</v>
      </c>
      <c r="AF30" t="s">
        <v>434</v>
      </c>
      <c r="AG30">
        <v>9.5799999999999996E-2</v>
      </c>
      <c r="AI30" s="98">
        <v>44933</v>
      </c>
      <c r="AJ30">
        <v>2037.7</v>
      </c>
      <c r="AK30">
        <v>1882</v>
      </c>
      <c r="AL30">
        <v>2250</v>
      </c>
      <c r="AM30">
        <v>1852.5</v>
      </c>
      <c r="AN30" t="s">
        <v>478</v>
      </c>
      <c r="AO30">
        <v>9.0700000000000003E-2</v>
      </c>
      <c r="AQ30" s="98">
        <v>44933</v>
      </c>
      <c r="AR30">
        <v>497.4</v>
      </c>
      <c r="AS30">
        <v>388.5</v>
      </c>
      <c r="AT30">
        <v>504.45</v>
      </c>
      <c r="AU30">
        <v>381.1</v>
      </c>
      <c r="AV30" t="s">
        <v>535</v>
      </c>
      <c r="AW30">
        <v>0.28539999999999999</v>
      </c>
    </row>
    <row r="31" spans="2:49" x14ac:dyDescent="0.25">
      <c r="B31" s="98">
        <v>44934</v>
      </c>
      <c r="C31">
        <v>1950.15</v>
      </c>
      <c r="D31">
        <v>1983.5</v>
      </c>
      <c r="E31">
        <v>2067.5</v>
      </c>
      <c r="F31">
        <v>1850.78</v>
      </c>
      <c r="G31" t="s">
        <v>231</v>
      </c>
      <c r="H31">
        <v>-1.54E-2</v>
      </c>
      <c r="K31" s="98">
        <v>44934</v>
      </c>
      <c r="L31">
        <v>19253.8</v>
      </c>
      <c r="M31">
        <v>19784</v>
      </c>
      <c r="N31">
        <v>19795.599999999999</v>
      </c>
      <c r="O31">
        <v>19223.650000000001</v>
      </c>
      <c r="P31" t="s">
        <v>290</v>
      </c>
      <c r="Q31">
        <v>-2.53E-2</v>
      </c>
      <c r="S31" s="98">
        <v>44934</v>
      </c>
      <c r="T31">
        <v>133.19999999999999</v>
      </c>
      <c r="U31">
        <v>131</v>
      </c>
      <c r="V31">
        <v>137.94999999999999</v>
      </c>
      <c r="W31">
        <v>123.5</v>
      </c>
      <c r="X31" t="s">
        <v>376</v>
      </c>
      <c r="Y31" s="83">
        <v>1.9099999999999999E-2</v>
      </c>
      <c r="AA31" s="98">
        <v>44934</v>
      </c>
      <c r="AB31">
        <v>563.20000000000005</v>
      </c>
      <c r="AC31">
        <v>616.45000000000005</v>
      </c>
      <c r="AD31">
        <v>618.66999999999996</v>
      </c>
      <c r="AE31">
        <v>546.54999999999995</v>
      </c>
      <c r="AF31" t="s">
        <v>433</v>
      </c>
      <c r="AG31">
        <v>-8.2400000000000001E-2</v>
      </c>
      <c r="AI31" s="98">
        <v>44934</v>
      </c>
      <c r="AJ31">
        <v>2372.1999999999998</v>
      </c>
      <c r="AK31">
        <v>2044.45</v>
      </c>
      <c r="AL31">
        <v>2426</v>
      </c>
      <c r="AM31">
        <v>1955.55</v>
      </c>
      <c r="AN31" t="s">
        <v>479</v>
      </c>
      <c r="AO31">
        <v>0.16420000000000001</v>
      </c>
      <c r="AQ31" s="98">
        <v>44934</v>
      </c>
      <c r="AR31">
        <v>526.95000000000005</v>
      </c>
      <c r="AS31">
        <v>498.9</v>
      </c>
      <c r="AT31">
        <v>534.85</v>
      </c>
      <c r="AU31">
        <v>468.25</v>
      </c>
      <c r="AV31" t="s">
        <v>536</v>
      </c>
      <c r="AW31">
        <v>5.9400000000000001E-2</v>
      </c>
    </row>
    <row r="32" spans="2:49" x14ac:dyDescent="0.25">
      <c r="B32" s="98">
        <v>44935</v>
      </c>
      <c r="C32">
        <v>1928.15</v>
      </c>
      <c r="D32">
        <v>1959.9</v>
      </c>
      <c r="E32">
        <v>2085</v>
      </c>
      <c r="F32">
        <v>1885</v>
      </c>
      <c r="G32" t="s">
        <v>232</v>
      </c>
      <c r="H32">
        <v>-1.1299999999999999E-2</v>
      </c>
      <c r="K32" s="98">
        <v>44935</v>
      </c>
      <c r="L32">
        <v>19638.3</v>
      </c>
      <c r="M32">
        <v>19258.150000000001</v>
      </c>
      <c r="N32">
        <v>20222.45</v>
      </c>
      <c r="O32">
        <v>19255.7</v>
      </c>
      <c r="P32" t="s">
        <v>291</v>
      </c>
      <c r="Q32">
        <v>0.02</v>
      </c>
      <c r="S32" s="98">
        <v>44935</v>
      </c>
      <c r="T32">
        <v>138.30000000000001</v>
      </c>
      <c r="U32">
        <v>134.05000000000001</v>
      </c>
      <c r="V32">
        <v>147.15</v>
      </c>
      <c r="W32">
        <v>133.30000000000001</v>
      </c>
      <c r="X32" t="s">
        <v>377</v>
      </c>
      <c r="Y32" s="83">
        <v>3.8300000000000001E-2</v>
      </c>
      <c r="AA32" s="98">
        <v>44935</v>
      </c>
      <c r="AB32">
        <v>515.65</v>
      </c>
      <c r="AC32">
        <v>565.58000000000004</v>
      </c>
      <c r="AD32">
        <v>612.20000000000005</v>
      </c>
      <c r="AE32">
        <v>478</v>
      </c>
      <c r="AF32" t="s">
        <v>432</v>
      </c>
      <c r="AG32">
        <v>-8.4400000000000003E-2</v>
      </c>
      <c r="AI32" s="98">
        <v>44935</v>
      </c>
      <c r="AJ32">
        <v>2101.1999999999998</v>
      </c>
      <c r="AK32">
        <v>2389</v>
      </c>
      <c r="AL32">
        <v>2485</v>
      </c>
      <c r="AM32">
        <v>1986</v>
      </c>
      <c r="AN32" t="s">
        <v>480</v>
      </c>
      <c r="AO32">
        <v>-0.1142</v>
      </c>
      <c r="AQ32" s="98">
        <v>44935</v>
      </c>
      <c r="AR32">
        <v>517.4</v>
      </c>
      <c r="AS32">
        <v>531.45000000000005</v>
      </c>
      <c r="AT32">
        <v>575</v>
      </c>
      <c r="AU32">
        <v>502.1</v>
      </c>
      <c r="AV32" t="s">
        <v>537</v>
      </c>
      <c r="AW32">
        <v>-1.8100000000000002E-2</v>
      </c>
    </row>
    <row r="33" spans="2:49" x14ac:dyDescent="0.25">
      <c r="B33" s="98">
        <v>44936</v>
      </c>
      <c r="C33">
        <v>1823.05</v>
      </c>
      <c r="D33">
        <v>1939.15</v>
      </c>
      <c r="E33">
        <v>1990</v>
      </c>
      <c r="F33">
        <v>1767.8</v>
      </c>
      <c r="G33" t="s">
        <v>233</v>
      </c>
      <c r="H33">
        <v>-5.45E-2</v>
      </c>
      <c r="K33" s="98">
        <v>44936</v>
      </c>
      <c r="L33">
        <v>19079.599999999999</v>
      </c>
      <c r="M33">
        <v>19622.400000000001</v>
      </c>
      <c r="N33">
        <v>19849.75</v>
      </c>
      <c r="O33">
        <v>18837.849999999999</v>
      </c>
      <c r="P33" t="s">
        <v>292</v>
      </c>
      <c r="Q33">
        <v>-2.8400000000000002E-2</v>
      </c>
      <c r="S33" s="98">
        <v>44936</v>
      </c>
      <c r="T33">
        <v>133.25</v>
      </c>
      <c r="U33">
        <v>137.9</v>
      </c>
      <c r="V33">
        <v>141.35</v>
      </c>
      <c r="W33">
        <v>127</v>
      </c>
      <c r="X33" t="s">
        <v>378</v>
      </c>
      <c r="Y33" s="83">
        <v>-3.6499999999999998E-2</v>
      </c>
      <c r="AA33" s="98">
        <v>44936</v>
      </c>
      <c r="AB33">
        <v>487.08</v>
      </c>
      <c r="AC33">
        <v>513.03</v>
      </c>
      <c r="AD33">
        <v>521.5</v>
      </c>
      <c r="AE33">
        <v>450</v>
      </c>
      <c r="AF33" t="s">
        <v>431</v>
      </c>
      <c r="AG33">
        <v>-5.5399999999999998E-2</v>
      </c>
      <c r="AI33" s="98">
        <v>44936</v>
      </c>
      <c r="AJ33">
        <v>1867.4</v>
      </c>
      <c r="AK33">
        <v>2102.9499999999998</v>
      </c>
      <c r="AL33">
        <v>2135.9499999999998</v>
      </c>
      <c r="AM33">
        <v>1735</v>
      </c>
      <c r="AN33" t="s">
        <v>481</v>
      </c>
      <c r="AO33">
        <v>-0.1113</v>
      </c>
      <c r="AQ33" s="98">
        <v>44936</v>
      </c>
      <c r="AR33">
        <v>490.05</v>
      </c>
      <c r="AS33">
        <v>519</v>
      </c>
      <c r="AT33">
        <v>577.70000000000005</v>
      </c>
      <c r="AU33">
        <v>456.3</v>
      </c>
      <c r="AV33" t="s">
        <v>538</v>
      </c>
      <c r="AW33">
        <v>-5.2900000000000003E-2</v>
      </c>
    </row>
    <row r="34" spans="2:49" x14ac:dyDescent="0.25">
      <c r="B34" s="98">
        <v>44937</v>
      </c>
      <c r="C34">
        <v>2379.8000000000002</v>
      </c>
      <c r="D34">
        <v>1828.85</v>
      </c>
      <c r="E34">
        <v>2444</v>
      </c>
      <c r="F34">
        <v>1819</v>
      </c>
      <c r="G34" t="s">
        <v>234</v>
      </c>
      <c r="H34">
        <v>0.3054</v>
      </c>
      <c r="K34" s="98">
        <v>44937</v>
      </c>
      <c r="L34">
        <v>20133.150000000001</v>
      </c>
      <c r="M34">
        <v>19064.05</v>
      </c>
      <c r="N34">
        <v>20158.7</v>
      </c>
      <c r="O34">
        <v>18973.7</v>
      </c>
      <c r="P34" t="s">
        <v>293</v>
      </c>
      <c r="Q34">
        <v>5.5199999999999999E-2</v>
      </c>
      <c r="S34" s="98">
        <v>44937</v>
      </c>
      <c r="T34">
        <v>145.9</v>
      </c>
      <c r="U34">
        <v>133.75</v>
      </c>
      <c r="V34">
        <v>146.75</v>
      </c>
      <c r="W34">
        <v>132.05000000000001</v>
      </c>
      <c r="X34" t="s">
        <v>379</v>
      </c>
      <c r="Y34" s="83">
        <v>9.4899999999999998E-2</v>
      </c>
      <c r="AA34" s="98">
        <v>44937</v>
      </c>
      <c r="AB34">
        <v>581.38</v>
      </c>
      <c r="AC34">
        <v>491.13</v>
      </c>
      <c r="AD34">
        <v>592</v>
      </c>
      <c r="AE34">
        <v>486.5</v>
      </c>
      <c r="AF34" t="s">
        <v>430</v>
      </c>
      <c r="AG34">
        <v>0.19359999999999999</v>
      </c>
      <c r="AI34" s="98">
        <v>44937</v>
      </c>
      <c r="AJ34">
        <v>2012.7</v>
      </c>
      <c r="AK34">
        <v>1878.95</v>
      </c>
      <c r="AL34">
        <v>2031.35</v>
      </c>
      <c r="AM34">
        <v>1815</v>
      </c>
      <c r="AN34" t="s">
        <v>482</v>
      </c>
      <c r="AO34">
        <v>7.7799999999999994E-2</v>
      </c>
      <c r="AQ34" s="98">
        <v>44937</v>
      </c>
      <c r="AR34">
        <v>538.45000000000005</v>
      </c>
      <c r="AS34">
        <v>491.85</v>
      </c>
      <c r="AT34">
        <v>555.54999999999995</v>
      </c>
      <c r="AU34">
        <v>480</v>
      </c>
      <c r="AV34" t="s">
        <v>539</v>
      </c>
      <c r="AW34">
        <v>9.8799999999999999E-2</v>
      </c>
    </row>
    <row r="35" spans="2:49" x14ac:dyDescent="0.25">
      <c r="B35" s="98">
        <v>44938</v>
      </c>
      <c r="C35">
        <v>2804</v>
      </c>
      <c r="D35">
        <v>2495</v>
      </c>
      <c r="E35">
        <v>2849.75</v>
      </c>
      <c r="F35">
        <v>2437.15</v>
      </c>
      <c r="G35" t="s">
        <v>235</v>
      </c>
      <c r="H35">
        <v>0.17829999999999999</v>
      </c>
      <c r="K35" s="98">
        <v>44938</v>
      </c>
      <c r="L35">
        <v>21731.4</v>
      </c>
      <c r="M35">
        <v>20194.099999999999</v>
      </c>
      <c r="N35">
        <v>21801.45</v>
      </c>
      <c r="O35">
        <v>20183.7</v>
      </c>
      <c r="P35" t="s">
        <v>294</v>
      </c>
      <c r="Q35">
        <v>7.9399999999999998E-2</v>
      </c>
      <c r="S35" s="98">
        <v>44938</v>
      </c>
      <c r="T35">
        <v>184.2</v>
      </c>
      <c r="U35">
        <v>147.94999999999999</v>
      </c>
      <c r="V35">
        <v>185.2</v>
      </c>
      <c r="W35">
        <v>146.75</v>
      </c>
      <c r="X35" t="s">
        <v>380</v>
      </c>
      <c r="Y35" s="83">
        <v>0.26250000000000001</v>
      </c>
      <c r="AA35" s="98">
        <v>44938</v>
      </c>
      <c r="AB35">
        <v>856.17</v>
      </c>
      <c r="AC35">
        <v>596</v>
      </c>
      <c r="AD35">
        <v>905.47</v>
      </c>
      <c r="AE35">
        <v>592.53</v>
      </c>
      <c r="AF35" t="s">
        <v>429</v>
      </c>
      <c r="AG35">
        <v>0.47270000000000001</v>
      </c>
      <c r="AI35" s="98">
        <v>44938</v>
      </c>
      <c r="AJ35">
        <v>1861.2</v>
      </c>
      <c r="AK35">
        <v>2025</v>
      </c>
      <c r="AL35">
        <v>2111.1999999999998</v>
      </c>
      <c r="AM35">
        <v>1855</v>
      </c>
      <c r="AN35" t="s">
        <v>483</v>
      </c>
      <c r="AO35">
        <v>-7.5300000000000006E-2</v>
      </c>
      <c r="AQ35" s="98">
        <v>44938</v>
      </c>
      <c r="AR35">
        <v>610.65</v>
      </c>
      <c r="AS35">
        <v>540</v>
      </c>
      <c r="AT35">
        <v>644</v>
      </c>
      <c r="AU35">
        <v>514</v>
      </c>
      <c r="AV35" t="s">
        <v>540</v>
      </c>
      <c r="AW35">
        <v>0.1341</v>
      </c>
    </row>
    <row r="36" spans="2:49" x14ac:dyDescent="0.25">
      <c r="B36" s="98">
        <v>45292</v>
      </c>
      <c r="C36">
        <v>2999.4</v>
      </c>
      <c r="D36">
        <v>2805.1</v>
      </c>
      <c r="E36">
        <v>3079</v>
      </c>
      <c r="F36">
        <v>2748.45</v>
      </c>
      <c r="G36" t="s">
        <v>236</v>
      </c>
      <c r="H36">
        <v>6.9699999999999998E-2</v>
      </c>
      <c r="K36" s="98">
        <v>45292</v>
      </c>
      <c r="L36">
        <v>21725.7</v>
      </c>
      <c r="M36">
        <v>21727.75</v>
      </c>
      <c r="N36">
        <v>22124.15</v>
      </c>
      <c r="O36">
        <v>21137.200000000001</v>
      </c>
      <c r="P36" t="s">
        <v>295</v>
      </c>
      <c r="Q36">
        <v>-2.9999999999999997E-4</v>
      </c>
      <c r="S36" s="98">
        <v>45292</v>
      </c>
      <c r="T36">
        <v>185.9</v>
      </c>
      <c r="U36">
        <v>184.8</v>
      </c>
      <c r="V36">
        <v>195.5</v>
      </c>
      <c r="W36">
        <v>179.75</v>
      </c>
      <c r="X36" t="s">
        <v>381</v>
      </c>
      <c r="Y36" s="83">
        <v>9.1999999999999998E-3</v>
      </c>
      <c r="AA36" s="98">
        <v>45292</v>
      </c>
      <c r="AB36">
        <v>853.53</v>
      </c>
      <c r="AC36">
        <v>860</v>
      </c>
      <c r="AD36">
        <v>919.4</v>
      </c>
      <c r="AE36">
        <v>812.63</v>
      </c>
      <c r="AF36" t="s">
        <v>428</v>
      </c>
      <c r="AG36">
        <v>-3.0999999999999999E-3</v>
      </c>
      <c r="AI36" s="98">
        <v>45292</v>
      </c>
      <c r="AJ36">
        <v>1905.5</v>
      </c>
      <c r="AK36">
        <v>1862</v>
      </c>
      <c r="AL36">
        <v>2007.8</v>
      </c>
      <c r="AM36">
        <v>1811.1</v>
      </c>
      <c r="AN36" t="s">
        <v>484</v>
      </c>
      <c r="AO36">
        <v>2.3800000000000002E-2</v>
      </c>
      <c r="AQ36" s="98">
        <v>45292</v>
      </c>
      <c r="AR36">
        <v>576.5</v>
      </c>
      <c r="AS36">
        <v>613.65</v>
      </c>
      <c r="AT36">
        <v>625.5</v>
      </c>
      <c r="AU36">
        <v>541.35</v>
      </c>
      <c r="AV36" t="s">
        <v>541</v>
      </c>
      <c r="AW36">
        <v>-5.5899999999999998E-2</v>
      </c>
    </row>
    <row r="37" spans="2:49" x14ac:dyDescent="0.25">
      <c r="B37" s="98">
        <v>45293</v>
      </c>
      <c r="C37">
        <v>3084.05</v>
      </c>
      <c r="D37">
        <v>3020</v>
      </c>
      <c r="E37">
        <v>3170</v>
      </c>
      <c r="F37">
        <v>2824.85</v>
      </c>
      <c r="G37" t="s">
        <v>237</v>
      </c>
      <c r="H37">
        <v>2.8199999999999999E-2</v>
      </c>
      <c r="K37" s="98">
        <v>45293</v>
      </c>
      <c r="L37">
        <v>21982.799999999999</v>
      </c>
      <c r="M37">
        <v>21780.65</v>
      </c>
      <c r="N37">
        <v>22297.5</v>
      </c>
      <c r="O37">
        <v>21530.2</v>
      </c>
      <c r="P37" t="s">
        <v>296</v>
      </c>
      <c r="Q37">
        <v>1.18E-2</v>
      </c>
      <c r="S37" s="98">
        <v>45293</v>
      </c>
      <c r="T37">
        <v>205.1</v>
      </c>
      <c r="U37">
        <v>187.7</v>
      </c>
      <c r="V37">
        <v>209</v>
      </c>
      <c r="W37">
        <v>171.75</v>
      </c>
      <c r="X37" t="s">
        <v>382</v>
      </c>
      <c r="Y37" s="83">
        <v>0.1033</v>
      </c>
      <c r="AA37" s="98">
        <v>45293</v>
      </c>
      <c r="AB37">
        <v>904.55</v>
      </c>
      <c r="AC37">
        <v>856.63</v>
      </c>
      <c r="AD37">
        <v>992.4</v>
      </c>
      <c r="AE37">
        <v>778.17</v>
      </c>
      <c r="AF37" t="s">
        <v>427</v>
      </c>
      <c r="AG37">
        <v>5.9799999999999999E-2</v>
      </c>
      <c r="AI37" s="98">
        <v>45293</v>
      </c>
      <c r="AJ37">
        <v>2484.35</v>
      </c>
      <c r="AK37">
        <v>2050</v>
      </c>
      <c r="AL37">
        <v>2679.95</v>
      </c>
      <c r="AM37">
        <v>1751</v>
      </c>
      <c r="AN37" t="s">
        <v>485</v>
      </c>
      <c r="AO37">
        <v>0.30380000000000001</v>
      </c>
      <c r="AQ37" s="98">
        <v>45293</v>
      </c>
      <c r="AR37">
        <v>549.6</v>
      </c>
      <c r="AS37">
        <v>570.04999999999995</v>
      </c>
      <c r="AT37">
        <v>604</v>
      </c>
      <c r="AU37">
        <v>519.04999999999995</v>
      </c>
      <c r="AV37" t="s">
        <v>455</v>
      </c>
      <c r="AW37">
        <v>-4.6699999999999998E-2</v>
      </c>
    </row>
    <row r="38" spans="2:49" x14ac:dyDescent="0.25">
      <c r="B38" s="98">
        <v>45294</v>
      </c>
      <c r="C38">
        <v>3327</v>
      </c>
      <c r="D38">
        <v>3099</v>
      </c>
      <c r="E38">
        <v>3428</v>
      </c>
      <c r="F38">
        <v>2913.6</v>
      </c>
      <c r="G38" t="s">
        <v>238</v>
      </c>
      <c r="H38">
        <v>7.8799999999999995E-2</v>
      </c>
      <c r="K38" s="98">
        <v>45294</v>
      </c>
      <c r="L38">
        <v>22326.9</v>
      </c>
      <c r="M38">
        <v>22048.3</v>
      </c>
      <c r="N38">
        <v>22526.6</v>
      </c>
      <c r="O38">
        <v>21710.2</v>
      </c>
      <c r="P38" t="s">
        <v>297</v>
      </c>
      <c r="Q38">
        <v>1.5699999999999999E-2</v>
      </c>
      <c r="S38" s="98">
        <v>45294</v>
      </c>
      <c r="T38">
        <v>201.5</v>
      </c>
      <c r="U38">
        <v>205.95</v>
      </c>
      <c r="V38">
        <v>216.8</v>
      </c>
      <c r="W38">
        <v>179.1</v>
      </c>
      <c r="X38" t="s">
        <v>383</v>
      </c>
      <c r="Y38" s="83">
        <v>-1.7600000000000001E-2</v>
      </c>
      <c r="AA38" s="98">
        <v>45294</v>
      </c>
      <c r="AB38">
        <v>875.95</v>
      </c>
      <c r="AC38">
        <v>912.5</v>
      </c>
      <c r="AD38">
        <v>940</v>
      </c>
      <c r="AE38">
        <v>776.05</v>
      </c>
      <c r="AF38" t="s">
        <v>426</v>
      </c>
      <c r="AG38">
        <v>-3.1600000000000003E-2</v>
      </c>
      <c r="AI38" s="98">
        <v>45294</v>
      </c>
      <c r="AJ38">
        <v>2422</v>
      </c>
      <c r="AK38">
        <v>2495.0500000000002</v>
      </c>
      <c r="AL38">
        <v>3080</v>
      </c>
      <c r="AM38">
        <v>2101</v>
      </c>
      <c r="AN38" t="s">
        <v>486</v>
      </c>
      <c r="AO38">
        <v>-2.5100000000000001E-2</v>
      </c>
      <c r="AQ38" s="98">
        <v>45294</v>
      </c>
      <c r="AR38">
        <v>606.75</v>
      </c>
      <c r="AS38">
        <v>553</v>
      </c>
      <c r="AT38">
        <v>622</v>
      </c>
      <c r="AU38">
        <v>515</v>
      </c>
      <c r="AV38" t="s">
        <v>542</v>
      </c>
      <c r="AW38">
        <v>0.104</v>
      </c>
    </row>
    <row r="39" spans="2:49" x14ac:dyDescent="0.25">
      <c r="B39" s="98">
        <v>45295</v>
      </c>
      <c r="C39">
        <v>3939.35</v>
      </c>
      <c r="D39">
        <v>3392</v>
      </c>
      <c r="E39">
        <v>4044.75</v>
      </c>
      <c r="F39">
        <v>3362.1</v>
      </c>
      <c r="G39" t="s">
        <v>239</v>
      </c>
      <c r="H39">
        <v>0.18410000000000001</v>
      </c>
      <c r="K39" s="98">
        <v>45295</v>
      </c>
      <c r="L39">
        <v>22604.85</v>
      </c>
      <c r="M39">
        <v>22455</v>
      </c>
      <c r="N39">
        <v>22783.35</v>
      </c>
      <c r="O39">
        <v>21777.65</v>
      </c>
      <c r="P39" t="s">
        <v>298</v>
      </c>
      <c r="Q39">
        <v>1.24E-2</v>
      </c>
      <c r="S39" s="98">
        <v>45295</v>
      </c>
      <c r="T39">
        <v>233.75</v>
      </c>
      <c r="U39">
        <v>205</v>
      </c>
      <c r="V39">
        <v>241.65</v>
      </c>
      <c r="W39">
        <v>203.75</v>
      </c>
      <c r="X39" t="s">
        <v>384</v>
      </c>
      <c r="Y39" s="83">
        <v>0.16</v>
      </c>
      <c r="AA39" s="98">
        <v>45295</v>
      </c>
      <c r="AB39">
        <v>988.78</v>
      </c>
      <c r="AC39">
        <v>888.5</v>
      </c>
      <c r="AD39">
        <v>1048.97</v>
      </c>
      <c r="AE39">
        <v>842.5</v>
      </c>
      <c r="AF39" t="s">
        <v>425</v>
      </c>
      <c r="AG39">
        <v>0.1288</v>
      </c>
      <c r="AI39" s="98">
        <v>45295</v>
      </c>
      <c r="AJ39">
        <v>2969.95</v>
      </c>
      <c r="AK39">
        <v>2469</v>
      </c>
      <c r="AL39">
        <v>3208.95</v>
      </c>
      <c r="AM39">
        <v>2464.65</v>
      </c>
      <c r="AN39" t="s">
        <v>487</v>
      </c>
      <c r="AO39">
        <v>0.22620000000000001</v>
      </c>
      <c r="AQ39" s="98">
        <v>45295</v>
      </c>
      <c r="AR39">
        <v>613.25</v>
      </c>
      <c r="AS39">
        <v>605</v>
      </c>
      <c r="AT39">
        <v>646.45000000000005</v>
      </c>
      <c r="AU39">
        <v>565.04999999999995</v>
      </c>
      <c r="AV39" t="s">
        <v>543</v>
      </c>
      <c r="AW39">
        <v>1.0699999999999999E-2</v>
      </c>
    </row>
    <row r="40" spans="2:49" x14ac:dyDescent="0.25">
      <c r="B40" s="98">
        <v>45296</v>
      </c>
      <c r="C40">
        <v>4973.8500000000004</v>
      </c>
      <c r="D40">
        <v>3942</v>
      </c>
      <c r="E40">
        <v>5378</v>
      </c>
      <c r="F40">
        <v>3671</v>
      </c>
      <c r="G40" t="s">
        <v>240</v>
      </c>
      <c r="H40">
        <v>0.2626</v>
      </c>
      <c r="K40" s="98">
        <v>45296</v>
      </c>
      <c r="L40">
        <v>22530.7</v>
      </c>
      <c r="M40">
        <v>22567.85</v>
      </c>
      <c r="N40">
        <v>23110.799999999999</v>
      </c>
      <c r="O40">
        <v>21821.05</v>
      </c>
      <c r="P40" t="s">
        <v>299</v>
      </c>
      <c r="Q40">
        <v>-3.3E-3</v>
      </c>
      <c r="S40" s="98">
        <v>45296</v>
      </c>
      <c r="T40">
        <v>295.95</v>
      </c>
      <c r="U40">
        <v>234.7</v>
      </c>
      <c r="V40">
        <v>303.2</v>
      </c>
      <c r="W40">
        <v>221</v>
      </c>
      <c r="X40" t="s">
        <v>385</v>
      </c>
      <c r="Y40" s="83">
        <v>0.2661</v>
      </c>
      <c r="AA40" s="98">
        <v>45296</v>
      </c>
      <c r="AB40">
        <v>1557.35</v>
      </c>
      <c r="AC40">
        <v>993.5</v>
      </c>
      <c r="AD40">
        <v>1658.95</v>
      </c>
      <c r="AE40">
        <v>902.78</v>
      </c>
      <c r="AF40" t="s">
        <v>424</v>
      </c>
      <c r="AG40">
        <v>0.57499999999999996</v>
      </c>
      <c r="AI40" s="98">
        <v>45296</v>
      </c>
      <c r="AJ40">
        <v>2962.4</v>
      </c>
      <c r="AK40">
        <v>2975</v>
      </c>
      <c r="AL40">
        <v>3443.9</v>
      </c>
      <c r="AM40">
        <v>2714.6</v>
      </c>
      <c r="AN40" t="s">
        <v>488</v>
      </c>
      <c r="AO40">
        <v>-2.5000000000000001E-3</v>
      </c>
      <c r="AQ40" s="98">
        <v>45296</v>
      </c>
      <c r="AR40">
        <v>612.45000000000005</v>
      </c>
      <c r="AS40">
        <v>614.75</v>
      </c>
      <c r="AT40">
        <v>661.8</v>
      </c>
      <c r="AU40">
        <v>572.6</v>
      </c>
      <c r="AV40" t="s">
        <v>544</v>
      </c>
      <c r="AW40">
        <v>-1.2999999999999999E-3</v>
      </c>
    </row>
    <row r="41" spans="2:49" x14ac:dyDescent="0.25">
      <c r="B41" s="98">
        <v>45297</v>
      </c>
      <c r="C41">
        <v>5264.25</v>
      </c>
      <c r="D41">
        <v>5444</v>
      </c>
      <c r="E41">
        <v>5582.8</v>
      </c>
      <c r="F41">
        <v>3920</v>
      </c>
      <c r="G41" t="s">
        <v>241</v>
      </c>
      <c r="H41">
        <v>5.8400000000000001E-2</v>
      </c>
      <c r="K41" s="98">
        <v>45297</v>
      </c>
      <c r="L41">
        <v>24010.6</v>
      </c>
      <c r="M41">
        <v>23337.9</v>
      </c>
      <c r="N41">
        <v>24174</v>
      </c>
      <c r="O41">
        <v>21281.45</v>
      </c>
      <c r="P41" t="s">
        <v>300</v>
      </c>
      <c r="Q41">
        <v>6.5699999999999995E-2</v>
      </c>
      <c r="S41" s="98">
        <v>45297</v>
      </c>
      <c r="T41">
        <v>305.89999999999998</v>
      </c>
      <c r="U41">
        <v>323</v>
      </c>
      <c r="V41">
        <v>323</v>
      </c>
      <c r="W41">
        <v>230</v>
      </c>
      <c r="X41" t="s">
        <v>386</v>
      </c>
      <c r="Y41" s="83">
        <v>3.3599999999999998E-2</v>
      </c>
      <c r="AA41" s="98">
        <v>45297</v>
      </c>
      <c r="AB41">
        <v>1596.6</v>
      </c>
      <c r="AC41">
        <v>1662.95</v>
      </c>
      <c r="AD41">
        <v>1662.95</v>
      </c>
      <c r="AE41">
        <v>1293.2</v>
      </c>
      <c r="AF41" t="s">
        <v>423</v>
      </c>
      <c r="AG41">
        <v>2.52E-2</v>
      </c>
      <c r="AI41" s="98">
        <v>45297</v>
      </c>
      <c r="AJ41">
        <v>3001.4</v>
      </c>
      <c r="AK41">
        <v>3098</v>
      </c>
      <c r="AL41">
        <v>3158</v>
      </c>
      <c r="AM41">
        <v>2379.35</v>
      </c>
      <c r="AN41" t="s">
        <v>489</v>
      </c>
      <c r="AO41">
        <v>1.32E-2</v>
      </c>
      <c r="AQ41" s="98">
        <v>45297</v>
      </c>
      <c r="AR41">
        <v>747.35</v>
      </c>
      <c r="AS41">
        <v>629.54999999999995</v>
      </c>
      <c r="AT41">
        <v>782.5</v>
      </c>
      <c r="AU41">
        <v>530.25</v>
      </c>
      <c r="AV41" t="s">
        <v>545</v>
      </c>
      <c r="AW41">
        <v>0.2203</v>
      </c>
    </row>
    <row r="42" spans="2:49" x14ac:dyDescent="0.25">
      <c r="B42" s="98">
        <v>45298</v>
      </c>
      <c r="C42">
        <v>4922.8500000000004</v>
      </c>
      <c r="D42">
        <v>5270</v>
      </c>
      <c r="E42">
        <v>5674.75</v>
      </c>
      <c r="F42">
        <v>4510</v>
      </c>
      <c r="G42" t="s">
        <v>242</v>
      </c>
      <c r="H42">
        <v>-6.4899999999999999E-2</v>
      </c>
      <c r="K42" s="98">
        <v>45298</v>
      </c>
      <c r="L42">
        <v>24951.15</v>
      </c>
      <c r="M42">
        <v>23992.95</v>
      </c>
      <c r="N42">
        <v>24999.75</v>
      </c>
      <c r="O42">
        <v>23992.7</v>
      </c>
      <c r="P42" t="s">
        <v>301</v>
      </c>
      <c r="Q42">
        <v>3.9199999999999999E-2</v>
      </c>
      <c r="S42" s="98">
        <v>45298</v>
      </c>
      <c r="T42">
        <v>316.05</v>
      </c>
      <c r="U42">
        <v>310.95</v>
      </c>
      <c r="V42">
        <v>340.5</v>
      </c>
      <c r="W42">
        <v>281.10000000000002</v>
      </c>
      <c r="X42" t="s">
        <v>387</v>
      </c>
      <c r="Y42" s="83">
        <v>3.32E-2</v>
      </c>
      <c r="AA42" s="98">
        <v>45298</v>
      </c>
      <c r="AB42">
        <v>1460.1</v>
      </c>
      <c r="AC42">
        <v>1599.3</v>
      </c>
      <c r="AD42">
        <v>1794.7</v>
      </c>
      <c r="AE42">
        <v>1350</v>
      </c>
      <c r="AF42" t="s">
        <v>422</v>
      </c>
      <c r="AG42">
        <v>-8.5500000000000007E-2</v>
      </c>
      <c r="AI42" s="98">
        <v>45298</v>
      </c>
      <c r="AJ42">
        <v>3188.4</v>
      </c>
      <c r="AK42">
        <v>3001.05</v>
      </c>
      <c r="AL42">
        <v>3655</v>
      </c>
      <c r="AM42">
        <v>2900.05</v>
      </c>
      <c r="AN42" t="s">
        <v>490</v>
      </c>
      <c r="AO42">
        <v>6.2300000000000001E-2</v>
      </c>
      <c r="AQ42" s="98">
        <v>45298</v>
      </c>
      <c r="AR42">
        <v>793.35</v>
      </c>
      <c r="AS42">
        <v>746.05</v>
      </c>
      <c r="AT42">
        <v>839.5</v>
      </c>
      <c r="AU42">
        <v>701.15</v>
      </c>
      <c r="AV42" t="s">
        <v>546</v>
      </c>
      <c r="AW42">
        <v>6.1600000000000002E-2</v>
      </c>
    </row>
    <row r="43" spans="2:49" x14ac:dyDescent="0.25">
      <c r="B43" s="98">
        <v>45299</v>
      </c>
      <c r="C43">
        <v>4679.95</v>
      </c>
      <c r="D43">
        <v>4922</v>
      </c>
      <c r="E43">
        <v>4946.8999999999996</v>
      </c>
      <c r="F43">
        <v>4480.1000000000004</v>
      </c>
      <c r="G43" t="s">
        <v>243</v>
      </c>
      <c r="H43">
        <v>-4.9299999999999997E-2</v>
      </c>
      <c r="K43" s="98">
        <v>45299</v>
      </c>
      <c r="L43">
        <v>25235.9</v>
      </c>
      <c r="M43">
        <v>25030.95</v>
      </c>
      <c r="N43">
        <v>25268.35</v>
      </c>
      <c r="O43">
        <v>23893.7</v>
      </c>
      <c r="P43" t="s">
        <v>302</v>
      </c>
      <c r="Q43">
        <v>1.14E-2</v>
      </c>
      <c r="S43" s="98">
        <v>45299</v>
      </c>
      <c r="T43">
        <v>299.3</v>
      </c>
      <c r="U43">
        <v>317.7</v>
      </c>
      <c r="V43">
        <v>317.7</v>
      </c>
      <c r="W43">
        <v>285</v>
      </c>
      <c r="X43" t="s">
        <v>388</v>
      </c>
      <c r="Y43" s="83">
        <v>-5.2999999999999999E-2</v>
      </c>
      <c r="AA43" s="98">
        <v>45299</v>
      </c>
      <c r="AB43">
        <v>1302.9000000000001</v>
      </c>
      <c r="AC43">
        <v>1460.1</v>
      </c>
      <c r="AD43">
        <v>1467.45</v>
      </c>
      <c r="AE43">
        <v>1222.3499999999999</v>
      </c>
      <c r="AF43" t="s">
        <v>421</v>
      </c>
      <c r="AG43">
        <v>-0.1077</v>
      </c>
      <c r="AI43" s="98">
        <v>45299</v>
      </c>
      <c r="AJ43">
        <v>2804.35</v>
      </c>
      <c r="AK43">
        <v>3198.4</v>
      </c>
      <c r="AL43">
        <v>3228.15</v>
      </c>
      <c r="AM43">
        <v>2735</v>
      </c>
      <c r="AN43" t="s">
        <v>491</v>
      </c>
      <c r="AO43">
        <v>-0.1205</v>
      </c>
      <c r="AQ43" s="98">
        <v>45299</v>
      </c>
      <c r="AR43">
        <v>767.9</v>
      </c>
      <c r="AS43">
        <v>797.9</v>
      </c>
      <c r="AT43">
        <v>824.8</v>
      </c>
      <c r="AU43">
        <v>722.75</v>
      </c>
      <c r="AV43" t="s">
        <v>547</v>
      </c>
      <c r="AW43">
        <v>-3.2099999999999997E-2</v>
      </c>
    </row>
    <row r="44" spans="2:49" x14ac:dyDescent="0.25">
      <c r="B44" s="98">
        <v>45300</v>
      </c>
      <c r="C44">
        <v>4420.6499999999996</v>
      </c>
      <c r="D44">
        <v>4699</v>
      </c>
      <c r="E44">
        <v>4950</v>
      </c>
      <c r="F44">
        <v>4172</v>
      </c>
      <c r="G44" t="s">
        <v>244</v>
      </c>
      <c r="H44">
        <v>-5.5399999999999998E-2</v>
      </c>
      <c r="K44" s="98">
        <v>45300</v>
      </c>
      <c r="L44">
        <v>25810.85</v>
      </c>
      <c r="M44">
        <v>25333.599999999999</v>
      </c>
      <c r="N44">
        <v>26277.35</v>
      </c>
      <c r="O44">
        <v>24753.15</v>
      </c>
      <c r="P44" t="s">
        <v>303</v>
      </c>
      <c r="Q44">
        <v>2.2800000000000001E-2</v>
      </c>
      <c r="S44" s="98">
        <v>45300</v>
      </c>
      <c r="T44">
        <v>285.10000000000002</v>
      </c>
      <c r="U44">
        <v>301.95</v>
      </c>
      <c r="V44">
        <v>301.95</v>
      </c>
      <c r="W44">
        <v>267.10000000000002</v>
      </c>
      <c r="X44" t="s">
        <v>389</v>
      </c>
      <c r="Y44" s="83">
        <v>-4.7399999999999998E-2</v>
      </c>
      <c r="AA44" s="98">
        <v>45300</v>
      </c>
      <c r="AB44">
        <v>1160</v>
      </c>
      <c r="AC44">
        <v>1304.3</v>
      </c>
      <c r="AD44">
        <v>1366</v>
      </c>
      <c r="AE44">
        <v>1096</v>
      </c>
      <c r="AF44" t="s">
        <v>420</v>
      </c>
      <c r="AG44">
        <v>-0.10970000000000001</v>
      </c>
      <c r="AI44" s="98">
        <v>45300</v>
      </c>
      <c r="AJ44">
        <v>2315.6999999999998</v>
      </c>
      <c r="AK44">
        <v>2802</v>
      </c>
      <c r="AL44">
        <v>2834</v>
      </c>
      <c r="AM44">
        <v>2297.1</v>
      </c>
      <c r="AN44" t="s">
        <v>492</v>
      </c>
      <c r="AO44">
        <v>-0.17419999999999999</v>
      </c>
      <c r="AQ44" s="98">
        <v>45300</v>
      </c>
      <c r="AR44">
        <v>675.35</v>
      </c>
      <c r="AS44">
        <v>774</v>
      </c>
      <c r="AT44">
        <v>814.8</v>
      </c>
      <c r="AU44">
        <v>665.05</v>
      </c>
      <c r="AV44" t="s">
        <v>548</v>
      </c>
      <c r="AW44">
        <v>-0.1205</v>
      </c>
    </row>
    <row r="45" spans="2:49" x14ac:dyDescent="0.25">
      <c r="B45" s="98">
        <v>45301</v>
      </c>
      <c r="C45">
        <v>4246.7</v>
      </c>
      <c r="D45">
        <v>4428</v>
      </c>
      <c r="E45">
        <v>4676.6000000000004</v>
      </c>
      <c r="F45">
        <v>4075.2</v>
      </c>
      <c r="G45" t="s">
        <v>245</v>
      </c>
      <c r="H45">
        <v>-3.9300000000000002E-2</v>
      </c>
      <c r="K45" s="98">
        <v>45301</v>
      </c>
      <c r="L45">
        <v>24205.35</v>
      </c>
      <c r="M45">
        <v>25788.45</v>
      </c>
      <c r="N45">
        <v>25907.599999999999</v>
      </c>
      <c r="O45">
        <v>24073.9</v>
      </c>
      <c r="P45" t="s">
        <v>302</v>
      </c>
      <c r="Q45">
        <v>-6.2199999999999998E-2</v>
      </c>
      <c r="S45" s="98">
        <v>45301</v>
      </c>
      <c r="T45">
        <v>284.89999999999998</v>
      </c>
      <c r="U45">
        <v>285.10000000000002</v>
      </c>
      <c r="V45">
        <v>294.75</v>
      </c>
      <c r="W45">
        <v>257.45</v>
      </c>
      <c r="X45" t="s">
        <v>390</v>
      </c>
      <c r="Y45" s="83">
        <v>-6.9999999999999999E-4</v>
      </c>
      <c r="AA45" s="98">
        <v>45301</v>
      </c>
      <c r="AB45">
        <v>1085.3</v>
      </c>
      <c r="AC45">
        <v>1160</v>
      </c>
      <c r="AD45">
        <v>1230</v>
      </c>
      <c r="AE45">
        <v>1000</v>
      </c>
      <c r="AF45" t="s">
        <v>419</v>
      </c>
      <c r="AG45">
        <v>-6.4399999999999999E-2</v>
      </c>
      <c r="AI45" s="98">
        <v>45301</v>
      </c>
      <c r="AJ45">
        <v>2419.85</v>
      </c>
      <c r="AK45">
        <v>2320</v>
      </c>
      <c r="AL45">
        <v>2548</v>
      </c>
      <c r="AM45">
        <v>2116.5</v>
      </c>
      <c r="AN45" t="s">
        <v>493</v>
      </c>
      <c r="AO45">
        <v>4.4999999999999998E-2</v>
      </c>
      <c r="AQ45" s="98">
        <v>45301</v>
      </c>
      <c r="AR45">
        <v>703.8</v>
      </c>
      <c r="AS45">
        <v>679.45</v>
      </c>
      <c r="AT45">
        <v>726</v>
      </c>
      <c r="AU45">
        <v>636.4</v>
      </c>
      <c r="AV45" t="s">
        <v>549</v>
      </c>
      <c r="AW45">
        <v>4.2099999999999999E-2</v>
      </c>
    </row>
    <row r="46" spans="2:49" x14ac:dyDescent="0.25">
      <c r="B46" s="98">
        <v>45302</v>
      </c>
      <c r="C46">
        <v>4476.8500000000004</v>
      </c>
      <c r="D46">
        <v>4269.8</v>
      </c>
      <c r="E46">
        <v>4529.5</v>
      </c>
      <c r="F46">
        <v>3920.35</v>
      </c>
      <c r="G46" t="s">
        <v>246</v>
      </c>
      <c r="H46">
        <v>5.4199999999999998E-2</v>
      </c>
      <c r="K46" s="98">
        <v>45302</v>
      </c>
      <c r="L46">
        <v>24131.1</v>
      </c>
      <c r="M46">
        <v>24302.75</v>
      </c>
      <c r="N46">
        <v>24537.599999999999</v>
      </c>
      <c r="O46">
        <v>23263.15</v>
      </c>
      <c r="P46" t="s">
        <v>304</v>
      </c>
      <c r="Q46">
        <v>-3.0999999999999999E-3</v>
      </c>
      <c r="S46" s="98">
        <v>45302</v>
      </c>
      <c r="T46">
        <v>308</v>
      </c>
      <c r="U46">
        <v>286.64999999999998</v>
      </c>
      <c r="V46">
        <v>310.60000000000002</v>
      </c>
      <c r="W46">
        <v>270.25</v>
      </c>
      <c r="X46" t="s">
        <v>391</v>
      </c>
      <c r="Y46" s="83">
        <v>8.1100000000000005E-2</v>
      </c>
      <c r="AA46" s="98">
        <v>45302</v>
      </c>
      <c r="AB46">
        <v>1150</v>
      </c>
      <c r="AC46">
        <v>1090.75</v>
      </c>
      <c r="AD46">
        <v>1174.95</v>
      </c>
      <c r="AE46">
        <v>890</v>
      </c>
      <c r="AF46" t="s">
        <v>418</v>
      </c>
      <c r="AG46">
        <v>5.96E-2</v>
      </c>
      <c r="AI46" s="98">
        <v>45302</v>
      </c>
      <c r="AJ46">
        <v>2503.4</v>
      </c>
      <c r="AK46">
        <v>2440</v>
      </c>
      <c r="AL46">
        <v>2574.65</v>
      </c>
      <c r="AM46">
        <v>2145.0500000000002</v>
      </c>
      <c r="AN46" t="s">
        <v>494</v>
      </c>
      <c r="AO46">
        <v>3.4500000000000003E-2</v>
      </c>
      <c r="AQ46" s="98">
        <v>45302</v>
      </c>
      <c r="AR46">
        <v>759.1</v>
      </c>
      <c r="AS46">
        <v>702.6</v>
      </c>
      <c r="AT46">
        <v>775</v>
      </c>
      <c r="AU46">
        <v>682.1</v>
      </c>
      <c r="AV46" t="s">
        <v>550</v>
      </c>
      <c r="AW46">
        <v>7.8600000000000003E-2</v>
      </c>
    </row>
    <row r="47" spans="2:49" x14ac:dyDescent="0.25">
      <c r="B47" s="98">
        <v>45303</v>
      </c>
      <c r="C47">
        <v>4178.3500000000004</v>
      </c>
      <c r="D47">
        <v>4475</v>
      </c>
      <c r="E47">
        <v>4755</v>
      </c>
      <c r="F47">
        <v>4050</v>
      </c>
      <c r="G47" t="s">
        <v>247</v>
      </c>
      <c r="H47">
        <v>-6.6699999999999995E-2</v>
      </c>
      <c r="K47" s="98">
        <v>45303</v>
      </c>
      <c r="L47">
        <v>23644.799999999999</v>
      </c>
      <c r="M47">
        <v>24140.85</v>
      </c>
      <c r="N47">
        <v>24857.75</v>
      </c>
      <c r="O47">
        <v>23460.45</v>
      </c>
      <c r="P47" t="s">
        <v>305</v>
      </c>
      <c r="Q47">
        <v>-2.0199999999999999E-2</v>
      </c>
      <c r="S47" s="98">
        <v>45303</v>
      </c>
      <c r="T47">
        <v>293.14999999999998</v>
      </c>
      <c r="U47">
        <v>307.8</v>
      </c>
      <c r="V47">
        <v>320.85000000000002</v>
      </c>
      <c r="W47">
        <v>282.85000000000002</v>
      </c>
      <c r="X47" t="s">
        <v>392</v>
      </c>
      <c r="Y47" s="83">
        <v>-4.82E-2</v>
      </c>
      <c r="AA47" s="98">
        <v>45303</v>
      </c>
      <c r="AB47">
        <v>1122.8499999999999</v>
      </c>
      <c r="AC47">
        <v>1147.95</v>
      </c>
      <c r="AD47">
        <v>1297.8</v>
      </c>
      <c r="AE47">
        <v>1083.9000000000001</v>
      </c>
      <c r="AF47" t="s">
        <v>417</v>
      </c>
      <c r="AG47">
        <v>-2.3599999999999999E-2</v>
      </c>
      <c r="AI47" s="98">
        <v>45303</v>
      </c>
      <c r="AJ47">
        <v>2470.6999999999998</v>
      </c>
      <c r="AK47">
        <v>2499</v>
      </c>
      <c r="AL47">
        <v>2702</v>
      </c>
      <c r="AM47">
        <v>2380</v>
      </c>
      <c r="AN47" t="s">
        <v>495</v>
      </c>
      <c r="AO47">
        <v>-1.3100000000000001E-2</v>
      </c>
      <c r="AQ47" s="98">
        <v>45303</v>
      </c>
      <c r="AR47">
        <v>751.65</v>
      </c>
      <c r="AS47">
        <v>762.95</v>
      </c>
      <c r="AT47">
        <v>838</v>
      </c>
      <c r="AU47">
        <v>723.5</v>
      </c>
      <c r="AV47" t="s">
        <v>551</v>
      </c>
      <c r="AW47">
        <v>-9.7999999999999997E-3</v>
      </c>
    </row>
    <row r="48" spans="2:49" x14ac:dyDescent="0.25">
      <c r="B48" s="98">
        <v>45658</v>
      </c>
      <c r="C48">
        <v>3936.8</v>
      </c>
      <c r="D48">
        <v>4178.3500000000004</v>
      </c>
      <c r="E48">
        <v>4270.05</v>
      </c>
      <c r="F48">
        <v>3485</v>
      </c>
      <c r="G48" t="s">
        <v>248</v>
      </c>
      <c r="H48">
        <v>-5.7799999999999997E-2</v>
      </c>
      <c r="K48" s="98">
        <v>45658</v>
      </c>
      <c r="L48">
        <v>23508.400000000001</v>
      </c>
      <c r="M48">
        <v>23637.65</v>
      </c>
      <c r="N48">
        <v>24226.7</v>
      </c>
      <c r="O48">
        <v>22786.9</v>
      </c>
      <c r="P48" t="s">
        <v>306</v>
      </c>
      <c r="Q48">
        <v>-5.7999999999999996E-3</v>
      </c>
      <c r="S48" s="98">
        <v>45658</v>
      </c>
      <c r="T48">
        <v>292.64999999999998</v>
      </c>
      <c r="U48">
        <v>293.14999999999998</v>
      </c>
      <c r="V48">
        <v>297.8</v>
      </c>
      <c r="W48">
        <v>252.7</v>
      </c>
      <c r="X48" t="s">
        <v>393</v>
      </c>
      <c r="Y48" s="83">
        <v>-1.6999999999999999E-3</v>
      </c>
      <c r="AA48" s="98">
        <v>45658</v>
      </c>
      <c r="AB48">
        <v>1305</v>
      </c>
      <c r="AC48">
        <v>1112.05</v>
      </c>
      <c r="AD48">
        <v>1345.8</v>
      </c>
      <c r="AE48">
        <v>1091.9000000000001</v>
      </c>
      <c r="AF48" t="s">
        <v>416</v>
      </c>
      <c r="AG48">
        <v>0.16220000000000001</v>
      </c>
      <c r="AI48" s="98">
        <v>45658</v>
      </c>
      <c r="AJ48">
        <v>2207.4</v>
      </c>
      <c r="AK48">
        <v>2470.6</v>
      </c>
      <c r="AL48">
        <v>2542</v>
      </c>
      <c r="AM48">
        <v>1891.35</v>
      </c>
      <c r="AN48" t="s">
        <v>496</v>
      </c>
      <c r="AO48">
        <v>-0.1066</v>
      </c>
      <c r="AQ48" s="98">
        <v>45658</v>
      </c>
      <c r="AR48">
        <v>870</v>
      </c>
      <c r="AS48">
        <v>752.5</v>
      </c>
      <c r="AT48">
        <v>880</v>
      </c>
      <c r="AU48">
        <v>716.7</v>
      </c>
      <c r="AV48" t="s">
        <v>552</v>
      </c>
      <c r="AW48">
        <v>0.1575</v>
      </c>
    </row>
    <row r="49" spans="2:49" x14ac:dyDescent="0.25">
      <c r="B49" s="98">
        <v>45659</v>
      </c>
      <c r="C49">
        <v>3088.2</v>
      </c>
      <c r="D49">
        <v>3972</v>
      </c>
      <c r="E49">
        <v>4052.85</v>
      </c>
      <c r="F49">
        <v>3080</v>
      </c>
      <c r="G49" t="s">
        <v>249</v>
      </c>
      <c r="H49">
        <v>-0.21560000000000001</v>
      </c>
      <c r="K49" s="98">
        <v>45659</v>
      </c>
      <c r="L49">
        <v>22124.7</v>
      </c>
      <c r="M49">
        <v>23528.6</v>
      </c>
      <c r="N49">
        <v>23807.3</v>
      </c>
      <c r="O49">
        <v>22104.85</v>
      </c>
      <c r="P49" t="s">
        <v>307</v>
      </c>
      <c r="Q49">
        <v>-5.8900000000000001E-2</v>
      </c>
      <c r="S49" s="98">
        <v>45659</v>
      </c>
      <c r="T49">
        <v>246.25</v>
      </c>
      <c r="U49">
        <v>295.95</v>
      </c>
      <c r="V49">
        <v>299.60000000000002</v>
      </c>
      <c r="W49">
        <v>240.25</v>
      </c>
      <c r="X49" t="s">
        <v>394</v>
      </c>
      <c r="Y49" s="83">
        <v>-0.15859999999999999</v>
      </c>
      <c r="AA49" s="98">
        <v>45659</v>
      </c>
      <c r="AB49">
        <v>975.4</v>
      </c>
      <c r="AC49">
        <v>1316</v>
      </c>
      <c r="AD49">
        <v>1345</v>
      </c>
      <c r="AE49">
        <v>966.15</v>
      </c>
      <c r="AF49" t="s">
        <v>415</v>
      </c>
      <c r="AG49">
        <v>-0.25259999999999999</v>
      </c>
      <c r="AI49" s="98">
        <v>45659</v>
      </c>
      <c r="AJ49">
        <v>1437.75</v>
      </c>
      <c r="AK49">
        <v>2221.0500000000002</v>
      </c>
      <c r="AL49">
        <v>2333</v>
      </c>
      <c r="AM49">
        <v>1405.4</v>
      </c>
      <c r="AN49" t="s">
        <v>497</v>
      </c>
      <c r="AO49">
        <v>-0.34870000000000001</v>
      </c>
      <c r="AQ49" s="98">
        <v>45659</v>
      </c>
      <c r="AR49">
        <v>738.45</v>
      </c>
      <c r="AS49">
        <v>875.9</v>
      </c>
      <c r="AT49">
        <v>984.95</v>
      </c>
      <c r="AU49">
        <v>730.8</v>
      </c>
      <c r="AV49" t="s">
        <v>553</v>
      </c>
      <c r="AW49">
        <v>-0.1512</v>
      </c>
    </row>
    <row r="50" spans="2:49" x14ac:dyDescent="0.25">
      <c r="B50" s="98">
        <v>45660</v>
      </c>
      <c r="C50">
        <v>4177.45</v>
      </c>
      <c r="D50">
        <v>3096</v>
      </c>
      <c r="E50">
        <v>4294</v>
      </c>
      <c r="F50">
        <v>3046.05</v>
      </c>
      <c r="G50" t="s">
        <v>250</v>
      </c>
      <c r="H50">
        <v>0.35270000000000001</v>
      </c>
      <c r="K50" s="98">
        <v>45660</v>
      </c>
      <c r="L50">
        <v>23519.35</v>
      </c>
      <c r="M50">
        <v>22194.55</v>
      </c>
      <c r="N50">
        <v>23869.599999999999</v>
      </c>
      <c r="O50">
        <v>21964.6</v>
      </c>
      <c r="P50" t="s">
        <v>308</v>
      </c>
      <c r="Q50">
        <v>6.3E-2</v>
      </c>
      <c r="S50" s="98">
        <v>45660</v>
      </c>
      <c r="T50">
        <v>301.32</v>
      </c>
      <c r="U50">
        <v>247.5</v>
      </c>
      <c r="V50">
        <v>306.58</v>
      </c>
      <c r="W50">
        <v>244.36</v>
      </c>
      <c r="X50" t="s">
        <v>395</v>
      </c>
      <c r="Y50" s="83">
        <v>0.22359999999999999</v>
      </c>
      <c r="AA50" s="98">
        <v>45660</v>
      </c>
      <c r="AB50">
        <v>1281.4000000000001</v>
      </c>
      <c r="AC50">
        <v>975.4</v>
      </c>
      <c r="AD50">
        <v>1375.1</v>
      </c>
      <c r="AE50">
        <v>907</v>
      </c>
      <c r="AF50" t="s">
        <v>414</v>
      </c>
      <c r="AG50">
        <v>0.31369999999999998</v>
      </c>
      <c r="AI50" s="98">
        <v>45660</v>
      </c>
      <c r="AJ50">
        <v>1689.95</v>
      </c>
      <c r="AK50">
        <v>1438</v>
      </c>
      <c r="AL50">
        <v>1819.95</v>
      </c>
      <c r="AM50">
        <v>1351.15</v>
      </c>
      <c r="AN50" t="s">
        <v>498</v>
      </c>
      <c r="AO50">
        <v>0.1754</v>
      </c>
      <c r="AQ50" s="98">
        <v>45660</v>
      </c>
      <c r="AR50">
        <v>700.85</v>
      </c>
      <c r="AS50">
        <v>738.45</v>
      </c>
      <c r="AT50">
        <v>768.8</v>
      </c>
      <c r="AU50">
        <v>624.15</v>
      </c>
      <c r="AV50" t="s">
        <v>554</v>
      </c>
      <c r="AW50">
        <v>-5.0900000000000001E-2</v>
      </c>
    </row>
    <row r="51" spans="2:49" x14ac:dyDescent="0.25">
      <c r="B51" s="98">
        <v>45661</v>
      </c>
      <c r="C51">
        <v>4487.8999999999996</v>
      </c>
      <c r="D51">
        <v>4400</v>
      </c>
      <c r="E51">
        <v>4660</v>
      </c>
      <c r="F51">
        <v>3820.1</v>
      </c>
      <c r="G51" t="s">
        <v>251</v>
      </c>
      <c r="H51">
        <v>7.4300000000000005E-2</v>
      </c>
      <c r="K51" s="98">
        <v>45661</v>
      </c>
      <c r="L51">
        <v>24334.2</v>
      </c>
      <c r="M51">
        <v>23341.1</v>
      </c>
      <c r="N51">
        <v>24457.65</v>
      </c>
      <c r="O51">
        <v>21743.65</v>
      </c>
      <c r="P51" t="s">
        <v>309</v>
      </c>
      <c r="Q51">
        <v>3.4599999999999999E-2</v>
      </c>
      <c r="S51" s="98">
        <v>45661</v>
      </c>
      <c r="T51">
        <v>314.10000000000002</v>
      </c>
      <c r="U51">
        <v>302</v>
      </c>
      <c r="V51">
        <v>320.45</v>
      </c>
      <c r="W51">
        <v>256.2</v>
      </c>
      <c r="X51" t="s">
        <v>396</v>
      </c>
      <c r="Y51" s="83">
        <v>4.24E-2</v>
      </c>
      <c r="AA51" s="98">
        <v>45661</v>
      </c>
      <c r="AB51">
        <v>1529.6</v>
      </c>
      <c r="AC51">
        <v>1280</v>
      </c>
      <c r="AD51">
        <v>1564</v>
      </c>
      <c r="AE51">
        <v>1141.2</v>
      </c>
      <c r="AF51" t="s">
        <v>413</v>
      </c>
      <c r="AG51">
        <v>0.19370000000000001</v>
      </c>
      <c r="AI51" s="98">
        <v>45661</v>
      </c>
      <c r="AJ51">
        <v>2486.6</v>
      </c>
      <c r="AK51">
        <v>1679.8</v>
      </c>
      <c r="AL51">
        <v>2647</v>
      </c>
      <c r="AM51">
        <v>1392.25</v>
      </c>
      <c r="AN51" t="s">
        <v>499</v>
      </c>
      <c r="AO51">
        <v>0.47139999999999999</v>
      </c>
      <c r="AQ51" s="98">
        <v>45661</v>
      </c>
      <c r="AR51">
        <v>719.45</v>
      </c>
      <c r="AS51">
        <v>689.25</v>
      </c>
      <c r="AT51">
        <v>759</v>
      </c>
      <c r="AU51">
        <v>535.85</v>
      </c>
      <c r="AV51" t="s">
        <v>555</v>
      </c>
      <c r="AW51">
        <v>2.6499999999999999E-2</v>
      </c>
    </row>
    <row r="52" spans="2:49" x14ac:dyDescent="0.25">
      <c r="B52" s="98">
        <v>45662</v>
      </c>
      <c r="C52">
        <v>4974.1000000000004</v>
      </c>
      <c r="D52">
        <v>4499</v>
      </c>
      <c r="E52">
        <v>5165</v>
      </c>
      <c r="F52">
        <v>4360.2</v>
      </c>
      <c r="G52" t="s">
        <v>252</v>
      </c>
      <c r="H52">
        <v>0.10829999999999999</v>
      </c>
      <c r="K52" s="98">
        <v>45662</v>
      </c>
      <c r="L52">
        <v>24750.7</v>
      </c>
      <c r="M52">
        <v>24311.9</v>
      </c>
      <c r="N52">
        <v>25116.25</v>
      </c>
      <c r="O52">
        <v>23935.75</v>
      </c>
      <c r="P52" t="s">
        <v>310</v>
      </c>
      <c r="Q52">
        <v>1.7100000000000001E-2</v>
      </c>
      <c r="S52" s="98">
        <v>45662</v>
      </c>
      <c r="T52">
        <v>384.6</v>
      </c>
      <c r="U52">
        <v>310.8</v>
      </c>
      <c r="V52">
        <v>393.5</v>
      </c>
      <c r="W52">
        <v>304.8</v>
      </c>
      <c r="X52" t="s">
        <v>397</v>
      </c>
      <c r="Y52" s="83">
        <v>0.22450000000000001</v>
      </c>
      <c r="AA52" s="98">
        <v>45662</v>
      </c>
      <c r="AB52">
        <v>2015.5</v>
      </c>
      <c r="AC52">
        <v>1518.8</v>
      </c>
      <c r="AD52">
        <v>2096.6</v>
      </c>
      <c r="AE52">
        <v>1427.8</v>
      </c>
      <c r="AF52" t="s">
        <v>412</v>
      </c>
      <c r="AG52">
        <v>0.31769999999999998</v>
      </c>
      <c r="AI52" s="98">
        <v>45662</v>
      </c>
      <c r="AJ52">
        <v>2848.2</v>
      </c>
      <c r="AK52">
        <v>2480</v>
      </c>
      <c r="AL52">
        <v>3141.7</v>
      </c>
      <c r="AM52">
        <v>2121</v>
      </c>
      <c r="AN52" t="s">
        <v>500</v>
      </c>
      <c r="AO52">
        <v>0.1454</v>
      </c>
      <c r="AQ52" s="98">
        <v>45662</v>
      </c>
      <c r="AR52">
        <v>833.05</v>
      </c>
      <c r="AS52">
        <v>719</v>
      </c>
      <c r="AT52">
        <v>879</v>
      </c>
      <c r="AU52">
        <v>682.05</v>
      </c>
      <c r="AV52" t="s">
        <v>556</v>
      </c>
      <c r="AW52">
        <v>0.15790000000000001</v>
      </c>
    </row>
    <row r="53" spans="2:49" x14ac:dyDescent="0.25">
      <c r="B53" s="98">
        <v>45663</v>
      </c>
      <c r="C53">
        <v>4869.8</v>
      </c>
      <c r="D53">
        <v>4970</v>
      </c>
      <c r="E53">
        <v>5147</v>
      </c>
      <c r="F53">
        <v>4785</v>
      </c>
      <c r="G53" t="s">
        <v>253</v>
      </c>
      <c r="H53">
        <v>-2.1000000000000001E-2</v>
      </c>
      <c r="K53" s="98">
        <v>45663</v>
      </c>
      <c r="L53">
        <v>25517.05</v>
      </c>
      <c r="M53">
        <v>24669.7</v>
      </c>
      <c r="N53">
        <v>25669.35</v>
      </c>
      <c r="O53">
        <v>24473</v>
      </c>
      <c r="P53" t="s">
        <v>311</v>
      </c>
      <c r="Q53">
        <v>3.1E-2</v>
      </c>
      <c r="S53" s="98">
        <v>45663</v>
      </c>
      <c r="T53">
        <v>421.5</v>
      </c>
      <c r="U53">
        <v>385</v>
      </c>
      <c r="V53">
        <v>426.5</v>
      </c>
      <c r="W53">
        <v>379.5</v>
      </c>
      <c r="X53" t="s">
        <v>398</v>
      </c>
      <c r="Y53" s="83">
        <v>9.5899999999999999E-2</v>
      </c>
      <c r="AA53" s="98">
        <v>45663</v>
      </c>
      <c r="AB53">
        <v>1943.2</v>
      </c>
      <c r="AC53">
        <v>2014</v>
      </c>
      <c r="AD53">
        <v>2057</v>
      </c>
      <c r="AE53">
        <v>1800</v>
      </c>
      <c r="AF53" t="s">
        <v>411</v>
      </c>
      <c r="AG53">
        <v>-3.5900000000000001E-2</v>
      </c>
      <c r="AI53" s="98">
        <v>45663</v>
      </c>
      <c r="AJ53">
        <v>2900.7</v>
      </c>
      <c r="AK53">
        <v>2850</v>
      </c>
      <c r="AL53">
        <v>3268.8</v>
      </c>
      <c r="AM53">
        <v>2775</v>
      </c>
      <c r="AN53" t="s">
        <v>501</v>
      </c>
      <c r="AO53">
        <v>1.84E-2</v>
      </c>
      <c r="AQ53" s="98">
        <v>45663</v>
      </c>
      <c r="AR53">
        <v>842.55</v>
      </c>
      <c r="AS53">
        <v>832.15</v>
      </c>
      <c r="AT53">
        <v>894</v>
      </c>
      <c r="AU53">
        <v>815.1</v>
      </c>
      <c r="AV53" t="s">
        <v>557</v>
      </c>
      <c r="AW53">
        <v>1.14E-2</v>
      </c>
    </row>
    <row r="54" spans="2:49" x14ac:dyDescent="0.25">
      <c r="B54" s="98">
        <v>45664</v>
      </c>
      <c r="C54">
        <v>4533.8999999999996</v>
      </c>
      <c r="D54">
        <v>4877.8999999999996</v>
      </c>
      <c r="E54">
        <v>5065</v>
      </c>
      <c r="F54">
        <v>4401</v>
      </c>
      <c r="G54" t="s">
        <v>254</v>
      </c>
      <c r="H54">
        <v>-6.9000000000000006E-2</v>
      </c>
      <c r="K54" s="98">
        <v>45664</v>
      </c>
      <c r="L54">
        <v>24768.35</v>
      </c>
      <c r="M54">
        <v>25551.35</v>
      </c>
      <c r="N54">
        <v>25608.1</v>
      </c>
      <c r="O54">
        <v>24598.6</v>
      </c>
      <c r="P54" t="s">
        <v>298</v>
      </c>
      <c r="Q54">
        <v>-2.93E-2</v>
      </c>
      <c r="S54" s="98">
        <v>45664</v>
      </c>
      <c r="T54">
        <v>383.1</v>
      </c>
      <c r="U54">
        <v>424.8</v>
      </c>
      <c r="V54">
        <v>436</v>
      </c>
      <c r="W54">
        <v>378</v>
      </c>
      <c r="X54" t="s">
        <v>399</v>
      </c>
      <c r="Y54" s="83">
        <v>-9.11E-2</v>
      </c>
      <c r="AA54" s="98">
        <v>45664</v>
      </c>
      <c r="AB54">
        <v>1619</v>
      </c>
      <c r="AC54">
        <v>1962.1</v>
      </c>
      <c r="AD54">
        <v>2013.5</v>
      </c>
      <c r="AE54">
        <v>1591.6</v>
      </c>
      <c r="AF54" t="s">
        <v>410</v>
      </c>
      <c r="AG54">
        <v>-0.1668</v>
      </c>
      <c r="AI54" s="98">
        <v>45664</v>
      </c>
      <c r="AJ54">
        <v>2640.9</v>
      </c>
      <c r="AK54">
        <v>2900</v>
      </c>
      <c r="AL54">
        <v>3038</v>
      </c>
      <c r="AM54">
        <v>2520</v>
      </c>
      <c r="AN54" t="s">
        <v>502</v>
      </c>
      <c r="AO54">
        <v>-8.9599999999999999E-2</v>
      </c>
      <c r="AQ54" s="98">
        <v>45664</v>
      </c>
      <c r="AR54">
        <v>806.15</v>
      </c>
      <c r="AS54">
        <v>844.95</v>
      </c>
      <c r="AT54">
        <v>881</v>
      </c>
      <c r="AU54">
        <v>770.7</v>
      </c>
      <c r="AV54" t="s">
        <v>558</v>
      </c>
      <c r="AW54">
        <v>-4.3200000000000002E-2</v>
      </c>
    </row>
    <row r="55" spans="2:49" x14ac:dyDescent="0.25">
      <c r="B55" s="98">
        <v>45665</v>
      </c>
      <c r="C55">
        <v>4332.6000000000004</v>
      </c>
      <c r="D55">
        <v>4533.8999999999996</v>
      </c>
      <c r="E55">
        <v>4619</v>
      </c>
      <c r="F55">
        <v>4320</v>
      </c>
      <c r="G55" t="s">
        <v>255</v>
      </c>
      <c r="H55">
        <v>-4.4400000000000002E-2</v>
      </c>
      <c r="K55" s="98">
        <v>45665</v>
      </c>
      <c r="L55">
        <v>24426.85</v>
      </c>
      <c r="M55">
        <v>24734.9</v>
      </c>
      <c r="N55">
        <v>25153.65</v>
      </c>
      <c r="O55">
        <v>24337.5</v>
      </c>
      <c r="P55" t="s">
        <v>312</v>
      </c>
      <c r="Q55">
        <v>-1.38E-2</v>
      </c>
      <c r="S55" s="98">
        <v>45665</v>
      </c>
      <c r="T55">
        <v>369.4</v>
      </c>
      <c r="U55">
        <v>383.1</v>
      </c>
      <c r="V55">
        <v>393.5</v>
      </c>
      <c r="W55">
        <v>361.2</v>
      </c>
      <c r="X55" t="s">
        <v>400</v>
      </c>
      <c r="Y55" s="83">
        <v>-3.5799999999999998E-2</v>
      </c>
      <c r="AA55" s="98">
        <v>45665</v>
      </c>
      <c r="AB55">
        <v>1435.7</v>
      </c>
      <c r="AC55">
        <v>1615</v>
      </c>
      <c r="AD55">
        <v>1629</v>
      </c>
      <c r="AE55">
        <v>1413.6</v>
      </c>
      <c r="AF55" t="s">
        <v>409</v>
      </c>
      <c r="AG55">
        <v>-0.1132</v>
      </c>
      <c r="AI55" s="98">
        <v>45665</v>
      </c>
      <c r="AJ55">
        <v>2402.8000000000002</v>
      </c>
      <c r="AK55">
        <v>2640</v>
      </c>
      <c r="AL55">
        <v>2735</v>
      </c>
      <c r="AM55">
        <v>2351</v>
      </c>
      <c r="AN55" t="s">
        <v>503</v>
      </c>
      <c r="AO55">
        <v>-9.0200000000000002E-2</v>
      </c>
      <c r="AQ55" s="98">
        <v>45665</v>
      </c>
      <c r="AR55">
        <v>768.1</v>
      </c>
      <c r="AS55">
        <v>803</v>
      </c>
      <c r="AT55">
        <v>829.8</v>
      </c>
      <c r="AU55">
        <v>761</v>
      </c>
      <c r="AV55" t="s">
        <v>559</v>
      </c>
      <c r="AW55">
        <v>-4.7199999999999999E-2</v>
      </c>
    </row>
    <row r="56" spans="2:49" x14ac:dyDescent="0.25">
      <c r="B56" s="98">
        <v>45666</v>
      </c>
      <c r="C56">
        <v>4746.5</v>
      </c>
      <c r="D56">
        <v>4341</v>
      </c>
      <c r="E56">
        <v>4941.3</v>
      </c>
      <c r="F56">
        <v>4323</v>
      </c>
      <c r="G56" t="s">
        <v>256</v>
      </c>
      <c r="H56">
        <v>9.5500000000000002E-2</v>
      </c>
      <c r="K56" s="98">
        <v>45666</v>
      </c>
      <c r="L56">
        <v>24611.1</v>
      </c>
      <c r="M56">
        <v>24432.7</v>
      </c>
      <c r="N56">
        <v>25448.95</v>
      </c>
      <c r="O56">
        <v>24432.7</v>
      </c>
      <c r="P56" t="s">
        <v>313</v>
      </c>
      <c r="Q56">
        <v>7.4999999999999997E-3</v>
      </c>
      <c r="S56" s="98">
        <v>45666</v>
      </c>
      <c r="T56">
        <v>403.95</v>
      </c>
      <c r="U56">
        <v>369.95</v>
      </c>
      <c r="V56">
        <v>416.65</v>
      </c>
      <c r="W56">
        <v>367.55</v>
      </c>
      <c r="X56" t="s">
        <v>401</v>
      </c>
      <c r="Y56" s="83">
        <v>9.35E-2</v>
      </c>
      <c r="AA56" s="98">
        <v>45666</v>
      </c>
      <c r="AB56">
        <v>1493.2</v>
      </c>
      <c r="AC56">
        <v>1440</v>
      </c>
      <c r="AD56">
        <v>1654</v>
      </c>
      <c r="AE56">
        <v>1420.9</v>
      </c>
      <c r="AF56" t="s">
        <v>408</v>
      </c>
      <c r="AG56">
        <v>4.0099999999999997E-2</v>
      </c>
      <c r="AI56" s="98">
        <v>45666</v>
      </c>
      <c r="AJ56">
        <v>2549.4</v>
      </c>
      <c r="AK56">
        <v>2407</v>
      </c>
      <c r="AL56">
        <v>2925</v>
      </c>
      <c r="AM56">
        <v>2407</v>
      </c>
      <c r="AN56" t="s">
        <v>504</v>
      </c>
      <c r="AO56">
        <v>6.0999999999999999E-2</v>
      </c>
      <c r="AQ56" s="98">
        <v>45666</v>
      </c>
      <c r="AR56">
        <v>763.1</v>
      </c>
      <c r="AS56">
        <v>769.75</v>
      </c>
      <c r="AT56">
        <v>868.95</v>
      </c>
      <c r="AU56">
        <v>746.05</v>
      </c>
      <c r="AV56" t="s">
        <v>560</v>
      </c>
      <c r="AW56">
        <v>-6.4999999999999997E-3</v>
      </c>
    </row>
    <row r="57" spans="2:49" x14ac:dyDescent="0.25">
      <c r="B57" s="98">
        <v>45667</v>
      </c>
      <c r="C57">
        <v>4679.8</v>
      </c>
      <c r="D57">
        <v>4732</v>
      </c>
      <c r="E57">
        <v>4978</v>
      </c>
      <c r="F57">
        <v>4625</v>
      </c>
      <c r="G57" t="s">
        <v>257</v>
      </c>
      <c r="H57">
        <v>-1.41E-2</v>
      </c>
      <c r="K57" s="98">
        <v>45667</v>
      </c>
      <c r="L57">
        <v>25722.1</v>
      </c>
      <c r="M57">
        <v>24620.55</v>
      </c>
      <c r="N57">
        <v>26104.2</v>
      </c>
      <c r="O57">
        <v>24605.95</v>
      </c>
      <c r="P57" t="s">
        <v>308</v>
      </c>
      <c r="Q57">
        <v>4.5100000000000001E-2</v>
      </c>
      <c r="S57" s="98">
        <v>45667</v>
      </c>
      <c r="T57">
        <v>426.1</v>
      </c>
      <c r="U57">
        <v>402</v>
      </c>
      <c r="V57">
        <v>427.25</v>
      </c>
      <c r="W57">
        <v>399.35</v>
      </c>
      <c r="X57" t="s">
        <v>402</v>
      </c>
      <c r="Y57" s="83">
        <v>5.4800000000000001E-2</v>
      </c>
      <c r="AA57" s="98">
        <v>45667</v>
      </c>
      <c r="AB57">
        <v>1529.9</v>
      </c>
      <c r="AC57">
        <v>1493.2</v>
      </c>
      <c r="AD57">
        <v>1578.7</v>
      </c>
      <c r="AE57">
        <v>1480.7</v>
      </c>
      <c r="AF57" t="s">
        <v>407</v>
      </c>
      <c r="AG57">
        <v>2.46E-2</v>
      </c>
      <c r="AI57" s="98">
        <v>45667</v>
      </c>
      <c r="AJ57">
        <v>2744</v>
      </c>
      <c r="AK57">
        <v>2559.9</v>
      </c>
      <c r="AL57">
        <v>2891.5</v>
      </c>
      <c r="AM57">
        <v>2533.4</v>
      </c>
      <c r="AN57" t="s">
        <v>505</v>
      </c>
      <c r="AO57">
        <v>7.6300000000000007E-2</v>
      </c>
      <c r="AQ57" s="98">
        <v>45667</v>
      </c>
      <c r="AR57">
        <v>797.55</v>
      </c>
      <c r="AS57">
        <v>763.05</v>
      </c>
      <c r="AT57">
        <v>822</v>
      </c>
      <c r="AU57">
        <v>732.3</v>
      </c>
      <c r="AV57" t="s">
        <v>561</v>
      </c>
      <c r="AW57">
        <v>4.5100000000000001E-2</v>
      </c>
    </row>
    <row r="58" spans="2:49" x14ac:dyDescent="0.25">
      <c r="B58" s="98">
        <v>45668</v>
      </c>
      <c r="C58">
        <v>4542.3999999999996</v>
      </c>
      <c r="D58">
        <v>4680</v>
      </c>
      <c r="E58">
        <v>4921</v>
      </c>
      <c r="F58">
        <v>4405</v>
      </c>
      <c r="G58" t="s">
        <v>258</v>
      </c>
      <c r="H58">
        <v>-2.9399999999999999E-2</v>
      </c>
      <c r="K58" s="98">
        <v>45668</v>
      </c>
      <c r="L58">
        <v>26202.95</v>
      </c>
      <c r="M58">
        <v>25696.85</v>
      </c>
      <c r="N58">
        <v>26310.45</v>
      </c>
      <c r="O58">
        <v>25318.45</v>
      </c>
      <c r="P58" t="s">
        <v>271</v>
      </c>
      <c r="Q58">
        <v>1.8700000000000001E-2</v>
      </c>
      <c r="S58" s="98">
        <v>45668</v>
      </c>
      <c r="T58">
        <v>411.75</v>
      </c>
      <c r="U58">
        <v>428</v>
      </c>
      <c r="V58">
        <v>431</v>
      </c>
      <c r="W58">
        <v>401</v>
      </c>
      <c r="X58" t="s">
        <v>403</v>
      </c>
      <c r="Y58" s="83">
        <v>-3.3700000000000001E-2</v>
      </c>
      <c r="AA58" s="98">
        <v>45668</v>
      </c>
      <c r="AB58">
        <v>1513.6</v>
      </c>
      <c r="AC58">
        <v>1530</v>
      </c>
      <c r="AD58">
        <v>1633.4</v>
      </c>
      <c r="AE58">
        <v>1413</v>
      </c>
      <c r="AF58" t="s">
        <v>406</v>
      </c>
      <c r="AG58">
        <v>-1.0699999999999999E-2</v>
      </c>
      <c r="AI58" s="98">
        <v>45668</v>
      </c>
      <c r="AJ58">
        <v>2970.8</v>
      </c>
      <c r="AK58">
        <v>2744</v>
      </c>
      <c r="AL58">
        <v>3215</v>
      </c>
      <c r="AM58">
        <v>2545</v>
      </c>
      <c r="AN58" t="s">
        <v>506</v>
      </c>
      <c r="AO58">
        <v>8.2699999999999996E-2</v>
      </c>
      <c r="AQ58" s="98">
        <v>45668</v>
      </c>
      <c r="AR58">
        <v>749.65</v>
      </c>
      <c r="AS58">
        <v>792.95</v>
      </c>
      <c r="AT58">
        <v>792.95</v>
      </c>
      <c r="AU58">
        <v>686.9</v>
      </c>
      <c r="AV58" t="s">
        <v>562</v>
      </c>
      <c r="AW58">
        <v>-6.0100000000000001E-2</v>
      </c>
    </row>
    <row r="59" spans="2:49" x14ac:dyDescent="0.25">
      <c r="B59" s="98">
        <v>45669</v>
      </c>
      <c r="C59">
        <v>4409.8</v>
      </c>
      <c r="D59">
        <v>4562</v>
      </c>
      <c r="E59">
        <v>4584</v>
      </c>
      <c r="F59">
        <v>4187.1000000000004</v>
      </c>
      <c r="G59" t="s">
        <v>259</v>
      </c>
      <c r="H59">
        <v>-2.92E-2</v>
      </c>
      <c r="K59" s="98">
        <v>45669</v>
      </c>
      <c r="L59">
        <v>26177.15</v>
      </c>
      <c r="M59">
        <v>26325.8</v>
      </c>
      <c r="N59">
        <v>26325.8</v>
      </c>
      <c r="O59">
        <v>25694.799999999999</v>
      </c>
      <c r="P59" t="s">
        <v>314</v>
      </c>
      <c r="Q59">
        <v>-1E-3</v>
      </c>
      <c r="S59" s="98">
        <v>45669</v>
      </c>
      <c r="T59">
        <v>399.4</v>
      </c>
      <c r="U59">
        <v>415.9</v>
      </c>
      <c r="V59">
        <v>419.2</v>
      </c>
      <c r="W59">
        <v>380.5</v>
      </c>
      <c r="X59" t="s">
        <v>404</v>
      </c>
      <c r="Y59" s="83">
        <v>-0.03</v>
      </c>
      <c r="AA59" s="98">
        <v>45669</v>
      </c>
      <c r="AB59">
        <v>1431.4</v>
      </c>
      <c r="AC59">
        <v>1521.3</v>
      </c>
      <c r="AD59">
        <v>1560</v>
      </c>
      <c r="AE59">
        <v>1306.0999999999999</v>
      </c>
      <c r="AF59" t="s">
        <v>405</v>
      </c>
      <c r="AG59">
        <v>-5.4300000000000001E-2</v>
      </c>
      <c r="AI59" s="98">
        <v>45669</v>
      </c>
      <c r="AJ59">
        <v>2657.8</v>
      </c>
      <c r="AK59">
        <v>2987</v>
      </c>
      <c r="AL59">
        <v>3025</v>
      </c>
      <c r="AM59">
        <v>2440.1</v>
      </c>
      <c r="AN59" t="s">
        <v>507</v>
      </c>
      <c r="AO59">
        <v>-0.10539999999999999</v>
      </c>
      <c r="AQ59" s="98">
        <v>45669</v>
      </c>
      <c r="AR59">
        <v>739.85</v>
      </c>
      <c r="AS59">
        <v>751</v>
      </c>
      <c r="AT59">
        <v>756</v>
      </c>
      <c r="AU59">
        <v>709.5</v>
      </c>
      <c r="AV59" t="s">
        <v>563</v>
      </c>
      <c r="AW59">
        <v>-1.3100000000000001E-2</v>
      </c>
    </row>
  </sheetData>
  <sheetProtection sheet="1" objects="1" scenarios="1"/>
  <mergeCells count="6">
    <mergeCell ref="AQ1:AW1"/>
    <mergeCell ref="B1:H1"/>
    <mergeCell ref="K1:Q1"/>
    <mergeCell ref="S1:Y1"/>
    <mergeCell ref="AA1:AG1"/>
    <mergeCell ref="AI1:AO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E9B17-BB15-4859-96B3-4398DAB58F67}">
  <sheetPr codeName="Sheet14"/>
  <dimension ref="B2:Q36"/>
  <sheetViews>
    <sheetView showGridLines="0" workbookViewId="0">
      <pane ySplit="2" topLeftCell="A4" activePane="bottomLeft" state="frozen"/>
      <selection pane="bottomLeft" activeCell="K2" sqref="K2"/>
    </sheetView>
  </sheetViews>
  <sheetFormatPr defaultRowHeight="15.75" x14ac:dyDescent="0.25"/>
  <cols>
    <col min="1" max="1" width="1.85546875" style="8" customWidth="1"/>
    <col min="2" max="2" width="26" style="8" bestFit="1" customWidth="1"/>
    <col min="3" max="6" width="9.7109375" style="8" bestFit="1" customWidth="1"/>
    <col min="7" max="7" width="11" style="8" bestFit="1" customWidth="1"/>
    <col min="8" max="9" width="11" style="8" customWidth="1"/>
    <col min="10" max="10" width="10.28515625" style="8" bestFit="1" customWidth="1"/>
    <col min="11" max="11" width="36.85546875" style="8" bestFit="1" customWidth="1"/>
    <col min="12" max="12" width="9.7109375" style="8" bestFit="1" customWidth="1"/>
    <col min="13" max="13" width="10.5703125" style="8" bestFit="1" customWidth="1"/>
    <col min="14" max="15" width="9.7109375" style="8" bestFit="1" customWidth="1"/>
    <col min="16" max="16" width="10.5703125" style="8" bestFit="1" customWidth="1"/>
    <col min="17" max="16384" width="9.140625" style="8"/>
  </cols>
  <sheetData>
    <row r="2" spans="2:17" ht="16.5" thickBot="1" x14ac:dyDescent="0.3">
      <c r="B2" s="125" t="s">
        <v>26</v>
      </c>
      <c r="C2" s="126">
        <v>44256</v>
      </c>
      <c r="D2" s="126">
        <v>44621</v>
      </c>
      <c r="E2" s="126">
        <v>44986</v>
      </c>
      <c r="F2" s="126">
        <v>45352</v>
      </c>
      <c r="G2" s="126">
        <v>45717</v>
      </c>
      <c r="H2" s="171"/>
      <c r="I2" s="171"/>
      <c r="J2" s="127"/>
      <c r="K2" s="125" t="s">
        <v>108</v>
      </c>
      <c r="L2" s="126">
        <v>44256</v>
      </c>
      <c r="M2" s="126">
        <v>44621</v>
      </c>
      <c r="N2" s="126">
        <v>44986</v>
      </c>
      <c r="O2" s="126">
        <v>45352</v>
      </c>
      <c r="P2" s="126">
        <v>45717</v>
      </c>
      <c r="Q2" s="127"/>
    </row>
    <row r="3" spans="2:17" ht="17.25" thickTop="1" thickBot="1" x14ac:dyDescent="0.3">
      <c r="B3" s="128" t="s">
        <v>578</v>
      </c>
      <c r="C3" s="129">
        <v>334</v>
      </c>
      <c r="D3" s="129">
        <v>334</v>
      </c>
      <c r="E3" s="129">
        <v>334</v>
      </c>
      <c r="F3" s="129">
        <v>334</v>
      </c>
      <c r="G3" s="129">
        <v>334</v>
      </c>
      <c r="H3" s="129"/>
      <c r="I3" s="129"/>
      <c r="K3" s="130" t="s">
        <v>615</v>
      </c>
      <c r="L3" s="132">
        <v>15117</v>
      </c>
      <c r="M3" s="132">
        <v>10173</v>
      </c>
      <c r="N3" s="132">
        <v>8830</v>
      </c>
      <c r="O3" s="132">
        <v>8223</v>
      </c>
      <c r="P3" s="132">
        <v>13643</v>
      </c>
    </row>
    <row r="4" spans="2:17" ht="17.25" thickTop="1" thickBot="1" x14ac:dyDescent="0.3">
      <c r="B4" s="133" t="s">
        <v>12</v>
      </c>
      <c r="C4" s="134">
        <v>15090</v>
      </c>
      <c r="D4" s="134">
        <v>18979</v>
      </c>
      <c r="E4" s="134">
        <v>23238</v>
      </c>
      <c r="F4" s="134">
        <v>28804</v>
      </c>
      <c r="G4" s="134">
        <v>34647</v>
      </c>
      <c r="H4" s="134"/>
      <c r="I4" s="134"/>
      <c r="K4" s="135" t="s">
        <v>86</v>
      </c>
      <c r="L4" s="132">
        <v>6744</v>
      </c>
      <c r="M4" s="132">
        <v>9611</v>
      </c>
      <c r="N4" s="132">
        <v>11134</v>
      </c>
      <c r="O4" s="132">
        <v>13317</v>
      </c>
      <c r="P4" s="132">
        <v>12426</v>
      </c>
    </row>
    <row r="5" spans="2:17" ht="16.5" thickTop="1" x14ac:dyDescent="0.25">
      <c r="B5" s="130" t="s">
        <v>616</v>
      </c>
      <c r="C5" s="131">
        <v>53</v>
      </c>
      <c r="D5" s="131">
        <v>49</v>
      </c>
      <c r="E5" s="131">
        <v>52</v>
      </c>
      <c r="F5" s="131">
        <v>50</v>
      </c>
      <c r="G5" s="131">
        <v>51</v>
      </c>
      <c r="H5" s="172"/>
      <c r="I5" s="172"/>
      <c r="K5" s="136" t="s">
        <v>43</v>
      </c>
      <c r="L5" s="137">
        <v>4996</v>
      </c>
      <c r="M5" s="129">
        <v>611</v>
      </c>
      <c r="N5" s="137">
        <v>-1750</v>
      </c>
      <c r="O5" s="137">
        <v>-2474</v>
      </c>
      <c r="P5" s="137">
        <v>-4177</v>
      </c>
    </row>
    <row r="6" spans="2:17" x14ac:dyDescent="0.25">
      <c r="B6" s="136" t="s">
        <v>579</v>
      </c>
      <c r="C6" s="129">
        <v>0</v>
      </c>
      <c r="D6" s="129">
        <v>0</v>
      </c>
      <c r="E6" s="129">
        <v>0</v>
      </c>
      <c r="F6" s="129">
        <v>0</v>
      </c>
      <c r="G6" s="129">
        <v>0</v>
      </c>
      <c r="H6" s="129"/>
      <c r="I6" s="129"/>
      <c r="K6" s="136" t="s">
        <v>30</v>
      </c>
      <c r="L6" s="137">
        <v>2456</v>
      </c>
      <c r="M6" s="137">
        <v>1766</v>
      </c>
      <c r="N6" s="137">
        <v>1917</v>
      </c>
      <c r="O6" s="137">
        <v>-2070</v>
      </c>
      <c r="P6" s="137">
        <v>-8535</v>
      </c>
    </row>
    <row r="7" spans="2:17" x14ac:dyDescent="0.25">
      <c r="B7" s="136" t="s">
        <v>580</v>
      </c>
      <c r="C7" s="129">
        <v>9.07</v>
      </c>
      <c r="D7" s="129">
        <v>0</v>
      </c>
      <c r="E7" s="129">
        <v>0</v>
      </c>
      <c r="F7" s="129">
        <v>0</v>
      </c>
      <c r="G7" s="129">
        <v>0</v>
      </c>
      <c r="H7" s="129"/>
      <c r="I7" s="129"/>
      <c r="K7" s="136" t="s">
        <v>87</v>
      </c>
      <c r="L7" s="137">
        <v>-1836</v>
      </c>
      <c r="M7" s="129">
        <v>302</v>
      </c>
      <c r="N7" s="129">
        <v>577</v>
      </c>
      <c r="O7" s="129">
        <v>278</v>
      </c>
      <c r="P7" s="137">
        <v>1693</v>
      </c>
    </row>
    <row r="8" spans="2:17" ht="16.5" thickBot="1" x14ac:dyDescent="0.3">
      <c r="B8" s="136" t="s">
        <v>581</v>
      </c>
      <c r="C8" s="129">
        <v>2.39</v>
      </c>
      <c r="D8" s="129">
        <v>2.4900000000000002</v>
      </c>
      <c r="E8" s="129">
        <v>2.65</v>
      </c>
      <c r="F8" s="129">
        <v>1.1000000000000001</v>
      </c>
      <c r="G8" s="129">
        <v>1.1599999999999999</v>
      </c>
      <c r="H8" s="129"/>
      <c r="I8" s="129"/>
      <c r="K8" s="136" t="s">
        <v>88</v>
      </c>
      <c r="L8" s="137">
        <v>3633</v>
      </c>
      <c r="M8" s="137">
        <v>-1090</v>
      </c>
      <c r="N8" s="129">
        <v>-293</v>
      </c>
      <c r="O8" s="137">
        <v>1142</v>
      </c>
      <c r="P8" s="137">
        <v>15775</v>
      </c>
    </row>
    <row r="9" spans="2:17" ht="17.25" thickTop="1" thickBot="1" x14ac:dyDescent="0.3">
      <c r="B9" s="136" t="s">
        <v>582</v>
      </c>
      <c r="C9" s="129">
        <v>41.82</v>
      </c>
      <c r="D9" s="129">
        <v>46.78</v>
      </c>
      <c r="E9" s="129">
        <v>49.04</v>
      </c>
      <c r="F9" s="129">
        <v>49.02</v>
      </c>
      <c r="G9" s="129">
        <v>50.28</v>
      </c>
      <c r="H9" s="129"/>
      <c r="I9" s="129"/>
      <c r="K9" s="135" t="s">
        <v>89</v>
      </c>
      <c r="L9" s="132">
        <v>9248</v>
      </c>
      <c r="M9" s="132">
        <v>1589</v>
      </c>
      <c r="N9" s="131">
        <v>452</v>
      </c>
      <c r="O9" s="132">
        <v>-3125</v>
      </c>
      <c r="P9" s="132">
        <v>4756</v>
      </c>
    </row>
    <row r="10" spans="2:17" ht="17.25" thickTop="1" thickBot="1" x14ac:dyDescent="0.3">
      <c r="B10" s="138" t="s">
        <v>617</v>
      </c>
      <c r="C10" s="139">
        <v>37619</v>
      </c>
      <c r="D10" s="139">
        <v>40892</v>
      </c>
      <c r="E10" s="139">
        <v>45652</v>
      </c>
      <c r="F10" s="139">
        <v>51723</v>
      </c>
      <c r="G10" s="139">
        <v>73665</v>
      </c>
      <c r="H10" s="173"/>
      <c r="I10" s="173"/>
      <c r="K10" s="136" t="s">
        <v>90</v>
      </c>
      <c r="L10" s="129">
        <v>-875</v>
      </c>
      <c r="M10" s="137">
        <v>-1027</v>
      </c>
      <c r="N10" s="137">
        <v>-2756</v>
      </c>
      <c r="O10" s="137">
        <v>-1969</v>
      </c>
      <c r="P10" s="137">
        <v>-3538</v>
      </c>
    </row>
    <row r="11" spans="2:17" ht="16.5" thickTop="1" x14ac:dyDescent="0.25">
      <c r="B11" s="140" t="s">
        <v>583</v>
      </c>
      <c r="C11" s="141">
        <v>4</v>
      </c>
      <c r="D11" s="141">
        <v>4</v>
      </c>
      <c r="E11" s="141">
        <v>4</v>
      </c>
      <c r="F11" s="141">
        <v>4</v>
      </c>
      <c r="G11" s="141">
        <v>4</v>
      </c>
      <c r="H11" s="141"/>
      <c r="I11" s="141"/>
      <c r="K11" s="138" t="s">
        <v>618</v>
      </c>
      <c r="L11" s="139">
        <v>-1180</v>
      </c>
      <c r="M11" s="139">
        <v>-12785</v>
      </c>
      <c r="N11" s="139">
        <v>-5728</v>
      </c>
      <c r="O11" s="139">
        <v>-6410</v>
      </c>
      <c r="P11" s="139">
        <v>-10771</v>
      </c>
    </row>
    <row r="12" spans="2:17" x14ac:dyDescent="0.25">
      <c r="B12" s="140" t="s">
        <v>584</v>
      </c>
      <c r="C12" s="134">
        <v>2256</v>
      </c>
      <c r="D12" s="134">
        <v>2558</v>
      </c>
      <c r="E12" s="134">
        <v>3135</v>
      </c>
      <c r="F12" s="134">
        <v>3413</v>
      </c>
      <c r="G12" s="134">
        <v>5106</v>
      </c>
      <c r="H12" s="134"/>
      <c r="I12" s="134"/>
      <c r="K12" s="140" t="s">
        <v>91</v>
      </c>
      <c r="L12" s="134">
        <v>-1209</v>
      </c>
      <c r="M12" s="134">
        <v>-1501</v>
      </c>
      <c r="N12" s="134">
        <v>-1781</v>
      </c>
      <c r="O12" s="134">
        <v>-1755</v>
      </c>
      <c r="P12" s="134">
        <v>-1757</v>
      </c>
    </row>
    <row r="13" spans="2:17" x14ac:dyDescent="0.25">
      <c r="B13" s="140" t="s">
        <v>585</v>
      </c>
      <c r="C13" s="134">
        <v>16553</v>
      </c>
      <c r="D13" s="134">
        <v>4352</v>
      </c>
      <c r="E13" s="134">
        <v>5540</v>
      </c>
      <c r="F13" s="134">
        <v>7363</v>
      </c>
      <c r="G13" s="134">
        <v>9789</v>
      </c>
      <c r="H13" s="134"/>
      <c r="I13" s="134"/>
      <c r="K13" s="140" t="s">
        <v>92</v>
      </c>
      <c r="L13" s="141">
        <v>1</v>
      </c>
      <c r="M13" s="141">
        <v>3</v>
      </c>
      <c r="N13" s="141">
        <v>5</v>
      </c>
      <c r="O13" s="141">
        <v>8</v>
      </c>
      <c r="P13" s="141">
        <v>3</v>
      </c>
    </row>
    <row r="14" spans="2:17" ht="16.5" thickBot="1" x14ac:dyDescent="0.3">
      <c r="B14" s="140" t="s">
        <v>586</v>
      </c>
      <c r="C14" s="134">
        <v>18806</v>
      </c>
      <c r="D14" s="134">
        <v>33979</v>
      </c>
      <c r="E14" s="134">
        <v>36974</v>
      </c>
      <c r="F14" s="134">
        <v>40943</v>
      </c>
      <c r="G14" s="134">
        <v>58767</v>
      </c>
      <c r="H14" s="134"/>
      <c r="I14" s="134"/>
      <c r="K14" s="140" t="s">
        <v>93</v>
      </c>
      <c r="L14" s="141">
        <v>-67</v>
      </c>
      <c r="M14" s="141">
        <v>-235</v>
      </c>
      <c r="N14" s="141">
        <v>-95</v>
      </c>
      <c r="O14" s="141">
        <v>-100</v>
      </c>
      <c r="P14" s="141">
        <v>-107</v>
      </c>
    </row>
    <row r="15" spans="2:17" ht="17.25" thickTop="1" thickBot="1" x14ac:dyDescent="0.3">
      <c r="B15" s="130" t="s">
        <v>80</v>
      </c>
      <c r="C15" s="132">
        <v>53096</v>
      </c>
      <c r="D15" s="132">
        <v>60254</v>
      </c>
      <c r="E15" s="132">
        <v>69276</v>
      </c>
      <c r="F15" s="132">
        <v>80911</v>
      </c>
      <c r="G15" s="132">
        <v>108698</v>
      </c>
      <c r="H15" s="174"/>
      <c r="I15" s="174"/>
      <c r="K15" s="140" t="s">
        <v>94</v>
      </c>
      <c r="L15" s="141">
        <v>0</v>
      </c>
      <c r="M15" s="141">
        <v>0</v>
      </c>
      <c r="N15" s="141">
        <v>0</v>
      </c>
      <c r="O15" s="141">
        <v>0</v>
      </c>
      <c r="P15" s="141">
        <v>0</v>
      </c>
    </row>
    <row r="16" spans="2:17" ht="16.5" thickTop="1" x14ac:dyDescent="0.25">
      <c r="B16" s="138" t="s">
        <v>619</v>
      </c>
      <c r="C16" s="139">
        <v>7166</v>
      </c>
      <c r="D16" s="139">
        <v>6766</v>
      </c>
      <c r="E16" s="139">
        <v>6834</v>
      </c>
      <c r="F16" s="139">
        <v>6737</v>
      </c>
      <c r="G16" s="139">
        <v>6671</v>
      </c>
      <c r="H16" s="173"/>
      <c r="I16" s="173"/>
      <c r="K16" s="140" t="s">
        <v>95</v>
      </c>
      <c r="L16" s="141">
        <v>77</v>
      </c>
      <c r="M16" s="141">
        <v>201</v>
      </c>
      <c r="N16" s="141">
        <v>739</v>
      </c>
      <c r="O16" s="134">
        <v>1746</v>
      </c>
      <c r="P16" s="134">
        <v>2555</v>
      </c>
    </row>
    <row r="17" spans="2:16" x14ac:dyDescent="0.25">
      <c r="B17" s="140" t="s">
        <v>587</v>
      </c>
      <c r="C17" s="141">
        <v>33</v>
      </c>
      <c r="D17" s="141">
        <v>28</v>
      </c>
      <c r="E17" s="141">
        <v>28</v>
      </c>
      <c r="F17" s="141">
        <v>28</v>
      </c>
      <c r="G17" s="141">
        <v>28</v>
      </c>
      <c r="H17" s="141"/>
      <c r="I17" s="141"/>
      <c r="K17" s="140" t="s">
        <v>96</v>
      </c>
      <c r="L17" s="141">
        <v>1</v>
      </c>
      <c r="M17" s="141">
        <v>2</v>
      </c>
      <c r="N17" s="141">
        <v>2</v>
      </c>
      <c r="O17" s="141">
        <v>3</v>
      </c>
      <c r="P17" s="141">
        <v>5</v>
      </c>
    </row>
    <row r="18" spans="2:16" x14ac:dyDescent="0.25">
      <c r="B18" s="140" t="s">
        <v>588</v>
      </c>
      <c r="C18" s="134">
        <v>1432</v>
      </c>
      <c r="D18" s="134">
        <v>1456</v>
      </c>
      <c r="E18" s="134">
        <v>1866</v>
      </c>
      <c r="F18" s="134">
        <v>1892</v>
      </c>
      <c r="G18" s="134">
        <v>1979</v>
      </c>
      <c r="H18" s="134"/>
      <c r="I18" s="134"/>
      <c r="K18" s="140" t="s">
        <v>97</v>
      </c>
      <c r="L18" s="141">
        <v>0</v>
      </c>
      <c r="M18" s="141">
        <v>-10</v>
      </c>
      <c r="N18" s="141">
        <v>0</v>
      </c>
      <c r="O18" s="141">
        <v>-10</v>
      </c>
      <c r="P18" s="141">
        <v>-13</v>
      </c>
    </row>
    <row r="19" spans="2:16" ht="16.5" thickBot="1" x14ac:dyDescent="0.3">
      <c r="B19" s="140" t="s">
        <v>589</v>
      </c>
      <c r="C19" s="134">
        <v>2275</v>
      </c>
      <c r="D19" s="134">
        <v>2364</v>
      </c>
      <c r="E19" s="134">
        <v>2496</v>
      </c>
      <c r="F19" s="134">
        <v>2711</v>
      </c>
      <c r="G19" s="134">
        <v>2951</v>
      </c>
      <c r="H19" s="134"/>
      <c r="I19" s="134"/>
      <c r="K19" s="140" t="s">
        <v>98</v>
      </c>
      <c r="L19" s="141">
        <v>16</v>
      </c>
      <c r="M19" s="134">
        <v>-11246</v>
      </c>
      <c r="N19" s="134">
        <v>-4598</v>
      </c>
      <c r="O19" s="134">
        <v>-6301</v>
      </c>
      <c r="P19" s="134">
        <v>-11457</v>
      </c>
    </row>
    <row r="20" spans="2:16" ht="16.5" thickTop="1" x14ac:dyDescent="0.25">
      <c r="B20" s="140" t="s">
        <v>590</v>
      </c>
      <c r="C20" s="134">
        <v>5915</v>
      </c>
      <c r="D20" s="134">
        <v>6212</v>
      </c>
      <c r="E20" s="134">
        <v>6752</v>
      </c>
      <c r="F20" s="134">
        <v>7254</v>
      </c>
      <c r="G20" s="134">
        <v>7815</v>
      </c>
      <c r="H20" s="134"/>
      <c r="I20" s="134"/>
      <c r="K20" s="130" t="s">
        <v>620</v>
      </c>
      <c r="L20" s="132">
        <v>-7070</v>
      </c>
      <c r="M20" s="132">
        <v>-1464</v>
      </c>
      <c r="N20" s="132">
        <v>-1731</v>
      </c>
      <c r="O20" s="132">
        <v>-1999</v>
      </c>
      <c r="P20" s="132">
        <v>-2579</v>
      </c>
    </row>
    <row r="21" spans="2:16" x14ac:dyDescent="0.25">
      <c r="B21" s="140" t="s">
        <v>591</v>
      </c>
      <c r="C21" s="141">
        <v>85</v>
      </c>
      <c r="D21" s="141">
        <v>90</v>
      </c>
      <c r="E21" s="141">
        <v>103</v>
      </c>
      <c r="F21" s="141">
        <v>112</v>
      </c>
      <c r="G21" s="141">
        <v>130</v>
      </c>
      <c r="H21" s="141"/>
      <c r="I21" s="141"/>
      <c r="K21" s="136" t="s">
        <v>99</v>
      </c>
      <c r="L21" s="129">
        <v>0</v>
      </c>
      <c r="M21" s="129">
        <v>0</v>
      </c>
      <c r="N21" s="129">
        <v>0</v>
      </c>
      <c r="O21" s="129">
        <v>0</v>
      </c>
      <c r="P21" s="129">
        <v>0</v>
      </c>
    </row>
    <row r="22" spans="2:16" x14ac:dyDescent="0.25">
      <c r="B22" s="140" t="s">
        <v>592</v>
      </c>
      <c r="C22" s="141">
        <v>0</v>
      </c>
      <c r="D22" s="141">
        <v>0</v>
      </c>
      <c r="E22" s="141">
        <v>0</v>
      </c>
      <c r="F22" s="141">
        <v>0</v>
      </c>
      <c r="G22" s="141">
        <v>0</v>
      </c>
      <c r="H22" s="141"/>
      <c r="I22" s="141"/>
      <c r="K22" s="136" t="s">
        <v>100</v>
      </c>
      <c r="L22" s="137">
        <v>-5860</v>
      </c>
      <c r="M22" s="129">
        <v>-9</v>
      </c>
      <c r="N22" s="129">
        <v>0</v>
      </c>
      <c r="O22" s="129">
        <v>0</v>
      </c>
      <c r="P22" s="129">
        <v>0</v>
      </c>
    </row>
    <row r="23" spans="2:16" x14ac:dyDescent="0.25">
      <c r="B23" s="140" t="s">
        <v>593</v>
      </c>
      <c r="C23" s="141">
        <v>412</v>
      </c>
      <c r="D23" s="141">
        <v>415</v>
      </c>
      <c r="E23" s="141">
        <v>483</v>
      </c>
      <c r="F23" s="141">
        <v>490</v>
      </c>
      <c r="G23" s="141">
        <v>497</v>
      </c>
      <c r="H23" s="141"/>
      <c r="I23" s="141"/>
      <c r="K23" s="136" t="s">
        <v>101</v>
      </c>
      <c r="L23" s="129">
        <v>-204</v>
      </c>
      <c r="M23" s="129">
        <v>-117</v>
      </c>
      <c r="N23" s="129">
        <v>-56</v>
      </c>
      <c r="O23" s="129">
        <v>-26</v>
      </c>
      <c r="P23" s="129">
        <v>-37</v>
      </c>
    </row>
    <row r="24" spans="2:16" x14ac:dyDescent="0.25">
      <c r="B24" s="140" t="s">
        <v>594</v>
      </c>
      <c r="C24" s="134">
        <v>2507</v>
      </c>
      <c r="D24" s="134">
        <v>2919</v>
      </c>
      <c r="E24" s="134">
        <v>3287</v>
      </c>
      <c r="F24" s="134">
        <v>3788</v>
      </c>
      <c r="G24" s="134">
        <v>4089</v>
      </c>
      <c r="H24" s="134"/>
      <c r="I24" s="134"/>
      <c r="K24" s="136" t="s">
        <v>102</v>
      </c>
      <c r="L24" s="137">
        <v>-1003</v>
      </c>
      <c r="M24" s="137">
        <v>-1338</v>
      </c>
      <c r="N24" s="137">
        <v>-1672</v>
      </c>
      <c r="O24" s="137">
        <v>-1973</v>
      </c>
      <c r="P24" s="137">
        <v>-2541</v>
      </c>
    </row>
    <row r="25" spans="2:16" ht="16.5" thickBot="1" x14ac:dyDescent="0.3">
      <c r="B25" s="140" t="s">
        <v>595</v>
      </c>
      <c r="C25" s="141">
        <v>513</v>
      </c>
      <c r="D25" s="141">
        <v>519</v>
      </c>
      <c r="E25" s="141">
        <v>842</v>
      </c>
      <c r="F25" s="141">
        <v>892</v>
      </c>
      <c r="G25" s="141">
        <v>954</v>
      </c>
      <c r="H25" s="141"/>
      <c r="I25" s="141"/>
      <c r="K25" s="136" t="s">
        <v>103</v>
      </c>
      <c r="L25" s="129">
        <v>-3</v>
      </c>
      <c r="M25" s="129">
        <v>0</v>
      </c>
      <c r="N25" s="129">
        <v>-4</v>
      </c>
      <c r="O25" s="129">
        <v>0</v>
      </c>
      <c r="P25" s="129">
        <v>0</v>
      </c>
    </row>
    <row r="26" spans="2:16" ht="17.25" thickTop="1" thickBot="1" x14ac:dyDescent="0.3">
      <c r="B26" s="143" t="s">
        <v>596</v>
      </c>
      <c r="C26" s="139">
        <v>13172</v>
      </c>
      <c r="D26" s="139">
        <v>14003</v>
      </c>
      <c r="E26" s="139">
        <v>15857</v>
      </c>
      <c r="F26" s="139">
        <v>17168</v>
      </c>
      <c r="G26" s="139">
        <v>18445</v>
      </c>
      <c r="H26" s="173"/>
      <c r="I26" s="173"/>
      <c r="K26" s="136" t="s">
        <v>104</v>
      </c>
      <c r="L26" s="129">
        <v>0</v>
      </c>
      <c r="M26" s="129">
        <v>0</v>
      </c>
      <c r="N26" s="129">
        <v>0</v>
      </c>
      <c r="O26" s="129">
        <v>0</v>
      </c>
      <c r="P26" s="129">
        <v>0</v>
      </c>
    </row>
    <row r="27" spans="2:16" ht="16.5" thickTop="1" x14ac:dyDescent="0.25">
      <c r="B27" s="140" t="s">
        <v>597</v>
      </c>
      <c r="C27" s="134">
        <v>6006</v>
      </c>
      <c r="D27" s="134">
        <v>7237</v>
      </c>
      <c r="E27" s="134">
        <v>9023</v>
      </c>
      <c r="F27" s="134">
        <v>10431</v>
      </c>
      <c r="G27" s="134">
        <v>11774</v>
      </c>
      <c r="H27" s="134"/>
      <c r="I27" s="134"/>
      <c r="K27" s="138" t="s">
        <v>21</v>
      </c>
      <c r="L27" s="139">
        <v>6867</v>
      </c>
      <c r="M27" s="139">
        <v>-4076</v>
      </c>
      <c r="N27" s="139">
        <v>1370</v>
      </c>
      <c r="O27" s="142">
        <v>-186</v>
      </c>
      <c r="P27" s="142">
        <v>294</v>
      </c>
    </row>
    <row r="28" spans="2:16" x14ac:dyDescent="0.25">
      <c r="B28" s="128" t="s">
        <v>598</v>
      </c>
      <c r="C28" s="137">
        <v>1950</v>
      </c>
      <c r="D28" s="137">
        <v>2473</v>
      </c>
      <c r="E28" s="137">
        <v>1885</v>
      </c>
      <c r="F28" s="137">
        <v>2493</v>
      </c>
      <c r="G28" s="137">
        <v>3098</v>
      </c>
      <c r="H28" s="137"/>
      <c r="I28" s="137"/>
    </row>
    <row r="29" spans="2:16" ht="16.5" thickBot="1" x14ac:dyDescent="0.3">
      <c r="B29" s="133" t="s">
        <v>16</v>
      </c>
      <c r="C29" s="134">
        <v>1121</v>
      </c>
      <c r="D29" s="134">
        <v>1363</v>
      </c>
      <c r="E29" s="134">
        <v>1458</v>
      </c>
      <c r="F29" s="134">
        <v>1591</v>
      </c>
      <c r="G29" s="134">
        <v>1754</v>
      </c>
      <c r="H29" s="134"/>
      <c r="I29" s="134"/>
    </row>
    <row r="30" spans="2:16" ht="16.5" thickTop="1" x14ac:dyDescent="0.25">
      <c r="B30" s="130" t="s">
        <v>621</v>
      </c>
      <c r="C30" s="132">
        <v>42860</v>
      </c>
      <c r="D30" s="132">
        <v>49653</v>
      </c>
      <c r="E30" s="132">
        <v>59099</v>
      </c>
      <c r="F30" s="132">
        <v>70089</v>
      </c>
      <c r="G30" s="132">
        <v>97176</v>
      </c>
      <c r="H30" s="174"/>
      <c r="I30" s="174"/>
    </row>
    <row r="31" spans="2:16" x14ac:dyDescent="0.25">
      <c r="B31" s="136" t="s">
        <v>599</v>
      </c>
      <c r="C31" s="137">
        <v>18005</v>
      </c>
      <c r="D31" s="137">
        <v>16210</v>
      </c>
      <c r="E31" s="137">
        <v>14221</v>
      </c>
      <c r="F31" s="137">
        <v>16033</v>
      </c>
      <c r="G31" s="137">
        <v>24107</v>
      </c>
      <c r="H31" s="137"/>
      <c r="I31" s="137"/>
    </row>
    <row r="32" spans="2:16" x14ac:dyDescent="0.25">
      <c r="B32" s="136" t="s">
        <v>614</v>
      </c>
      <c r="C32" s="137">
        <v>5668</v>
      </c>
      <c r="D32" s="137">
        <v>4642</v>
      </c>
      <c r="E32" s="137">
        <v>4719</v>
      </c>
      <c r="F32" s="137">
        <v>4617</v>
      </c>
      <c r="G32" s="137">
        <v>4648</v>
      </c>
      <c r="H32" s="137"/>
      <c r="I32" s="137"/>
    </row>
    <row r="33" spans="2:9" x14ac:dyDescent="0.25">
      <c r="B33" s="136" t="s">
        <v>600</v>
      </c>
      <c r="C33" s="137">
        <v>7177</v>
      </c>
      <c r="D33" s="137">
        <v>14348</v>
      </c>
      <c r="E33" s="137">
        <v>20317</v>
      </c>
      <c r="F33" s="137">
        <v>26432</v>
      </c>
      <c r="G33" s="137">
        <v>38182</v>
      </c>
      <c r="H33" s="137"/>
      <c r="I33" s="137"/>
    </row>
    <row r="34" spans="2:9" x14ac:dyDescent="0.25">
      <c r="B34" s="136" t="s">
        <v>601</v>
      </c>
      <c r="C34" s="129">
        <v>951</v>
      </c>
      <c r="D34" s="129">
        <v>-962</v>
      </c>
      <c r="E34" s="137">
        <v>-1093</v>
      </c>
      <c r="F34" s="129">
        <v>-41</v>
      </c>
      <c r="G34" s="129">
        <v>-186</v>
      </c>
      <c r="H34" s="129"/>
      <c r="I34" s="129"/>
    </row>
    <row r="35" spans="2:9" ht="16.5" thickBot="1" x14ac:dyDescent="0.3">
      <c r="B35" s="136" t="s">
        <v>602</v>
      </c>
      <c r="C35" s="137">
        <v>11058</v>
      </c>
      <c r="D35" s="137">
        <v>15416</v>
      </c>
      <c r="E35" s="137">
        <v>20935</v>
      </c>
      <c r="F35" s="137">
        <v>23049</v>
      </c>
      <c r="G35" s="137">
        <v>30424</v>
      </c>
      <c r="H35" s="137"/>
      <c r="I35" s="137"/>
    </row>
    <row r="36" spans="2:9" ht="16.5" thickTop="1" x14ac:dyDescent="0.25">
      <c r="B36" s="138" t="s">
        <v>81</v>
      </c>
      <c r="C36" s="139">
        <v>53096</v>
      </c>
      <c r="D36" s="139">
        <v>60254</v>
      </c>
      <c r="E36" s="139">
        <v>69276</v>
      </c>
      <c r="F36" s="139">
        <v>80911</v>
      </c>
      <c r="G36" s="139">
        <v>108698</v>
      </c>
      <c r="H36" s="173"/>
      <c r="I36" s="173"/>
    </row>
  </sheetData>
  <sheetProtection sheet="1" objects="1" scenarios="1"/>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F60D-B1CE-41F0-AC75-2A66305AB93E}">
  <sheetPr codeName="Sheet15"/>
  <dimension ref="B2:N9"/>
  <sheetViews>
    <sheetView showGridLines="0" workbookViewId="0">
      <selection activeCell="B2" sqref="B2"/>
    </sheetView>
  </sheetViews>
  <sheetFormatPr defaultRowHeight="15" x14ac:dyDescent="0.25"/>
  <cols>
    <col min="1" max="1" width="1.85546875" customWidth="1"/>
    <col min="2" max="2" width="6.140625" bestFit="1" customWidth="1"/>
    <col min="3" max="3" width="16.5703125" bestFit="1" customWidth="1"/>
    <col min="4" max="4" width="9.42578125" bestFit="1" customWidth="1"/>
    <col min="5" max="5" width="15.7109375" bestFit="1" customWidth="1"/>
    <col min="6" max="6" width="12.140625" bestFit="1" customWidth="1"/>
    <col min="7" max="7" width="18.85546875" bestFit="1" customWidth="1"/>
    <col min="8" max="8" width="17.28515625" bestFit="1" customWidth="1"/>
    <col min="9" max="9" width="11.28515625" bestFit="1" customWidth="1"/>
    <col min="10" max="10" width="14.85546875" bestFit="1" customWidth="1"/>
    <col min="11" max="11" width="13.140625" bestFit="1" customWidth="1"/>
    <col min="12" max="12" width="14.42578125" bestFit="1" customWidth="1"/>
    <col min="13" max="13" width="14.28515625" bestFit="1" customWidth="1"/>
    <col min="14" max="14" width="13.28515625" bestFit="1" customWidth="1"/>
  </cols>
  <sheetData>
    <row r="2" spans="2:14" x14ac:dyDescent="0.25">
      <c r="B2" s="247" t="s">
        <v>656</v>
      </c>
      <c r="C2" s="232" t="s">
        <v>657</v>
      </c>
      <c r="D2" s="232" t="s">
        <v>671</v>
      </c>
      <c r="E2" s="232" t="s">
        <v>672</v>
      </c>
      <c r="F2" s="232" t="s">
        <v>673</v>
      </c>
      <c r="G2" s="232" t="s">
        <v>674</v>
      </c>
      <c r="H2" s="232" t="s">
        <v>675</v>
      </c>
      <c r="I2" s="232" t="s">
        <v>676</v>
      </c>
      <c r="J2" s="232" t="s">
        <v>677</v>
      </c>
      <c r="K2" s="232" t="s">
        <v>678</v>
      </c>
      <c r="L2" s="233" t="s">
        <v>679</v>
      </c>
      <c r="M2" s="233" t="s">
        <v>680</v>
      </c>
      <c r="N2" s="233" t="s">
        <v>681</v>
      </c>
    </row>
    <row r="3" spans="2:14" x14ac:dyDescent="0.25">
      <c r="B3" s="232">
        <v>1</v>
      </c>
      <c r="C3" s="232" t="s">
        <v>658</v>
      </c>
      <c r="D3" s="232">
        <v>4421.3</v>
      </c>
      <c r="E3" s="232">
        <v>295685.49</v>
      </c>
      <c r="F3" s="232">
        <v>11.4</v>
      </c>
      <c r="G3" s="232">
        <v>66.88</v>
      </c>
      <c r="H3" s="232">
        <v>38182.25</v>
      </c>
      <c r="I3" s="232">
        <v>251225.42</v>
      </c>
      <c r="J3" s="232">
        <v>334.39</v>
      </c>
      <c r="K3" s="232">
        <v>32104.78</v>
      </c>
      <c r="L3" s="233">
        <v>11351.31</v>
      </c>
      <c r="M3" s="233">
        <v>1424.29</v>
      </c>
      <c r="N3" s="233">
        <v>8469.24</v>
      </c>
    </row>
    <row r="4" spans="2:14" x14ac:dyDescent="0.25">
      <c r="B4" s="232">
        <v>2</v>
      </c>
      <c r="C4" s="232" t="s">
        <v>168</v>
      </c>
      <c r="D4" s="232">
        <v>400</v>
      </c>
      <c r="E4" s="232">
        <v>292391.15000000002</v>
      </c>
      <c r="F4" s="232">
        <v>58.89</v>
      </c>
      <c r="G4" s="232">
        <v>730.98</v>
      </c>
      <c r="H4" s="232">
        <v>9545.1</v>
      </c>
      <c r="I4" s="232">
        <v>284333.52</v>
      </c>
      <c r="J4" s="232">
        <v>730.98</v>
      </c>
      <c r="K4" s="232">
        <v>25152.11</v>
      </c>
      <c r="L4" s="233">
        <v>7628.46</v>
      </c>
      <c r="M4" s="233">
        <v>495.79</v>
      </c>
      <c r="N4" s="233">
        <v>5694.83</v>
      </c>
    </row>
    <row r="5" spans="2:14" x14ac:dyDescent="0.25">
      <c r="B5" s="232">
        <v>3</v>
      </c>
      <c r="C5" s="232" t="s">
        <v>169</v>
      </c>
      <c r="D5" s="232">
        <v>1481.2</v>
      </c>
      <c r="E5" s="232">
        <v>54295.24</v>
      </c>
      <c r="F5" s="232">
        <v>1.24</v>
      </c>
      <c r="G5" s="232">
        <v>36.659999999999997</v>
      </c>
      <c r="H5" s="232">
        <v>4190.37</v>
      </c>
      <c r="I5" s="232">
        <v>50114.84</v>
      </c>
      <c r="J5" s="232">
        <v>182.38</v>
      </c>
      <c r="K5" s="232">
        <v>4004.08</v>
      </c>
      <c r="L5" s="233">
        <v>885.27</v>
      </c>
      <c r="M5" s="233">
        <v>74.13</v>
      </c>
      <c r="N5" s="233">
        <v>654.13</v>
      </c>
    </row>
    <row r="6" spans="2:14" x14ac:dyDescent="0.25">
      <c r="B6" s="232">
        <v>4</v>
      </c>
      <c r="C6" s="232" t="s">
        <v>170</v>
      </c>
      <c r="D6" s="232">
        <v>2672.3</v>
      </c>
      <c r="E6" s="232">
        <v>14960.6</v>
      </c>
      <c r="F6" s="232">
        <v>5.81</v>
      </c>
      <c r="G6" s="232">
        <v>5.6</v>
      </c>
      <c r="H6" s="232">
        <v>126.4</v>
      </c>
      <c r="I6" s="232">
        <v>14893.07</v>
      </c>
      <c r="J6" s="232">
        <v>11.2</v>
      </c>
      <c r="K6" s="232">
        <v>920.04</v>
      </c>
      <c r="L6" s="233">
        <v>324.07</v>
      </c>
      <c r="M6" s="233">
        <v>18.489999999999998</v>
      </c>
      <c r="N6" s="233">
        <v>233.43</v>
      </c>
    </row>
    <row r="7" spans="2:14" x14ac:dyDescent="0.25">
      <c r="B7" s="232">
        <v>5</v>
      </c>
      <c r="C7" s="232" t="s">
        <v>171</v>
      </c>
      <c r="D7" s="232">
        <v>1391.6</v>
      </c>
      <c r="E7" s="232">
        <v>12564.81</v>
      </c>
      <c r="F7" s="232">
        <v>17.95</v>
      </c>
      <c r="G7" s="232">
        <v>9.0299999999999994</v>
      </c>
      <c r="H7" s="232">
        <v>965.78</v>
      </c>
      <c r="I7" s="232">
        <v>11750.03</v>
      </c>
      <c r="J7" s="232">
        <v>9.0299999999999994</v>
      </c>
      <c r="K7" s="232">
        <v>808.97</v>
      </c>
      <c r="L7" s="233">
        <v>384.28</v>
      </c>
      <c r="M7" s="233">
        <v>20.61</v>
      </c>
      <c r="N7" s="233">
        <v>271.39999999999998</v>
      </c>
    </row>
    <row r="8" spans="2:14" x14ac:dyDescent="0.25">
      <c r="B8" s="232">
        <v>6</v>
      </c>
      <c r="C8" s="232" t="s">
        <v>659</v>
      </c>
      <c r="D8" s="232">
        <v>263</v>
      </c>
      <c r="E8" s="232">
        <v>9396.7900000000009</v>
      </c>
      <c r="F8" s="232">
        <v>311.02999999999997</v>
      </c>
      <c r="G8" s="232">
        <v>35.729999999999997</v>
      </c>
      <c r="H8" s="232">
        <v>22.42</v>
      </c>
      <c r="I8" s="232">
        <v>9650.43</v>
      </c>
      <c r="J8" s="232">
        <v>33.56</v>
      </c>
      <c r="K8" s="232">
        <v>669</v>
      </c>
      <c r="L8" s="233">
        <v>163.72999999999999</v>
      </c>
      <c r="M8" s="233">
        <v>17.36</v>
      </c>
      <c r="N8" s="233">
        <v>85.24</v>
      </c>
    </row>
    <row r="9" spans="2:14" x14ac:dyDescent="0.25">
      <c r="B9" s="232"/>
      <c r="C9" s="232"/>
      <c r="D9" s="232"/>
      <c r="E9" s="232"/>
      <c r="F9" s="232"/>
      <c r="G9" s="232"/>
      <c r="H9" s="232"/>
      <c r="I9" s="232"/>
      <c r="J9" s="232"/>
      <c r="K9" s="232"/>
      <c r="L9" s="232"/>
      <c r="M9" s="232"/>
      <c r="N9" s="232"/>
    </row>
  </sheetData>
  <sheetProtection sheet="1" objects="1" scenarios="1"/>
  <hyperlinks>
    <hyperlink ref="C3" r:id="rId1" display="https://www.screener.in/company/HAL/consolidated/" xr:uid="{BEE70332-0D8C-4642-B1D9-EF72F33B01ED}"/>
    <hyperlink ref="C4" r:id="rId2" display="https://www.screener.in/company/BEL/consolidated/" xr:uid="{523146F9-5300-44B4-B817-D7CE83E08C0A}"/>
    <hyperlink ref="C5" r:id="rId3" display="https://www.screener.in/company/BDL/" xr:uid="{39FDD2DC-AF4B-4593-B8FD-6D0A68606A96}"/>
    <hyperlink ref="C6" r:id="rId4" display="https://www.screener.in/company/DATAPATTNS/" xr:uid="{032388D5-B593-449D-A904-468BB7AC4139}"/>
    <hyperlink ref="C7" r:id="rId5" display="https://www.screener.in/company/ZENTEC/consolidated/" xr:uid="{A9EC3C3E-0295-4911-BA39-D6D92866B188}"/>
    <hyperlink ref="C8" r:id="rId6" display="https://www.screener.in/company/APOLLO/" xr:uid="{6B0680E8-261D-4F1B-86FF-5D9E30B7577D}"/>
  </hyperlinks>
  <pageMargins left="0.7" right="0.7" top="0.75" bottom="0.75" header="0.3" footer="0.3"/>
  <pageSetup orientation="portrait" r:id="rId7"/>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25ACB-2476-48A6-838C-071C336D24E8}">
  <sheetPr codeName="Sheet16"/>
  <dimension ref="A2:D5442"/>
  <sheetViews>
    <sheetView tabSelected="1" workbookViewId="0">
      <selection activeCell="A1669" sqref="A1669"/>
    </sheetView>
  </sheetViews>
  <sheetFormatPr defaultRowHeight="15" x14ac:dyDescent="0.25"/>
  <cols>
    <col min="1" max="1" width="59.7109375" style="222" bestFit="1" customWidth="1"/>
    <col min="2" max="2" width="10" style="222" bestFit="1" customWidth="1"/>
    <col min="3" max="3" width="14.5703125" style="222" bestFit="1" customWidth="1"/>
    <col min="4" max="4" width="28.140625" style="222" bestFit="1" customWidth="1"/>
    <col min="5" max="6" width="9.140625" style="222"/>
    <col min="7" max="7" width="49.85546875" style="222" bestFit="1" customWidth="1"/>
    <col min="8" max="8" width="7" style="222" bestFit="1" customWidth="1"/>
    <col min="9" max="9" width="13.5703125" style="222" bestFit="1" customWidth="1"/>
    <col min="10" max="10" width="7.5703125" style="222" bestFit="1" customWidth="1"/>
    <col min="11" max="11" width="14.28515625" style="222" bestFit="1" customWidth="1"/>
    <col min="12" max="16384" width="9.140625" style="222"/>
  </cols>
  <sheetData>
    <row r="2" spans="1:4" x14ac:dyDescent="0.25">
      <c r="A2" s="222" t="s">
        <v>8935</v>
      </c>
      <c r="B2" s="222" t="s">
        <v>7943</v>
      </c>
      <c r="C2" s="222" t="s">
        <v>8934</v>
      </c>
      <c r="D2" s="222" t="s">
        <v>8933</v>
      </c>
    </row>
    <row r="3" spans="1:4" x14ac:dyDescent="0.25">
      <c r="A3" s="222" t="s">
        <v>8932</v>
      </c>
      <c r="B3" s="222">
        <v>533022</v>
      </c>
      <c r="C3" s="222" t="s">
        <v>8931</v>
      </c>
      <c r="D3" s="222" t="s">
        <v>2796</v>
      </c>
    </row>
    <row r="4" spans="1:4" x14ac:dyDescent="0.25">
      <c r="A4" s="222" t="s">
        <v>8930</v>
      </c>
      <c r="B4" s="222">
        <v>526921</v>
      </c>
      <c r="C4" s="222" t="s">
        <v>8929</v>
      </c>
      <c r="D4" s="222" t="s">
        <v>1262</v>
      </c>
    </row>
    <row r="5" spans="1:4" x14ac:dyDescent="0.25">
      <c r="A5" s="222" t="s">
        <v>8928</v>
      </c>
      <c r="B5" s="222">
        <v>532628</v>
      </c>
      <c r="C5" s="222" t="s">
        <v>8927</v>
      </c>
      <c r="D5" s="222" t="s">
        <v>1265</v>
      </c>
    </row>
    <row r="6" spans="1:4" x14ac:dyDescent="0.25">
      <c r="A6" s="222" t="s">
        <v>8926</v>
      </c>
      <c r="B6" s="222">
        <v>523395</v>
      </c>
      <c r="C6" s="222" t="s">
        <v>8925</v>
      </c>
      <c r="D6" s="222" t="s">
        <v>1318</v>
      </c>
    </row>
    <row r="7" spans="1:4" x14ac:dyDescent="0.25">
      <c r="A7" s="222" t="s">
        <v>8924</v>
      </c>
      <c r="B7" s="222">
        <v>523395</v>
      </c>
      <c r="C7" s="222" t="s">
        <v>8923</v>
      </c>
      <c r="D7" s="222" t="s">
        <v>1318</v>
      </c>
    </row>
    <row r="8" spans="1:4" x14ac:dyDescent="0.25">
      <c r="A8" s="222" t="s">
        <v>8922</v>
      </c>
      <c r="B8" s="222">
        <v>516092</v>
      </c>
      <c r="C8" s="222" t="s">
        <v>8921</v>
      </c>
      <c r="D8" s="222" t="s">
        <v>1972</v>
      </c>
    </row>
    <row r="9" spans="1:4" x14ac:dyDescent="0.25">
      <c r="A9" s="222" t="s">
        <v>8920</v>
      </c>
      <c r="B9" s="222">
        <v>540776</v>
      </c>
      <c r="C9" s="222" t="s">
        <v>8919</v>
      </c>
      <c r="D9" s="222" t="s">
        <v>1262</v>
      </c>
    </row>
    <row r="10" spans="1:4" x14ac:dyDescent="0.25">
      <c r="A10" s="222" t="s">
        <v>8918</v>
      </c>
      <c r="B10" s="222">
        <v>526881</v>
      </c>
      <c r="C10" s="222" t="s">
        <v>8917</v>
      </c>
      <c r="D10" s="222" t="s">
        <v>1265</v>
      </c>
    </row>
    <row r="11" spans="1:4" x14ac:dyDescent="0.25">
      <c r="A11" s="222" t="s">
        <v>8916</v>
      </c>
      <c r="B11" s="222">
        <v>540615</v>
      </c>
      <c r="C11" s="222" t="s">
        <v>2052</v>
      </c>
      <c r="D11" s="222" t="s">
        <v>1569</v>
      </c>
    </row>
    <row r="12" spans="1:4" x14ac:dyDescent="0.25">
      <c r="A12" s="222" t="s">
        <v>8915</v>
      </c>
      <c r="B12" s="222">
        <v>540874</v>
      </c>
      <c r="C12" s="222" t="s">
        <v>2052</v>
      </c>
      <c r="D12" s="222" t="s">
        <v>2264</v>
      </c>
    </row>
    <row r="13" spans="1:4" x14ac:dyDescent="0.25">
      <c r="A13" s="222" t="s">
        <v>8914</v>
      </c>
      <c r="B13" s="222">
        <v>512161</v>
      </c>
      <c r="C13" s="222" t="s">
        <v>8913</v>
      </c>
      <c r="D13" s="222" t="s">
        <v>1278</v>
      </c>
    </row>
    <row r="14" spans="1:4" x14ac:dyDescent="0.25">
      <c r="A14" s="222" t="s">
        <v>8912</v>
      </c>
      <c r="B14" s="222">
        <v>540697</v>
      </c>
      <c r="C14" s="222" t="s">
        <v>2052</v>
      </c>
      <c r="D14" s="222" t="s">
        <v>832</v>
      </c>
    </row>
    <row r="15" spans="1:4" x14ac:dyDescent="0.25">
      <c r="A15" s="222" t="s">
        <v>8911</v>
      </c>
      <c r="B15" s="222" t="s">
        <v>2052</v>
      </c>
      <c r="C15" s="222" t="s">
        <v>8910</v>
      </c>
      <c r="D15" s="222" t="s">
        <v>2050</v>
      </c>
    </row>
    <row r="16" spans="1:4" x14ac:dyDescent="0.25">
      <c r="A16" s="222" t="s">
        <v>8909</v>
      </c>
      <c r="B16" s="222">
        <v>539620</v>
      </c>
      <c r="C16" s="222" t="s">
        <v>2052</v>
      </c>
      <c r="D16" s="222" t="s">
        <v>1004</v>
      </c>
    </row>
    <row r="17" spans="1:4" x14ac:dyDescent="0.25">
      <c r="A17" s="222" t="s">
        <v>8908</v>
      </c>
      <c r="B17" s="222">
        <v>539300</v>
      </c>
      <c r="C17" s="222" t="s">
        <v>2052</v>
      </c>
      <c r="D17" s="222" t="s">
        <v>1237</v>
      </c>
    </row>
    <row r="18" spans="1:4" x14ac:dyDescent="0.25">
      <c r="A18" s="222" t="s">
        <v>8907</v>
      </c>
      <c r="B18" s="222">
        <v>530499</v>
      </c>
      <c r="C18" s="222" t="s">
        <v>2052</v>
      </c>
      <c r="D18" s="222" t="s">
        <v>1321</v>
      </c>
    </row>
    <row r="19" spans="1:4" x14ac:dyDescent="0.25">
      <c r="A19" s="222" t="s">
        <v>8906</v>
      </c>
      <c r="B19" s="222">
        <v>538351</v>
      </c>
      <c r="C19" s="222" t="s">
        <v>8905</v>
      </c>
      <c r="D19" s="222" t="s">
        <v>2108</v>
      </c>
    </row>
    <row r="20" spans="1:4" x14ac:dyDescent="0.25">
      <c r="A20" s="222" t="s">
        <v>8904</v>
      </c>
      <c r="B20" s="222">
        <v>542012</v>
      </c>
      <c r="C20" s="222" t="s">
        <v>2052</v>
      </c>
      <c r="D20" s="222" t="s">
        <v>1529</v>
      </c>
    </row>
    <row r="21" spans="1:4" x14ac:dyDescent="0.25">
      <c r="A21" s="222" t="s">
        <v>8903</v>
      </c>
      <c r="B21" s="222">
        <v>533292</v>
      </c>
      <c r="C21" s="222" t="s">
        <v>8902</v>
      </c>
      <c r="D21" s="222" t="s">
        <v>2445</v>
      </c>
    </row>
    <row r="22" spans="1:4" x14ac:dyDescent="0.25">
      <c r="A22" s="222" t="s">
        <v>8901</v>
      </c>
      <c r="B22" s="222">
        <v>531611</v>
      </c>
      <c r="C22" s="222" t="s">
        <v>2052</v>
      </c>
      <c r="D22" s="222" t="s">
        <v>1321</v>
      </c>
    </row>
    <row r="23" spans="1:4" x14ac:dyDescent="0.25">
      <c r="A23" s="222" t="s">
        <v>8900</v>
      </c>
      <c r="B23" s="222">
        <v>531611</v>
      </c>
      <c r="C23" s="222" t="s">
        <v>2052</v>
      </c>
      <c r="D23" s="222" t="s">
        <v>1321</v>
      </c>
    </row>
    <row r="24" spans="1:4" x14ac:dyDescent="0.25">
      <c r="A24" s="222" t="s">
        <v>8899</v>
      </c>
      <c r="B24" s="222" t="s">
        <v>2052</v>
      </c>
      <c r="C24" s="222" t="s">
        <v>8898</v>
      </c>
      <c r="D24" s="222" t="s">
        <v>2050</v>
      </c>
    </row>
    <row r="25" spans="1:4" x14ac:dyDescent="0.25">
      <c r="A25" s="222" t="s">
        <v>8897</v>
      </c>
      <c r="B25" s="222">
        <v>539096</v>
      </c>
      <c r="C25" s="222" t="s">
        <v>2052</v>
      </c>
      <c r="D25" s="222" t="s">
        <v>1237</v>
      </c>
    </row>
    <row r="26" spans="1:4" x14ac:dyDescent="0.25">
      <c r="A26" s="222" t="s">
        <v>8896</v>
      </c>
      <c r="B26" s="222">
        <v>538812</v>
      </c>
      <c r="C26" s="222" t="s">
        <v>2052</v>
      </c>
      <c r="D26" s="222" t="s">
        <v>2167</v>
      </c>
    </row>
    <row r="27" spans="1:4" x14ac:dyDescent="0.25">
      <c r="A27" s="222" t="s">
        <v>8895</v>
      </c>
      <c r="B27" s="222">
        <v>539632</v>
      </c>
      <c r="C27" s="222" t="s">
        <v>2052</v>
      </c>
      <c r="D27" s="222" t="s">
        <v>1137</v>
      </c>
    </row>
    <row r="28" spans="1:4" x14ac:dyDescent="0.25">
      <c r="A28" s="222" t="s">
        <v>8894</v>
      </c>
      <c r="B28" s="222">
        <v>542377</v>
      </c>
      <c r="C28" s="222" t="s">
        <v>8893</v>
      </c>
      <c r="D28" s="222" t="s">
        <v>1321</v>
      </c>
    </row>
    <row r="29" spans="1:4" x14ac:dyDescent="0.25">
      <c r="A29" s="222" t="s">
        <v>8892</v>
      </c>
      <c r="B29" s="222">
        <v>524412</v>
      </c>
      <c r="C29" s="222" t="s">
        <v>2052</v>
      </c>
      <c r="D29" s="222" t="s">
        <v>789</v>
      </c>
    </row>
    <row r="30" spans="1:4" x14ac:dyDescent="0.25">
      <c r="A30" s="222" t="s">
        <v>8891</v>
      </c>
      <c r="B30" s="222" t="s">
        <v>2052</v>
      </c>
      <c r="C30" s="222" t="s">
        <v>8890</v>
      </c>
      <c r="D30" s="222" t="s">
        <v>2050</v>
      </c>
    </row>
    <row r="31" spans="1:4" x14ac:dyDescent="0.25">
      <c r="A31" s="222" t="s">
        <v>8889</v>
      </c>
      <c r="B31" s="222">
        <v>542580</v>
      </c>
      <c r="C31" s="222" t="s">
        <v>8888</v>
      </c>
      <c r="D31" s="222" t="s">
        <v>1066</v>
      </c>
    </row>
    <row r="32" spans="1:4" x14ac:dyDescent="0.25">
      <c r="A32" s="222" t="s">
        <v>8887</v>
      </c>
      <c r="B32" s="222">
        <v>524348</v>
      </c>
      <c r="C32" s="222" t="s">
        <v>8886</v>
      </c>
      <c r="D32" s="222" t="s">
        <v>789</v>
      </c>
    </row>
    <row r="33" spans="1:4" x14ac:dyDescent="0.25">
      <c r="A33" s="222" t="s">
        <v>8885</v>
      </c>
      <c r="B33" s="222">
        <v>524208</v>
      </c>
      <c r="C33" s="222" t="s">
        <v>8884</v>
      </c>
      <c r="D33" s="222" t="s">
        <v>998</v>
      </c>
    </row>
    <row r="34" spans="1:4" x14ac:dyDescent="0.25">
      <c r="A34" s="222" t="s">
        <v>8883</v>
      </c>
      <c r="B34" s="222">
        <v>526488</v>
      </c>
      <c r="C34" s="222" t="s">
        <v>2052</v>
      </c>
      <c r="D34" s="222" t="s">
        <v>1237</v>
      </c>
    </row>
    <row r="35" spans="1:4" x14ac:dyDescent="0.25">
      <c r="A35" s="222" t="s">
        <v>8882</v>
      </c>
      <c r="B35" s="222">
        <v>514274</v>
      </c>
      <c r="C35" s="222" t="s">
        <v>8881</v>
      </c>
      <c r="D35" s="222" t="s">
        <v>1237</v>
      </c>
    </row>
    <row r="36" spans="1:4" x14ac:dyDescent="0.25">
      <c r="A36" s="222" t="s">
        <v>8880</v>
      </c>
      <c r="B36" s="222" t="s">
        <v>2052</v>
      </c>
      <c r="C36" s="222" t="s">
        <v>8879</v>
      </c>
      <c r="D36" s="222" t="s">
        <v>2050</v>
      </c>
    </row>
    <row r="37" spans="1:4" x14ac:dyDescent="0.25">
      <c r="A37" s="222" t="s">
        <v>8878</v>
      </c>
      <c r="B37" s="222">
        <v>519319</v>
      </c>
      <c r="C37" s="222" t="s">
        <v>2052</v>
      </c>
      <c r="D37" s="222" t="s">
        <v>1278</v>
      </c>
    </row>
    <row r="38" spans="1:4" x14ac:dyDescent="0.25">
      <c r="A38" s="222" t="s">
        <v>8877</v>
      </c>
      <c r="B38" s="222">
        <v>512038</v>
      </c>
      <c r="C38" s="222" t="s">
        <v>2052</v>
      </c>
      <c r="D38" s="222" t="s">
        <v>1529</v>
      </c>
    </row>
    <row r="39" spans="1:4" x14ac:dyDescent="0.25">
      <c r="A39" s="222" t="s">
        <v>8876</v>
      </c>
      <c r="B39" s="222">
        <v>541988</v>
      </c>
      <c r="C39" s="222" t="s">
        <v>8875</v>
      </c>
      <c r="D39" s="222" t="s">
        <v>2520</v>
      </c>
    </row>
    <row r="40" spans="1:4" x14ac:dyDescent="0.25">
      <c r="A40" s="222" t="s">
        <v>8874</v>
      </c>
      <c r="B40" s="222">
        <v>539528</v>
      </c>
      <c r="C40" s="222" t="s">
        <v>2052</v>
      </c>
      <c r="D40" s="222" t="s">
        <v>1161</v>
      </c>
    </row>
    <row r="41" spans="1:4" x14ac:dyDescent="0.25">
      <c r="A41" s="222" t="s">
        <v>8873</v>
      </c>
      <c r="B41" s="222">
        <v>523204</v>
      </c>
      <c r="C41" s="222" t="s">
        <v>8872</v>
      </c>
      <c r="D41" s="222" t="s">
        <v>3699</v>
      </c>
    </row>
    <row r="42" spans="1:4" x14ac:dyDescent="0.25">
      <c r="A42" s="222" t="s">
        <v>8871</v>
      </c>
      <c r="B42" s="222">
        <v>512165</v>
      </c>
      <c r="C42" s="222" t="s">
        <v>2052</v>
      </c>
      <c r="D42" s="222" t="s">
        <v>1529</v>
      </c>
    </row>
    <row r="43" spans="1:4" x14ac:dyDescent="0.25">
      <c r="A43" s="222" t="s">
        <v>8870</v>
      </c>
      <c r="B43" s="222">
        <v>500002</v>
      </c>
      <c r="C43" s="222" t="s">
        <v>8869</v>
      </c>
      <c r="D43" s="222" t="s">
        <v>1066</v>
      </c>
    </row>
    <row r="44" spans="1:4" x14ac:dyDescent="0.25">
      <c r="A44" s="222" t="s">
        <v>8868</v>
      </c>
      <c r="B44" s="222">
        <v>500488</v>
      </c>
      <c r="C44" s="222" t="s">
        <v>8867</v>
      </c>
      <c r="D44" s="222" t="s">
        <v>789</v>
      </c>
    </row>
    <row r="45" spans="1:4" x14ac:dyDescent="0.25">
      <c r="A45" s="222" t="s">
        <v>8866</v>
      </c>
      <c r="B45" s="222">
        <v>500488</v>
      </c>
      <c r="C45" s="222" t="s">
        <v>8865</v>
      </c>
      <c r="D45" s="222" t="s">
        <v>789</v>
      </c>
    </row>
    <row r="46" spans="1:4" x14ac:dyDescent="0.25">
      <c r="A46" s="222" t="s">
        <v>8864</v>
      </c>
      <c r="B46" s="222">
        <v>520123</v>
      </c>
      <c r="C46" s="222" t="s">
        <v>2052</v>
      </c>
      <c r="D46" s="222" t="s">
        <v>2656</v>
      </c>
    </row>
    <row r="47" spans="1:4" x14ac:dyDescent="0.25">
      <c r="A47" s="222" t="s">
        <v>8863</v>
      </c>
      <c r="B47" s="222">
        <v>513119</v>
      </c>
      <c r="C47" s="222" t="s">
        <v>2052</v>
      </c>
      <c r="D47" s="222" t="s">
        <v>3661</v>
      </c>
    </row>
    <row r="48" spans="1:4" x14ac:dyDescent="0.25">
      <c r="A48" s="222" t="s">
        <v>8862</v>
      </c>
      <c r="B48" s="222">
        <v>520123</v>
      </c>
      <c r="C48" s="222" t="s">
        <v>2052</v>
      </c>
      <c r="D48" s="222" t="s">
        <v>2656</v>
      </c>
    </row>
    <row r="49" spans="1:4" x14ac:dyDescent="0.25">
      <c r="A49" s="222" t="s">
        <v>8861</v>
      </c>
      <c r="B49" s="222">
        <v>532682</v>
      </c>
      <c r="C49" s="222" t="s">
        <v>8860</v>
      </c>
      <c r="D49" s="222" t="s">
        <v>2450</v>
      </c>
    </row>
    <row r="50" spans="1:4" x14ac:dyDescent="0.25">
      <c r="A50" s="222" t="s">
        <v>8859</v>
      </c>
      <c r="B50" s="222">
        <v>539560</v>
      </c>
      <c r="C50" s="222" t="s">
        <v>2052</v>
      </c>
      <c r="D50" s="222" t="s">
        <v>1083</v>
      </c>
    </row>
    <row r="51" spans="1:4" x14ac:dyDescent="0.25">
      <c r="A51" s="222" t="s">
        <v>8858</v>
      </c>
      <c r="B51" s="222">
        <v>532057</v>
      </c>
      <c r="C51" s="222" t="s">
        <v>2052</v>
      </c>
      <c r="D51" s="222" t="s">
        <v>1321</v>
      </c>
    </row>
    <row r="52" spans="1:4" x14ac:dyDescent="0.25">
      <c r="A52" s="222" t="s">
        <v>8857</v>
      </c>
      <c r="B52" s="222">
        <v>538952</v>
      </c>
      <c r="C52" s="222" t="s">
        <v>2052</v>
      </c>
      <c r="D52" s="222" t="s">
        <v>1321</v>
      </c>
    </row>
    <row r="53" spans="1:4" x14ac:dyDescent="0.25">
      <c r="A53" s="222" t="s">
        <v>8856</v>
      </c>
      <c r="B53" s="222">
        <v>538935</v>
      </c>
      <c r="C53" s="222" t="s">
        <v>2052</v>
      </c>
      <c r="D53" s="222" t="s">
        <v>911</v>
      </c>
    </row>
    <row r="54" spans="1:4" x14ac:dyDescent="0.25">
      <c r="A54" s="222" t="s">
        <v>8855</v>
      </c>
      <c r="B54" s="222">
        <v>539544</v>
      </c>
      <c r="C54" s="222" t="s">
        <v>2052</v>
      </c>
      <c r="D54" s="222" t="s">
        <v>1243</v>
      </c>
    </row>
    <row r="55" spans="1:4" x14ac:dyDescent="0.25">
      <c r="A55" s="222" t="s">
        <v>8854</v>
      </c>
      <c r="B55" s="222">
        <v>511756</v>
      </c>
      <c r="C55" s="222" t="s">
        <v>2052</v>
      </c>
      <c r="D55" s="222" t="s">
        <v>1321</v>
      </c>
    </row>
    <row r="56" spans="1:4" x14ac:dyDescent="0.25">
      <c r="A56" s="222" t="s">
        <v>8853</v>
      </c>
      <c r="B56" s="222">
        <v>511756</v>
      </c>
      <c r="C56" s="222" t="s">
        <v>2052</v>
      </c>
      <c r="D56" s="222" t="s">
        <v>1321</v>
      </c>
    </row>
    <row r="57" spans="1:4" x14ac:dyDescent="0.25">
      <c r="A57" s="222" t="s">
        <v>8852</v>
      </c>
      <c r="B57" s="222" t="s">
        <v>2052</v>
      </c>
      <c r="C57" s="222" t="s">
        <v>8851</v>
      </c>
      <c r="D57" s="222" t="s">
        <v>2197</v>
      </c>
    </row>
    <row r="58" spans="1:4" x14ac:dyDescent="0.25">
      <c r="A58" s="222" t="s">
        <v>8850</v>
      </c>
      <c r="B58" s="222">
        <v>531161</v>
      </c>
      <c r="C58" s="222" t="s">
        <v>2052</v>
      </c>
      <c r="D58" s="222" t="s">
        <v>1942</v>
      </c>
    </row>
    <row r="59" spans="1:4" x14ac:dyDescent="0.25">
      <c r="A59" s="222" t="s">
        <v>8849</v>
      </c>
      <c r="B59" s="222">
        <v>500410</v>
      </c>
      <c r="C59" s="222" t="s">
        <v>8848</v>
      </c>
      <c r="D59" s="222" t="s">
        <v>1004</v>
      </c>
    </row>
    <row r="60" spans="1:4" x14ac:dyDescent="0.25">
      <c r="A60" s="222" t="s">
        <v>8847</v>
      </c>
      <c r="B60" s="222">
        <v>517494</v>
      </c>
      <c r="C60" s="222" t="s">
        <v>2052</v>
      </c>
      <c r="D60" s="222" t="s">
        <v>2585</v>
      </c>
    </row>
    <row r="61" spans="1:4" x14ac:dyDescent="0.25">
      <c r="A61" s="222" t="s">
        <v>8846</v>
      </c>
      <c r="B61" s="222">
        <v>532268</v>
      </c>
      <c r="C61" s="222" t="s">
        <v>8845</v>
      </c>
      <c r="D61" s="222" t="s">
        <v>1265</v>
      </c>
    </row>
    <row r="62" spans="1:4" x14ac:dyDescent="0.25">
      <c r="A62" s="222" t="s">
        <v>8844</v>
      </c>
      <c r="B62" s="222" t="s">
        <v>2052</v>
      </c>
      <c r="C62" s="222" t="s">
        <v>8843</v>
      </c>
      <c r="D62" s="222" t="s">
        <v>2050</v>
      </c>
    </row>
    <row r="63" spans="1:4" x14ac:dyDescent="0.25">
      <c r="A63" s="222" t="s">
        <v>8842</v>
      </c>
      <c r="B63" s="222" t="s">
        <v>2052</v>
      </c>
      <c r="C63" s="222" t="s">
        <v>8841</v>
      </c>
      <c r="D63" s="222" t="s">
        <v>2050</v>
      </c>
    </row>
    <row r="64" spans="1:4" x14ac:dyDescent="0.25">
      <c r="A64" s="222" t="s">
        <v>8840</v>
      </c>
      <c r="B64" s="222">
        <v>530093</v>
      </c>
      <c r="C64" s="222" t="s">
        <v>2052</v>
      </c>
      <c r="D64" s="222" t="s">
        <v>854</v>
      </c>
    </row>
    <row r="65" spans="1:4" x14ac:dyDescent="0.25">
      <c r="A65" s="222" t="s">
        <v>8839</v>
      </c>
      <c r="B65" s="222" t="s">
        <v>2052</v>
      </c>
      <c r="C65" s="222" t="s">
        <v>8838</v>
      </c>
      <c r="D65" s="222" t="s">
        <v>2050</v>
      </c>
    </row>
    <row r="66" spans="1:4" x14ac:dyDescent="0.25">
      <c r="A66" s="222" t="s">
        <v>8837</v>
      </c>
      <c r="B66" s="222">
        <v>539661</v>
      </c>
      <c r="C66" s="222" t="s">
        <v>2052</v>
      </c>
      <c r="D66" s="222" t="s">
        <v>1137</v>
      </c>
    </row>
    <row r="67" spans="1:4" x14ac:dyDescent="0.25">
      <c r="A67" s="222" t="s">
        <v>8836</v>
      </c>
      <c r="B67" s="222">
        <v>531525</v>
      </c>
      <c r="C67" s="222" t="s">
        <v>2052</v>
      </c>
      <c r="D67" s="222" t="s">
        <v>1942</v>
      </c>
    </row>
    <row r="68" spans="1:4" x14ac:dyDescent="0.25">
      <c r="A68" s="222" t="s">
        <v>8835</v>
      </c>
      <c r="B68" s="222">
        <v>538570</v>
      </c>
      <c r="C68" s="222" t="s">
        <v>8834</v>
      </c>
      <c r="D68" s="222" t="s">
        <v>1262</v>
      </c>
    </row>
    <row r="69" spans="1:4" x14ac:dyDescent="0.25">
      <c r="A69" s="222" t="s">
        <v>8833</v>
      </c>
      <c r="B69" s="222">
        <v>517356</v>
      </c>
      <c r="C69" s="222" t="s">
        <v>2052</v>
      </c>
      <c r="D69" s="222" t="s">
        <v>2585</v>
      </c>
    </row>
    <row r="70" spans="1:4" x14ac:dyDescent="0.25">
      <c r="A70" s="222" t="s">
        <v>8832</v>
      </c>
      <c r="B70" s="222">
        <v>530043</v>
      </c>
      <c r="C70" s="222" t="s">
        <v>2052</v>
      </c>
      <c r="D70" s="222" t="s">
        <v>1364</v>
      </c>
    </row>
    <row r="71" spans="1:4" x14ac:dyDescent="0.25">
      <c r="A71" s="222" t="s">
        <v>8831</v>
      </c>
      <c r="B71" s="222">
        <v>539391</v>
      </c>
      <c r="C71" s="222" t="s">
        <v>2052</v>
      </c>
      <c r="D71" s="222" t="s">
        <v>1321</v>
      </c>
    </row>
    <row r="72" spans="1:4" x14ac:dyDescent="0.25">
      <c r="A72" s="222" t="s">
        <v>8830</v>
      </c>
      <c r="B72" s="222">
        <v>513149</v>
      </c>
      <c r="C72" s="222" t="s">
        <v>8829</v>
      </c>
      <c r="D72" s="222" t="s">
        <v>5076</v>
      </c>
    </row>
    <row r="73" spans="1:4" x14ac:dyDescent="0.25">
      <c r="A73" s="222" t="s">
        <v>8828</v>
      </c>
      <c r="B73" s="222">
        <v>524091</v>
      </c>
      <c r="C73" s="222" t="s">
        <v>2052</v>
      </c>
      <c r="D73" s="222" t="s">
        <v>1251</v>
      </c>
    </row>
    <row r="74" spans="1:4" x14ac:dyDescent="0.25">
      <c r="A74" s="222" t="s">
        <v>8827</v>
      </c>
      <c r="B74" s="222">
        <v>532762</v>
      </c>
      <c r="C74" s="222" t="s">
        <v>8826</v>
      </c>
      <c r="D74" s="222" t="s">
        <v>1292</v>
      </c>
    </row>
    <row r="75" spans="1:4" x14ac:dyDescent="0.25">
      <c r="A75" s="222" t="s">
        <v>8825</v>
      </c>
      <c r="B75" s="222">
        <v>511706</v>
      </c>
      <c r="C75" s="222" t="s">
        <v>2052</v>
      </c>
      <c r="D75" s="222" t="s">
        <v>1262</v>
      </c>
    </row>
    <row r="76" spans="1:4" x14ac:dyDescent="0.25">
      <c r="A76" s="222" t="s">
        <v>8824</v>
      </c>
      <c r="B76" s="222">
        <v>511706</v>
      </c>
      <c r="C76" s="222" t="s">
        <v>2052</v>
      </c>
      <c r="D76" s="222" t="s">
        <v>1262</v>
      </c>
    </row>
    <row r="77" spans="1:4" x14ac:dyDescent="0.25">
      <c r="A77" s="222" t="s">
        <v>8823</v>
      </c>
      <c r="B77" s="222">
        <v>541144</v>
      </c>
      <c r="C77" s="222" t="s">
        <v>2052</v>
      </c>
      <c r="D77" s="222" t="s">
        <v>1364</v>
      </c>
    </row>
    <row r="78" spans="1:4" x14ac:dyDescent="0.25">
      <c r="A78" s="222" t="s">
        <v>8822</v>
      </c>
      <c r="B78" s="222">
        <v>512599</v>
      </c>
      <c r="C78" s="222" t="s">
        <v>8821</v>
      </c>
      <c r="D78" s="222" t="s">
        <v>1529</v>
      </c>
    </row>
    <row r="79" spans="1:4" x14ac:dyDescent="0.25">
      <c r="A79" s="222" t="s">
        <v>8820</v>
      </c>
      <c r="B79" s="222">
        <v>542066</v>
      </c>
      <c r="C79" s="222" t="s">
        <v>8819</v>
      </c>
      <c r="D79" s="222" t="s">
        <v>4050</v>
      </c>
    </row>
    <row r="80" spans="1:4" x14ac:dyDescent="0.25">
      <c r="A80" s="222" t="s">
        <v>8818</v>
      </c>
      <c r="B80" s="222">
        <v>541450</v>
      </c>
      <c r="C80" s="222" t="s">
        <v>8817</v>
      </c>
      <c r="D80" s="222" t="s">
        <v>1066</v>
      </c>
    </row>
    <row r="81" spans="1:4" x14ac:dyDescent="0.25">
      <c r="A81" s="222" t="s">
        <v>8816</v>
      </c>
      <c r="B81" s="222">
        <v>532921</v>
      </c>
      <c r="C81" s="222" t="s">
        <v>8815</v>
      </c>
      <c r="D81" s="222" t="s">
        <v>2245</v>
      </c>
    </row>
    <row r="82" spans="1:4" x14ac:dyDescent="0.25">
      <c r="A82" s="222" t="s">
        <v>8814</v>
      </c>
      <c r="B82" s="222">
        <v>533096</v>
      </c>
      <c r="C82" s="222" t="s">
        <v>8813</v>
      </c>
      <c r="D82" s="222" t="s">
        <v>2380</v>
      </c>
    </row>
    <row r="83" spans="1:4" x14ac:dyDescent="0.25">
      <c r="A83" s="222" t="s">
        <v>8812</v>
      </c>
      <c r="B83" s="222">
        <v>539254</v>
      </c>
      <c r="C83" s="222" t="s">
        <v>8811</v>
      </c>
      <c r="D83" s="222" t="s">
        <v>2380</v>
      </c>
    </row>
    <row r="84" spans="1:4" x14ac:dyDescent="0.25">
      <c r="A84" s="222" t="s">
        <v>8810</v>
      </c>
      <c r="B84" s="222">
        <v>538563</v>
      </c>
      <c r="C84" s="222" t="s">
        <v>2052</v>
      </c>
      <c r="D84" s="222" t="s">
        <v>1529</v>
      </c>
    </row>
    <row r="85" spans="1:4" x14ac:dyDescent="0.25">
      <c r="A85" s="222" t="s">
        <v>8809</v>
      </c>
      <c r="B85" s="222">
        <v>526711</v>
      </c>
      <c r="C85" s="222" t="s">
        <v>2052</v>
      </c>
      <c r="D85" s="222" t="s">
        <v>1324</v>
      </c>
    </row>
    <row r="86" spans="1:4" x14ac:dyDescent="0.25">
      <c r="A86" s="222" t="s">
        <v>8808</v>
      </c>
      <c r="B86" s="222">
        <v>523411</v>
      </c>
      <c r="C86" s="222" t="s">
        <v>2052</v>
      </c>
      <c r="D86" s="222" t="s">
        <v>2114</v>
      </c>
    </row>
    <row r="87" spans="1:4" x14ac:dyDescent="0.25">
      <c r="A87" s="222" t="s">
        <v>8807</v>
      </c>
      <c r="B87" s="222">
        <v>539506</v>
      </c>
      <c r="C87" s="222" t="s">
        <v>2052</v>
      </c>
      <c r="D87" s="222" t="s">
        <v>1321</v>
      </c>
    </row>
    <row r="88" spans="1:4" x14ac:dyDescent="0.25">
      <c r="A88" s="222" t="s">
        <v>8806</v>
      </c>
      <c r="B88" s="222">
        <v>507852</v>
      </c>
      <c r="C88" s="222" t="s">
        <v>2052</v>
      </c>
      <c r="D88" s="222" t="s">
        <v>1364</v>
      </c>
    </row>
    <row r="89" spans="1:4" x14ac:dyDescent="0.25">
      <c r="A89" s="222" t="s">
        <v>8805</v>
      </c>
      <c r="B89" s="222">
        <v>541865</v>
      </c>
      <c r="C89" s="222" t="s">
        <v>2052</v>
      </c>
      <c r="D89" s="222" t="s">
        <v>1137</v>
      </c>
    </row>
    <row r="90" spans="1:4" x14ac:dyDescent="0.25">
      <c r="A90" s="222" t="s">
        <v>8804</v>
      </c>
      <c r="B90" s="222">
        <v>519183</v>
      </c>
      <c r="C90" s="222" t="s">
        <v>8803</v>
      </c>
      <c r="D90" s="222" t="s">
        <v>1161</v>
      </c>
    </row>
    <row r="91" spans="1:4" x14ac:dyDescent="0.25">
      <c r="A91" s="222" t="s">
        <v>8802</v>
      </c>
      <c r="B91" s="222">
        <v>539493</v>
      </c>
      <c r="C91" s="222" t="s">
        <v>2052</v>
      </c>
      <c r="D91" s="222" t="s">
        <v>1321</v>
      </c>
    </row>
    <row r="92" spans="1:4" x14ac:dyDescent="0.25">
      <c r="A92" s="222" t="s">
        <v>8801</v>
      </c>
      <c r="B92" s="222">
        <v>539189</v>
      </c>
      <c r="C92" s="222" t="s">
        <v>2052</v>
      </c>
      <c r="D92" s="222" t="s">
        <v>1243</v>
      </c>
    </row>
    <row r="93" spans="1:4" x14ac:dyDescent="0.25">
      <c r="A93" s="222" t="s">
        <v>8800</v>
      </c>
      <c r="B93" s="222">
        <v>780018</v>
      </c>
      <c r="C93" s="222" t="s">
        <v>2052</v>
      </c>
      <c r="D93" s="222" t="s">
        <v>2197</v>
      </c>
    </row>
    <row r="94" spans="1:4" x14ac:dyDescent="0.25">
      <c r="A94" s="222" t="s">
        <v>8799</v>
      </c>
      <c r="B94" s="222">
        <v>538365</v>
      </c>
      <c r="C94" s="222" t="s">
        <v>8798</v>
      </c>
      <c r="D94" s="222" t="s">
        <v>2167</v>
      </c>
    </row>
    <row r="95" spans="1:4" x14ac:dyDescent="0.25">
      <c r="A95" s="222" t="s">
        <v>8797</v>
      </c>
      <c r="B95" s="222">
        <v>532727</v>
      </c>
      <c r="C95" s="222" t="s">
        <v>8796</v>
      </c>
      <c r="D95" s="222" t="s">
        <v>2167</v>
      </c>
    </row>
    <row r="96" spans="1:4" x14ac:dyDescent="0.25">
      <c r="A96" s="222" t="s">
        <v>8795</v>
      </c>
      <c r="B96" s="222">
        <v>531592</v>
      </c>
      <c r="C96" s="222" t="s">
        <v>2052</v>
      </c>
      <c r="D96" s="222" t="s">
        <v>722</v>
      </c>
    </row>
    <row r="97" spans="1:4" x14ac:dyDescent="0.25">
      <c r="A97" s="222" t="s">
        <v>8794</v>
      </c>
      <c r="B97" s="222">
        <v>532056</v>
      </c>
      <c r="C97" s="222" t="s">
        <v>2052</v>
      </c>
      <c r="D97" s="222" t="s">
        <v>2108</v>
      </c>
    </row>
    <row r="98" spans="1:4" x14ac:dyDescent="0.25">
      <c r="A98" s="222" t="s">
        <v>8793</v>
      </c>
      <c r="B98" s="222">
        <v>514113</v>
      </c>
      <c r="C98" s="222" t="s">
        <v>2052</v>
      </c>
      <c r="D98" s="222" t="s">
        <v>1237</v>
      </c>
    </row>
    <row r="99" spans="1:4" x14ac:dyDescent="0.25">
      <c r="A99" s="222" t="s">
        <v>8792</v>
      </c>
      <c r="B99" s="222">
        <v>534707</v>
      </c>
      <c r="C99" s="222" t="s">
        <v>2052</v>
      </c>
      <c r="D99" s="222" t="s">
        <v>1364</v>
      </c>
    </row>
    <row r="100" spans="1:4" x14ac:dyDescent="0.25">
      <c r="A100" s="222" t="s">
        <v>8791</v>
      </c>
      <c r="B100" s="222">
        <v>540691</v>
      </c>
      <c r="C100" s="222" t="s">
        <v>8790</v>
      </c>
      <c r="D100" s="222" t="s">
        <v>1289</v>
      </c>
    </row>
    <row r="101" spans="1:4" x14ac:dyDescent="0.25">
      <c r="A101" s="222" t="s">
        <v>8789</v>
      </c>
      <c r="B101" s="222">
        <v>535755</v>
      </c>
      <c r="C101" s="222" t="s">
        <v>8788</v>
      </c>
      <c r="D101" s="222" t="s">
        <v>2247</v>
      </c>
    </row>
    <row r="102" spans="1:4" x14ac:dyDescent="0.25">
      <c r="A102" s="222" t="s">
        <v>8787</v>
      </c>
      <c r="B102" s="222">
        <v>532974</v>
      </c>
      <c r="C102" s="222" t="s">
        <v>8786</v>
      </c>
      <c r="D102" s="222" t="s">
        <v>1262</v>
      </c>
    </row>
    <row r="103" spans="1:4" x14ac:dyDescent="0.25">
      <c r="A103" s="222" t="s">
        <v>8785</v>
      </c>
      <c r="B103" s="222">
        <v>540146</v>
      </c>
      <c r="C103" s="222" t="s">
        <v>2052</v>
      </c>
      <c r="D103" s="222" t="s">
        <v>1137</v>
      </c>
    </row>
    <row r="104" spans="1:4" x14ac:dyDescent="0.25">
      <c r="A104" s="222" t="s">
        <v>8784</v>
      </c>
      <c r="B104" s="222">
        <v>513513</v>
      </c>
      <c r="C104" s="222" t="s">
        <v>2052</v>
      </c>
      <c r="D104" s="222" t="s">
        <v>2167</v>
      </c>
    </row>
    <row r="105" spans="1:4" x14ac:dyDescent="0.25">
      <c r="A105" s="222" t="s">
        <v>8783</v>
      </c>
      <c r="B105" s="222">
        <v>521141</v>
      </c>
      <c r="C105" s="222" t="s">
        <v>2052</v>
      </c>
      <c r="D105" s="222" t="s">
        <v>1237</v>
      </c>
    </row>
    <row r="106" spans="1:4" x14ac:dyDescent="0.25">
      <c r="A106" s="222" t="s">
        <v>8782</v>
      </c>
      <c r="B106" s="222">
        <v>540205</v>
      </c>
      <c r="C106" s="222" t="s">
        <v>2052</v>
      </c>
      <c r="D106" s="222" t="s">
        <v>1529</v>
      </c>
    </row>
    <row r="107" spans="1:4" x14ac:dyDescent="0.25">
      <c r="A107" s="222" t="s">
        <v>8781</v>
      </c>
      <c r="B107" s="222">
        <v>539056</v>
      </c>
      <c r="C107" s="222" t="s">
        <v>8780</v>
      </c>
      <c r="D107" s="222" t="s">
        <v>2130</v>
      </c>
    </row>
    <row r="108" spans="1:4" x14ac:dyDescent="0.25">
      <c r="A108" s="222" t="s">
        <v>8779</v>
      </c>
      <c r="B108" s="222">
        <v>511359</v>
      </c>
      <c r="C108" s="222" t="s">
        <v>2052</v>
      </c>
      <c r="D108" s="222" t="s">
        <v>1321</v>
      </c>
    </row>
    <row r="109" spans="1:4" x14ac:dyDescent="0.25">
      <c r="A109" s="222" t="s">
        <v>8778</v>
      </c>
      <c r="B109" s="222">
        <v>530431</v>
      </c>
      <c r="C109" s="222" t="s">
        <v>2052</v>
      </c>
      <c r="D109" s="222" t="s">
        <v>1529</v>
      </c>
    </row>
    <row r="110" spans="1:4" x14ac:dyDescent="0.25">
      <c r="A110" s="222" t="s">
        <v>8777</v>
      </c>
      <c r="B110" s="222">
        <v>523120</v>
      </c>
      <c r="C110" s="222" t="s">
        <v>2052</v>
      </c>
      <c r="D110" s="222" t="s">
        <v>1542</v>
      </c>
    </row>
    <row r="111" spans="1:4" x14ac:dyDescent="0.25">
      <c r="A111" s="222" t="s">
        <v>8776</v>
      </c>
      <c r="B111" s="222">
        <v>517041</v>
      </c>
      <c r="C111" s="222" t="s">
        <v>8775</v>
      </c>
      <c r="D111" s="222" t="s">
        <v>1395</v>
      </c>
    </row>
    <row r="112" spans="1:4" x14ac:dyDescent="0.25">
      <c r="A112" s="222" t="s">
        <v>8774</v>
      </c>
      <c r="B112" s="222">
        <v>532172</v>
      </c>
      <c r="C112" s="222" t="s">
        <v>8773</v>
      </c>
      <c r="D112" s="222" t="s">
        <v>1265</v>
      </c>
    </row>
    <row r="113" spans="1:4" x14ac:dyDescent="0.25">
      <c r="A113" s="222" t="s">
        <v>8772</v>
      </c>
      <c r="B113" s="222">
        <v>523031</v>
      </c>
      <c r="C113" s="222" t="s">
        <v>2052</v>
      </c>
      <c r="D113" s="222" t="s">
        <v>1425</v>
      </c>
    </row>
    <row r="114" spans="1:4" x14ac:dyDescent="0.25">
      <c r="A114" s="222" t="s">
        <v>8771</v>
      </c>
      <c r="B114" s="222">
        <v>521048</v>
      </c>
      <c r="C114" s="222" t="s">
        <v>2052</v>
      </c>
      <c r="D114" s="222" t="s">
        <v>1237</v>
      </c>
    </row>
    <row r="115" spans="1:4" x14ac:dyDescent="0.25">
      <c r="A115" s="222" t="s">
        <v>8770</v>
      </c>
      <c r="B115" s="222">
        <v>534612</v>
      </c>
      <c r="C115" s="222" t="s">
        <v>2052</v>
      </c>
      <c r="D115" s="222" t="s">
        <v>2380</v>
      </c>
    </row>
    <row r="116" spans="1:4" x14ac:dyDescent="0.25">
      <c r="A116" s="222" t="s">
        <v>8769</v>
      </c>
      <c r="B116" s="222">
        <v>506947</v>
      </c>
      <c r="C116" s="222" t="s">
        <v>2052</v>
      </c>
      <c r="D116" s="222" t="s">
        <v>998</v>
      </c>
    </row>
    <row r="117" spans="1:4" x14ac:dyDescent="0.25">
      <c r="A117" s="222" t="s">
        <v>8768</v>
      </c>
      <c r="B117" s="222">
        <v>531047</v>
      </c>
      <c r="C117" s="222" t="s">
        <v>2052</v>
      </c>
      <c r="D117" s="222" t="s">
        <v>1321</v>
      </c>
    </row>
    <row r="118" spans="1:4" x14ac:dyDescent="0.25">
      <c r="A118" s="222" t="s">
        <v>8767</v>
      </c>
      <c r="B118" s="222">
        <v>539982</v>
      </c>
      <c r="C118" s="222" t="s">
        <v>2052</v>
      </c>
      <c r="D118" s="222" t="s">
        <v>1447</v>
      </c>
    </row>
    <row r="119" spans="1:4" x14ac:dyDescent="0.25">
      <c r="A119" s="222" t="s">
        <v>8766</v>
      </c>
      <c r="B119" s="222">
        <v>540025</v>
      </c>
      <c r="C119" s="222" t="s">
        <v>8765</v>
      </c>
      <c r="D119" s="222" t="s">
        <v>731</v>
      </c>
    </row>
    <row r="120" spans="1:4" x14ac:dyDescent="0.25">
      <c r="A120" s="222" t="s">
        <v>8764</v>
      </c>
      <c r="B120" s="222">
        <v>523269</v>
      </c>
      <c r="C120" s="222" t="s">
        <v>8762</v>
      </c>
      <c r="D120" s="222" t="s">
        <v>2128</v>
      </c>
    </row>
    <row r="121" spans="1:4" x14ac:dyDescent="0.25">
      <c r="A121" s="222" t="s">
        <v>8763</v>
      </c>
      <c r="B121" s="222">
        <v>523269</v>
      </c>
      <c r="C121" s="222" t="s">
        <v>8762</v>
      </c>
      <c r="D121" s="222" t="s">
        <v>2128</v>
      </c>
    </row>
    <row r="122" spans="1:4" x14ac:dyDescent="0.25">
      <c r="A122" s="222" t="s">
        <v>8761</v>
      </c>
      <c r="B122" s="222">
        <v>531429</v>
      </c>
      <c r="C122" s="222" t="s">
        <v>2052</v>
      </c>
      <c r="D122" s="222" t="s">
        <v>1942</v>
      </c>
    </row>
    <row r="123" spans="1:4" x14ac:dyDescent="0.25">
      <c r="A123" s="222" t="s">
        <v>8760</v>
      </c>
      <c r="B123" s="222">
        <v>539773</v>
      </c>
      <c r="C123" s="222" t="s">
        <v>2052</v>
      </c>
      <c r="D123" s="222" t="s">
        <v>1321</v>
      </c>
    </row>
    <row r="124" spans="1:4" x14ac:dyDescent="0.25">
      <c r="A124" s="222" t="s">
        <v>8759</v>
      </c>
      <c r="B124" s="222">
        <v>531686</v>
      </c>
      <c r="C124" s="222" t="s">
        <v>2052</v>
      </c>
      <c r="D124" s="222" t="s">
        <v>789</v>
      </c>
    </row>
    <row r="125" spans="1:4" x14ac:dyDescent="0.25">
      <c r="A125" s="222" t="s">
        <v>8758</v>
      </c>
      <c r="B125" s="222">
        <v>541152</v>
      </c>
      <c r="C125" s="222" t="s">
        <v>2052</v>
      </c>
      <c r="D125" s="222" t="s">
        <v>1529</v>
      </c>
    </row>
    <row r="126" spans="1:4" x14ac:dyDescent="0.25">
      <c r="A126" s="222" t="s">
        <v>8757</v>
      </c>
      <c r="B126" s="222">
        <v>541152</v>
      </c>
      <c r="C126" s="222" t="s">
        <v>2052</v>
      </c>
      <c r="D126" s="222" t="s">
        <v>1529</v>
      </c>
    </row>
    <row r="127" spans="1:4" x14ac:dyDescent="0.25">
      <c r="A127" s="222" t="s">
        <v>8756</v>
      </c>
      <c r="B127" s="222">
        <v>500003</v>
      </c>
      <c r="C127" s="222" t="s">
        <v>8755</v>
      </c>
      <c r="D127" s="222" t="s">
        <v>2740</v>
      </c>
    </row>
    <row r="128" spans="1:4" x14ac:dyDescent="0.25">
      <c r="A128" s="222" t="s">
        <v>8754</v>
      </c>
      <c r="B128" s="222">
        <v>541402</v>
      </c>
      <c r="C128" s="222" t="s">
        <v>2052</v>
      </c>
      <c r="D128" s="222" t="s">
        <v>832</v>
      </c>
    </row>
    <row r="129" spans="1:4" x14ac:dyDescent="0.25">
      <c r="A129" s="222" t="s">
        <v>8753</v>
      </c>
      <c r="B129" s="222">
        <v>531921</v>
      </c>
      <c r="C129" s="222" t="s">
        <v>8752</v>
      </c>
      <c r="D129" s="222" t="s">
        <v>1196</v>
      </c>
    </row>
    <row r="130" spans="1:4" x14ac:dyDescent="0.25">
      <c r="A130" s="222" t="s">
        <v>8751</v>
      </c>
      <c r="B130" s="222">
        <v>500463</v>
      </c>
      <c r="C130" s="222" t="s">
        <v>8750</v>
      </c>
      <c r="D130" s="222" t="s">
        <v>1265</v>
      </c>
    </row>
    <row r="131" spans="1:4" x14ac:dyDescent="0.25">
      <c r="A131" s="222" t="s">
        <v>8749</v>
      </c>
      <c r="B131" s="222">
        <v>539042</v>
      </c>
      <c r="C131" s="222" t="s">
        <v>2052</v>
      </c>
      <c r="D131" s="222" t="s">
        <v>1243</v>
      </c>
    </row>
    <row r="132" spans="1:4" x14ac:dyDescent="0.25">
      <c r="A132" s="222" t="s">
        <v>8748</v>
      </c>
      <c r="B132" s="222">
        <v>516020</v>
      </c>
      <c r="C132" s="222" t="s">
        <v>2052</v>
      </c>
      <c r="D132" s="222" t="s">
        <v>1972</v>
      </c>
    </row>
    <row r="133" spans="1:4" x14ac:dyDescent="0.25">
      <c r="A133" s="222" t="s">
        <v>8747</v>
      </c>
      <c r="B133" s="222">
        <v>537492</v>
      </c>
      <c r="C133" s="222" t="s">
        <v>2052</v>
      </c>
      <c r="D133" s="222" t="s">
        <v>1529</v>
      </c>
    </row>
    <row r="134" spans="1:4" x14ac:dyDescent="0.25">
      <c r="A134" s="222" t="s">
        <v>8746</v>
      </c>
      <c r="B134" s="222">
        <v>537292</v>
      </c>
      <c r="C134" s="222" t="s">
        <v>8744</v>
      </c>
      <c r="D134" s="222" t="s">
        <v>731</v>
      </c>
    </row>
    <row r="135" spans="1:4" x14ac:dyDescent="0.25">
      <c r="A135" s="222" t="s">
        <v>8745</v>
      </c>
      <c r="B135" s="222">
        <v>537292</v>
      </c>
      <c r="C135" s="222" t="s">
        <v>8744</v>
      </c>
      <c r="D135" s="222" t="s">
        <v>731</v>
      </c>
    </row>
    <row r="136" spans="1:4" x14ac:dyDescent="0.25">
      <c r="A136" s="222" t="s">
        <v>8743</v>
      </c>
      <c r="B136" s="222" t="s">
        <v>2052</v>
      </c>
      <c r="C136" s="222" t="s">
        <v>8741</v>
      </c>
      <c r="D136" s="222" t="s">
        <v>2050</v>
      </c>
    </row>
    <row r="137" spans="1:4" x14ac:dyDescent="0.25">
      <c r="A137" s="222" t="s">
        <v>8742</v>
      </c>
      <c r="B137" s="222" t="s">
        <v>2052</v>
      </c>
      <c r="C137" s="222" t="s">
        <v>8741</v>
      </c>
      <c r="D137" s="222" t="s">
        <v>2050</v>
      </c>
    </row>
    <row r="138" spans="1:4" x14ac:dyDescent="0.25">
      <c r="A138" s="222" t="s">
        <v>8740</v>
      </c>
      <c r="B138" s="222">
        <v>500215</v>
      </c>
      <c r="C138" s="222" t="s">
        <v>8739</v>
      </c>
      <c r="D138" s="222" t="s">
        <v>731</v>
      </c>
    </row>
    <row r="139" spans="1:4" x14ac:dyDescent="0.25">
      <c r="A139" s="222" t="s">
        <v>8738</v>
      </c>
      <c r="B139" s="222" t="s">
        <v>2052</v>
      </c>
      <c r="C139" s="222" t="s">
        <v>8737</v>
      </c>
      <c r="D139" s="222" t="s">
        <v>2050</v>
      </c>
    </row>
    <row r="140" spans="1:4" x14ac:dyDescent="0.25">
      <c r="A140" s="222" t="s">
        <v>8736</v>
      </c>
      <c r="B140" s="222" t="s">
        <v>2052</v>
      </c>
      <c r="C140" s="222" t="s">
        <v>8735</v>
      </c>
      <c r="D140" s="222" t="s">
        <v>2050</v>
      </c>
    </row>
    <row r="141" spans="1:4" x14ac:dyDescent="0.25">
      <c r="A141" s="222" t="s">
        <v>8734</v>
      </c>
      <c r="B141" s="222">
        <v>532811</v>
      </c>
      <c r="C141" s="222" t="s">
        <v>8732</v>
      </c>
      <c r="D141" s="222" t="s">
        <v>1243</v>
      </c>
    </row>
    <row r="142" spans="1:4" x14ac:dyDescent="0.25">
      <c r="A142" s="222" t="s">
        <v>8733</v>
      </c>
      <c r="B142" s="222">
        <v>532811</v>
      </c>
      <c r="C142" s="222" t="s">
        <v>8732</v>
      </c>
      <c r="D142" s="222" t="s">
        <v>1243</v>
      </c>
    </row>
    <row r="143" spans="1:4" x14ac:dyDescent="0.25">
      <c r="A143" s="222" t="s">
        <v>8731</v>
      </c>
      <c r="B143" s="222">
        <v>522273</v>
      </c>
      <c r="C143" s="222" t="s">
        <v>2052</v>
      </c>
      <c r="D143" s="222" t="s">
        <v>2167</v>
      </c>
    </row>
    <row r="144" spans="1:4" x14ac:dyDescent="0.25">
      <c r="A144" s="222" t="s">
        <v>8730</v>
      </c>
      <c r="B144" s="222">
        <v>532806</v>
      </c>
      <c r="C144" s="222" t="s">
        <v>2052</v>
      </c>
      <c r="D144" s="222" t="s">
        <v>5541</v>
      </c>
    </row>
    <row r="145" spans="1:4" x14ac:dyDescent="0.25">
      <c r="A145" s="222" t="s">
        <v>8729</v>
      </c>
      <c r="B145" s="222">
        <v>532683</v>
      </c>
      <c r="C145" s="222" t="s">
        <v>8728</v>
      </c>
      <c r="D145" s="222" t="s">
        <v>1395</v>
      </c>
    </row>
    <row r="146" spans="1:4" x14ac:dyDescent="0.25">
      <c r="A146" s="222" t="s">
        <v>8727</v>
      </c>
      <c r="B146" s="222">
        <v>524288</v>
      </c>
      <c r="C146" s="222" t="s">
        <v>2052</v>
      </c>
      <c r="D146" s="222" t="s">
        <v>1324</v>
      </c>
    </row>
    <row r="147" spans="1:4" x14ac:dyDescent="0.25">
      <c r="A147" s="222" t="s">
        <v>8726</v>
      </c>
      <c r="B147" s="222" t="s">
        <v>2052</v>
      </c>
      <c r="C147" s="222" t="s">
        <v>8725</v>
      </c>
      <c r="D147" s="222" t="s">
        <v>2050</v>
      </c>
    </row>
    <row r="148" spans="1:4" x14ac:dyDescent="0.25">
      <c r="A148" s="222" t="s">
        <v>8724</v>
      </c>
      <c r="B148" s="222" t="s">
        <v>2052</v>
      </c>
      <c r="C148" s="222" t="s">
        <v>8723</v>
      </c>
      <c r="D148" s="222" t="s">
        <v>2050</v>
      </c>
    </row>
    <row r="149" spans="1:4" x14ac:dyDescent="0.25">
      <c r="A149" s="222" t="s">
        <v>8722</v>
      </c>
      <c r="B149" s="222">
        <v>532975</v>
      </c>
      <c r="C149" s="222" t="s">
        <v>2052</v>
      </c>
      <c r="D149" s="222" t="s">
        <v>2114</v>
      </c>
    </row>
    <row r="150" spans="1:4" x14ac:dyDescent="0.25">
      <c r="A150" s="222" t="s">
        <v>8721</v>
      </c>
      <c r="B150" s="222">
        <v>532331</v>
      </c>
      <c r="C150" s="222" t="s">
        <v>8720</v>
      </c>
      <c r="D150" s="222" t="s">
        <v>789</v>
      </c>
    </row>
    <row r="151" spans="1:4" x14ac:dyDescent="0.25">
      <c r="A151" s="222" t="s">
        <v>8719</v>
      </c>
      <c r="B151" s="222">
        <v>519216</v>
      </c>
      <c r="C151" s="222" t="s">
        <v>2052</v>
      </c>
      <c r="D151" s="222" t="s">
        <v>1963</v>
      </c>
    </row>
    <row r="152" spans="1:4" x14ac:dyDescent="0.25">
      <c r="A152" s="222" t="s">
        <v>8718</v>
      </c>
      <c r="B152" s="222">
        <v>511692</v>
      </c>
      <c r="C152" s="222" t="s">
        <v>2052</v>
      </c>
      <c r="D152" s="222" t="s">
        <v>1262</v>
      </c>
    </row>
    <row r="153" spans="1:4" x14ac:dyDescent="0.25">
      <c r="A153" s="222" t="s">
        <v>8717</v>
      </c>
      <c r="B153" s="222">
        <v>530713</v>
      </c>
      <c r="C153" s="222" t="s">
        <v>2052</v>
      </c>
      <c r="D153" s="222" t="s">
        <v>1265</v>
      </c>
    </row>
    <row r="154" spans="1:4" x14ac:dyDescent="0.25">
      <c r="A154" s="222" t="s">
        <v>8716</v>
      </c>
      <c r="B154" s="222">
        <v>513349</v>
      </c>
      <c r="C154" s="222" t="s">
        <v>8714</v>
      </c>
      <c r="D154" s="222" t="s">
        <v>1243</v>
      </c>
    </row>
    <row r="155" spans="1:4" x14ac:dyDescent="0.25">
      <c r="A155" s="222" t="s">
        <v>8715</v>
      </c>
      <c r="B155" s="222">
        <v>513349</v>
      </c>
      <c r="C155" s="222" t="s">
        <v>8714</v>
      </c>
      <c r="D155" s="222" t="s">
        <v>1243</v>
      </c>
    </row>
    <row r="156" spans="1:4" x14ac:dyDescent="0.25">
      <c r="A156" s="222" t="s">
        <v>8713</v>
      </c>
      <c r="B156" s="222" t="s">
        <v>2052</v>
      </c>
      <c r="C156" s="222" t="s">
        <v>8712</v>
      </c>
      <c r="D156" s="222" t="s">
        <v>2050</v>
      </c>
    </row>
    <row r="157" spans="1:4" x14ac:dyDescent="0.25">
      <c r="A157" s="222" t="s">
        <v>8711</v>
      </c>
      <c r="B157" s="222">
        <v>526628</v>
      </c>
      <c r="C157" s="222" t="s">
        <v>2052</v>
      </c>
      <c r="D157" s="222" t="s">
        <v>2130</v>
      </c>
    </row>
    <row r="158" spans="1:4" x14ac:dyDescent="0.25">
      <c r="A158" s="222" t="s">
        <v>8710</v>
      </c>
      <c r="B158" s="222">
        <v>530621</v>
      </c>
      <c r="C158" s="222" t="s">
        <v>2052</v>
      </c>
      <c r="D158" s="222" t="s">
        <v>832</v>
      </c>
    </row>
    <row r="159" spans="1:4" x14ac:dyDescent="0.25">
      <c r="A159" s="222" t="s">
        <v>8709</v>
      </c>
      <c r="B159" s="222" t="s">
        <v>2052</v>
      </c>
      <c r="C159" s="222" t="s">
        <v>8708</v>
      </c>
      <c r="D159" s="222" t="s">
        <v>2050</v>
      </c>
    </row>
    <row r="160" spans="1:4" x14ac:dyDescent="0.25">
      <c r="A160" s="222" t="s">
        <v>8707</v>
      </c>
      <c r="B160" s="222">
        <v>538778</v>
      </c>
      <c r="C160" s="222" t="s">
        <v>2052</v>
      </c>
      <c r="D160" s="222" t="s">
        <v>1321</v>
      </c>
    </row>
    <row r="161" spans="1:4" x14ac:dyDescent="0.25">
      <c r="A161" s="222" t="s">
        <v>8706</v>
      </c>
      <c r="B161" s="222" t="s">
        <v>2052</v>
      </c>
      <c r="C161" s="222" t="s">
        <v>8705</v>
      </c>
      <c r="D161" s="222" t="s">
        <v>2050</v>
      </c>
    </row>
    <row r="162" spans="1:4" x14ac:dyDescent="0.25">
      <c r="A162" s="222" t="s">
        <v>8704</v>
      </c>
      <c r="B162" s="222">
        <v>542020</v>
      </c>
      <c r="C162" s="222" t="s">
        <v>2052</v>
      </c>
      <c r="D162" s="222" t="s">
        <v>1364</v>
      </c>
    </row>
    <row r="163" spans="1:4" x14ac:dyDescent="0.25">
      <c r="A163" s="222" t="s">
        <v>8703</v>
      </c>
      <c r="B163" s="222">
        <v>542020</v>
      </c>
      <c r="C163" s="222" t="s">
        <v>2052</v>
      </c>
      <c r="D163" s="222" t="s">
        <v>1364</v>
      </c>
    </row>
    <row r="164" spans="1:4" x14ac:dyDescent="0.25">
      <c r="A164" s="222" t="s">
        <v>8702</v>
      </c>
      <c r="B164" s="222">
        <v>540718</v>
      </c>
      <c r="C164" s="222" t="s">
        <v>2052</v>
      </c>
      <c r="D164" s="222" t="s">
        <v>1237</v>
      </c>
    </row>
    <row r="165" spans="1:4" x14ac:dyDescent="0.25">
      <c r="A165" s="222" t="s">
        <v>8701</v>
      </c>
      <c r="B165" s="222">
        <v>539017</v>
      </c>
      <c r="C165" s="222" t="s">
        <v>2052</v>
      </c>
      <c r="D165" s="222" t="s">
        <v>2520</v>
      </c>
    </row>
    <row r="166" spans="1:4" x14ac:dyDescent="0.25">
      <c r="A166" s="222" t="s">
        <v>8700</v>
      </c>
      <c r="B166" s="222">
        <v>532351</v>
      </c>
      <c r="C166" s="222" t="s">
        <v>8699</v>
      </c>
      <c r="D166" s="222" t="s">
        <v>2307</v>
      </c>
    </row>
    <row r="167" spans="1:4" x14ac:dyDescent="0.25">
      <c r="A167" s="222" t="s">
        <v>8698</v>
      </c>
      <c r="B167" s="222">
        <v>541303</v>
      </c>
      <c r="C167" s="222" t="s">
        <v>2052</v>
      </c>
      <c r="D167" s="222" t="s">
        <v>1237</v>
      </c>
    </row>
    <row r="168" spans="1:4" x14ac:dyDescent="0.25">
      <c r="A168" s="222" t="s">
        <v>8697</v>
      </c>
      <c r="B168" s="222">
        <v>524598</v>
      </c>
      <c r="C168" s="222" t="s">
        <v>8695</v>
      </c>
      <c r="D168" s="222" t="s">
        <v>722</v>
      </c>
    </row>
    <row r="169" spans="1:4" x14ac:dyDescent="0.25">
      <c r="A169" s="222" t="s">
        <v>8696</v>
      </c>
      <c r="B169" s="222">
        <v>524598</v>
      </c>
      <c r="C169" s="222" t="s">
        <v>8695</v>
      </c>
      <c r="D169" s="222" t="s">
        <v>722</v>
      </c>
    </row>
    <row r="170" spans="1:4" x14ac:dyDescent="0.25">
      <c r="A170" s="222" t="s">
        <v>8694</v>
      </c>
      <c r="B170" s="222">
        <v>500710</v>
      </c>
      <c r="C170" s="222" t="s">
        <v>8693</v>
      </c>
      <c r="D170" s="222" t="s">
        <v>2714</v>
      </c>
    </row>
    <row r="171" spans="1:4" x14ac:dyDescent="0.25">
      <c r="A171" s="222" t="s">
        <v>8692</v>
      </c>
      <c r="B171" s="222">
        <v>500710</v>
      </c>
      <c r="C171" s="222" t="s">
        <v>8691</v>
      </c>
      <c r="D171" s="222" t="s">
        <v>2714</v>
      </c>
    </row>
    <row r="172" spans="1:4" x14ac:dyDescent="0.25">
      <c r="A172" s="222" t="s">
        <v>8690</v>
      </c>
      <c r="B172" s="222">
        <v>535916</v>
      </c>
      <c r="C172" s="222" t="s">
        <v>2052</v>
      </c>
      <c r="D172" s="222" t="s">
        <v>1262</v>
      </c>
    </row>
    <row r="173" spans="1:4" x14ac:dyDescent="0.25">
      <c r="A173" s="222" t="s">
        <v>8689</v>
      </c>
      <c r="B173" s="222">
        <v>539115</v>
      </c>
      <c r="C173" s="222" t="s">
        <v>2052</v>
      </c>
      <c r="D173" s="222" t="s">
        <v>2264</v>
      </c>
    </row>
    <row r="174" spans="1:4" x14ac:dyDescent="0.25">
      <c r="A174" s="222" t="s">
        <v>8688</v>
      </c>
      <c r="B174" s="222">
        <v>531082</v>
      </c>
      <c r="C174" s="222" t="s">
        <v>8687</v>
      </c>
      <c r="D174" s="222" t="s">
        <v>1262</v>
      </c>
    </row>
    <row r="175" spans="1:4" x14ac:dyDescent="0.25">
      <c r="A175" s="222" t="s">
        <v>8686</v>
      </c>
      <c r="B175" s="222">
        <v>524075</v>
      </c>
      <c r="C175" s="222" t="s">
        <v>8685</v>
      </c>
      <c r="D175" s="222" t="s">
        <v>789</v>
      </c>
    </row>
    <row r="176" spans="1:4" x14ac:dyDescent="0.25">
      <c r="A176" s="222" t="s">
        <v>8684</v>
      </c>
      <c r="B176" s="222">
        <v>531409</v>
      </c>
      <c r="C176" s="222" t="s">
        <v>2052</v>
      </c>
      <c r="D176" s="222" t="s">
        <v>998</v>
      </c>
    </row>
    <row r="177" spans="1:4" x14ac:dyDescent="0.25">
      <c r="A177" s="222" t="s">
        <v>8683</v>
      </c>
      <c r="B177" s="222">
        <v>526707</v>
      </c>
      <c r="C177" s="222" t="s">
        <v>8682</v>
      </c>
      <c r="D177" s="222" t="s">
        <v>1529</v>
      </c>
    </row>
    <row r="178" spans="1:4" x14ac:dyDescent="0.25">
      <c r="A178" s="222" t="s">
        <v>8681</v>
      </c>
      <c r="B178" s="222">
        <v>532114</v>
      </c>
      <c r="C178" s="222" t="s">
        <v>2052</v>
      </c>
      <c r="D178" s="222" t="s">
        <v>1243</v>
      </c>
    </row>
    <row r="179" spans="1:4" x14ac:dyDescent="0.25">
      <c r="A179" s="222" t="s">
        <v>8680</v>
      </c>
      <c r="B179" s="222">
        <v>506235</v>
      </c>
      <c r="C179" s="222" t="s">
        <v>8679</v>
      </c>
      <c r="D179" s="222" t="s">
        <v>789</v>
      </c>
    </row>
    <row r="180" spans="1:4" x14ac:dyDescent="0.25">
      <c r="A180" s="222" t="s">
        <v>8678</v>
      </c>
      <c r="B180" s="222">
        <v>533573</v>
      </c>
      <c r="C180" s="222" t="s">
        <v>8677</v>
      </c>
      <c r="D180" s="222" t="s">
        <v>789</v>
      </c>
    </row>
    <row r="181" spans="1:4" x14ac:dyDescent="0.25">
      <c r="A181" s="222" t="s">
        <v>8676</v>
      </c>
      <c r="B181" s="222">
        <v>511463</v>
      </c>
      <c r="C181" s="222" t="s">
        <v>2052</v>
      </c>
      <c r="D181" s="222" t="s">
        <v>1318</v>
      </c>
    </row>
    <row r="182" spans="1:4" x14ac:dyDescent="0.25">
      <c r="A182" s="222" t="s">
        <v>8675</v>
      </c>
      <c r="B182" s="222">
        <v>530973</v>
      </c>
      <c r="C182" s="222" t="s">
        <v>2052</v>
      </c>
      <c r="D182" s="222" t="s">
        <v>1251</v>
      </c>
    </row>
    <row r="183" spans="1:4" x14ac:dyDescent="0.25">
      <c r="A183" s="222" t="s">
        <v>8674</v>
      </c>
      <c r="B183" s="222">
        <v>530973</v>
      </c>
      <c r="C183" s="222" t="s">
        <v>2052</v>
      </c>
      <c r="D183" s="222" t="s">
        <v>1251</v>
      </c>
    </row>
    <row r="184" spans="1:4" x14ac:dyDescent="0.25">
      <c r="A184" s="222" t="s">
        <v>8673</v>
      </c>
      <c r="B184" s="222">
        <v>517546</v>
      </c>
      <c r="C184" s="222" t="s">
        <v>2052</v>
      </c>
      <c r="D184" s="222" t="s">
        <v>1275</v>
      </c>
    </row>
    <row r="185" spans="1:4" x14ac:dyDescent="0.25">
      <c r="A185" s="222" t="s">
        <v>8672</v>
      </c>
      <c r="B185" s="222">
        <v>531156</v>
      </c>
      <c r="C185" s="222" t="s">
        <v>2052</v>
      </c>
      <c r="D185" s="222" t="s">
        <v>1321</v>
      </c>
    </row>
    <row r="186" spans="1:4" x14ac:dyDescent="0.25">
      <c r="A186" s="222" t="s">
        <v>8671</v>
      </c>
      <c r="B186" s="222">
        <v>531156</v>
      </c>
      <c r="C186" s="222" t="s">
        <v>2052</v>
      </c>
      <c r="D186" s="222" t="s">
        <v>1321</v>
      </c>
    </row>
    <row r="187" spans="1:4" x14ac:dyDescent="0.25">
      <c r="A187" s="222" t="s">
        <v>8670</v>
      </c>
      <c r="B187" s="222">
        <v>505216</v>
      </c>
      <c r="C187" s="222" t="s">
        <v>2052</v>
      </c>
      <c r="D187" s="222" t="s">
        <v>1321</v>
      </c>
    </row>
    <row r="188" spans="1:4" x14ac:dyDescent="0.25">
      <c r="A188" s="222" t="s">
        <v>8669</v>
      </c>
      <c r="B188" s="222">
        <v>505216</v>
      </c>
      <c r="C188" s="222" t="s">
        <v>2052</v>
      </c>
      <c r="D188" s="222" t="s">
        <v>1321</v>
      </c>
    </row>
    <row r="189" spans="1:4" x14ac:dyDescent="0.25">
      <c r="A189" s="222" t="s">
        <v>8668</v>
      </c>
      <c r="B189" s="222">
        <v>531147</v>
      </c>
      <c r="C189" s="222" t="s">
        <v>8667</v>
      </c>
      <c r="D189" s="222" t="s">
        <v>2490</v>
      </c>
    </row>
    <row r="190" spans="1:4" x14ac:dyDescent="0.25">
      <c r="A190" s="222" t="s">
        <v>8666</v>
      </c>
      <c r="B190" s="222">
        <v>530889</v>
      </c>
      <c r="C190" s="222" t="s">
        <v>2052</v>
      </c>
      <c r="D190" s="222" t="s">
        <v>1237</v>
      </c>
    </row>
    <row r="191" spans="1:4" x14ac:dyDescent="0.25">
      <c r="A191" s="222" t="s">
        <v>8665</v>
      </c>
      <c r="B191" s="222">
        <v>531581</v>
      </c>
      <c r="C191" s="222" t="s">
        <v>2052</v>
      </c>
      <c r="D191" s="222" t="s">
        <v>1364</v>
      </c>
    </row>
    <row r="192" spans="1:4" x14ac:dyDescent="0.25">
      <c r="A192" s="222" t="s">
        <v>8664</v>
      </c>
      <c r="B192" s="222">
        <v>530889</v>
      </c>
      <c r="C192" s="222" t="s">
        <v>2052</v>
      </c>
      <c r="D192" s="222" t="s">
        <v>1237</v>
      </c>
    </row>
    <row r="193" spans="1:4" x14ac:dyDescent="0.25">
      <c r="A193" s="222" t="s">
        <v>8663</v>
      </c>
      <c r="B193" s="222">
        <v>532166</v>
      </c>
      <c r="C193" s="222" t="s">
        <v>2052</v>
      </c>
      <c r="D193" s="222" t="s">
        <v>1321</v>
      </c>
    </row>
    <row r="194" spans="1:4" x14ac:dyDescent="0.25">
      <c r="A194" s="222" t="s">
        <v>8662</v>
      </c>
      <c r="B194" s="222">
        <v>533029</v>
      </c>
      <c r="C194" s="222" t="s">
        <v>8661</v>
      </c>
      <c r="D194" s="222" t="s">
        <v>722</v>
      </c>
    </row>
    <row r="195" spans="1:4" x14ac:dyDescent="0.25">
      <c r="A195" s="222" t="s">
        <v>8660</v>
      </c>
      <c r="B195" s="222">
        <v>539523</v>
      </c>
      <c r="C195" s="222" t="s">
        <v>8659</v>
      </c>
      <c r="D195" s="222" t="s">
        <v>789</v>
      </c>
    </row>
    <row r="196" spans="1:4" x14ac:dyDescent="0.25">
      <c r="A196" s="222" t="s">
        <v>8658</v>
      </c>
      <c r="B196" s="222">
        <v>506767</v>
      </c>
      <c r="C196" s="222" t="s">
        <v>8657</v>
      </c>
      <c r="D196" s="222" t="s">
        <v>722</v>
      </c>
    </row>
    <row r="197" spans="1:4" x14ac:dyDescent="0.25">
      <c r="A197" s="222" t="s">
        <v>8656</v>
      </c>
      <c r="B197" s="222">
        <v>532480</v>
      </c>
      <c r="C197" s="222" t="s">
        <v>8655</v>
      </c>
      <c r="D197" s="222" t="s">
        <v>1240</v>
      </c>
    </row>
    <row r="198" spans="1:4" x14ac:dyDescent="0.25">
      <c r="A198" s="222" t="s">
        <v>8654</v>
      </c>
      <c r="B198" s="222">
        <v>532749</v>
      </c>
      <c r="C198" s="222" t="s">
        <v>8653</v>
      </c>
      <c r="D198" s="222" t="s">
        <v>1329</v>
      </c>
    </row>
    <row r="199" spans="1:4" x14ac:dyDescent="0.25">
      <c r="A199" s="222" t="s">
        <v>8652</v>
      </c>
      <c r="B199" s="222">
        <v>534064</v>
      </c>
      <c r="C199" s="222" t="s">
        <v>2052</v>
      </c>
      <c r="D199" s="222" t="s">
        <v>740</v>
      </c>
    </row>
    <row r="200" spans="1:4" x14ac:dyDescent="0.25">
      <c r="A200" s="222" t="s">
        <v>8651</v>
      </c>
      <c r="B200" s="222">
        <v>532919</v>
      </c>
      <c r="C200" s="222" t="s">
        <v>2052</v>
      </c>
      <c r="D200" s="222" t="s">
        <v>1997</v>
      </c>
    </row>
    <row r="201" spans="1:4" x14ac:dyDescent="0.25">
      <c r="A201" s="222" t="s">
        <v>8650</v>
      </c>
      <c r="B201" s="222">
        <v>532875</v>
      </c>
      <c r="C201" s="222" t="s">
        <v>8649</v>
      </c>
      <c r="D201" s="222" t="s">
        <v>1265</v>
      </c>
    </row>
    <row r="202" spans="1:4" x14ac:dyDescent="0.25">
      <c r="A202" s="222" t="s">
        <v>8648</v>
      </c>
      <c r="B202" s="222">
        <v>532633</v>
      </c>
      <c r="C202" s="222" t="s">
        <v>8647</v>
      </c>
      <c r="D202" s="222" t="s">
        <v>2120</v>
      </c>
    </row>
    <row r="203" spans="1:4" x14ac:dyDescent="0.25">
      <c r="A203" s="222" t="s">
        <v>8646</v>
      </c>
      <c r="B203" s="222">
        <v>531400</v>
      </c>
      <c r="C203" s="222" t="s">
        <v>8645</v>
      </c>
      <c r="D203" s="222" t="s">
        <v>1262</v>
      </c>
    </row>
    <row r="204" spans="1:4" x14ac:dyDescent="0.25">
      <c r="A204" s="222" t="s">
        <v>8644</v>
      </c>
      <c r="B204" s="222">
        <v>506120</v>
      </c>
      <c r="C204" s="222" t="s">
        <v>2052</v>
      </c>
      <c r="D204" s="222" t="s">
        <v>1529</v>
      </c>
    </row>
    <row r="205" spans="1:4" x14ac:dyDescent="0.25">
      <c r="A205" s="222" t="s">
        <v>8643</v>
      </c>
      <c r="B205" s="222">
        <v>521070</v>
      </c>
      <c r="C205" s="222" t="s">
        <v>8642</v>
      </c>
      <c r="D205" s="222" t="s">
        <v>1237</v>
      </c>
    </row>
    <row r="206" spans="1:4" x14ac:dyDescent="0.25">
      <c r="A206" s="222" t="s">
        <v>8641</v>
      </c>
      <c r="B206" s="222">
        <v>532878</v>
      </c>
      <c r="C206" s="222" t="s">
        <v>8640</v>
      </c>
      <c r="D206" s="222" t="s">
        <v>2254</v>
      </c>
    </row>
    <row r="207" spans="1:4" x14ac:dyDescent="0.25">
      <c r="A207" s="222" t="s">
        <v>8639</v>
      </c>
      <c r="B207" s="222">
        <v>526397</v>
      </c>
      <c r="C207" s="222" t="s">
        <v>8637</v>
      </c>
      <c r="D207" s="222" t="s">
        <v>4775</v>
      </c>
    </row>
    <row r="208" spans="1:4" x14ac:dyDescent="0.25">
      <c r="A208" s="222" t="s">
        <v>8638</v>
      </c>
      <c r="B208" s="222">
        <v>526397</v>
      </c>
      <c r="C208" s="222" t="s">
        <v>8637</v>
      </c>
      <c r="D208" s="222" t="s">
        <v>4775</v>
      </c>
    </row>
    <row r="209" spans="1:4" x14ac:dyDescent="0.25">
      <c r="A209" s="222" t="s">
        <v>8636</v>
      </c>
      <c r="B209" s="222">
        <v>526519</v>
      </c>
      <c r="C209" s="222" t="s">
        <v>2052</v>
      </c>
      <c r="D209" s="222" t="s">
        <v>1243</v>
      </c>
    </row>
    <row r="210" spans="1:4" x14ac:dyDescent="0.25">
      <c r="A210" s="222" t="s">
        <v>8635</v>
      </c>
      <c r="B210" s="222">
        <v>530715</v>
      </c>
      <c r="C210" s="222" t="s">
        <v>8634</v>
      </c>
      <c r="D210" s="222" t="s">
        <v>1237</v>
      </c>
    </row>
    <row r="211" spans="1:4" x14ac:dyDescent="0.25">
      <c r="A211" s="222" t="s">
        <v>8633</v>
      </c>
      <c r="B211" s="222">
        <v>538423</v>
      </c>
      <c r="C211" s="222" t="s">
        <v>8632</v>
      </c>
      <c r="D211" s="222" t="s">
        <v>1262</v>
      </c>
    </row>
    <row r="212" spans="1:4" x14ac:dyDescent="0.25">
      <c r="A212" s="222" t="s">
        <v>8631</v>
      </c>
      <c r="B212" s="222">
        <v>539277</v>
      </c>
      <c r="C212" s="222" t="s">
        <v>2052</v>
      </c>
      <c r="D212" s="222" t="s">
        <v>1137</v>
      </c>
    </row>
    <row r="213" spans="1:4" x14ac:dyDescent="0.25">
      <c r="A213" s="222" t="s">
        <v>8630</v>
      </c>
      <c r="B213" s="222">
        <v>539277</v>
      </c>
      <c r="C213" s="222" t="s">
        <v>2052</v>
      </c>
      <c r="D213" s="222" t="s">
        <v>1137</v>
      </c>
    </row>
    <row r="214" spans="1:4" x14ac:dyDescent="0.25">
      <c r="A214" s="222" t="s">
        <v>8629</v>
      </c>
      <c r="B214" s="222">
        <v>524634</v>
      </c>
      <c r="C214" s="222" t="s">
        <v>2052</v>
      </c>
      <c r="D214" s="222" t="s">
        <v>998</v>
      </c>
    </row>
    <row r="215" spans="1:4" x14ac:dyDescent="0.25">
      <c r="A215" s="222" t="s">
        <v>8628</v>
      </c>
      <c r="B215" s="222">
        <v>506597</v>
      </c>
      <c r="C215" s="222" t="s">
        <v>2052</v>
      </c>
      <c r="D215" s="222" t="s">
        <v>722</v>
      </c>
    </row>
    <row r="216" spans="1:4" x14ac:dyDescent="0.25">
      <c r="A216" s="222" t="s">
        <v>8627</v>
      </c>
      <c r="B216" s="222">
        <v>512008</v>
      </c>
      <c r="C216" s="222" t="s">
        <v>2052</v>
      </c>
      <c r="D216" s="222" t="s">
        <v>1529</v>
      </c>
    </row>
    <row r="217" spans="1:4" x14ac:dyDescent="0.25">
      <c r="A217" s="222" t="s">
        <v>8626</v>
      </c>
      <c r="B217" s="222">
        <v>500008</v>
      </c>
      <c r="C217" s="222" t="s">
        <v>8625</v>
      </c>
      <c r="D217" s="222" t="s">
        <v>1306</v>
      </c>
    </row>
    <row r="218" spans="1:4" x14ac:dyDescent="0.25">
      <c r="A218" s="222" t="s">
        <v>8624</v>
      </c>
      <c r="B218" s="222">
        <v>521097</v>
      </c>
      <c r="C218" s="222" t="s">
        <v>2052</v>
      </c>
      <c r="D218" s="222" t="s">
        <v>1237</v>
      </c>
    </row>
    <row r="219" spans="1:4" x14ac:dyDescent="0.25">
      <c r="A219" s="222" t="s">
        <v>8623</v>
      </c>
      <c r="B219" s="222">
        <v>538465</v>
      </c>
      <c r="C219" s="222" t="s">
        <v>2052</v>
      </c>
      <c r="D219" s="222" t="s">
        <v>1321</v>
      </c>
    </row>
    <row r="220" spans="1:4" x14ac:dyDescent="0.25">
      <c r="A220" s="222" t="s">
        <v>8622</v>
      </c>
      <c r="B220" s="222">
        <v>531112</v>
      </c>
      <c r="C220" s="222" t="s">
        <v>2052</v>
      </c>
      <c r="D220" s="222" t="s">
        <v>832</v>
      </c>
    </row>
    <row r="221" spans="1:4" x14ac:dyDescent="0.25">
      <c r="A221" s="222" t="s">
        <v>8621</v>
      </c>
      <c r="B221" s="222">
        <v>539196</v>
      </c>
      <c r="C221" s="222" t="s">
        <v>2052</v>
      </c>
      <c r="D221" s="222" t="s">
        <v>1275</v>
      </c>
    </row>
    <row r="222" spans="1:4" x14ac:dyDescent="0.25">
      <c r="A222" s="222" t="s">
        <v>8620</v>
      </c>
      <c r="B222" s="222">
        <v>500009</v>
      </c>
      <c r="C222" s="222" t="s">
        <v>2052</v>
      </c>
      <c r="D222" s="222" t="s">
        <v>789</v>
      </c>
    </row>
    <row r="223" spans="1:4" x14ac:dyDescent="0.25">
      <c r="A223" s="222" t="s">
        <v>8619</v>
      </c>
      <c r="B223" s="222" t="s">
        <v>2052</v>
      </c>
      <c r="C223" s="222" t="s">
        <v>8618</v>
      </c>
      <c r="D223" s="222" t="s">
        <v>2050</v>
      </c>
    </row>
    <row r="224" spans="1:4" x14ac:dyDescent="0.25">
      <c r="A224" s="222" t="s">
        <v>8617</v>
      </c>
      <c r="B224" s="222">
        <v>519471</v>
      </c>
      <c r="C224" s="222" t="s">
        <v>2052</v>
      </c>
      <c r="D224" s="222" t="s">
        <v>1963</v>
      </c>
    </row>
    <row r="225" spans="1:4" x14ac:dyDescent="0.25">
      <c r="A225" s="222" t="s">
        <v>8616</v>
      </c>
      <c r="B225" s="222">
        <v>542524</v>
      </c>
      <c r="C225" s="222" t="s">
        <v>8615</v>
      </c>
      <c r="D225" s="222" t="s">
        <v>2156</v>
      </c>
    </row>
    <row r="226" spans="1:4" x14ac:dyDescent="0.25">
      <c r="A226" s="222" t="s">
        <v>8614</v>
      </c>
      <c r="B226" s="222">
        <v>540902</v>
      </c>
      <c r="C226" s="222" t="s">
        <v>8612</v>
      </c>
      <c r="D226" s="222" t="s">
        <v>950</v>
      </c>
    </row>
    <row r="227" spans="1:4" x14ac:dyDescent="0.25">
      <c r="A227" s="222" t="s">
        <v>8613</v>
      </c>
      <c r="B227" s="222">
        <v>540902</v>
      </c>
      <c r="C227" s="222" t="s">
        <v>8612</v>
      </c>
      <c r="D227" s="222" t="s">
        <v>950</v>
      </c>
    </row>
    <row r="228" spans="1:4" x14ac:dyDescent="0.25">
      <c r="A228" s="222" t="s">
        <v>8611</v>
      </c>
      <c r="B228" s="222">
        <v>531978</v>
      </c>
      <c r="C228" s="222" t="s">
        <v>8610</v>
      </c>
      <c r="D228" s="222" t="s">
        <v>1237</v>
      </c>
    </row>
    <row r="229" spans="1:4" x14ac:dyDescent="0.25">
      <c r="A229" s="222" t="s">
        <v>8609</v>
      </c>
      <c r="B229" s="222">
        <v>539223</v>
      </c>
      <c r="C229" s="222" t="s">
        <v>2052</v>
      </c>
      <c r="D229" s="222" t="s">
        <v>1972</v>
      </c>
    </row>
    <row r="230" spans="1:4" x14ac:dyDescent="0.25">
      <c r="A230" s="222" t="s">
        <v>8608</v>
      </c>
      <c r="B230" s="222">
        <v>500425</v>
      </c>
      <c r="C230" s="222" t="s">
        <v>8607</v>
      </c>
      <c r="D230" s="222" t="s">
        <v>1004</v>
      </c>
    </row>
    <row r="231" spans="1:4" x14ac:dyDescent="0.25">
      <c r="A231" s="222" t="s">
        <v>8606</v>
      </c>
      <c r="B231" s="222">
        <v>530133</v>
      </c>
      <c r="C231" s="222" t="s">
        <v>2052</v>
      </c>
      <c r="D231" s="222" t="s">
        <v>2299</v>
      </c>
    </row>
    <row r="232" spans="1:4" x14ac:dyDescent="0.25">
      <c r="A232" s="222" t="s">
        <v>8605</v>
      </c>
      <c r="B232" s="222">
        <v>530133</v>
      </c>
      <c r="C232" s="222" t="s">
        <v>2052</v>
      </c>
      <c r="D232" s="222" t="s">
        <v>2299</v>
      </c>
    </row>
    <row r="233" spans="1:4" x14ac:dyDescent="0.25">
      <c r="A233" s="222" t="s">
        <v>8604</v>
      </c>
      <c r="B233" s="222">
        <v>532828</v>
      </c>
      <c r="C233" s="222" t="s">
        <v>8603</v>
      </c>
      <c r="D233" s="222" t="s">
        <v>1395</v>
      </c>
    </row>
    <row r="234" spans="1:4" x14ac:dyDescent="0.25">
      <c r="A234" s="222" t="s">
        <v>8602</v>
      </c>
      <c r="B234" s="222">
        <v>513117</v>
      </c>
      <c r="C234" s="222" t="s">
        <v>2052</v>
      </c>
      <c r="D234" s="222" t="s">
        <v>1306</v>
      </c>
    </row>
    <row r="235" spans="1:4" x14ac:dyDescent="0.25">
      <c r="A235" s="222" t="s">
        <v>8601</v>
      </c>
      <c r="B235" s="222">
        <v>541771</v>
      </c>
      <c r="C235" s="222" t="s">
        <v>2052</v>
      </c>
      <c r="D235" s="222" t="s">
        <v>1364</v>
      </c>
    </row>
    <row r="236" spans="1:4" x14ac:dyDescent="0.25">
      <c r="A236" s="222" t="s">
        <v>8600</v>
      </c>
      <c r="B236" s="222">
        <v>506248</v>
      </c>
      <c r="C236" s="222" t="s">
        <v>2052</v>
      </c>
      <c r="D236" s="222" t="s">
        <v>998</v>
      </c>
    </row>
    <row r="237" spans="1:4" x14ac:dyDescent="0.25">
      <c r="A237" s="222" t="s">
        <v>8599</v>
      </c>
      <c r="B237" s="222">
        <v>531300</v>
      </c>
      <c r="C237" s="222" t="s">
        <v>2052</v>
      </c>
      <c r="D237" s="222" t="s">
        <v>1237</v>
      </c>
    </row>
    <row r="238" spans="1:4" x14ac:dyDescent="0.25">
      <c r="A238" s="222" t="s">
        <v>8598</v>
      </c>
      <c r="B238" s="222">
        <v>531557</v>
      </c>
      <c r="C238" s="222" t="s">
        <v>2052</v>
      </c>
      <c r="D238" s="222" t="s">
        <v>1321</v>
      </c>
    </row>
    <row r="239" spans="1:4" x14ac:dyDescent="0.25">
      <c r="A239" s="222" t="s">
        <v>8597</v>
      </c>
      <c r="B239" s="222">
        <v>500343</v>
      </c>
      <c r="C239" s="222" t="s">
        <v>8596</v>
      </c>
      <c r="D239" s="222" t="s">
        <v>1243</v>
      </c>
    </row>
    <row r="240" spans="1:4" x14ac:dyDescent="0.25">
      <c r="A240" s="222" t="s">
        <v>8595</v>
      </c>
      <c r="B240" s="222">
        <v>531681</v>
      </c>
      <c r="C240" s="222" t="s">
        <v>2052</v>
      </c>
      <c r="D240" s="222" t="s">
        <v>1251</v>
      </c>
    </row>
    <row r="241" spans="1:4" x14ac:dyDescent="0.25">
      <c r="A241" s="222" t="s">
        <v>8594</v>
      </c>
      <c r="B241" s="222">
        <v>536737</v>
      </c>
      <c r="C241" s="222" t="s">
        <v>2052</v>
      </c>
      <c r="D241" s="222" t="s">
        <v>1321</v>
      </c>
    </row>
    <row r="242" spans="1:4" x14ac:dyDescent="0.25">
      <c r="A242" s="222" t="s">
        <v>8593</v>
      </c>
      <c r="B242" s="222">
        <v>539265</v>
      </c>
      <c r="C242" s="222" t="s">
        <v>2052</v>
      </c>
      <c r="D242" s="222" t="s">
        <v>1321</v>
      </c>
    </row>
    <row r="243" spans="1:4" x14ac:dyDescent="0.25">
      <c r="A243" s="222" t="s">
        <v>8592</v>
      </c>
      <c r="B243" s="222">
        <v>526241</v>
      </c>
      <c r="C243" s="222" t="s">
        <v>2052</v>
      </c>
      <c r="D243" s="222" t="s">
        <v>1529</v>
      </c>
    </row>
    <row r="244" spans="1:4" x14ac:dyDescent="0.25">
      <c r="A244" s="222" t="s">
        <v>8591</v>
      </c>
      <c r="B244" s="222">
        <v>531991</v>
      </c>
      <c r="C244" s="222" t="s">
        <v>2052</v>
      </c>
      <c r="D244" s="222" t="s">
        <v>1237</v>
      </c>
    </row>
    <row r="245" spans="1:4" x14ac:dyDescent="0.25">
      <c r="A245" s="222" t="s">
        <v>8590</v>
      </c>
      <c r="B245" s="222">
        <v>507525</v>
      </c>
      <c r="C245" s="222" t="s">
        <v>2052</v>
      </c>
      <c r="D245" s="222" t="s">
        <v>1161</v>
      </c>
    </row>
    <row r="246" spans="1:4" x14ac:dyDescent="0.25">
      <c r="A246" s="222" t="s">
        <v>8589</v>
      </c>
      <c r="B246" s="222">
        <v>590006</v>
      </c>
      <c r="C246" s="222" t="s">
        <v>8588</v>
      </c>
      <c r="D246" s="222" t="s">
        <v>789</v>
      </c>
    </row>
    <row r="247" spans="1:4" x14ac:dyDescent="0.25">
      <c r="A247" s="222" t="s">
        <v>8587</v>
      </c>
      <c r="B247" s="222">
        <v>538861</v>
      </c>
      <c r="C247" s="222" t="s">
        <v>2052</v>
      </c>
      <c r="D247" s="222" t="s">
        <v>1529</v>
      </c>
    </row>
    <row r="248" spans="1:4" x14ac:dyDescent="0.25">
      <c r="A248" s="222" t="s">
        <v>8586</v>
      </c>
      <c r="B248" s="222">
        <v>501630</v>
      </c>
      <c r="C248" s="222" t="s">
        <v>2052</v>
      </c>
      <c r="D248" s="222" t="s">
        <v>1248</v>
      </c>
    </row>
    <row r="249" spans="1:4" x14ac:dyDescent="0.25">
      <c r="A249" s="222" t="s">
        <v>8585</v>
      </c>
      <c r="B249" s="222">
        <v>515055</v>
      </c>
      <c r="C249" s="222" t="s">
        <v>8584</v>
      </c>
      <c r="D249" s="222" t="s">
        <v>1243</v>
      </c>
    </row>
    <row r="250" spans="1:4" x14ac:dyDescent="0.25">
      <c r="A250" s="222" t="s">
        <v>8583</v>
      </c>
      <c r="B250" s="222">
        <v>532418</v>
      </c>
      <c r="C250" s="222" t="s">
        <v>8582</v>
      </c>
      <c r="D250" s="222" t="s">
        <v>1240</v>
      </c>
    </row>
    <row r="251" spans="1:4" x14ac:dyDescent="0.25">
      <c r="A251" s="222" t="s">
        <v>8581</v>
      </c>
      <c r="B251" s="222">
        <v>532141</v>
      </c>
      <c r="C251" s="222" t="s">
        <v>8580</v>
      </c>
      <c r="D251" s="222" t="s">
        <v>1004</v>
      </c>
    </row>
    <row r="252" spans="1:4" x14ac:dyDescent="0.25">
      <c r="A252" s="222" t="s">
        <v>8579</v>
      </c>
      <c r="B252" s="222">
        <v>500012</v>
      </c>
      <c r="C252" s="222" t="s">
        <v>2052</v>
      </c>
      <c r="D252" s="222" t="s">
        <v>998</v>
      </c>
    </row>
    <row r="253" spans="1:4" x14ac:dyDescent="0.25">
      <c r="A253" s="222" t="s">
        <v>8578</v>
      </c>
      <c r="B253" s="222">
        <v>526173</v>
      </c>
      <c r="C253" s="222" t="s">
        <v>2052</v>
      </c>
      <c r="D253" s="222" t="s">
        <v>1400</v>
      </c>
    </row>
    <row r="254" spans="1:4" x14ac:dyDescent="0.25">
      <c r="A254" s="222" t="s">
        <v>8577</v>
      </c>
      <c r="B254" s="222">
        <v>531252</v>
      </c>
      <c r="C254" s="222" t="s">
        <v>2052</v>
      </c>
      <c r="D254" s="222" t="s">
        <v>1321</v>
      </c>
    </row>
    <row r="255" spans="1:4" x14ac:dyDescent="0.25">
      <c r="A255" s="222" t="s">
        <v>8576</v>
      </c>
      <c r="B255" s="222">
        <v>530721</v>
      </c>
      <c r="C255" s="222" t="s">
        <v>8575</v>
      </c>
      <c r="D255" s="222" t="s">
        <v>1306</v>
      </c>
    </row>
    <row r="256" spans="1:4" x14ac:dyDescent="0.25">
      <c r="A256" s="222" t="s">
        <v>8574</v>
      </c>
      <c r="B256" s="222">
        <v>540694</v>
      </c>
      <c r="C256" s="222" t="s">
        <v>2052</v>
      </c>
      <c r="D256" s="222" t="s">
        <v>1425</v>
      </c>
    </row>
    <row r="257" spans="1:4" x14ac:dyDescent="0.25">
      <c r="A257" s="222" t="s">
        <v>8573</v>
      </c>
      <c r="B257" s="222">
        <v>540694</v>
      </c>
      <c r="C257" s="222" t="s">
        <v>2052</v>
      </c>
      <c r="D257" s="222" t="s">
        <v>1425</v>
      </c>
    </row>
    <row r="258" spans="1:4" x14ac:dyDescent="0.25">
      <c r="A258" s="222" t="s">
        <v>8572</v>
      </c>
      <c r="B258" s="222">
        <v>541006</v>
      </c>
      <c r="C258" s="222" t="s">
        <v>2052</v>
      </c>
      <c r="D258" s="222" t="s">
        <v>1237</v>
      </c>
    </row>
    <row r="259" spans="1:4" x14ac:dyDescent="0.25">
      <c r="A259" s="222" t="s">
        <v>8571</v>
      </c>
      <c r="B259" s="222" t="s">
        <v>2052</v>
      </c>
      <c r="C259" s="222" t="s">
        <v>8570</v>
      </c>
      <c r="D259" s="222" t="s">
        <v>2050</v>
      </c>
    </row>
    <row r="260" spans="1:4" x14ac:dyDescent="0.25">
      <c r="A260" s="222" t="s">
        <v>8569</v>
      </c>
      <c r="B260" s="222">
        <v>519383</v>
      </c>
      <c r="C260" s="222" t="s">
        <v>8568</v>
      </c>
      <c r="D260" s="222" t="s">
        <v>731</v>
      </c>
    </row>
    <row r="261" spans="1:4" x14ac:dyDescent="0.25">
      <c r="A261" s="222" t="s">
        <v>8567</v>
      </c>
      <c r="B261" s="222">
        <v>537785</v>
      </c>
      <c r="C261" s="222" t="s">
        <v>2052</v>
      </c>
      <c r="D261" s="222" t="s">
        <v>1137</v>
      </c>
    </row>
    <row r="262" spans="1:4" x14ac:dyDescent="0.25">
      <c r="A262" s="222" t="s">
        <v>8566</v>
      </c>
      <c r="B262" s="222">
        <v>531878</v>
      </c>
      <c r="C262" s="222" t="s">
        <v>2052</v>
      </c>
      <c r="D262" s="222" t="s">
        <v>1321</v>
      </c>
    </row>
    <row r="263" spans="1:4" x14ac:dyDescent="0.25">
      <c r="A263" s="222" t="s">
        <v>8565</v>
      </c>
      <c r="B263" s="222">
        <v>511153</v>
      </c>
      <c r="C263" s="222" t="s">
        <v>2052</v>
      </c>
      <c r="D263" s="222" t="s">
        <v>2068</v>
      </c>
    </row>
    <row r="264" spans="1:4" x14ac:dyDescent="0.25">
      <c r="A264" s="222" t="s">
        <v>8564</v>
      </c>
      <c r="B264" s="222">
        <v>518091</v>
      </c>
      <c r="C264" s="222" t="s">
        <v>8563</v>
      </c>
      <c r="D264" s="222" t="s">
        <v>1004</v>
      </c>
    </row>
    <row r="265" spans="1:4" x14ac:dyDescent="0.25">
      <c r="A265" s="222" t="s">
        <v>8562</v>
      </c>
      <c r="B265" s="222">
        <v>531223</v>
      </c>
      <c r="C265" s="222" t="s">
        <v>2052</v>
      </c>
      <c r="D265" s="222" t="s">
        <v>1237</v>
      </c>
    </row>
    <row r="266" spans="1:4" x14ac:dyDescent="0.25">
      <c r="A266" s="222" t="s">
        <v>8561</v>
      </c>
      <c r="B266" s="222">
        <v>531673</v>
      </c>
      <c r="C266" s="222" t="s">
        <v>2052</v>
      </c>
      <c r="D266" s="222" t="s">
        <v>754</v>
      </c>
    </row>
    <row r="267" spans="1:4" x14ac:dyDescent="0.25">
      <c r="A267" s="222" t="s">
        <v>8560</v>
      </c>
      <c r="B267" s="222">
        <v>531673</v>
      </c>
      <c r="C267" s="222" t="s">
        <v>2052</v>
      </c>
      <c r="D267" s="222" t="s">
        <v>754</v>
      </c>
    </row>
    <row r="268" spans="1:4" x14ac:dyDescent="0.25">
      <c r="A268" s="222" t="s">
        <v>8559</v>
      </c>
      <c r="B268" s="222">
        <v>532870</v>
      </c>
      <c r="C268" s="222" t="s">
        <v>8558</v>
      </c>
      <c r="D268" s="222" t="s">
        <v>2167</v>
      </c>
    </row>
    <row r="269" spans="1:4" x14ac:dyDescent="0.25">
      <c r="A269" s="222" t="s">
        <v>8557</v>
      </c>
      <c r="B269" s="222">
        <v>531519</v>
      </c>
      <c r="C269" s="222" t="s">
        <v>2052</v>
      </c>
      <c r="D269" s="222" t="s">
        <v>1262</v>
      </c>
    </row>
    <row r="270" spans="1:4" x14ac:dyDescent="0.25">
      <c r="A270" s="222" t="s">
        <v>8556</v>
      </c>
      <c r="B270" s="222">
        <v>542437</v>
      </c>
      <c r="C270" s="222" t="s">
        <v>8555</v>
      </c>
      <c r="D270" s="222" t="s">
        <v>1137</v>
      </c>
    </row>
    <row r="271" spans="1:4" x14ac:dyDescent="0.25">
      <c r="A271" s="222" t="s">
        <v>8554</v>
      </c>
      <c r="B271" s="222">
        <v>530799</v>
      </c>
      <c r="C271" s="222" t="s">
        <v>2052</v>
      </c>
      <c r="D271" s="222" t="s">
        <v>1321</v>
      </c>
    </row>
    <row r="272" spans="1:4" x14ac:dyDescent="0.25">
      <c r="A272" s="222" t="s">
        <v>8553</v>
      </c>
      <c r="B272" s="222">
        <v>531406</v>
      </c>
      <c r="C272" s="222" t="s">
        <v>2052</v>
      </c>
      <c r="D272" s="222" t="s">
        <v>1432</v>
      </c>
    </row>
    <row r="273" spans="1:4" x14ac:dyDescent="0.25">
      <c r="A273" s="222" t="s">
        <v>8552</v>
      </c>
      <c r="B273" s="222">
        <v>523007</v>
      </c>
      <c r="C273" s="222" t="s">
        <v>2052</v>
      </c>
      <c r="D273" s="222" t="s">
        <v>1243</v>
      </c>
    </row>
    <row r="274" spans="1:4" x14ac:dyDescent="0.25">
      <c r="A274" s="222" t="s">
        <v>8551</v>
      </c>
      <c r="B274" s="222">
        <v>507828</v>
      </c>
      <c r="C274" s="222" t="s">
        <v>8550</v>
      </c>
      <c r="D274" s="222" t="s">
        <v>1243</v>
      </c>
    </row>
    <row r="275" spans="1:4" x14ac:dyDescent="0.25">
      <c r="A275" s="222" t="s">
        <v>8549</v>
      </c>
      <c r="B275" s="222">
        <v>500013</v>
      </c>
      <c r="C275" s="222" t="s">
        <v>8548</v>
      </c>
      <c r="D275" s="222" t="s">
        <v>1243</v>
      </c>
    </row>
    <row r="276" spans="1:4" x14ac:dyDescent="0.25">
      <c r="A276" s="222" t="s">
        <v>8547</v>
      </c>
      <c r="B276" s="222">
        <v>512091</v>
      </c>
      <c r="C276" s="222" t="s">
        <v>2052</v>
      </c>
      <c r="D276" s="222" t="s">
        <v>1364</v>
      </c>
    </row>
    <row r="277" spans="1:4" x14ac:dyDescent="0.25">
      <c r="A277" s="222" t="s">
        <v>8546</v>
      </c>
      <c r="B277" s="222" t="s">
        <v>2052</v>
      </c>
      <c r="C277" s="222" t="s">
        <v>8545</v>
      </c>
      <c r="D277" s="222" t="s">
        <v>2197</v>
      </c>
    </row>
    <row r="278" spans="1:4" x14ac:dyDescent="0.25">
      <c r="A278" s="222" t="s">
        <v>8544</v>
      </c>
      <c r="B278" s="222">
        <v>501270</v>
      </c>
      <c r="C278" s="222" t="s">
        <v>2052</v>
      </c>
      <c r="D278" s="222" t="s">
        <v>1243</v>
      </c>
    </row>
    <row r="279" spans="1:4" x14ac:dyDescent="0.25">
      <c r="A279" s="222" t="s">
        <v>8543</v>
      </c>
      <c r="B279" s="222">
        <v>539697</v>
      </c>
      <c r="C279" s="222" t="s">
        <v>2052</v>
      </c>
      <c r="D279" s="222" t="s">
        <v>6769</v>
      </c>
    </row>
    <row r="280" spans="1:4" x14ac:dyDescent="0.25">
      <c r="A280" s="222" t="s">
        <v>8542</v>
      </c>
      <c r="B280" s="222">
        <v>538833</v>
      </c>
      <c r="C280" s="222" t="s">
        <v>2052</v>
      </c>
      <c r="D280" s="222" t="s">
        <v>1248</v>
      </c>
    </row>
    <row r="281" spans="1:4" x14ac:dyDescent="0.25">
      <c r="A281" s="222" t="s">
        <v>8541</v>
      </c>
      <c r="B281" s="222">
        <v>506260</v>
      </c>
      <c r="C281" s="222" t="s">
        <v>2052</v>
      </c>
      <c r="D281" s="222" t="s">
        <v>789</v>
      </c>
    </row>
    <row r="282" spans="1:4" x14ac:dyDescent="0.25">
      <c r="A282" s="222" t="s">
        <v>8540</v>
      </c>
      <c r="B282" s="222">
        <v>506087</v>
      </c>
      <c r="C282" s="222" t="s">
        <v>2052</v>
      </c>
      <c r="D282" s="222" t="s">
        <v>740</v>
      </c>
    </row>
    <row r="283" spans="1:4" x14ac:dyDescent="0.25">
      <c r="A283" s="222" t="s">
        <v>8539</v>
      </c>
      <c r="B283" s="222">
        <v>530109</v>
      </c>
      <c r="C283" s="222" t="s">
        <v>2052</v>
      </c>
      <c r="D283" s="222" t="s">
        <v>1321</v>
      </c>
    </row>
    <row r="284" spans="1:4" x14ac:dyDescent="0.25">
      <c r="A284" s="222" t="s">
        <v>8538</v>
      </c>
      <c r="B284" s="222">
        <v>532259</v>
      </c>
      <c r="C284" s="222" t="s">
        <v>8537</v>
      </c>
      <c r="D284" s="222" t="s">
        <v>1275</v>
      </c>
    </row>
    <row r="285" spans="1:4" x14ac:dyDescent="0.25">
      <c r="A285" s="222" t="s">
        <v>8536</v>
      </c>
      <c r="B285" s="222">
        <v>523694</v>
      </c>
      <c r="C285" s="222" t="s">
        <v>8535</v>
      </c>
      <c r="D285" s="222" t="s">
        <v>1395</v>
      </c>
    </row>
    <row r="286" spans="1:4" x14ac:dyDescent="0.25">
      <c r="A286" s="222" t="s">
        <v>8534</v>
      </c>
      <c r="B286" s="222">
        <v>540692</v>
      </c>
      <c r="C286" s="222" t="s">
        <v>8533</v>
      </c>
      <c r="D286" s="222" t="s">
        <v>1161</v>
      </c>
    </row>
    <row r="287" spans="1:4" x14ac:dyDescent="0.25">
      <c r="A287" s="222" t="s">
        <v>8532</v>
      </c>
      <c r="B287" s="222">
        <v>541133</v>
      </c>
      <c r="C287" s="222" t="s">
        <v>2052</v>
      </c>
      <c r="D287" s="222" t="s">
        <v>1321</v>
      </c>
    </row>
    <row r="288" spans="1:4" x14ac:dyDescent="0.25">
      <c r="A288" s="222" t="s">
        <v>8531</v>
      </c>
      <c r="B288" s="222">
        <v>506166</v>
      </c>
      <c r="C288" s="222" t="s">
        <v>2052</v>
      </c>
      <c r="D288" s="222" t="s">
        <v>1083</v>
      </c>
    </row>
    <row r="289" spans="1:4" x14ac:dyDescent="0.25">
      <c r="A289" s="222" t="s">
        <v>8530</v>
      </c>
      <c r="B289" s="222">
        <v>506166</v>
      </c>
      <c r="C289" s="222" t="s">
        <v>2052</v>
      </c>
      <c r="D289" s="222" t="s">
        <v>1083</v>
      </c>
    </row>
    <row r="290" spans="1:4" x14ac:dyDescent="0.25">
      <c r="A290" s="222" t="s">
        <v>8529</v>
      </c>
      <c r="B290" s="222">
        <v>533758</v>
      </c>
      <c r="C290" s="222" t="s">
        <v>8528</v>
      </c>
      <c r="D290" s="222" t="s">
        <v>740</v>
      </c>
    </row>
    <row r="291" spans="1:4" x14ac:dyDescent="0.25">
      <c r="A291" s="222" t="s">
        <v>8527</v>
      </c>
      <c r="B291" s="222">
        <v>517096</v>
      </c>
      <c r="C291" s="222" t="s">
        <v>2052</v>
      </c>
      <c r="D291" s="222" t="s">
        <v>1275</v>
      </c>
    </row>
    <row r="292" spans="1:4" x14ac:dyDescent="0.25">
      <c r="A292" s="222" t="s">
        <v>8526</v>
      </c>
      <c r="B292" s="222">
        <v>511064</v>
      </c>
      <c r="C292" s="222" t="s">
        <v>8525</v>
      </c>
      <c r="D292" s="222" t="s">
        <v>2156</v>
      </c>
    </row>
    <row r="293" spans="1:4" x14ac:dyDescent="0.25">
      <c r="A293" s="222" t="s">
        <v>8524</v>
      </c>
      <c r="B293" s="222">
        <v>523537</v>
      </c>
      <c r="C293" s="222" t="s">
        <v>2052</v>
      </c>
      <c r="D293" s="222" t="s">
        <v>1237</v>
      </c>
    </row>
    <row r="294" spans="1:4" x14ac:dyDescent="0.25">
      <c r="A294" s="222" t="s">
        <v>8523</v>
      </c>
      <c r="B294" s="222">
        <v>512437</v>
      </c>
      <c r="C294" s="222" t="s">
        <v>2052</v>
      </c>
      <c r="D294" s="222" t="s">
        <v>1262</v>
      </c>
    </row>
    <row r="295" spans="1:4" x14ac:dyDescent="0.25">
      <c r="A295" s="222" t="s">
        <v>8522</v>
      </c>
      <c r="B295" s="222">
        <v>512437</v>
      </c>
      <c r="C295" s="222" t="s">
        <v>2052</v>
      </c>
      <c r="D295" s="222" t="s">
        <v>1262</v>
      </c>
    </row>
    <row r="296" spans="1:4" x14ac:dyDescent="0.25">
      <c r="A296" s="222" t="s">
        <v>8521</v>
      </c>
      <c r="B296" s="222">
        <v>508869</v>
      </c>
      <c r="C296" s="222" t="s">
        <v>8520</v>
      </c>
      <c r="D296" s="222" t="s">
        <v>1297</v>
      </c>
    </row>
    <row r="297" spans="1:4" x14ac:dyDescent="0.25">
      <c r="A297" s="222" t="s">
        <v>8519</v>
      </c>
      <c r="B297" s="222">
        <v>540879</v>
      </c>
      <c r="C297" s="222" t="s">
        <v>8518</v>
      </c>
      <c r="D297" s="222" t="s">
        <v>1257</v>
      </c>
    </row>
    <row r="298" spans="1:4" x14ac:dyDescent="0.25">
      <c r="A298" s="222" t="s">
        <v>8517</v>
      </c>
      <c r="B298" s="222">
        <v>531761</v>
      </c>
      <c r="C298" s="222" t="s">
        <v>2052</v>
      </c>
      <c r="D298" s="222" t="s">
        <v>1251</v>
      </c>
    </row>
    <row r="299" spans="1:4" x14ac:dyDescent="0.25">
      <c r="A299" s="222" t="s">
        <v>8516</v>
      </c>
      <c r="B299" s="222" t="s">
        <v>2052</v>
      </c>
      <c r="C299" s="222" t="s">
        <v>8515</v>
      </c>
      <c r="D299" s="222" t="s">
        <v>2197</v>
      </c>
    </row>
    <row r="300" spans="1:4" x14ac:dyDescent="0.25">
      <c r="A300" s="222" t="s">
        <v>8514</v>
      </c>
      <c r="B300" s="222">
        <v>538566</v>
      </c>
      <c r="C300" s="222" t="s">
        <v>2052</v>
      </c>
      <c r="D300" s="222" t="s">
        <v>1529</v>
      </c>
    </row>
    <row r="301" spans="1:4" x14ac:dyDescent="0.25">
      <c r="A301" s="222" t="s">
        <v>8513</v>
      </c>
      <c r="B301" s="222">
        <v>500877</v>
      </c>
      <c r="C301" s="222" t="s">
        <v>8512</v>
      </c>
      <c r="D301" s="222" t="s">
        <v>1410</v>
      </c>
    </row>
    <row r="302" spans="1:4" x14ac:dyDescent="0.25">
      <c r="A302" s="222" t="s">
        <v>8511</v>
      </c>
      <c r="B302" s="222">
        <v>539545</v>
      </c>
      <c r="C302" s="222" t="s">
        <v>2052</v>
      </c>
      <c r="D302" s="222" t="s">
        <v>2108</v>
      </c>
    </row>
    <row r="303" spans="1:4" x14ac:dyDescent="0.25">
      <c r="A303" s="222" t="s">
        <v>8510</v>
      </c>
      <c r="B303" s="222">
        <v>500014</v>
      </c>
      <c r="C303" s="222" t="s">
        <v>2052</v>
      </c>
      <c r="D303" s="222" t="s">
        <v>1321</v>
      </c>
    </row>
    <row r="304" spans="1:4" x14ac:dyDescent="0.25">
      <c r="A304" s="222" t="s">
        <v>8509</v>
      </c>
      <c r="B304" s="222">
        <v>532475</v>
      </c>
      <c r="C304" s="222" t="s">
        <v>8508</v>
      </c>
      <c r="D304" s="222" t="s">
        <v>4885</v>
      </c>
    </row>
    <row r="305" spans="1:4" x14ac:dyDescent="0.25">
      <c r="A305" s="222" t="s">
        <v>8507</v>
      </c>
      <c r="B305" s="222">
        <v>539469</v>
      </c>
      <c r="C305" s="222" t="s">
        <v>2052</v>
      </c>
      <c r="D305" s="222" t="s">
        <v>1529</v>
      </c>
    </row>
    <row r="306" spans="1:4" x14ac:dyDescent="0.25">
      <c r="A306" s="222" t="s">
        <v>8506</v>
      </c>
      <c r="B306" s="222">
        <v>531364</v>
      </c>
      <c r="C306" s="222" t="s">
        <v>2052</v>
      </c>
      <c r="D306" s="222" t="s">
        <v>1248</v>
      </c>
    </row>
    <row r="307" spans="1:4" x14ac:dyDescent="0.25">
      <c r="A307" s="222" t="s">
        <v>8505</v>
      </c>
      <c r="B307" s="222">
        <v>539403</v>
      </c>
      <c r="C307" s="222" t="s">
        <v>2052</v>
      </c>
      <c r="D307" s="222" t="s">
        <v>924</v>
      </c>
    </row>
    <row r="308" spans="1:4" x14ac:dyDescent="0.25">
      <c r="A308" s="222" t="s">
        <v>8504</v>
      </c>
      <c r="B308" s="222">
        <v>540135</v>
      </c>
      <c r="C308" s="222" t="s">
        <v>2052</v>
      </c>
      <c r="D308" s="222" t="s">
        <v>1262</v>
      </c>
    </row>
    <row r="309" spans="1:4" x14ac:dyDescent="0.25">
      <c r="A309" s="222" t="s">
        <v>8503</v>
      </c>
      <c r="B309" s="222">
        <v>520121</v>
      </c>
      <c r="C309" s="222" t="s">
        <v>2052</v>
      </c>
      <c r="D309" s="222" t="s">
        <v>1251</v>
      </c>
    </row>
    <row r="310" spans="1:4" x14ac:dyDescent="0.25">
      <c r="A310" s="222" t="s">
        <v>8502</v>
      </c>
      <c r="B310" s="222">
        <v>530565</v>
      </c>
      <c r="C310" s="222" t="s">
        <v>2052</v>
      </c>
      <c r="D310" s="222" t="s">
        <v>1942</v>
      </c>
    </row>
    <row r="311" spans="1:4" x14ac:dyDescent="0.25">
      <c r="A311" s="222" t="s">
        <v>8501</v>
      </c>
      <c r="B311" s="222">
        <v>532994</v>
      </c>
      <c r="C311" s="222" t="s">
        <v>8500</v>
      </c>
      <c r="D311" s="222" t="s">
        <v>1272</v>
      </c>
    </row>
    <row r="312" spans="1:4" x14ac:dyDescent="0.25">
      <c r="A312" s="222" t="s">
        <v>8499</v>
      </c>
      <c r="B312" s="222">
        <v>532212</v>
      </c>
      <c r="C312" s="222" t="s">
        <v>8498</v>
      </c>
      <c r="D312" s="222" t="s">
        <v>4765</v>
      </c>
    </row>
    <row r="313" spans="1:4" x14ac:dyDescent="0.25">
      <c r="A313" s="222" t="s">
        <v>8497</v>
      </c>
      <c r="B313" s="222">
        <v>524640</v>
      </c>
      <c r="C313" s="222" t="s">
        <v>2052</v>
      </c>
      <c r="D313" s="222" t="s">
        <v>998</v>
      </c>
    </row>
    <row r="314" spans="1:4" x14ac:dyDescent="0.25">
      <c r="A314" s="222" t="s">
        <v>8496</v>
      </c>
      <c r="B314" s="222">
        <v>532914</v>
      </c>
      <c r="C314" s="222" t="s">
        <v>8495</v>
      </c>
      <c r="D314" s="222" t="s">
        <v>3661</v>
      </c>
    </row>
    <row r="315" spans="1:4" x14ac:dyDescent="0.25">
      <c r="A315" s="222" t="s">
        <v>8494</v>
      </c>
      <c r="B315" s="222">
        <v>504370</v>
      </c>
      <c r="C315" s="222" t="s">
        <v>2052</v>
      </c>
      <c r="D315" s="222" t="s">
        <v>2068</v>
      </c>
    </row>
    <row r="316" spans="1:4" x14ac:dyDescent="0.25">
      <c r="A316" s="222" t="s">
        <v>8493</v>
      </c>
      <c r="B316" s="222">
        <v>526851</v>
      </c>
      <c r="C316" s="222" t="s">
        <v>2052</v>
      </c>
      <c r="D316" s="222" t="s">
        <v>1237</v>
      </c>
    </row>
    <row r="317" spans="1:4" x14ac:dyDescent="0.25">
      <c r="A317" s="222" t="s">
        <v>8492</v>
      </c>
      <c r="B317" s="222">
        <v>539151</v>
      </c>
      <c r="C317" s="222" t="s">
        <v>2052</v>
      </c>
      <c r="D317" s="222" t="s">
        <v>2490</v>
      </c>
    </row>
    <row r="318" spans="1:4" x14ac:dyDescent="0.25">
      <c r="A318" s="222" t="s">
        <v>8491</v>
      </c>
      <c r="B318" s="222">
        <v>539151</v>
      </c>
      <c r="C318" s="222" t="s">
        <v>2052</v>
      </c>
      <c r="D318" s="222" t="s">
        <v>2490</v>
      </c>
    </row>
    <row r="319" spans="1:4" x14ac:dyDescent="0.25">
      <c r="A319" s="222" t="s">
        <v>8490</v>
      </c>
      <c r="B319" s="222">
        <v>532935</v>
      </c>
      <c r="C319" s="222" t="s">
        <v>8489</v>
      </c>
      <c r="D319" s="222" t="s">
        <v>734</v>
      </c>
    </row>
    <row r="320" spans="1:4" x14ac:dyDescent="0.25">
      <c r="A320" s="222" t="s">
        <v>8488</v>
      </c>
      <c r="B320" s="222">
        <v>511605</v>
      </c>
      <c r="C320" s="222" t="s">
        <v>2052</v>
      </c>
      <c r="D320" s="222" t="s">
        <v>1262</v>
      </c>
    </row>
    <row r="321" spans="1:4" x14ac:dyDescent="0.25">
      <c r="A321" s="222" t="s">
        <v>8487</v>
      </c>
      <c r="B321" s="222">
        <v>531381</v>
      </c>
      <c r="C321" s="222" t="s">
        <v>8486</v>
      </c>
      <c r="D321" s="222" t="s">
        <v>1243</v>
      </c>
    </row>
    <row r="322" spans="1:4" x14ac:dyDescent="0.25">
      <c r="A322" s="222" t="s">
        <v>8485</v>
      </c>
      <c r="B322" s="222">
        <v>541401</v>
      </c>
      <c r="C322" s="222" t="s">
        <v>2052</v>
      </c>
      <c r="D322" s="222" t="s">
        <v>854</v>
      </c>
    </row>
    <row r="323" spans="1:4" x14ac:dyDescent="0.25">
      <c r="A323" s="222" t="s">
        <v>8484</v>
      </c>
      <c r="B323" s="222">
        <v>506194</v>
      </c>
      <c r="C323" s="222" t="s">
        <v>8483</v>
      </c>
      <c r="D323" s="222" t="s">
        <v>1243</v>
      </c>
    </row>
    <row r="324" spans="1:4" x14ac:dyDescent="0.25">
      <c r="A324" s="222" t="s">
        <v>8482</v>
      </c>
      <c r="B324" s="222">
        <v>526125</v>
      </c>
      <c r="C324" s="222" t="s">
        <v>2052</v>
      </c>
      <c r="D324" s="222" t="s">
        <v>1529</v>
      </c>
    </row>
    <row r="325" spans="1:4" x14ac:dyDescent="0.25">
      <c r="A325" s="222" t="s">
        <v>8481</v>
      </c>
      <c r="B325" s="222">
        <v>531017</v>
      </c>
      <c r="C325" s="222" t="s">
        <v>2052</v>
      </c>
      <c r="D325" s="222" t="s">
        <v>2068</v>
      </c>
    </row>
    <row r="326" spans="1:4" x14ac:dyDescent="0.25">
      <c r="A326" s="222" t="s">
        <v>8480</v>
      </c>
      <c r="B326" s="222">
        <v>531677</v>
      </c>
      <c r="C326" s="222" t="s">
        <v>2052</v>
      </c>
      <c r="D326" s="222" t="s">
        <v>1265</v>
      </c>
    </row>
    <row r="327" spans="1:4" x14ac:dyDescent="0.25">
      <c r="A327" s="222" t="s">
        <v>8479</v>
      </c>
      <c r="B327" s="222">
        <v>531179</v>
      </c>
      <c r="C327" s="222" t="s">
        <v>8478</v>
      </c>
      <c r="D327" s="222" t="s">
        <v>1321</v>
      </c>
    </row>
    <row r="328" spans="1:4" x14ac:dyDescent="0.25">
      <c r="A328" s="222" t="s">
        <v>8477</v>
      </c>
      <c r="B328" s="222">
        <v>538556</v>
      </c>
      <c r="C328" s="222" t="s">
        <v>8476</v>
      </c>
      <c r="D328" s="222" t="s">
        <v>2108</v>
      </c>
    </row>
    <row r="329" spans="1:4" x14ac:dyDescent="0.25">
      <c r="A329" s="222" t="s">
        <v>8475</v>
      </c>
      <c r="B329" s="222">
        <v>532397</v>
      </c>
      <c r="C329" s="222" t="s">
        <v>2052</v>
      </c>
      <c r="D329" s="222" t="s">
        <v>1972</v>
      </c>
    </row>
    <row r="330" spans="1:4" x14ac:dyDescent="0.25">
      <c r="A330" s="222" t="s">
        <v>8474</v>
      </c>
      <c r="B330" s="222">
        <v>531467</v>
      </c>
      <c r="C330" s="222" t="s">
        <v>2052</v>
      </c>
      <c r="D330" s="222" t="s">
        <v>2784</v>
      </c>
    </row>
    <row r="331" spans="1:4" x14ac:dyDescent="0.25">
      <c r="A331" s="222" t="s">
        <v>8473</v>
      </c>
      <c r="B331" s="222">
        <v>537069</v>
      </c>
      <c r="C331" s="222" t="s">
        <v>2052</v>
      </c>
      <c r="D331" s="222" t="s">
        <v>1321</v>
      </c>
    </row>
    <row r="332" spans="1:4" x14ac:dyDescent="0.25">
      <c r="A332" s="222" t="s">
        <v>8472</v>
      </c>
      <c r="B332" s="222">
        <v>513729</v>
      </c>
      <c r="C332" s="222" t="s">
        <v>8471</v>
      </c>
      <c r="D332" s="222" t="s">
        <v>2357</v>
      </c>
    </row>
    <row r="333" spans="1:4" x14ac:dyDescent="0.25">
      <c r="A333" s="222" t="s">
        <v>8470</v>
      </c>
      <c r="B333" s="222">
        <v>531560</v>
      </c>
      <c r="C333" s="222" t="s">
        <v>2052</v>
      </c>
      <c r="D333" s="222" t="s">
        <v>2068</v>
      </c>
    </row>
    <row r="334" spans="1:4" x14ac:dyDescent="0.25">
      <c r="A334" s="222" t="s">
        <v>8469</v>
      </c>
      <c r="B334" s="222">
        <v>531560</v>
      </c>
      <c r="C334" s="222" t="s">
        <v>2052</v>
      </c>
      <c r="D334" s="222" t="s">
        <v>2068</v>
      </c>
    </row>
    <row r="335" spans="1:4" x14ac:dyDescent="0.25">
      <c r="A335" s="222" t="s">
        <v>8468</v>
      </c>
      <c r="B335" s="222">
        <v>516064</v>
      </c>
      <c r="C335" s="222" t="s">
        <v>8467</v>
      </c>
      <c r="D335" s="222" t="s">
        <v>1251</v>
      </c>
    </row>
    <row r="336" spans="1:4" x14ac:dyDescent="0.25">
      <c r="A336" s="222" t="s">
        <v>8466</v>
      </c>
      <c r="B336" s="222">
        <v>533068</v>
      </c>
      <c r="C336" s="222" t="s">
        <v>8465</v>
      </c>
      <c r="D336" s="222" t="s">
        <v>1364</v>
      </c>
    </row>
    <row r="337" spans="1:4" x14ac:dyDescent="0.25">
      <c r="A337" s="222" t="s">
        <v>8464</v>
      </c>
      <c r="B337" s="222">
        <v>506074</v>
      </c>
      <c r="C337" s="222" t="s">
        <v>8463</v>
      </c>
      <c r="D337" s="222" t="s">
        <v>1329</v>
      </c>
    </row>
    <row r="338" spans="1:4" x14ac:dyDescent="0.25">
      <c r="A338" s="222" t="s">
        <v>8462</v>
      </c>
      <c r="B338" s="222">
        <v>533163</v>
      </c>
      <c r="C338" s="222" t="s">
        <v>8461</v>
      </c>
      <c r="D338" s="222" t="s">
        <v>1248</v>
      </c>
    </row>
    <row r="339" spans="1:4" x14ac:dyDescent="0.25">
      <c r="A339" s="222" t="s">
        <v>8460</v>
      </c>
      <c r="B339" s="222" t="s">
        <v>2052</v>
      </c>
      <c r="C339" s="222" t="s">
        <v>8459</v>
      </c>
      <c r="D339" s="222" t="s">
        <v>2050</v>
      </c>
    </row>
    <row r="340" spans="1:4" x14ac:dyDescent="0.25">
      <c r="A340" s="222" t="s">
        <v>8458</v>
      </c>
      <c r="B340" s="222">
        <v>517481</v>
      </c>
      <c r="C340" s="222" t="s">
        <v>2052</v>
      </c>
      <c r="D340" s="222" t="s">
        <v>2062</v>
      </c>
    </row>
    <row r="341" spans="1:4" x14ac:dyDescent="0.25">
      <c r="A341" s="222" t="s">
        <v>8457</v>
      </c>
      <c r="B341" s="222">
        <v>531297</v>
      </c>
      <c r="C341" s="222" t="s">
        <v>2052</v>
      </c>
      <c r="D341" s="222" t="s">
        <v>911</v>
      </c>
    </row>
    <row r="342" spans="1:4" x14ac:dyDescent="0.25">
      <c r="A342" s="222" t="s">
        <v>8456</v>
      </c>
      <c r="B342" s="222">
        <v>542670</v>
      </c>
      <c r="C342" s="222" t="s">
        <v>8455</v>
      </c>
      <c r="D342" s="222" t="s">
        <v>2696</v>
      </c>
    </row>
    <row r="343" spans="1:4" x14ac:dyDescent="0.25">
      <c r="A343" s="222" t="s">
        <v>8454</v>
      </c>
      <c r="B343" s="222">
        <v>540616</v>
      </c>
      <c r="C343" s="222" t="s">
        <v>8453</v>
      </c>
      <c r="D343" s="222" t="s">
        <v>1297</v>
      </c>
    </row>
    <row r="344" spans="1:4" x14ac:dyDescent="0.25">
      <c r="A344" s="222" t="s">
        <v>8452</v>
      </c>
      <c r="B344" s="222">
        <v>522134</v>
      </c>
      <c r="C344" s="222" t="s">
        <v>2052</v>
      </c>
      <c r="D344" s="222" t="s">
        <v>832</v>
      </c>
    </row>
    <row r="345" spans="1:4" x14ac:dyDescent="0.25">
      <c r="A345" s="222" t="s">
        <v>8451</v>
      </c>
      <c r="B345" s="222">
        <v>500016</v>
      </c>
      <c r="C345" s="222" t="s">
        <v>2052</v>
      </c>
      <c r="D345" s="222" t="s">
        <v>2128</v>
      </c>
    </row>
    <row r="346" spans="1:4" x14ac:dyDescent="0.25">
      <c r="A346" s="222" t="s">
        <v>8450</v>
      </c>
      <c r="B346" s="222" t="s">
        <v>2052</v>
      </c>
      <c r="C346" s="222" t="s">
        <v>8448</v>
      </c>
      <c r="D346" s="222" t="s">
        <v>2050</v>
      </c>
    </row>
    <row r="347" spans="1:4" x14ac:dyDescent="0.25">
      <c r="A347" s="222" t="s">
        <v>8449</v>
      </c>
      <c r="B347" s="222" t="s">
        <v>2052</v>
      </c>
      <c r="C347" s="222" t="s">
        <v>8448</v>
      </c>
      <c r="D347" s="222" t="s">
        <v>2050</v>
      </c>
    </row>
    <row r="348" spans="1:4" x14ac:dyDescent="0.25">
      <c r="A348" s="222" t="s">
        <v>8447</v>
      </c>
      <c r="B348" s="222">
        <v>542484</v>
      </c>
      <c r="C348" s="222" t="s">
        <v>8446</v>
      </c>
      <c r="D348" s="222" t="s">
        <v>2536</v>
      </c>
    </row>
    <row r="349" spans="1:4" x14ac:dyDescent="0.25">
      <c r="A349" s="222" t="s">
        <v>8445</v>
      </c>
      <c r="B349" s="222">
        <v>500101</v>
      </c>
      <c r="C349" s="222" t="s">
        <v>8444</v>
      </c>
      <c r="D349" s="222" t="s">
        <v>1237</v>
      </c>
    </row>
    <row r="350" spans="1:4" x14ac:dyDescent="0.25">
      <c r="A350" s="222" t="s">
        <v>8443</v>
      </c>
      <c r="B350" s="222">
        <v>539301</v>
      </c>
      <c r="C350" s="222" t="s">
        <v>8442</v>
      </c>
      <c r="D350" s="222" t="s">
        <v>1243</v>
      </c>
    </row>
    <row r="351" spans="1:4" x14ac:dyDescent="0.25">
      <c r="A351" s="222" t="s">
        <v>8441</v>
      </c>
      <c r="B351" s="222">
        <v>538716</v>
      </c>
      <c r="C351" s="222" t="s">
        <v>2052</v>
      </c>
      <c r="D351" s="222" t="s">
        <v>1262</v>
      </c>
    </row>
    <row r="352" spans="1:4" x14ac:dyDescent="0.25">
      <c r="A352" s="222" t="s">
        <v>8440</v>
      </c>
      <c r="B352" s="222">
        <v>530245</v>
      </c>
      <c r="C352" s="222" t="s">
        <v>2052</v>
      </c>
      <c r="D352" s="222" t="s">
        <v>1321</v>
      </c>
    </row>
    <row r="353" spans="1:4" x14ac:dyDescent="0.25">
      <c r="A353" s="222" t="s">
        <v>8439</v>
      </c>
      <c r="B353" s="222">
        <v>542176</v>
      </c>
      <c r="C353" s="222" t="s">
        <v>8438</v>
      </c>
      <c r="D353" s="222" t="s">
        <v>1262</v>
      </c>
    </row>
    <row r="354" spans="1:4" x14ac:dyDescent="0.25">
      <c r="A354" s="222" t="s">
        <v>8437</v>
      </c>
      <c r="B354" s="222">
        <v>515030</v>
      </c>
      <c r="C354" s="222" t="s">
        <v>8436</v>
      </c>
      <c r="D354" s="222" t="s">
        <v>1306</v>
      </c>
    </row>
    <row r="355" spans="1:4" x14ac:dyDescent="0.25">
      <c r="A355" s="222" t="s">
        <v>8435</v>
      </c>
      <c r="B355" s="222">
        <v>514482</v>
      </c>
      <c r="C355" s="222" t="s">
        <v>2052</v>
      </c>
      <c r="D355" s="222" t="s">
        <v>1237</v>
      </c>
    </row>
    <row r="356" spans="1:4" x14ac:dyDescent="0.25">
      <c r="A356" s="222" t="s">
        <v>8434</v>
      </c>
      <c r="B356" s="222">
        <v>532853</v>
      </c>
      <c r="C356" s="222" t="s">
        <v>8433</v>
      </c>
      <c r="D356" s="222" t="s">
        <v>722</v>
      </c>
    </row>
    <row r="357" spans="1:4" x14ac:dyDescent="0.25">
      <c r="A357" s="222" t="s">
        <v>8432</v>
      </c>
      <c r="B357" s="222">
        <v>535467</v>
      </c>
      <c r="C357" s="222" t="s">
        <v>8431</v>
      </c>
      <c r="D357" s="222" t="s">
        <v>1364</v>
      </c>
    </row>
    <row r="358" spans="1:4" x14ac:dyDescent="0.25">
      <c r="A358" s="222" t="s">
        <v>8430</v>
      </c>
      <c r="B358" s="222">
        <v>527001</v>
      </c>
      <c r="C358" s="222" t="s">
        <v>8429</v>
      </c>
      <c r="D358" s="222" t="s">
        <v>2796</v>
      </c>
    </row>
    <row r="359" spans="1:4" x14ac:dyDescent="0.25">
      <c r="A359" s="222" t="s">
        <v>8428</v>
      </c>
      <c r="B359" s="222">
        <v>542579</v>
      </c>
      <c r="C359" s="222" t="s">
        <v>8427</v>
      </c>
      <c r="D359" s="222" t="s">
        <v>2536</v>
      </c>
    </row>
    <row r="360" spans="1:4" x14ac:dyDescent="0.25">
      <c r="A360" s="222" t="s">
        <v>8426</v>
      </c>
      <c r="B360" s="222">
        <v>540024</v>
      </c>
      <c r="C360" s="222" t="s">
        <v>2052</v>
      </c>
      <c r="D360" s="222" t="s">
        <v>1262</v>
      </c>
    </row>
    <row r="361" spans="1:4" x14ac:dyDescent="0.25">
      <c r="A361" s="222" t="s">
        <v>8425</v>
      </c>
      <c r="B361" s="222">
        <v>519174</v>
      </c>
      <c r="C361" s="222" t="s">
        <v>2052</v>
      </c>
      <c r="D361" s="222" t="s">
        <v>1963</v>
      </c>
    </row>
    <row r="362" spans="1:4" x14ac:dyDescent="0.25">
      <c r="A362" s="222" t="s">
        <v>8424</v>
      </c>
      <c r="B362" s="222">
        <v>523716</v>
      </c>
      <c r="C362" s="222" t="s">
        <v>8423</v>
      </c>
      <c r="D362" s="222" t="s">
        <v>1243</v>
      </c>
    </row>
    <row r="363" spans="1:4" x14ac:dyDescent="0.25">
      <c r="A363" s="222" t="s">
        <v>8422</v>
      </c>
      <c r="B363" s="222">
        <v>513401</v>
      </c>
      <c r="C363" s="222" t="s">
        <v>2052</v>
      </c>
      <c r="D363" s="222" t="s">
        <v>2167</v>
      </c>
    </row>
    <row r="364" spans="1:4" x14ac:dyDescent="0.25">
      <c r="A364" s="222" t="s">
        <v>8421</v>
      </c>
      <c r="B364" s="222">
        <v>590122</v>
      </c>
      <c r="C364" s="222" t="s">
        <v>8420</v>
      </c>
      <c r="D364" s="222" t="s">
        <v>1321</v>
      </c>
    </row>
    <row r="365" spans="1:4" x14ac:dyDescent="0.25">
      <c r="A365" s="222" t="s">
        <v>8419</v>
      </c>
      <c r="B365" s="222">
        <v>514286</v>
      </c>
      <c r="C365" s="222" t="s">
        <v>8418</v>
      </c>
      <c r="D365" s="222" t="s">
        <v>1237</v>
      </c>
    </row>
    <row r="366" spans="1:4" x14ac:dyDescent="0.25">
      <c r="A366" s="222" t="s">
        <v>8417</v>
      </c>
      <c r="B366" s="222">
        <v>512247</v>
      </c>
      <c r="C366" s="222" t="s">
        <v>2052</v>
      </c>
      <c r="D366" s="222" t="s">
        <v>1262</v>
      </c>
    </row>
    <row r="367" spans="1:4" x14ac:dyDescent="0.25">
      <c r="A367" s="222" t="s">
        <v>8416</v>
      </c>
      <c r="B367" s="222">
        <v>526847</v>
      </c>
      <c r="C367" s="222" t="s">
        <v>2052</v>
      </c>
      <c r="D367" s="222" t="s">
        <v>2167</v>
      </c>
    </row>
    <row r="368" spans="1:4" x14ac:dyDescent="0.25">
      <c r="A368" s="222" t="s">
        <v>8415</v>
      </c>
      <c r="B368" s="222">
        <v>530429</v>
      </c>
      <c r="C368" s="222" t="s">
        <v>2052</v>
      </c>
      <c r="D368" s="222" t="s">
        <v>1251</v>
      </c>
    </row>
    <row r="369" spans="1:4" x14ac:dyDescent="0.25">
      <c r="A369" s="222" t="s">
        <v>8414</v>
      </c>
      <c r="B369" s="222">
        <v>541702</v>
      </c>
      <c r="C369" s="222" t="s">
        <v>2052</v>
      </c>
      <c r="D369" s="222" t="s">
        <v>1529</v>
      </c>
    </row>
    <row r="370" spans="1:4" x14ac:dyDescent="0.25">
      <c r="A370" s="222" t="s">
        <v>8413</v>
      </c>
      <c r="B370" s="222">
        <v>507872</v>
      </c>
      <c r="C370" s="222" t="s">
        <v>2052</v>
      </c>
      <c r="D370" s="222" t="s">
        <v>1237</v>
      </c>
    </row>
    <row r="371" spans="1:4" x14ac:dyDescent="0.25">
      <c r="A371" s="222" t="s">
        <v>8412</v>
      </c>
      <c r="B371" s="222">
        <v>524594</v>
      </c>
      <c r="C371" s="222" t="s">
        <v>2052</v>
      </c>
      <c r="D371" s="222" t="s">
        <v>998</v>
      </c>
    </row>
    <row r="372" spans="1:4" x14ac:dyDescent="0.25">
      <c r="A372" s="222" t="s">
        <v>8411</v>
      </c>
      <c r="B372" s="222">
        <v>500477</v>
      </c>
      <c r="C372" s="222" t="s">
        <v>8410</v>
      </c>
      <c r="D372" s="222" t="s">
        <v>2450</v>
      </c>
    </row>
    <row r="373" spans="1:4" x14ac:dyDescent="0.25">
      <c r="A373" s="222" t="s">
        <v>8409</v>
      </c>
      <c r="B373" s="222">
        <v>533271</v>
      </c>
      <c r="C373" s="222" t="s">
        <v>8408</v>
      </c>
      <c r="D373" s="222" t="s">
        <v>3887</v>
      </c>
    </row>
    <row r="374" spans="1:4" x14ac:dyDescent="0.25">
      <c r="A374" s="222" t="s">
        <v>8407</v>
      </c>
      <c r="B374" s="222">
        <v>540923</v>
      </c>
      <c r="C374" s="222" t="s">
        <v>2052</v>
      </c>
      <c r="D374" s="222" t="s">
        <v>1248</v>
      </c>
    </row>
    <row r="375" spans="1:4" x14ac:dyDescent="0.25">
      <c r="A375" s="222" t="s">
        <v>8406</v>
      </c>
      <c r="B375" s="222">
        <v>526983</v>
      </c>
      <c r="C375" s="222" t="s">
        <v>2052</v>
      </c>
      <c r="D375" s="222" t="s">
        <v>731</v>
      </c>
    </row>
    <row r="376" spans="1:4" x14ac:dyDescent="0.25">
      <c r="A376" s="222" t="s">
        <v>8405</v>
      </c>
      <c r="B376" s="222">
        <v>526187</v>
      </c>
      <c r="C376" s="222" t="s">
        <v>2052</v>
      </c>
      <c r="D376" s="222" t="s">
        <v>1425</v>
      </c>
    </row>
    <row r="377" spans="1:4" x14ac:dyDescent="0.25">
      <c r="A377" s="222" t="s">
        <v>8404</v>
      </c>
      <c r="B377" s="222">
        <v>531568</v>
      </c>
      <c r="C377" s="222" t="s">
        <v>2052</v>
      </c>
      <c r="D377" s="222" t="s">
        <v>1972</v>
      </c>
    </row>
    <row r="378" spans="1:4" x14ac:dyDescent="0.25">
      <c r="A378" s="222" t="s">
        <v>8403</v>
      </c>
      <c r="B378" s="222">
        <v>502015</v>
      </c>
      <c r="C378" s="222" t="s">
        <v>2052</v>
      </c>
      <c r="D378" s="222" t="s">
        <v>2796</v>
      </c>
    </row>
    <row r="379" spans="1:4" x14ac:dyDescent="0.25">
      <c r="A379" s="222" t="s">
        <v>8402</v>
      </c>
      <c r="B379" s="222">
        <v>538777</v>
      </c>
      <c r="C379" s="222" t="s">
        <v>2052</v>
      </c>
      <c r="D379" s="222" t="s">
        <v>1321</v>
      </c>
    </row>
    <row r="380" spans="1:4" x14ac:dyDescent="0.25">
      <c r="A380" s="222" t="s">
        <v>8401</v>
      </c>
      <c r="B380" s="222">
        <v>530899</v>
      </c>
      <c r="C380" s="222" t="s">
        <v>2052</v>
      </c>
      <c r="D380" s="222" t="s">
        <v>1237</v>
      </c>
    </row>
    <row r="381" spans="1:4" x14ac:dyDescent="0.25">
      <c r="A381" s="222" t="s">
        <v>8400</v>
      </c>
      <c r="B381" s="222">
        <v>531392</v>
      </c>
      <c r="C381" s="222" t="s">
        <v>2052</v>
      </c>
      <c r="D381" s="222" t="s">
        <v>731</v>
      </c>
    </row>
    <row r="382" spans="1:4" x14ac:dyDescent="0.25">
      <c r="A382" s="222" t="s">
        <v>8399</v>
      </c>
      <c r="B382" s="222">
        <v>532888</v>
      </c>
      <c r="C382" s="222" t="s">
        <v>8397</v>
      </c>
      <c r="D382" s="222" t="s">
        <v>2714</v>
      </c>
    </row>
    <row r="383" spans="1:4" x14ac:dyDescent="0.25">
      <c r="A383" s="222" t="s">
        <v>8398</v>
      </c>
      <c r="B383" s="222">
        <v>532888</v>
      </c>
      <c r="C383" s="222" t="s">
        <v>8397</v>
      </c>
      <c r="D383" s="222" t="s">
        <v>2714</v>
      </c>
    </row>
    <row r="384" spans="1:4" x14ac:dyDescent="0.25">
      <c r="A384" s="222" t="s">
        <v>8396</v>
      </c>
      <c r="B384" s="222">
        <v>533227</v>
      </c>
      <c r="C384" s="222" t="s">
        <v>8395</v>
      </c>
      <c r="D384" s="222" t="s">
        <v>2128</v>
      </c>
    </row>
    <row r="385" spans="1:4" x14ac:dyDescent="0.25">
      <c r="A385" s="222" t="s">
        <v>8394</v>
      </c>
      <c r="B385" s="222">
        <v>500023</v>
      </c>
      <c r="C385" s="222" t="s">
        <v>8393</v>
      </c>
      <c r="D385" s="222" t="s">
        <v>2128</v>
      </c>
    </row>
    <row r="386" spans="1:4" x14ac:dyDescent="0.25">
      <c r="A386" s="222" t="s">
        <v>8392</v>
      </c>
      <c r="B386" s="222">
        <v>533221</v>
      </c>
      <c r="C386" s="222" t="s">
        <v>8391</v>
      </c>
      <c r="D386" s="222" t="s">
        <v>2128</v>
      </c>
    </row>
    <row r="387" spans="1:4" x14ac:dyDescent="0.25">
      <c r="A387" s="222" t="s">
        <v>8390</v>
      </c>
      <c r="B387" s="222">
        <v>530355</v>
      </c>
      <c r="C387" s="222" t="s">
        <v>2052</v>
      </c>
      <c r="D387" s="222" t="s">
        <v>4775</v>
      </c>
    </row>
    <row r="388" spans="1:4" x14ac:dyDescent="0.25">
      <c r="A388" s="222" t="s">
        <v>8389</v>
      </c>
      <c r="B388" s="222">
        <v>500820</v>
      </c>
      <c r="C388" s="222" t="s">
        <v>8388</v>
      </c>
      <c r="D388" s="222" t="s">
        <v>2714</v>
      </c>
    </row>
    <row r="389" spans="1:4" x14ac:dyDescent="0.25">
      <c r="A389" s="222" t="s">
        <v>8387</v>
      </c>
      <c r="B389" s="222">
        <v>524434</v>
      </c>
      <c r="C389" s="222" t="s">
        <v>2052</v>
      </c>
      <c r="D389" s="222" t="s">
        <v>998</v>
      </c>
    </row>
    <row r="390" spans="1:4" x14ac:dyDescent="0.25">
      <c r="A390" s="222" t="s">
        <v>8386</v>
      </c>
      <c r="B390" s="222">
        <v>531847</v>
      </c>
      <c r="C390" s="222" t="s">
        <v>2052</v>
      </c>
      <c r="D390" s="222" t="s">
        <v>1364</v>
      </c>
    </row>
    <row r="391" spans="1:4" x14ac:dyDescent="0.25">
      <c r="A391" s="222" t="s">
        <v>8385</v>
      </c>
      <c r="B391" s="222">
        <v>519532</v>
      </c>
      <c r="C391" s="222" t="s">
        <v>2052</v>
      </c>
      <c r="D391" s="222" t="s">
        <v>1529</v>
      </c>
    </row>
    <row r="392" spans="1:4" x14ac:dyDescent="0.25">
      <c r="A392" s="222" t="s">
        <v>8384</v>
      </c>
      <c r="B392" s="222">
        <v>506159</v>
      </c>
      <c r="C392" s="222" t="s">
        <v>8383</v>
      </c>
      <c r="D392" s="222" t="s">
        <v>1329</v>
      </c>
    </row>
    <row r="393" spans="1:4" x14ac:dyDescent="0.25">
      <c r="A393" s="222" t="s">
        <v>8382</v>
      </c>
      <c r="B393" s="222">
        <v>530723</v>
      </c>
      <c r="C393" s="222" t="s">
        <v>2052</v>
      </c>
      <c r="D393" s="222" t="s">
        <v>1262</v>
      </c>
    </row>
    <row r="394" spans="1:4" x14ac:dyDescent="0.25">
      <c r="A394" s="222" t="s">
        <v>8381</v>
      </c>
      <c r="B394" s="222" t="s">
        <v>2052</v>
      </c>
      <c r="C394" s="222" t="s">
        <v>8380</v>
      </c>
      <c r="D394" s="222" t="s">
        <v>2050</v>
      </c>
    </row>
    <row r="395" spans="1:4" x14ac:dyDescent="0.25">
      <c r="A395" s="222" t="s">
        <v>8379</v>
      </c>
      <c r="B395" s="222">
        <v>526433</v>
      </c>
      <c r="C395" s="222" t="s">
        <v>2052</v>
      </c>
      <c r="D395" s="222" t="s">
        <v>1265</v>
      </c>
    </row>
    <row r="396" spans="1:4" x14ac:dyDescent="0.25">
      <c r="A396" s="222" t="s">
        <v>8378</v>
      </c>
      <c r="B396" s="222" t="s">
        <v>2052</v>
      </c>
      <c r="C396" s="222" t="s">
        <v>8377</v>
      </c>
      <c r="D396" s="222" t="s">
        <v>2197</v>
      </c>
    </row>
    <row r="397" spans="1:4" x14ac:dyDescent="0.25">
      <c r="A397" s="222" t="s">
        <v>8376</v>
      </c>
      <c r="B397" s="222">
        <v>540788</v>
      </c>
      <c r="C397" s="222" t="s">
        <v>2052</v>
      </c>
      <c r="D397" s="222" t="s">
        <v>1425</v>
      </c>
    </row>
    <row r="398" spans="1:4" x14ac:dyDescent="0.25">
      <c r="A398" s="222" t="s">
        <v>8375</v>
      </c>
      <c r="B398" s="222">
        <v>500024</v>
      </c>
      <c r="C398" s="222" t="s">
        <v>8373</v>
      </c>
      <c r="D398" s="222" t="s">
        <v>1400</v>
      </c>
    </row>
    <row r="399" spans="1:4" x14ac:dyDescent="0.25">
      <c r="A399" s="222" t="s">
        <v>8374</v>
      </c>
      <c r="B399" s="222">
        <v>500024</v>
      </c>
      <c r="C399" s="222" t="s">
        <v>8373</v>
      </c>
      <c r="D399" s="222" t="s">
        <v>1400</v>
      </c>
    </row>
    <row r="400" spans="1:4" x14ac:dyDescent="0.25">
      <c r="A400" s="222" t="s">
        <v>8372</v>
      </c>
      <c r="B400" s="222">
        <v>507526</v>
      </c>
      <c r="C400" s="222" t="s">
        <v>2052</v>
      </c>
      <c r="D400" s="222" t="s">
        <v>2146</v>
      </c>
    </row>
    <row r="401" spans="1:4" x14ac:dyDescent="0.25">
      <c r="A401" s="222" t="s">
        <v>8371</v>
      </c>
      <c r="B401" s="222">
        <v>533138</v>
      </c>
      <c r="C401" s="222" t="s">
        <v>8370</v>
      </c>
      <c r="D401" s="222" t="s">
        <v>1324</v>
      </c>
    </row>
    <row r="402" spans="1:4" x14ac:dyDescent="0.25">
      <c r="A402" s="222" t="s">
        <v>8369</v>
      </c>
      <c r="B402" s="222">
        <v>540975</v>
      </c>
      <c r="C402" s="222" t="s">
        <v>8368</v>
      </c>
      <c r="D402" s="222" t="s">
        <v>1425</v>
      </c>
    </row>
    <row r="403" spans="1:4" x14ac:dyDescent="0.25">
      <c r="A403" s="222" t="s">
        <v>8367</v>
      </c>
      <c r="B403" s="222">
        <v>532493</v>
      </c>
      <c r="C403" s="222" t="s">
        <v>8366</v>
      </c>
      <c r="D403" s="222" t="s">
        <v>1257</v>
      </c>
    </row>
    <row r="404" spans="1:4" x14ac:dyDescent="0.25">
      <c r="A404" s="222" t="s">
        <v>8365</v>
      </c>
      <c r="B404" s="222">
        <v>532830</v>
      </c>
      <c r="C404" s="222" t="s">
        <v>8364</v>
      </c>
      <c r="D404" s="222" t="s">
        <v>1251</v>
      </c>
    </row>
    <row r="405" spans="1:4" x14ac:dyDescent="0.25">
      <c r="A405" s="222" t="s">
        <v>8363</v>
      </c>
      <c r="B405" s="222">
        <v>506820</v>
      </c>
      <c r="C405" s="222" t="s">
        <v>8361</v>
      </c>
      <c r="D405" s="222" t="s">
        <v>789</v>
      </c>
    </row>
    <row r="406" spans="1:4" x14ac:dyDescent="0.25">
      <c r="A406" s="222" t="s">
        <v>8362</v>
      </c>
      <c r="B406" s="222">
        <v>506820</v>
      </c>
      <c r="C406" s="222" t="s">
        <v>8361</v>
      </c>
      <c r="D406" s="222" t="s">
        <v>789</v>
      </c>
    </row>
    <row r="407" spans="1:4" x14ac:dyDescent="0.25">
      <c r="A407" s="222" t="s">
        <v>8360</v>
      </c>
      <c r="B407" s="222">
        <v>540824</v>
      </c>
      <c r="C407" s="222" t="s">
        <v>8359</v>
      </c>
      <c r="D407" s="222" t="s">
        <v>1972</v>
      </c>
    </row>
    <row r="408" spans="1:4" x14ac:dyDescent="0.25">
      <c r="A408" s="222" t="s">
        <v>8358</v>
      </c>
      <c r="B408" s="222">
        <v>512433</v>
      </c>
      <c r="C408" s="222" t="s">
        <v>2052</v>
      </c>
      <c r="D408" s="222" t="s">
        <v>1529</v>
      </c>
    </row>
    <row r="409" spans="1:4" x14ac:dyDescent="0.25">
      <c r="A409" s="222" t="s">
        <v>8357</v>
      </c>
      <c r="B409" s="222">
        <v>511144</v>
      </c>
      <c r="C409" s="222" t="s">
        <v>2052</v>
      </c>
      <c r="D409" s="222" t="s">
        <v>1265</v>
      </c>
    </row>
    <row r="410" spans="1:4" x14ac:dyDescent="0.25">
      <c r="A410" s="222" t="s">
        <v>8356</v>
      </c>
      <c r="B410" s="222">
        <v>530187</v>
      </c>
      <c r="C410" s="222" t="s">
        <v>2052</v>
      </c>
      <c r="D410" s="222" t="s">
        <v>1321</v>
      </c>
    </row>
    <row r="411" spans="1:4" x14ac:dyDescent="0.25">
      <c r="A411" s="222" t="s">
        <v>8355</v>
      </c>
      <c r="B411" s="222">
        <v>539099</v>
      </c>
      <c r="C411" s="222" t="s">
        <v>2052</v>
      </c>
      <c r="D411" s="222" t="s">
        <v>1243</v>
      </c>
    </row>
    <row r="412" spans="1:4" x14ac:dyDescent="0.25">
      <c r="A412" s="222" t="s">
        <v>8354</v>
      </c>
      <c r="B412" s="222">
        <v>517429</v>
      </c>
      <c r="C412" s="222" t="s">
        <v>8353</v>
      </c>
      <c r="D412" s="222" t="s">
        <v>1942</v>
      </c>
    </row>
    <row r="413" spans="1:4" x14ac:dyDescent="0.25">
      <c r="A413" s="222" t="s">
        <v>8352</v>
      </c>
      <c r="B413" s="222">
        <v>538713</v>
      </c>
      <c r="C413" s="222" t="s">
        <v>2052</v>
      </c>
      <c r="D413" s="222" t="s">
        <v>1942</v>
      </c>
    </row>
    <row r="414" spans="1:4" x14ac:dyDescent="0.25">
      <c r="A414" s="222" t="s">
        <v>8351</v>
      </c>
      <c r="B414" s="222">
        <v>526843</v>
      </c>
      <c r="C414" s="222" t="s">
        <v>2052</v>
      </c>
      <c r="D414" s="222" t="s">
        <v>1529</v>
      </c>
    </row>
    <row r="415" spans="1:4" x14ac:dyDescent="0.25">
      <c r="A415" s="222" t="s">
        <v>8350</v>
      </c>
      <c r="B415" s="222">
        <v>532759</v>
      </c>
      <c r="C415" s="222" t="s">
        <v>8349</v>
      </c>
      <c r="D415" s="222" t="s">
        <v>1248</v>
      </c>
    </row>
    <row r="416" spans="1:4" x14ac:dyDescent="0.25">
      <c r="A416" s="222" t="s">
        <v>8348</v>
      </c>
      <c r="B416" s="222">
        <v>505029</v>
      </c>
      <c r="C416" s="222" t="s">
        <v>8347</v>
      </c>
      <c r="D416" s="222" t="s">
        <v>2582</v>
      </c>
    </row>
    <row r="417" spans="1:4" x14ac:dyDescent="0.25">
      <c r="A417" s="222" t="s">
        <v>8346</v>
      </c>
      <c r="B417" s="222">
        <v>514394</v>
      </c>
      <c r="C417" s="222" t="s">
        <v>2052</v>
      </c>
      <c r="D417" s="222" t="s">
        <v>1364</v>
      </c>
    </row>
    <row r="418" spans="1:4" x14ac:dyDescent="0.25">
      <c r="A418" s="222" t="s">
        <v>8345</v>
      </c>
      <c r="B418" s="222">
        <v>514394</v>
      </c>
      <c r="C418" s="222" t="s">
        <v>2052</v>
      </c>
      <c r="D418" s="222" t="s">
        <v>1364</v>
      </c>
    </row>
    <row r="419" spans="1:4" x14ac:dyDescent="0.25">
      <c r="A419" s="222" t="s">
        <v>8344</v>
      </c>
      <c r="B419" s="222">
        <v>531795</v>
      </c>
      <c r="C419" s="222" t="s">
        <v>8343</v>
      </c>
      <c r="D419" s="222" t="s">
        <v>2582</v>
      </c>
    </row>
    <row r="420" spans="1:4" x14ac:dyDescent="0.25">
      <c r="A420" s="222" t="s">
        <v>8342</v>
      </c>
      <c r="B420" s="222">
        <v>500027</v>
      </c>
      <c r="C420" s="222" t="s">
        <v>8341</v>
      </c>
      <c r="D420" s="222" t="s">
        <v>1324</v>
      </c>
    </row>
    <row r="421" spans="1:4" x14ac:dyDescent="0.25">
      <c r="A421" s="222" t="s">
        <v>8340</v>
      </c>
      <c r="B421" s="222">
        <v>500028</v>
      </c>
      <c r="C421" s="222" t="s">
        <v>2052</v>
      </c>
      <c r="D421" s="222" t="s">
        <v>1248</v>
      </c>
    </row>
    <row r="422" spans="1:4" x14ac:dyDescent="0.25">
      <c r="A422" s="222" t="s">
        <v>8339</v>
      </c>
      <c r="B422" s="222">
        <v>500028</v>
      </c>
      <c r="C422" s="222" t="s">
        <v>2052</v>
      </c>
      <c r="D422" s="222" t="s">
        <v>1248</v>
      </c>
    </row>
    <row r="423" spans="1:4" x14ac:dyDescent="0.25">
      <c r="A423" s="222" t="s">
        <v>8338</v>
      </c>
      <c r="B423" s="222">
        <v>540611</v>
      </c>
      <c r="C423" s="222" t="s">
        <v>8337</v>
      </c>
      <c r="D423" s="222" t="s">
        <v>1240</v>
      </c>
    </row>
    <row r="424" spans="1:4" x14ac:dyDescent="0.25">
      <c r="A424" s="222" t="s">
        <v>8336</v>
      </c>
      <c r="B424" s="222">
        <v>532459</v>
      </c>
      <c r="C424" s="222" t="s">
        <v>2052</v>
      </c>
      <c r="D424" s="222" t="s">
        <v>1237</v>
      </c>
    </row>
    <row r="425" spans="1:4" x14ac:dyDescent="0.25">
      <c r="A425" s="222" t="s">
        <v>8335</v>
      </c>
      <c r="B425" s="222" t="s">
        <v>2052</v>
      </c>
      <c r="C425" s="222" t="s">
        <v>8334</v>
      </c>
      <c r="D425" s="222" t="s">
        <v>2050</v>
      </c>
    </row>
    <row r="426" spans="1:4" x14ac:dyDescent="0.25">
      <c r="A426" s="222" t="s">
        <v>8333</v>
      </c>
      <c r="B426" s="222">
        <v>532668</v>
      </c>
      <c r="C426" s="222" t="s">
        <v>8332</v>
      </c>
      <c r="D426" s="222" t="s">
        <v>1942</v>
      </c>
    </row>
    <row r="427" spans="1:4" x14ac:dyDescent="0.25">
      <c r="A427" s="222" t="s">
        <v>8331</v>
      </c>
      <c r="B427" s="222">
        <v>530233</v>
      </c>
      <c r="C427" s="222" t="s">
        <v>2052</v>
      </c>
      <c r="D427" s="222" t="s">
        <v>789</v>
      </c>
    </row>
    <row r="428" spans="1:4" x14ac:dyDescent="0.25">
      <c r="A428" s="222" t="s">
        <v>8330</v>
      </c>
      <c r="B428" s="222">
        <v>524804</v>
      </c>
      <c r="C428" s="222" t="s">
        <v>8329</v>
      </c>
      <c r="D428" s="222" t="s">
        <v>789</v>
      </c>
    </row>
    <row r="429" spans="1:4" x14ac:dyDescent="0.25">
      <c r="A429" s="222" t="s">
        <v>8328</v>
      </c>
      <c r="B429" s="222">
        <v>531336</v>
      </c>
      <c r="C429" s="222" t="s">
        <v>2052</v>
      </c>
      <c r="D429" s="222" t="s">
        <v>5944</v>
      </c>
    </row>
    <row r="430" spans="1:4" x14ac:dyDescent="0.25">
      <c r="A430" s="222" t="s">
        <v>8327</v>
      </c>
      <c r="B430" s="222">
        <v>509009</v>
      </c>
      <c r="C430" s="222" t="s">
        <v>8326</v>
      </c>
      <c r="D430" s="222" t="s">
        <v>1529</v>
      </c>
    </row>
    <row r="431" spans="1:4" x14ac:dyDescent="0.25">
      <c r="A431" s="222" t="s">
        <v>8325</v>
      </c>
      <c r="B431" s="222">
        <v>522005</v>
      </c>
      <c r="C431" s="222" t="s">
        <v>2052</v>
      </c>
      <c r="D431" s="222" t="s">
        <v>832</v>
      </c>
    </row>
    <row r="432" spans="1:4" x14ac:dyDescent="0.25">
      <c r="A432" s="222" t="s">
        <v>8324</v>
      </c>
      <c r="B432" s="222">
        <v>539177</v>
      </c>
      <c r="C432" s="222" t="s">
        <v>2052</v>
      </c>
      <c r="D432" s="222" t="s">
        <v>1321</v>
      </c>
    </row>
    <row r="433" spans="1:4" x14ac:dyDescent="0.25">
      <c r="A433" s="222" t="s">
        <v>8323</v>
      </c>
      <c r="B433" s="222">
        <v>531994</v>
      </c>
      <c r="C433" s="222" t="s">
        <v>2052</v>
      </c>
      <c r="D433" s="222" t="s">
        <v>1306</v>
      </c>
    </row>
    <row r="434" spans="1:4" x14ac:dyDescent="0.25">
      <c r="A434" s="222" t="s">
        <v>8322</v>
      </c>
      <c r="B434" s="222">
        <v>531994</v>
      </c>
      <c r="C434" s="222" t="s">
        <v>2052</v>
      </c>
      <c r="D434" s="222" t="s">
        <v>1306</v>
      </c>
    </row>
    <row r="435" spans="1:4" x14ac:dyDescent="0.25">
      <c r="A435" s="222" t="s">
        <v>8321</v>
      </c>
      <c r="B435" s="222">
        <v>532797</v>
      </c>
      <c r="C435" s="222" t="s">
        <v>8320</v>
      </c>
      <c r="D435" s="222" t="s">
        <v>1306</v>
      </c>
    </row>
    <row r="436" spans="1:4" x14ac:dyDescent="0.25">
      <c r="A436" s="222" t="s">
        <v>8319</v>
      </c>
      <c r="B436" s="222">
        <v>500029</v>
      </c>
      <c r="C436" s="222" t="s">
        <v>8317</v>
      </c>
      <c r="D436" s="222" t="s">
        <v>1306</v>
      </c>
    </row>
    <row r="437" spans="1:4" x14ac:dyDescent="0.25">
      <c r="A437" s="222" t="s">
        <v>8318</v>
      </c>
      <c r="B437" s="222">
        <v>500029</v>
      </c>
      <c r="C437" s="222" t="s">
        <v>8317</v>
      </c>
      <c r="D437" s="222" t="s">
        <v>1306</v>
      </c>
    </row>
    <row r="438" spans="1:4" x14ac:dyDescent="0.25">
      <c r="A438" s="222" t="s">
        <v>8316</v>
      </c>
      <c r="B438" s="222">
        <v>505036</v>
      </c>
      <c r="C438" s="222" t="s">
        <v>2052</v>
      </c>
      <c r="D438" s="222" t="s">
        <v>1306</v>
      </c>
    </row>
    <row r="439" spans="1:4" x14ac:dyDescent="0.25">
      <c r="A439" s="222" t="s">
        <v>8315</v>
      </c>
      <c r="B439" s="222">
        <v>505010</v>
      </c>
      <c r="C439" s="222" t="s">
        <v>8314</v>
      </c>
      <c r="D439" s="222" t="s">
        <v>1306</v>
      </c>
    </row>
    <row r="440" spans="1:4" x14ac:dyDescent="0.25">
      <c r="A440" s="222" t="s">
        <v>8313</v>
      </c>
      <c r="B440" s="222">
        <v>520119</v>
      </c>
      <c r="C440" s="222" t="s">
        <v>8312</v>
      </c>
      <c r="D440" s="222" t="s">
        <v>1306</v>
      </c>
    </row>
    <row r="441" spans="1:4" x14ac:dyDescent="0.25">
      <c r="A441" s="222" t="s">
        <v>8311</v>
      </c>
      <c r="B441" s="222">
        <v>512277</v>
      </c>
      <c r="C441" s="222" t="s">
        <v>2052</v>
      </c>
      <c r="D441" s="222" t="s">
        <v>1329</v>
      </c>
    </row>
    <row r="442" spans="1:4" x14ac:dyDescent="0.25">
      <c r="A442" s="222" t="s">
        <v>8310</v>
      </c>
      <c r="B442" s="222">
        <v>780004</v>
      </c>
      <c r="C442" s="222" t="s">
        <v>2052</v>
      </c>
      <c r="D442" s="222" t="s">
        <v>2197</v>
      </c>
    </row>
    <row r="443" spans="1:4" x14ac:dyDescent="0.25">
      <c r="A443" s="222" t="s">
        <v>8309</v>
      </c>
      <c r="B443" s="222">
        <v>540649</v>
      </c>
      <c r="C443" s="222" t="s">
        <v>8308</v>
      </c>
      <c r="D443" s="222" t="s">
        <v>1124</v>
      </c>
    </row>
    <row r="444" spans="1:4" x14ac:dyDescent="0.25">
      <c r="A444" s="222" t="s">
        <v>8307</v>
      </c>
      <c r="B444" s="222">
        <v>531310</v>
      </c>
      <c r="C444" s="222" t="s">
        <v>2052</v>
      </c>
      <c r="D444" s="222" t="s">
        <v>1262</v>
      </c>
    </row>
    <row r="445" spans="1:4" x14ac:dyDescent="0.25">
      <c r="A445" s="222" t="s">
        <v>8306</v>
      </c>
      <c r="B445" s="222">
        <v>512149</v>
      </c>
      <c r="C445" s="222" t="s">
        <v>2052</v>
      </c>
      <c r="D445" s="222" t="s">
        <v>1942</v>
      </c>
    </row>
    <row r="446" spans="1:4" x14ac:dyDescent="0.25">
      <c r="A446" s="222" t="s">
        <v>8305</v>
      </c>
      <c r="B446" s="222">
        <v>532406</v>
      </c>
      <c r="C446" s="222" t="s">
        <v>2052</v>
      </c>
      <c r="D446" s="222" t="s">
        <v>2114</v>
      </c>
    </row>
    <row r="447" spans="1:4" x14ac:dyDescent="0.25">
      <c r="A447" s="222" t="s">
        <v>8304</v>
      </c>
      <c r="B447" s="222">
        <v>512573</v>
      </c>
      <c r="C447" s="222" t="s">
        <v>8303</v>
      </c>
      <c r="D447" s="222" t="s">
        <v>1083</v>
      </c>
    </row>
    <row r="448" spans="1:4" x14ac:dyDescent="0.25">
      <c r="A448" s="222" t="s">
        <v>6171</v>
      </c>
      <c r="B448" s="222">
        <v>540376</v>
      </c>
      <c r="C448" s="222" t="s">
        <v>6170</v>
      </c>
      <c r="D448" s="222" t="s">
        <v>2247</v>
      </c>
    </row>
    <row r="449" spans="1:4" x14ac:dyDescent="0.25">
      <c r="A449" s="222" t="s">
        <v>8302</v>
      </c>
      <c r="B449" s="222" t="s">
        <v>2052</v>
      </c>
      <c r="C449" s="222" t="s">
        <v>8301</v>
      </c>
      <c r="D449" s="222" t="s">
        <v>2050</v>
      </c>
    </row>
    <row r="450" spans="1:4" x14ac:dyDescent="0.25">
      <c r="A450" s="222" t="s">
        <v>8300</v>
      </c>
      <c r="B450" s="222">
        <v>539288</v>
      </c>
      <c r="C450" s="222" t="s">
        <v>2052</v>
      </c>
      <c r="D450" s="222" t="s">
        <v>722</v>
      </c>
    </row>
    <row r="451" spans="1:4" x14ac:dyDescent="0.25">
      <c r="A451" s="222" t="s">
        <v>8299</v>
      </c>
      <c r="B451" s="222">
        <v>523896</v>
      </c>
      <c r="C451" s="222" t="s">
        <v>2052</v>
      </c>
      <c r="D451" s="222" t="s">
        <v>1529</v>
      </c>
    </row>
    <row r="452" spans="1:4" x14ac:dyDescent="0.25">
      <c r="A452" s="222" t="s">
        <v>8298</v>
      </c>
      <c r="B452" s="222">
        <v>523896</v>
      </c>
      <c r="C452" s="222" t="s">
        <v>2052</v>
      </c>
      <c r="D452" s="222" t="s">
        <v>1529</v>
      </c>
    </row>
    <row r="453" spans="1:4" x14ac:dyDescent="0.25">
      <c r="A453" s="222" t="s">
        <v>8297</v>
      </c>
      <c r="B453" s="222">
        <v>512109</v>
      </c>
      <c r="C453" s="222" t="s">
        <v>2052</v>
      </c>
      <c r="D453" s="222" t="s">
        <v>1529</v>
      </c>
    </row>
    <row r="454" spans="1:4" x14ac:dyDescent="0.25">
      <c r="A454" s="222" t="s">
        <v>8296</v>
      </c>
      <c r="B454" s="222">
        <v>531541</v>
      </c>
      <c r="C454" s="222" t="s">
        <v>2052</v>
      </c>
      <c r="D454" s="222" t="s">
        <v>998</v>
      </c>
    </row>
    <row r="455" spans="1:4" x14ac:dyDescent="0.25">
      <c r="A455" s="222" t="s">
        <v>8295</v>
      </c>
      <c r="B455" s="222" t="s">
        <v>2052</v>
      </c>
      <c r="C455" s="222" t="s">
        <v>8294</v>
      </c>
      <c r="D455" s="222" t="s">
        <v>2050</v>
      </c>
    </row>
    <row r="456" spans="1:4" x14ac:dyDescent="0.25">
      <c r="A456" s="222" t="s">
        <v>8293</v>
      </c>
      <c r="B456" s="222">
        <v>511589</v>
      </c>
      <c r="C456" s="222" t="s">
        <v>2052</v>
      </c>
      <c r="D456" s="222" t="s">
        <v>1321</v>
      </c>
    </row>
    <row r="457" spans="1:4" x14ac:dyDescent="0.25">
      <c r="A457" s="222" t="s">
        <v>8292</v>
      </c>
      <c r="B457" s="222" t="s">
        <v>2052</v>
      </c>
      <c r="C457" s="222" t="s">
        <v>8291</v>
      </c>
      <c r="D457" s="222" t="s">
        <v>2050</v>
      </c>
    </row>
    <row r="458" spans="1:4" x14ac:dyDescent="0.25">
      <c r="A458" s="222" t="s">
        <v>8290</v>
      </c>
      <c r="B458" s="222">
        <v>519105</v>
      </c>
      <c r="C458" s="222" t="s">
        <v>8289</v>
      </c>
      <c r="D458" s="222" t="s">
        <v>731</v>
      </c>
    </row>
    <row r="459" spans="1:4" x14ac:dyDescent="0.25">
      <c r="A459" s="222" t="s">
        <v>8288</v>
      </c>
      <c r="B459" s="222">
        <v>504390</v>
      </c>
      <c r="C459" s="222" t="s">
        <v>2052</v>
      </c>
      <c r="D459" s="222" t="s">
        <v>1262</v>
      </c>
    </row>
    <row r="460" spans="1:4" x14ac:dyDescent="0.25">
      <c r="A460" s="222" t="s">
        <v>8287</v>
      </c>
      <c r="B460" s="222">
        <v>513642</v>
      </c>
      <c r="C460" s="222" t="s">
        <v>2052</v>
      </c>
      <c r="D460" s="222" t="s">
        <v>1251</v>
      </c>
    </row>
    <row r="461" spans="1:4" x14ac:dyDescent="0.25">
      <c r="A461" s="222" t="s">
        <v>8286</v>
      </c>
      <c r="B461" s="222">
        <v>532215</v>
      </c>
      <c r="C461" s="222" t="s">
        <v>8285</v>
      </c>
      <c r="D461" s="222" t="s">
        <v>1240</v>
      </c>
    </row>
    <row r="462" spans="1:4" x14ac:dyDescent="0.25">
      <c r="A462" s="222" t="s">
        <v>8284</v>
      </c>
      <c r="B462" s="222">
        <v>532395</v>
      </c>
      <c r="C462" s="222" t="s">
        <v>8283</v>
      </c>
      <c r="D462" s="222" t="s">
        <v>2120</v>
      </c>
    </row>
    <row r="463" spans="1:4" x14ac:dyDescent="0.25">
      <c r="A463" s="222" t="s">
        <v>8282</v>
      </c>
      <c r="B463" s="222">
        <v>542285</v>
      </c>
      <c r="C463" s="222" t="s">
        <v>8281</v>
      </c>
      <c r="D463" s="222" t="s">
        <v>1237</v>
      </c>
    </row>
    <row r="464" spans="1:4" x14ac:dyDescent="0.25">
      <c r="A464" s="222" t="s">
        <v>8280</v>
      </c>
      <c r="B464" s="222">
        <v>505506</v>
      </c>
      <c r="C464" s="222" t="s">
        <v>2052</v>
      </c>
      <c r="D464" s="222" t="s">
        <v>1942</v>
      </c>
    </row>
    <row r="465" spans="1:4" x14ac:dyDescent="0.25">
      <c r="A465" s="222" t="s">
        <v>8279</v>
      </c>
      <c r="B465" s="222">
        <v>523850</v>
      </c>
      <c r="C465" s="222" t="s">
        <v>2052</v>
      </c>
      <c r="D465" s="222" t="s">
        <v>832</v>
      </c>
    </row>
    <row r="466" spans="1:4" x14ac:dyDescent="0.25">
      <c r="A466" s="222" t="s">
        <v>8278</v>
      </c>
      <c r="B466" s="222">
        <v>523168</v>
      </c>
      <c r="C466" s="222" t="s">
        <v>2052</v>
      </c>
      <c r="D466" s="222" t="s">
        <v>1196</v>
      </c>
    </row>
    <row r="467" spans="1:4" x14ac:dyDescent="0.25">
      <c r="A467" s="222" t="s">
        <v>8277</v>
      </c>
      <c r="B467" s="222">
        <v>508933</v>
      </c>
      <c r="C467" s="222" t="s">
        <v>8276</v>
      </c>
      <c r="D467" s="222" t="s">
        <v>1237</v>
      </c>
    </row>
    <row r="468" spans="1:4" x14ac:dyDescent="0.25">
      <c r="A468" s="222" t="s">
        <v>8275</v>
      </c>
      <c r="B468" s="222">
        <v>512063</v>
      </c>
      <c r="C468" s="222" t="s">
        <v>2052</v>
      </c>
      <c r="D468" s="222" t="s">
        <v>1529</v>
      </c>
    </row>
    <row r="469" spans="1:4" x14ac:dyDescent="0.25">
      <c r="A469" s="222" t="s">
        <v>8274</v>
      </c>
      <c r="B469" s="222">
        <v>536965</v>
      </c>
      <c r="C469" s="222" t="s">
        <v>2052</v>
      </c>
      <c r="D469" s="222" t="s">
        <v>1321</v>
      </c>
    </row>
    <row r="470" spans="1:4" x14ac:dyDescent="0.25">
      <c r="A470" s="222" t="s">
        <v>8273</v>
      </c>
      <c r="B470" s="222">
        <v>508136</v>
      </c>
      <c r="C470" s="222" t="s">
        <v>2052</v>
      </c>
      <c r="D470" s="222" t="s">
        <v>1400</v>
      </c>
    </row>
    <row r="471" spans="1:4" x14ac:dyDescent="0.25">
      <c r="A471" s="222" t="s">
        <v>8272</v>
      </c>
      <c r="B471" s="222">
        <v>532507</v>
      </c>
      <c r="C471" s="222" t="s">
        <v>8271</v>
      </c>
      <c r="D471" s="222" t="s">
        <v>2079</v>
      </c>
    </row>
    <row r="472" spans="1:4" x14ac:dyDescent="0.25">
      <c r="A472" s="222" t="s">
        <v>8270</v>
      </c>
      <c r="B472" s="222">
        <v>537766</v>
      </c>
      <c r="C472" s="222" t="s">
        <v>2052</v>
      </c>
      <c r="D472" s="222" t="s">
        <v>1275</v>
      </c>
    </row>
    <row r="473" spans="1:4" x14ac:dyDescent="0.25">
      <c r="A473" s="222" t="s">
        <v>8269</v>
      </c>
      <c r="B473" s="222">
        <v>532719</v>
      </c>
      <c r="C473" s="222" t="s">
        <v>8268</v>
      </c>
      <c r="D473" s="222" t="s">
        <v>1243</v>
      </c>
    </row>
    <row r="474" spans="1:4" x14ac:dyDescent="0.25">
      <c r="A474" s="222" t="s">
        <v>8267</v>
      </c>
      <c r="B474" s="222">
        <v>523019</v>
      </c>
      <c r="C474" s="222" t="s">
        <v>2052</v>
      </c>
      <c r="D474" s="222" t="s">
        <v>1262</v>
      </c>
    </row>
    <row r="475" spans="1:4" x14ac:dyDescent="0.25">
      <c r="A475" s="222" t="s">
        <v>8266</v>
      </c>
      <c r="B475" s="222">
        <v>523186</v>
      </c>
      <c r="C475" s="222" t="s">
        <v>2052</v>
      </c>
      <c r="D475" s="222" t="s">
        <v>1972</v>
      </c>
    </row>
    <row r="476" spans="1:4" x14ac:dyDescent="0.25">
      <c r="A476" s="222" t="s">
        <v>8265</v>
      </c>
      <c r="B476" s="222">
        <v>523186</v>
      </c>
      <c r="C476" s="222" t="s">
        <v>2052</v>
      </c>
      <c r="D476" s="222" t="s">
        <v>1972</v>
      </c>
    </row>
    <row r="477" spans="1:4" x14ac:dyDescent="0.25">
      <c r="A477" s="222" t="s">
        <v>8264</v>
      </c>
      <c r="B477" s="222" t="s">
        <v>2052</v>
      </c>
      <c r="C477" s="222" t="s">
        <v>8263</v>
      </c>
      <c r="D477" s="222" t="s">
        <v>2050</v>
      </c>
    </row>
    <row r="478" spans="1:4" x14ac:dyDescent="0.25">
      <c r="A478" s="222" t="s">
        <v>8262</v>
      </c>
      <c r="B478" s="222">
        <v>542206</v>
      </c>
      <c r="C478" s="222" t="s">
        <v>8261</v>
      </c>
      <c r="D478" s="222" t="s">
        <v>2156</v>
      </c>
    </row>
    <row r="479" spans="1:4" x14ac:dyDescent="0.25">
      <c r="A479" s="222" t="s">
        <v>8260</v>
      </c>
      <c r="B479" s="222">
        <v>531268</v>
      </c>
      <c r="C479" s="222" t="s">
        <v>2052</v>
      </c>
      <c r="D479" s="222" t="s">
        <v>1942</v>
      </c>
    </row>
    <row r="480" spans="1:4" x14ac:dyDescent="0.25">
      <c r="A480" s="222" t="s">
        <v>8259</v>
      </c>
      <c r="B480" s="222">
        <v>532380</v>
      </c>
      <c r="C480" s="222" t="s">
        <v>2052</v>
      </c>
      <c r="D480" s="222" t="s">
        <v>2264</v>
      </c>
    </row>
    <row r="481" spans="1:4" x14ac:dyDescent="0.25">
      <c r="A481" s="222" t="s">
        <v>8258</v>
      </c>
      <c r="B481" s="222">
        <v>524516</v>
      </c>
      <c r="C481" s="222" t="s">
        <v>2052</v>
      </c>
      <c r="D481" s="222" t="s">
        <v>789</v>
      </c>
    </row>
    <row r="482" spans="1:4" x14ac:dyDescent="0.25">
      <c r="A482" s="222" t="s">
        <v>8257</v>
      </c>
      <c r="B482" s="222">
        <v>532989</v>
      </c>
      <c r="C482" s="222" t="s">
        <v>8256</v>
      </c>
      <c r="D482" s="222" t="s">
        <v>789</v>
      </c>
    </row>
    <row r="483" spans="1:4" x14ac:dyDescent="0.25">
      <c r="A483" s="222" t="s">
        <v>8255</v>
      </c>
      <c r="B483" s="222">
        <v>530197</v>
      </c>
      <c r="C483" s="222" t="s">
        <v>2052</v>
      </c>
      <c r="D483" s="222" t="s">
        <v>722</v>
      </c>
    </row>
    <row r="484" spans="1:4" x14ac:dyDescent="0.25">
      <c r="A484" s="222" t="s">
        <v>8254</v>
      </c>
      <c r="B484" s="222">
        <v>511724</v>
      </c>
      <c r="C484" s="222" t="s">
        <v>2052</v>
      </c>
      <c r="D484" s="222" t="s">
        <v>1321</v>
      </c>
    </row>
    <row r="485" spans="1:4" x14ac:dyDescent="0.25">
      <c r="A485" s="222" t="s">
        <v>8253</v>
      </c>
      <c r="B485" s="222">
        <v>532977</v>
      </c>
      <c r="C485" s="222" t="s">
        <v>8252</v>
      </c>
      <c r="D485" s="222" t="s">
        <v>2582</v>
      </c>
    </row>
    <row r="486" spans="1:4" x14ac:dyDescent="0.25">
      <c r="A486" s="222" t="s">
        <v>8251</v>
      </c>
      <c r="B486" s="222" t="s">
        <v>2052</v>
      </c>
      <c r="C486" s="222" t="s">
        <v>8250</v>
      </c>
      <c r="D486" s="222" t="s">
        <v>1542</v>
      </c>
    </row>
    <row r="487" spans="1:4" x14ac:dyDescent="0.25">
      <c r="A487" s="222" t="s">
        <v>8249</v>
      </c>
      <c r="B487" s="222">
        <v>533229</v>
      </c>
      <c r="C487" s="222" t="s">
        <v>8248</v>
      </c>
      <c r="D487" s="222" t="s">
        <v>1542</v>
      </c>
    </row>
    <row r="488" spans="1:4" x14ac:dyDescent="0.25">
      <c r="A488" s="222" t="s">
        <v>8247</v>
      </c>
      <c r="B488" s="222">
        <v>500031</v>
      </c>
      <c r="C488" s="222" t="s">
        <v>8246</v>
      </c>
      <c r="D488" s="222" t="s">
        <v>802</v>
      </c>
    </row>
    <row r="489" spans="1:4" x14ac:dyDescent="0.25">
      <c r="A489" s="222" t="s">
        <v>8245</v>
      </c>
      <c r="B489" s="222">
        <v>500034</v>
      </c>
      <c r="C489" s="222" t="s">
        <v>8244</v>
      </c>
      <c r="D489" s="222" t="s">
        <v>1321</v>
      </c>
    </row>
    <row r="490" spans="1:4" x14ac:dyDescent="0.25">
      <c r="A490" s="222" t="s">
        <v>8243</v>
      </c>
      <c r="B490" s="222">
        <v>532978</v>
      </c>
      <c r="C490" s="222" t="s">
        <v>8242</v>
      </c>
      <c r="D490" s="222" t="s">
        <v>1289</v>
      </c>
    </row>
    <row r="491" spans="1:4" x14ac:dyDescent="0.25">
      <c r="A491" s="222" t="s">
        <v>8241</v>
      </c>
      <c r="B491" s="222">
        <v>512261</v>
      </c>
      <c r="C491" s="222" t="s">
        <v>2052</v>
      </c>
      <c r="D491" s="222" t="s">
        <v>1529</v>
      </c>
    </row>
    <row r="492" spans="1:4" x14ac:dyDescent="0.25">
      <c r="A492" s="222" t="s">
        <v>8240</v>
      </c>
      <c r="B492" s="222">
        <v>539872</v>
      </c>
      <c r="C492" s="222" t="s">
        <v>2052</v>
      </c>
      <c r="D492" s="222" t="s">
        <v>789</v>
      </c>
    </row>
    <row r="493" spans="1:4" x14ac:dyDescent="0.25">
      <c r="A493" s="222" t="s">
        <v>8239</v>
      </c>
      <c r="B493" s="222">
        <v>500032</v>
      </c>
      <c r="C493" s="222" t="s">
        <v>8238</v>
      </c>
      <c r="D493" s="222" t="s">
        <v>1124</v>
      </c>
    </row>
    <row r="494" spans="1:4" x14ac:dyDescent="0.25">
      <c r="A494" s="222" t="s">
        <v>8237</v>
      </c>
      <c r="B494" s="222">
        <v>500490</v>
      </c>
      <c r="C494" s="222" t="s">
        <v>8236</v>
      </c>
      <c r="D494" s="222" t="s">
        <v>1289</v>
      </c>
    </row>
    <row r="495" spans="1:4" x14ac:dyDescent="0.25">
      <c r="A495" s="222" t="s">
        <v>8235</v>
      </c>
      <c r="B495" s="222">
        <v>507944</v>
      </c>
      <c r="C495" s="222" t="s">
        <v>2052</v>
      </c>
      <c r="D495" s="222" t="s">
        <v>832</v>
      </c>
    </row>
    <row r="496" spans="1:4" x14ac:dyDescent="0.25">
      <c r="A496" s="222" t="s">
        <v>8234</v>
      </c>
      <c r="B496" s="222">
        <v>511139</v>
      </c>
      <c r="C496" s="222" t="s">
        <v>2052</v>
      </c>
      <c r="D496" s="222" t="s">
        <v>2068</v>
      </c>
    </row>
    <row r="497" spans="1:4" x14ac:dyDescent="0.25">
      <c r="A497" s="222" t="s">
        <v>8233</v>
      </c>
      <c r="B497" s="222">
        <v>524824</v>
      </c>
      <c r="C497" s="222" t="s">
        <v>8232</v>
      </c>
      <c r="D497" s="222" t="s">
        <v>789</v>
      </c>
    </row>
    <row r="498" spans="1:4" x14ac:dyDescent="0.25">
      <c r="A498" s="222" t="s">
        <v>8231</v>
      </c>
      <c r="B498" s="222">
        <v>530999</v>
      </c>
      <c r="C498" s="222" t="s">
        <v>8230</v>
      </c>
      <c r="D498" s="222" t="s">
        <v>998</v>
      </c>
    </row>
    <row r="499" spans="1:4" x14ac:dyDescent="0.25">
      <c r="A499" s="222" t="s">
        <v>8229</v>
      </c>
      <c r="B499" s="222">
        <v>532382</v>
      </c>
      <c r="C499" s="222" t="s">
        <v>8228</v>
      </c>
      <c r="D499" s="222" t="s">
        <v>2079</v>
      </c>
    </row>
    <row r="500" spans="1:4" x14ac:dyDescent="0.25">
      <c r="A500" s="222" t="s">
        <v>8227</v>
      </c>
      <c r="B500" s="222">
        <v>513142</v>
      </c>
      <c r="C500" s="222" t="s">
        <v>2052</v>
      </c>
      <c r="D500" s="222" t="s">
        <v>2167</v>
      </c>
    </row>
    <row r="501" spans="1:4" x14ac:dyDescent="0.25">
      <c r="A501" s="222" t="s">
        <v>8226</v>
      </c>
      <c r="B501" s="222" t="s">
        <v>2052</v>
      </c>
      <c r="C501" s="222" t="s">
        <v>8225</v>
      </c>
      <c r="D501" s="222" t="s">
        <v>8224</v>
      </c>
    </row>
    <row r="502" spans="1:4" x14ac:dyDescent="0.25">
      <c r="A502" s="222" t="s">
        <v>8223</v>
      </c>
      <c r="B502" s="222">
        <v>539834</v>
      </c>
      <c r="C502" s="222" t="s">
        <v>2052</v>
      </c>
      <c r="D502" s="222" t="s">
        <v>1529</v>
      </c>
    </row>
    <row r="503" spans="1:4" x14ac:dyDescent="0.25">
      <c r="A503" s="222" t="s">
        <v>8222</v>
      </c>
      <c r="B503" s="222">
        <v>502355</v>
      </c>
      <c r="C503" s="222" t="s">
        <v>8221</v>
      </c>
      <c r="D503" s="222" t="s">
        <v>1410</v>
      </c>
    </row>
    <row r="504" spans="1:4" x14ac:dyDescent="0.25">
      <c r="A504" s="222" t="s">
        <v>8220</v>
      </c>
      <c r="B504" s="222">
        <v>539251</v>
      </c>
      <c r="C504" s="222" t="s">
        <v>8219</v>
      </c>
      <c r="D504" s="222" t="s">
        <v>1447</v>
      </c>
    </row>
    <row r="505" spans="1:4" x14ac:dyDescent="0.25">
      <c r="A505" s="222" t="s">
        <v>8218</v>
      </c>
      <c r="B505" s="222">
        <v>500102</v>
      </c>
      <c r="C505" s="222" t="s">
        <v>8217</v>
      </c>
      <c r="D505" s="222" t="s">
        <v>1972</v>
      </c>
    </row>
    <row r="506" spans="1:4" x14ac:dyDescent="0.25">
      <c r="A506" s="222" t="s">
        <v>8216</v>
      </c>
      <c r="B506" s="222">
        <v>523319</v>
      </c>
      <c r="C506" s="222" t="s">
        <v>8215</v>
      </c>
      <c r="D506" s="222" t="s">
        <v>1318</v>
      </c>
    </row>
    <row r="507" spans="1:4" x14ac:dyDescent="0.25">
      <c r="A507" s="222" t="s">
        <v>8214</v>
      </c>
      <c r="B507" s="222">
        <v>532485</v>
      </c>
      <c r="C507" s="222" t="s">
        <v>2052</v>
      </c>
      <c r="D507" s="222" t="s">
        <v>1321</v>
      </c>
    </row>
    <row r="508" spans="1:4" x14ac:dyDescent="0.25">
      <c r="A508" s="222" t="s">
        <v>8213</v>
      </c>
      <c r="B508" s="222">
        <v>500038</v>
      </c>
      <c r="C508" s="222" t="s">
        <v>8212</v>
      </c>
      <c r="D508" s="222" t="s">
        <v>1124</v>
      </c>
    </row>
    <row r="509" spans="1:4" x14ac:dyDescent="0.25">
      <c r="A509" s="222" t="s">
        <v>8211</v>
      </c>
      <c r="B509" s="222">
        <v>520127</v>
      </c>
      <c r="C509" s="222" t="s">
        <v>2052</v>
      </c>
      <c r="D509" s="222" t="s">
        <v>2656</v>
      </c>
    </row>
    <row r="510" spans="1:4" x14ac:dyDescent="0.25">
      <c r="A510" s="222" t="s">
        <v>8210</v>
      </c>
      <c r="B510" s="222">
        <v>519295</v>
      </c>
      <c r="C510" s="222" t="s">
        <v>2052</v>
      </c>
      <c r="D510" s="222" t="s">
        <v>1161</v>
      </c>
    </row>
    <row r="511" spans="1:4" x14ac:dyDescent="0.25">
      <c r="A511" s="222" t="s">
        <v>8209</v>
      </c>
      <c r="B511" s="222">
        <v>531591</v>
      </c>
      <c r="C511" s="222" t="s">
        <v>2052</v>
      </c>
      <c r="D511" s="222" t="s">
        <v>1321</v>
      </c>
    </row>
    <row r="512" spans="1:4" x14ac:dyDescent="0.25">
      <c r="A512" s="222" t="s">
        <v>8208</v>
      </c>
      <c r="B512" s="222">
        <v>526849</v>
      </c>
      <c r="C512" s="222" t="s">
        <v>8207</v>
      </c>
      <c r="D512" s="222" t="s">
        <v>1364</v>
      </c>
    </row>
    <row r="513" spans="1:4" x14ac:dyDescent="0.25">
      <c r="A513" s="222" t="s">
        <v>8206</v>
      </c>
      <c r="B513" s="222">
        <v>509053</v>
      </c>
      <c r="C513" s="222" t="s">
        <v>2052</v>
      </c>
      <c r="D513" s="222" t="s">
        <v>2068</v>
      </c>
    </row>
    <row r="514" spans="1:4" x14ac:dyDescent="0.25">
      <c r="A514" s="222" t="s">
        <v>8205</v>
      </c>
      <c r="B514" s="222">
        <v>500039</v>
      </c>
      <c r="C514" s="222" t="s">
        <v>8204</v>
      </c>
      <c r="D514" s="222" t="s">
        <v>1306</v>
      </c>
    </row>
    <row r="515" spans="1:4" x14ac:dyDescent="0.25">
      <c r="A515" s="222" t="s">
        <v>8203</v>
      </c>
      <c r="B515" s="222">
        <v>541153</v>
      </c>
      <c r="C515" s="222" t="s">
        <v>8202</v>
      </c>
      <c r="D515" s="222" t="s">
        <v>1240</v>
      </c>
    </row>
    <row r="516" spans="1:4" x14ac:dyDescent="0.25">
      <c r="A516" s="222" t="s">
        <v>8201</v>
      </c>
      <c r="B516" s="222">
        <v>532946</v>
      </c>
      <c r="C516" s="222" t="s">
        <v>8200</v>
      </c>
      <c r="D516" s="222" t="s">
        <v>1364</v>
      </c>
    </row>
    <row r="517" spans="1:4" x14ac:dyDescent="0.25">
      <c r="A517" s="222" t="s">
        <v>8199</v>
      </c>
      <c r="B517" s="222">
        <v>539120</v>
      </c>
      <c r="C517" s="222" t="s">
        <v>2052</v>
      </c>
      <c r="D517" s="222" t="s">
        <v>5541</v>
      </c>
    </row>
    <row r="518" spans="1:4" x14ac:dyDescent="0.25">
      <c r="A518" s="222" t="s">
        <v>8198</v>
      </c>
      <c r="B518" s="222">
        <v>532134</v>
      </c>
      <c r="C518" s="222" t="s">
        <v>8197</v>
      </c>
      <c r="D518" s="222" t="s">
        <v>1240</v>
      </c>
    </row>
    <row r="519" spans="1:4" x14ac:dyDescent="0.25">
      <c r="A519" s="222" t="s">
        <v>8196</v>
      </c>
      <c r="B519" s="222">
        <v>532149</v>
      </c>
      <c r="C519" s="222" t="s">
        <v>8195</v>
      </c>
      <c r="D519" s="222" t="s">
        <v>1240</v>
      </c>
    </row>
    <row r="520" spans="1:4" x14ac:dyDescent="0.25">
      <c r="A520" s="222" t="s">
        <v>8194</v>
      </c>
      <c r="B520" s="222">
        <v>532525</v>
      </c>
      <c r="C520" s="222" t="s">
        <v>8193</v>
      </c>
      <c r="D520" s="222" t="s">
        <v>1240</v>
      </c>
    </row>
    <row r="521" spans="1:4" x14ac:dyDescent="0.25">
      <c r="A521" s="222" t="s">
        <v>8192</v>
      </c>
      <c r="B521" s="222" t="s">
        <v>2052</v>
      </c>
      <c r="C521" s="222" t="s">
        <v>8191</v>
      </c>
      <c r="D521" s="222" t="s">
        <v>2050</v>
      </c>
    </row>
    <row r="522" spans="1:4" x14ac:dyDescent="0.25">
      <c r="A522" s="222" t="s">
        <v>8190</v>
      </c>
      <c r="B522" s="222">
        <v>532674</v>
      </c>
      <c r="C522" s="222" t="s">
        <v>8189</v>
      </c>
      <c r="D522" s="222" t="s">
        <v>1237</v>
      </c>
    </row>
    <row r="523" spans="1:4" x14ac:dyDescent="0.25">
      <c r="A523" s="222" t="s">
        <v>8188</v>
      </c>
      <c r="B523" s="222">
        <v>500041</v>
      </c>
      <c r="C523" s="222" t="s">
        <v>8187</v>
      </c>
      <c r="D523" s="222" t="s">
        <v>1124</v>
      </c>
    </row>
    <row r="524" spans="1:4" x14ac:dyDescent="0.25">
      <c r="A524" s="222" t="s">
        <v>8186</v>
      </c>
      <c r="B524" s="222" t="s">
        <v>2052</v>
      </c>
      <c r="C524" s="222" t="s">
        <v>8185</v>
      </c>
      <c r="D524" s="222" t="s">
        <v>2050</v>
      </c>
    </row>
    <row r="525" spans="1:4" x14ac:dyDescent="0.25">
      <c r="A525" s="222" t="s">
        <v>8184</v>
      </c>
      <c r="B525" s="222">
        <v>538546</v>
      </c>
      <c r="C525" s="222" t="s">
        <v>2052</v>
      </c>
      <c r="D525" s="222" t="s">
        <v>740</v>
      </c>
    </row>
    <row r="526" spans="1:4" x14ac:dyDescent="0.25">
      <c r="A526" s="222" t="s">
        <v>8183</v>
      </c>
      <c r="B526" s="222">
        <v>519353</v>
      </c>
      <c r="C526" s="222" t="s">
        <v>2052</v>
      </c>
      <c r="D526" s="222" t="s">
        <v>1400</v>
      </c>
    </row>
    <row r="527" spans="1:4" x14ac:dyDescent="0.25">
      <c r="A527" s="222" t="s">
        <v>8182</v>
      </c>
      <c r="B527" s="222">
        <v>503722</v>
      </c>
      <c r="C527" s="222" t="s">
        <v>8181</v>
      </c>
      <c r="D527" s="222" t="s">
        <v>1237</v>
      </c>
    </row>
    <row r="528" spans="1:4" x14ac:dyDescent="0.25">
      <c r="A528" s="222" t="s">
        <v>8180</v>
      </c>
      <c r="B528" s="222">
        <v>532916</v>
      </c>
      <c r="C528" s="222" t="s">
        <v>8179</v>
      </c>
      <c r="D528" s="222" t="s">
        <v>1004</v>
      </c>
    </row>
    <row r="529" spans="1:4" x14ac:dyDescent="0.25">
      <c r="A529" s="222" t="s">
        <v>8178</v>
      </c>
      <c r="B529" s="222">
        <v>513502</v>
      </c>
      <c r="C529" s="222" t="s">
        <v>2052</v>
      </c>
      <c r="D529" s="222" t="s">
        <v>3661</v>
      </c>
    </row>
    <row r="530" spans="1:4" x14ac:dyDescent="0.25">
      <c r="A530" s="222" t="s">
        <v>8177</v>
      </c>
      <c r="B530" s="222">
        <v>532336</v>
      </c>
      <c r="C530" s="222" t="s">
        <v>2052</v>
      </c>
      <c r="D530" s="222" t="s">
        <v>1942</v>
      </c>
    </row>
    <row r="531" spans="1:4" x14ac:dyDescent="0.25">
      <c r="A531" s="222" t="s">
        <v>8176</v>
      </c>
      <c r="B531" s="222">
        <v>532694</v>
      </c>
      <c r="C531" s="222" t="s">
        <v>8174</v>
      </c>
      <c r="D531" s="222" t="s">
        <v>2068</v>
      </c>
    </row>
    <row r="532" spans="1:4" x14ac:dyDescent="0.25">
      <c r="A532" s="222" t="s">
        <v>8175</v>
      </c>
      <c r="B532" s="222">
        <v>532694</v>
      </c>
      <c r="C532" s="222" t="s">
        <v>8174</v>
      </c>
      <c r="D532" s="222" t="s">
        <v>2068</v>
      </c>
    </row>
    <row r="533" spans="1:4" x14ac:dyDescent="0.25">
      <c r="A533" s="222" t="s">
        <v>8173</v>
      </c>
      <c r="B533" s="222">
        <v>524687</v>
      </c>
      <c r="C533" s="222" t="s">
        <v>2052</v>
      </c>
      <c r="D533" s="222" t="s">
        <v>734</v>
      </c>
    </row>
    <row r="534" spans="1:4" x14ac:dyDescent="0.25">
      <c r="A534" s="222" t="s">
        <v>8172</v>
      </c>
      <c r="B534" s="222">
        <v>524687</v>
      </c>
      <c r="C534" s="222" t="s">
        <v>2052</v>
      </c>
      <c r="D534" s="222" t="s">
        <v>734</v>
      </c>
    </row>
    <row r="535" spans="1:4" x14ac:dyDescent="0.25">
      <c r="A535" s="222" t="s">
        <v>8171</v>
      </c>
      <c r="B535" s="222">
        <v>500042</v>
      </c>
      <c r="C535" s="222" t="s">
        <v>8169</v>
      </c>
      <c r="D535" s="222" t="s">
        <v>722</v>
      </c>
    </row>
    <row r="536" spans="1:4" x14ac:dyDescent="0.25">
      <c r="A536" s="222" t="s">
        <v>8170</v>
      </c>
      <c r="B536" s="222">
        <v>500042</v>
      </c>
      <c r="C536" s="222" t="s">
        <v>8169</v>
      </c>
      <c r="D536" s="222" t="s">
        <v>722</v>
      </c>
    </row>
    <row r="537" spans="1:4" x14ac:dyDescent="0.25">
      <c r="A537" s="222" t="s">
        <v>8168</v>
      </c>
      <c r="B537" s="222">
        <v>500043</v>
      </c>
      <c r="C537" s="222" t="s">
        <v>8167</v>
      </c>
      <c r="D537" s="222" t="s">
        <v>754</v>
      </c>
    </row>
    <row r="538" spans="1:4" x14ac:dyDescent="0.25">
      <c r="A538" s="222" t="s">
        <v>8166</v>
      </c>
      <c r="B538" s="222">
        <v>500043</v>
      </c>
      <c r="C538" s="222" t="s">
        <v>8165</v>
      </c>
      <c r="D538" s="222" t="s">
        <v>754</v>
      </c>
    </row>
    <row r="539" spans="1:4" x14ac:dyDescent="0.25">
      <c r="A539" s="222" t="s">
        <v>8164</v>
      </c>
      <c r="B539" s="222">
        <v>522004</v>
      </c>
      <c r="C539" s="222" t="s">
        <v>2052</v>
      </c>
      <c r="D539" s="222" t="s">
        <v>832</v>
      </c>
    </row>
    <row r="540" spans="1:4" x14ac:dyDescent="0.25">
      <c r="A540" s="222" t="s">
        <v>8163</v>
      </c>
      <c r="B540" s="222">
        <v>506285</v>
      </c>
      <c r="C540" s="222" t="s">
        <v>8162</v>
      </c>
      <c r="D540" s="222" t="s">
        <v>1324</v>
      </c>
    </row>
    <row r="541" spans="1:4" x14ac:dyDescent="0.25">
      <c r="A541" s="222" t="s">
        <v>8161</v>
      </c>
      <c r="B541" s="222">
        <v>539946</v>
      </c>
      <c r="C541" s="222" t="s">
        <v>2052</v>
      </c>
      <c r="D541" s="222" t="s">
        <v>1321</v>
      </c>
    </row>
    <row r="542" spans="1:4" x14ac:dyDescent="0.25">
      <c r="A542" s="222" t="s">
        <v>8160</v>
      </c>
      <c r="B542" s="222">
        <v>517246</v>
      </c>
      <c r="C542" s="222" t="s">
        <v>2052</v>
      </c>
      <c r="D542" s="222" t="s">
        <v>2062</v>
      </c>
    </row>
    <row r="543" spans="1:4" x14ac:dyDescent="0.25">
      <c r="A543" s="222" t="s">
        <v>8159</v>
      </c>
      <c r="B543" s="222">
        <v>517246</v>
      </c>
      <c r="C543" s="222" t="s">
        <v>2052</v>
      </c>
      <c r="D543" s="222" t="s">
        <v>2062</v>
      </c>
    </row>
    <row r="544" spans="1:4" x14ac:dyDescent="0.25">
      <c r="A544" s="222" t="s">
        <v>8158</v>
      </c>
      <c r="B544" s="222">
        <v>539621</v>
      </c>
      <c r="C544" s="222" t="s">
        <v>2052</v>
      </c>
      <c r="D544" s="222" t="s">
        <v>1321</v>
      </c>
    </row>
    <row r="545" spans="1:4" x14ac:dyDescent="0.25">
      <c r="A545" s="222" t="s">
        <v>8157</v>
      </c>
      <c r="B545" s="222">
        <v>524332</v>
      </c>
      <c r="C545" s="222" t="s">
        <v>2052</v>
      </c>
      <c r="D545" s="222" t="s">
        <v>1963</v>
      </c>
    </row>
    <row r="546" spans="1:4" x14ac:dyDescent="0.25">
      <c r="A546" s="222" t="s">
        <v>8156</v>
      </c>
      <c r="B546" s="222">
        <v>542057</v>
      </c>
      <c r="C546" s="222" t="s">
        <v>2052</v>
      </c>
      <c r="D546" s="222" t="s">
        <v>1248</v>
      </c>
    </row>
    <row r="547" spans="1:4" x14ac:dyDescent="0.25">
      <c r="A547" s="222" t="s">
        <v>8155</v>
      </c>
      <c r="B547" s="222">
        <v>524828</v>
      </c>
      <c r="C547" s="222" t="s">
        <v>2052</v>
      </c>
      <c r="D547" s="222" t="s">
        <v>789</v>
      </c>
    </row>
    <row r="548" spans="1:4" x14ac:dyDescent="0.25">
      <c r="A548" s="222" t="s">
        <v>8154</v>
      </c>
      <c r="B548" s="222">
        <v>539447</v>
      </c>
      <c r="C548" s="222" t="s">
        <v>8153</v>
      </c>
      <c r="D548" s="222" t="s">
        <v>1447</v>
      </c>
    </row>
    <row r="549" spans="1:4" x14ac:dyDescent="0.25">
      <c r="A549" s="222" t="s">
        <v>8152</v>
      </c>
      <c r="B549" s="222">
        <v>533270</v>
      </c>
      <c r="C549" s="222" t="s">
        <v>8151</v>
      </c>
      <c r="D549" s="222" t="s">
        <v>740</v>
      </c>
    </row>
    <row r="550" spans="1:4" x14ac:dyDescent="0.25">
      <c r="A550" s="222" t="s">
        <v>8150</v>
      </c>
      <c r="B550" s="222">
        <v>539546</v>
      </c>
      <c r="C550" s="222" t="s">
        <v>2052</v>
      </c>
      <c r="D550" s="222" t="s">
        <v>1529</v>
      </c>
    </row>
    <row r="551" spans="1:4" x14ac:dyDescent="0.25">
      <c r="A551" s="222" t="s">
        <v>8149</v>
      </c>
      <c r="B551" s="222">
        <v>539018</v>
      </c>
      <c r="C551" s="222" t="s">
        <v>2052</v>
      </c>
      <c r="D551" s="222" t="s">
        <v>2167</v>
      </c>
    </row>
    <row r="552" spans="1:4" x14ac:dyDescent="0.25">
      <c r="A552" s="222" t="s">
        <v>8148</v>
      </c>
      <c r="B552" s="222">
        <v>532645</v>
      </c>
      <c r="C552" s="222" t="s">
        <v>2052</v>
      </c>
      <c r="D552" s="222" t="s">
        <v>1529</v>
      </c>
    </row>
    <row r="553" spans="1:4" x14ac:dyDescent="0.25">
      <c r="A553" s="222" t="s">
        <v>8147</v>
      </c>
      <c r="B553" s="222">
        <v>539399</v>
      </c>
      <c r="C553" s="222" t="s">
        <v>2052</v>
      </c>
      <c r="D553" s="222" t="s">
        <v>1237</v>
      </c>
    </row>
    <row r="554" spans="1:4" x14ac:dyDescent="0.25">
      <c r="A554" s="222" t="s">
        <v>8146</v>
      </c>
      <c r="B554" s="222">
        <v>522650</v>
      </c>
      <c r="C554" s="222" t="s">
        <v>2052</v>
      </c>
      <c r="D554" s="222" t="s">
        <v>1395</v>
      </c>
    </row>
    <row r="555" spans="1:4" x14ac:dyDescent="0.25">
      <c r="A555" s="222" t="s">
        <v>8145</v>
      </c>
      <c r="B555" s="222">
        <v>500048</v>
      </c>
      <c r="C555" s="222" t="s">
        <v>8144</v>
      </c>
      <c r="D555" s="222" t="s">
        <v>2450</v>
      </c>
    </row>
    <row r="556" spans="1:4" x14ac:dyDescent="0.25">
      <c r="A556" s="222" t="s">
        <v>8143</v>
      </c>
      <c r="B556" s="222">
        <v>541178</v>
      </c>
      <c r="C556" s="222" t="s">
        <v>2052</v>
      </c>
      <c r="D556" s="222" t="s">
        <v>1395</v>
      </c>
    </row>
    <row r="557" spans="1:4" x14ac:dyDescent="0.25">
      <c r="A557" s="222" t="s">
        <v>8142</v>
      </c>
      <c r="B557" s="222">
        <v>509438</v>
      </c>
      <c r="C557" s="222" t="s">
        <v>2052</v>
      </c>
      <c r="D557" s="222" t="s">
        <v>2128</v>
      </c>
    </row>
    <row r="558" spans="1:4" x14ac:dyDescent="0.25">
      <c r="A558" s="222" t="s">
        <v>8141</v>
      </c>
      <c r="B558" s="222">
        <v>533095</v>
      </c>
      <c r="C558" s="222" t="s">
        <v>2052</v>
      </c>
      <c r="D558" s="222" t="s">
        <v>1321</v>
      </c>
    </row>
    <row r="559" spans="1:4" x14ac:dyDescent="0.25">
      <c r="A559" s="222" t="s">
        <v>8140</v>
      </c>
      <c r="B559" s="222">
        <v>512404</v>
      </c>
      <c r="C559" s="222" t="s">
        <v>2052</v>
      </c>
      <c r="D559" s="222" t="s">
        <v>2167</v>
      </c>
    </row>
    <row r="560" spans="1:4" x14ac:dyDescent="0.25">
      <c r="A560" s="222" t="s">
        <v>8139</v>
      </c>
      <c r="B560" s="222">
        <v>532230</v>
      </c>
      <c r="C560" s="222" t="s">
        <v>2052</v>
      </c>
      <c r="D560" s="222" t="s">
        <v>1237</v>
      </c>
    </row>
    <row r="561" spans="1:4" x14ac:dyDescent="0.25">
      <c r="A561" s="222" t="s">
        <v>8138</v>
      </c>
      <c r="B561" s="222">
        <v>512195</v>
      </c>
      <c r="C561" s="222" t="s">
        <v>2052</v>
      </c>
      <c r="D561" s="222" t="s">
        <v>2068</v>
      </c>
    </row>
    <row r="562" spans="1:4" x14ac:dyDescent="0.25">
      <c r="A562" s="222" t="s">
        <v>8137</v>
      </c>
      <c r="B562" s="222">
        <v>509480</v>
      </c>
      <c r="C562" s="222" t="s">
        <v>8136</v>
      </c>
      <c r="D562" s="222" t="s">
        <v>2714</v>
      </c>
    </row>
    <row r="563" spans="1:4" x14ac:dyDescent="0.25">
      <c r="A563" s="222" t="s">
        <v>8135</v>
      </c>
      <c r="B563" s="222">
        <v>531340</v>
      </c>
      <c r="C563" s="222" t="s">
        <v>2052</v>
      </c>
      <c r="D563" s="222" t="s">
        <v>1262</v>
      </c>
    </row>
    <row r="564" spans="1:4" x14ac:dyDescent="0.25">
      <c r="A564" s="222" t="s">
        <v>8134</v>
      </c>
      <c r="B564" s="222">
        <v>524606</v>
      </c>
      <c r="C564" s="222" t="s">
        <v>2052</v>
      </c>
      <c r="D564" s="222" t="s">
        <v>789</v>
      </c>
    </row>
    <row r="565" spans="1:4" x14ac:dyDescent="0.25">
      <c r="A565" s="222" t="s">
        <v>8133</v>
      </c>
      <c r="B565" s="222">
        <v>531582</v>
      </c>
      <c r="C565" s="222" t="s">
        <v>2052</v>
      </c>
      <c r="D565" s="222" t="s">
        <v>1321</v>
      </c>
    </row>
    <row r="566" spans="1:4" x14ac:dyDescent="0.25">
      <c r="A566" s="222" t="s">
        <v>8132</v>
      </c>
      <c r="B566" s="222">
        <v>508664</v>
      </c>
      <c r="C566" s="222" t="s">
        <v>2052</v>
      </c>
      <c r="D566" s="222" t="s">
        <v>2128</v>
      </c>
    </row>
    <row r="567" spans="1:4" x14ac:dyDescent="0.25">
      <c r="A567" s="222" t="s">
        <v>8131</v>
      </c>
      <c r="B567" s="222" t="s">
        <v>2052</v>
      </c>
      <c r="C567" s="222" t="s">
        <v>8130</v>
      </c>
      <c r="D567" s="222" t="s">
        <v>2050</v>
      </c>
    </row>
    <row r="568" spans="1:4" x14ac:dyDescent="0.25">
      <c r="A568" s="222" t="s">
        <v>8129</v>
      </c>
      <c r="B568" s="222">
        <v>512477</v>
      </c>
      <c r="C568" s="222" t="s">
        <v>2052</v>
      </c>
      <c r="D568" s="222" t="s">
        <v>1237</v>
      </c>
    </row>
    <row r="569" spans="1:4" x14ac:dyDescent="0.25">
      <c r="A569" s="222" t="s">
        <v>8128</v>
      </c>
      <c r="B569" s="222">
        <v>512477</v>
      </c>
      <c r="C569" s="222" t="s">
        <v>2052</v>
      </c>
      <c r="D569" s="222" t="s">
        <v>1237</v>
      </c>
    </row>
    <row r="570" spans="1:4" x14ac:dyDescent="0.25">
      <c r="A570" s="222" t="s">
        <v>8127</v>
      </c>
      <c r="B570" s="222">
        <v>533303</v>
      </c>
      <c r="C570" s="222" t="s">
        <v>8126</v>
      </c>
      <c r="D570" s="222" t="s">
        <v>1289</v>
      </c>
    </row>
    <row r="571" spans="1:4" x14ac:dyDescent="0.25">
      <c r="A571" s="222" t="s">
        <v>8125</v>
      </c>
      <c r="B571" s="222">
        <v>532430</v>
      </c>
      <c r="C571" s="222" t="s">
        <v>8124</v>
      </c>
      <c r="D571" s="222" t="s">
        <v>2380</v>
      </c>
    </row>
    <row r="572" spans="1:4" x14ac:dyDescent="0.25">
      <c r="A572" s="222" t="s">
        <v>8123</v>
      </c>
      <c r="B572" s="222">
        <v>539662</v>
      </c>
      <c r="C572" s="222" t="s">
        <v>2052</v>
      </c>
      <c r="D572" s="222" t="s">
        <v>1321</v>
      </c>
    </row>
    <row r="573" spans="1:4" x14ac:dyDescent="0.25">
      <c r="A573" s="222" t="s">
        <v>8122</v>
      </c>
      <c r="B573" s="222">
        <v>511664</v>
      </c>
      <c r="C573" s="222" t="s">
        <v>2052</v>
      </c>
      <c r="D573" s="222" t="s">
        <v>2264</v>
      </c>
    </row>
    <row r="574" spans="1:4" x14ac:dyDescent="0.25">
      <c r="A574" s="222" t="s">
        <v>8121</v>
      </c>
      <c r="B574" s="222">
        <v>532930</v>
      </c>
      <c r="C574" s="222" t="s">
        <v>8120</v>
      </c>
      <c r="D574" s="222" t="s">
        <v>1066</v>
      </c>
    </row>
    <row r="575" spans="1:4" x14ac:dyDescent="0.25">
      <c r="A575" s="222" t="s">
        <v>8119</v>
      </c>
      <c r="B575" s="222">
        <v>530803</v>
      </c>
      <c r="C575" s="222" t="s">
        <v>8118</v>
      </c>
      <c r="D575" s="222" t="s">
        <v>998</v>
      </c>
    </row>
    <row r="576" spans="1:4" x14ac:dyDescent="0.25">
      <c r="A576" s="222" t="s">
        <v>8117</v>
      </c>
      <c r="B576" s="222">
        <v>531719</v>
      </c>
      <c r="C576" s="222" t="s">
        <v>2052</v>
      </c>
      <c r="D576" s="222" t="s">
        <v>1324</v>
      </c>
    </row>
    <row r="577" spans="1:4" x14ac:dyDescent="0.25">
      <c r="A577" s="222" t="s">
        <v>8116</v>
      </c>
      <c r="B577" s="222">
        <v>504646</v>
      </c>
      <c r="C577" s="222" t="s">
        <v>2052</v>
      </c>
      <c r="D577" s="222" t="s">
        <v>1306</v>
      </c>
    </row>
    <row r="578" spans="1:4" x14ac:dyDescent="0.25">
      <c r="A578" s="222" t="s">
        <v>8115</v>
      </c>
      <c r="B578" s="222">
        <v>509449</v>
      </c>
      <c r="C578" s="222" t="s">
        <v>2052</v>
      </c>
      <c r="D578" s="222" t="s">
        <v>998</v>
      </c>
    </row>
    <row r="579" spans="1:4" x14ac:dyDescent="0.25">
      <c r="A579" s="222" t="s">
        <v>8114</v>
      </c>
      <c r="B579" s="222">
        <v>512296</v>
      </c>
      <c r="C579" s="222" t="s">
        <v>8112</v>
      </c>
      <c r="D579" s="222" t="s">
        <v>3661</v>
      </c>
    </row>
    <row r="580" spans="1:4" x14ac:dyDescent="0.25">
      <c r="A580" s="222" t="s">
        <v>8113</v>
      </c>
      <c r="B580" s="222">
        <v>512296</v>
      </c>
      <c r="C580" s="222" t="s">
        <v>8112</v>
      </c>
      <c r="D580" s="222" t="s">
        <v>3661</v>
      </c>
    </row>
    <row r="581" spans="1:4" x14ac:dyDescent="0.25">
      <c r="A581" s="222" t="s">
        <v>8111</v>
      </c>
      <c r="B581" s="222">
        <v>540621</v>
      </c>
      <c r="C581" s="222" t="s">
        <v>8110</v>
      </c>
      <c r="D581" s="222" t="s">
        <v>1243</v>
      </c>
    </row>
    <row r="582" spans="1:4" x14ac:dyDescent="0.25">
      <c r="A582" s="222" t="s">
        <v>8109</v>
      </c>
      <c r="B582" s="222">
        <v>540545</v>
      </c>
      <c r="C582" s="222" t="s">
        <v>2052</v>
      </c>
      <c r="D582" s="222" t="s">
        <v>1364</v>
      </c>
    </row>
    <row r="583" spans="1:4" x14ac:dyDescent="0.25">
      <c r="A583" s="222" t="s">
        <v>8108</v>
      </c>
      <c r="B583" s="222">
        <v>512608</v>
      </c>
      <c r="C583" s="222" t="s">
        <v>8107</v>
      </c>
      <c r="D583" s="222" t="s">
        <v>1364</v>
      </c>
    </row>
    <row r="584" spans="1:4" x14ac:dyDescent="0.25">
      <c r="A584" s="222" t="s">
        <v>8106</v>
      </c>
      <c r="B584" s="222">
        <v>538576</v>
      </c>
      <c r="C584" s="222" t="s">
        <v>2052</v>
      </c>
      <c r="D584" s="222" t="s">
        <v>1243</v>
      </c>
    </row>
    <row r="585" spans="1:4" x14ac:dyDescent="0.25">
      <c r="A585" s="222" t="s">
        <v>8105</v>
      </c>
      <c r="B585" s="222">
        <v>500052</v>
      </c>
      <c r="C585" s="222" t="s">
        <v>8104</v>
      </c>
      <c r="D585" s="222" t="s">
        <v>722</v>
      </c>
    </row>
    <row r="586" spans="1:4" x14ac:dyDescent="0.25">
      <c r="A586" s="222" t="s">
        <v>8103</v>
      </c>
      <c r="B586" s="222">
        <v>531862</v>
      </c>
      <c r="C586" s="222" t="s">
        <v>2052</v>
      </c>
      <c r="D586" s="222" t="s">
        <v>734</v>
      </c>
    </row>
    <row r="587" spans="1:4" x14ac:dyDescent="0.25">
      <c r="A587" s="222" t="s">
        <v>8102</v>
      </c>
      <c r="B587" s="222">
        <v>511501</v>
      </c>
      <c r="C587" s="222" t="s">
        <v>2052</v>
      </c>
      <c r="D587" s="222" t="s">
        <v>1262</v>
      </c>
    </row>
    <row r="588" spans="1:4" x14ac:dyDescent="0.25">
      <c r="A588" s="222" t="s">
        <v>8101</v>
      </c>
      <c r="B588" s="222">
        <v>503960</v>
      </c>
      <c r="C588" s="222" t="s">
        <v>8100</v>
      </c>
      <c r="D588" s="222" t="s">
        <v>1275</v>
      </c>
    </row>
    <row r="589" spans="1:4" x14ac:dyDescent="0.25">
      <c r="A589" s="222" t="s">
        <v>8099</v>
      </c>
      <c r="B589" s="222">
        <v>541143</v>
      </c>
      <c r="C589" s="222" t="s">
        <v>8098</v>
      </c>
      <c r="D589" s="222" t="s">
        <v>1257</v>
      </c>
    </row>
    <row r="590" spans="1:4" x14ac:dyDescent="0.25">
      <c r="A590" s="222" t="s">
        <v>8097</v>
      </c>
      <c r="B590" s="222">
        <v>500049</v>
      </c>
      <c r="C590" s="222" t="s">
        <v>8096</v>
      </c>
      <c r="D590" s="222" t="s">
        <v>1257</v>
      </c>
    </row>
    <row r="591" spans="1:4" x14ac:dyDescent="0.25">
      <c r="A591" s="222" t="s">
        <v>8095</v>
      </c>
      <c r="B591" s="222">
        <v>533228</v>
      </c>
      <c r="C591" s="222" t="s">
        <v>8094</v>
      </c>
      <c r="D591" s="222" t="s">
        <v>1321</v>
      </c>
    </row>
    <row r="592" spans="1:4" x14ac:dyDescent="0.25">
      <c r="A592" s="222" t="s">
        <v>8093</v>
      </c>
      <c r="B592" s="222">
        <v>500493</v>
      </c>
      <c r="C592" s="222" t="s">
        <v>8092</v>
      </c>
      <c r="D592" s="222" t="s">
        <v>1313</v>
      </c>
    </row>
    <row r="593" spans="1:4" x14ac:dyDescent="0.25">
      <c r="A593" s="222" t="s">
        <v>8091</v>
      </c>
      <c r="B593" s="222">
        <v>505688</v>
      </c>
      <c r="C593" s="222" t="s">
        <v>8090</v>
      </c>
      <c r="D593" s="222" t="s">
        <v>1306</v>
      </c>
    </row>
    <row r="594" spans="1:4" x14ac:dyDescent="0.25">
      <c r="A594" s="222" t="s">
        <v>8089</v>
      </c>
      <c r="B594" s="222">
        <v>500103</v>
      </c>
      <c r="C594" s="222" t="s">
        <v>8088</v>
      </c>
      <c r="D594" s="222" t="s">
        <v>1066</v>
      </c>
    </row>
    <row r="595" spans="1:4" x14ac:dyDescent="0.25">
      <c r="A595" s="222" t="s">
        <v>8087</v>
      </c>
      <c r="B595" s="222">
        <v>524663</v>
      </c>
      <c r="C595" s="222" t="s">
        <v>2052</v>
      </c>
      <c r="D595" s="222" t="s">
        <v>789</v>
      </c>
    </row>
    <row r="596" spans="1:4" x14ac:dyDescent="0.25">
      <c r="A596" s="222" t="s">
        <v>8086</v>
      </c>
      <c r="B596" s="222">
        <v>541096</v>
      </c>
      <c r="C596" s="222" t="s">
        <v>2052</v>
      </c>
      <c r="D596" s="222" t="s">
        <v>789</v>
      </c>
    </row>
    <row r="597" spans="1:4" x14ac:dyDescent="0.25">
      <c r="A597" s="222" t="s">
        <v>8085</v>
      </c>
      <c r="B597" s="222">
        <v>500547</v>
      </c>
      <c r="C597" s="222" t="s">
        <v>8084</v>
      </c>
      <c r="D597" s="222" t="s">
        <v>3740</v>
      </c>
    </row>
    <row r="598" spans="1:4" x14ac:dyDescent="0.25">
      <c r="A598" s="222" t="s">
        <v>8083</v>
      </c>
      <c r="B598" s="222">
        <v>590021</v>
      </c>
      <c r="C598" s="222" t="s">
        <v>8082</v>
      </c>
      <c r="D598" s="222" t="s">
        <v>1324</v>
      </c>
    </row>
    <row r="599" spans="1:4" x14ac:dyDescent="0.25">
      <c r="A599" s="222" t="s">
        <v>8081</v>
      </c>
      <c r="B599" s="222">
        <v>540700</v>
      </c>
      <c r="C599" s="222" t="s">
        <v>8080</v>
      </c>
      <c r="D599" s="222" t="s">
        <v>3887</v>
      </c>
    </row>
    <row r="600" spans="1:4" x14ac:dyDescent="0.25">
      <c r="A600" s="222" t="s">
        <v>8079</v>
      </c>
      <c r="B600" s="222">
        <v>523229</v>
      </c>
      <c r="C600" s="222" t="s">
        <v>2052</v>
      </c>
      <c r="D600" s="222" t="s">
        <v>1306</v>
      </c>
    </row>
    <row r="601" spans="1:4" x14ac:dyDescent="0.25">
      <c r="A601" s="222" t="s">
        <v>8078</v>
      </c>
      <c r="B601" s="222">
        <v>531029</v>
      </c>
      <c r="C601" s="222" t="s">
        <v>2052</v>
      </c>
      <c r="D601" s="222" t="s">
        <v>1529</v>
      </c>
    </row>
    <row r="602" spans="1:4" x14ac:dyDescent="0.25">
      <c r="A602" s="222" t="s">
        <v>8077</v>
      </c>
      <c r="B602" s="222">
        <v>539799</v>
      </c>
      <c r="C602" s="222" t="s">
        <v>8076</v>
      </c>
      <c r="D602" s="222" t="s">
        <v>740</v>
      </c>
    </row>
    <row r="603" spans="1:4" x14ac:dyDescent="0.25">
      <c r="A603" s="222" t="s">
        <v>8075</v>
      </c>
      <c r="B603" s="222">
        <v>532609</v>
      </c>
      <c r="C603" s="222" t="s">
        <v>8074</v>
      </c>
      <c r="D603" s="222" t="s">
        <v>2450</v>
      </c>
    </row>
    <row r="604" spans="1:4" x14ac:dyDescent="0.25">
      <c r="A604" s="222" t="s">
        <v>8073</v>
      </c>
      <c r="B604" s="222">
        <v>533499</v>
      </c>
      <c r="C604" s="222" t="s">
        <v>8072</v>
      </c>
      <c r="D604" s="222" t="s">
        <v>1265</v>
      </c>
    </row>
    <row r="605" spans="1:4" x14ac:dyDescent="0.25">
      <c r="A605" s="222" t="s">
        <v>8071</v>
      </c>
      <c r="B605" s="222">
        <v>532454</v>
      </c>
      <c r="C605" s="222" t="s">
        <v>8070</v>
      </c>
      <c r="D605" s="222" t="s">
        <v>2241</v>
      </c>
    </row>
    <row r="606" spans="1:4" x14ac:dyDescent="0.25">
      <c r="A606" s="222" t="s">
        <v>8069</v>
      </c>
      <c r="B606" s="222">
        <v>534816</v>
      </c>
      <c r="C606" s="222" t="s">
        <v>8068</v>
      </c>
      <c r="D606" s="222" t="s">
        <v>1129</v>
      </c>
    </row>
    <row r="607" spans="1:4" x14ac:dyDescent="0.25">
      <c r="A607" s="222" t="s">
        <v>8067</v>
      </c>
      <c r="B607" s="222">
        <v>526666</v>
      </c>
      <c r="C607" s="222" t="s">
        <v>8066</v>
      </c>
      <c r="D607" s="222" t="s">
        <v>1364</v>
      </c>
    </row>
    <row r="608" spans="1:4" x14ac:dyDescent="0.25">
      <c r="A608" s="222" t="s">
        <v>8065</v>
      </c>
      <c r="B608" s="222">
        <v>524534</v>
      </c>
      <c r="C608" s="222" t="s">
        <v>2052</v>
      </c>
      <c r="D608" s="222" t="s">
        <v>1324</v>
      </c>
    </row>
    <row r="609" spans="1:4" x14ac:dyDescent="0.25">
      <c r="A609" s="222" t="s">
        <v>8064</v>
      </c>
      <c r="B609" s="222">
        <v>540956</v>
      </c>
      <c r="C609" s="222" t="s">
        <v>2052</v>
      </c>
      <c r="D609" s="222" t="s">
        <v>1569</v>
      </c>
    </row>
    <row r="610" spans="1:4" x14ac:dyDescent="0.25">
      <c r="A610" s="222" t="s">
        <v>8063</v>
      </c>
      <c r="B610" s="222">
        <v>540956</v>
      </c>
      <c r="C610" s="222" t="s">
        <v>2052</v>
      </c>
      <c r="D610" s="222" t="s">
        <v>1569</v>
      </c>
    </row>
    <row r="611" spans="1:4" x14ac:dyDescent="0.25">
      <c r="A611" s="222" t="s">
        <v>8062</v>
      </c>
      <c r="B611" s="222">
        <v>514272</v>
      </c>
      <c r="C611" s="222" t="s">
        <v>2052</v>
      </c>
      <c r="D611" s="222" t="s">
        <v>1237</v>
      </c>
    </row>
    <row r="612" spans="1:4" x14ac:dyDescent="0.25">
      <c r="A612" s="222" t="s">
        <v>8061</v>
      </c>
      <c r="B612" s="222">
        <v>533108</v>
      </c>
      <c r="C612" s="222" t="s">
        <v>2052</v>
      </c>
      <c r="D612" s="222" t="s">
        <v>1237</v>
      </c>
    </row>
    <row r="613" spans="1:4" x14ac:dyDescent="0.25">
      <c r="A613" s="222" t="s">
        <v>8060</v>
      </c>
      <c r="B613" s="222">
        <v>506027</v>
      </c>
      <c r="C613" s="222" t="s">
        <v>2052</v>
      </c>
      <c r="D613" s="222" t="s">
        <v>2490</v>
      </c>
    </row>
    <row r="614" spans="1:4" x14ac:dyDescent="0.25">
      <c r="A614" s="222" t="s">
        <v>8059</v>
      </c>
      <c r="B614" s="222">
        <v>500055</v>
      </c>
      <c r="C614" s="222" t="s">
        <v>8058</v>
      </c>
      <c r="D614" s="222" t="s">
        <v>2167</v>
      </c>
    </row>
    <row r="615" spans="1:4" x14ac:dyDescent="0.25">
      <c r="A615" s="222" t="s">
        <v>8057</v>
      </c>
      <c r="B615" s="222">
        <v>540061</v>
      </c>
      <c r="C615" s="222" t="s">
        <v>8056</v>
      </c>
      <c r="D615" s="222" t="s">
        <v>1004</v>
      </c>
    </row>
    <row r="616" spans="1:4" x14ac:dyDescent="0.25">
      <c r="A616" s="222" t="s">
        <v>8055</v>
      </c>
      <c r="B616" s="222">
        <v>500058</v>
      </c>
      <c r="C616" s="222" t="s">
        <v>2052</v>
      </c>
      <c r="D616" s="222" t="s">
        <v>2167</v>
      </c>
    </row>
    <row r="617" spans="1:4" x14ac:dyDescent="0.25">
      <c r="A617" s="222" t="s">
        <v>8054</v>
      </c>
      <c r="B617" s="222">
        <v>524723</v>
      </c>
      <c r="C617" s="222" t="s">
        <v>2052</v>
      </c>
      <c r="D617" s="222" t="s">
        <v>1529</v>
      </c>
    </row>
    <row r="618" spans="1:4" x14ac:dyDescent="0.25">
      <c r="A618" s="222" t="s">
        <v>8053</v>
      </c>
      <c r="B618" s="222">
        <v>533321</v>
      </c>
      <c r="C618" s="222" t="s">
        <v>8052</v>
      </c>
      <c r="D618" s="222" t="s">
        <v>1275</v>
      </c>
    </row>
    <row r="619" spans="1:4" x14ac:dyDescent="0.25">
      <c r="A619" s="222" t="s">
        <v>8051</v>
      </c>
      <c r="B619" s="222">
        <v>526853</v>
      </c>
      <c r="C619" s="222" t="s">
        <v>2052</v>
      </c>
      <c r="D619" s="222" t="s">
        <v>3560</v>
      </c>
    </row>
    <row r="620" spans="1:4" x14ac:dyDescent="0.25">
      <c r="A620" s="222" t="s">
        <v>8050</v>
      </c>
      <c r="B620" s="222">
        <v>505681</v>
      </c>
      <c r="C620" s="222" t="s">
        <v>2052</v>
      </c>
      <c r="D620" s="222" t="s">
        <v>1306</v>
      </c>
    </row>
    <row r="621" spans="1:4" x14ac:dyDescent="0.25">
      <c r="A621" s="222" t="s">
        <v>8049</v>
      </c>
      <c r="B621" s="222">
        <v>500059</v>
      </c>
      <c r="C621" s="222" t="s">
        <v>8048</v>
      </c>
      <c r="D621" s="222" t="s">
        <v>1289</v>
      </c>
    </row>
    <row r="622" spans="1:4" x14ac:dyDescent="0.25">
      <c r="A622" s="222" t="s">
        <v>8047</v>
      </c>
      <c r="B622" s="222">
        <v>523054</v>
      </c>
      <c r="C622" s="222" t="s">
        <v>2052</v>
      </c>
      <c r="D622" s="222" t="s">
        <v>1237</v>
      </c>
    </row>
    <row r="623" spans="1:4" x14ac:dyDescent="0.25">
      <c r="A623" s="222" t="s">
        <v>8046</v>
      </c>
      <c r="B623" s="222">
        <v>540148</v>
      </c>
      <c r="C623" s="222" t="s">
        <v>2052</v>
      </c>
      <c r="D623" s="222" t="s">
        <v>1364</v>
      </c>
    </row>
    <row r="624" spans="1:4" x14ac:dyDescent="0.25">
      <c r="A624" s="222" t="s">
        <v>8045</v>
      </c>
      <c r="B624" s="222">
        <v>514215</v>
      </c>
      <c r="C624" s="222" t="s">
        <v>2052</v>
      </c>
      <c r="D624" s="222" t="s">
        <v>1237</v>
      </c>
    </row>
    <row r="625" spans="1:4" x14ac:dyDescent="0.25">
      <c r="A625" s="222" t="s">
        <v>8044</v>
      </c>
      <c r="B625" s="222">
        <v>535620</v>
      </c>
      <c r="C625" s="222" t="s">
        <v>2052</v>
      </c>
      <c r="D625" s="222" t="s">
        <v>1529</v>
      </c>
    </row>
    <row r="626" spans="1:4" x14ac:dyDescent="0.25">
      <c r="A626" s="222" t="s">
        <v>8043</v>
      </c>
      <c r="B626" s="222">
        <v>534535</v>
      </c>
      <c r="C626" s="222" t="s">
        <v>2052</v>
      </c>
      <c r="D626" s="222" t="s">
        <v>1972</v>
      </c>
    </row>
    <row r="627" spans="1:4" x14ac:dyDescent="0.25">
      <c r="A627" s="222" t="s">
        <v>8042</v>
      </c>
      <c r="B627" s="222">
        <v>532523</v>
      </c>
      <c r="C627" s="222" t="s">
        <v>8041</v>
      </c>
      <c r="D627" s="222" t="s">
        <v>2254</v>
      </c>
    </row>
    <row r="628" spans="1:4" x14ac:dyDescent="0.25">
      <c r="A628" s="222" t="s">
        <v>8040</v>
      </c>
      <c r="B628" s="222">
        <v>524396</v>
      </c>
      <c r="C628" s="222" t="s">
        <v>8039</v>
      </c>
      <c r="D628" s="222" t="s">
        <v>789</v>
      </c>
    </row>
    <row r="629" spans="1:4" x14ac:dyDescent="0.25">
      <c r="A629" s="222" t="s">
        <v>8038</v>
      </c>
      <c r="B629" s="222">
        <v>532330</v>
      </c>
      <c r="C629" s="222" t="s">
        <v>2052</v>
      </c>
      <c r="D629" s="222" t="s">
        <v>1251</v>
      </c>
    </row>
    <row r="630" spans="1:4" x14ac:dyDescent="0.25">
      <c r="A630" s="222" t="s">
        <v>8037</v>
      </c>
      <c r="B630" s="222">
        <v>538364</v>
      </c>
      <c r="C630" s="222" t="s">
        <v>2052</v>
      </c>
      <c r="D630" s="222" t="s">
        <v>1237</v>
      </c>
    </row>
    <row r="631" spans="1:4" x14ac:dyDescent="0.25">
      <c r="A631" s="222" t="s">
        <v>8036</v>
      </c>
      <c r="B631" s="222">
        <v>500060</v>
      </c>
      <c r="C631" s="222" t="s">
        <v>8035</v>
      </c>
      <c r="D631" s="222" t="s">
        <v>1275</v>
      </c>
    </row>
    <row r="632" spans="1:4" x14ac:dyDescent="0.25">
      <c r="A632" s="222" t="s">
        <v>8034</v>
      </c>
      <c r="B632" s="222">
        <v>500335</v>
      </c>
      <c r="C632" s="222" t="s">
        <v>8033</v>
      </c>
      <c r="D632" s="222" t="s">
        <v>1004</v>
      </c>
    </row>
    <row r="633" spans="1:4" x14ac:dyDescent="0.25">
      <c r="A633" s="222" t="s">
        <v>8032</v>
      </c>
      <c r="B633" s="222">
        <v>533006</v>
      </c>
      <c r="C633" s="222" t="s">
        <v>2052</v>
      </c>
      <c r="D633" s="222" t="s">
        <v>1237</v>
      </c>
    </row>
    <row r="634" spans="1:4" x14ac:dyDescent="0.25">
      <c r="A634" s="222" t="s">
        <v>8031</v>
      </c>
      <c r="B634" s="222">
        <v>533006</v>
      </c>
      <c r="C634" s="222" t="s">
        <v>2052</v>
      </c>
      <c r="D634" s="222" t="s">
        <v>1237</v>
      </c>
    </row>
    <row r="635" spans="1:4" x14ac:dyDescent="0.25">
      <c r="A635" s="222" t="s">
        <v>8030</v>
      </c>
      <c r="B635" s="222">
        <v>522105</v>
      </c>
      <c r="C635" s="222" t="s">
        <v>2052</v>
      </c>
      <c r="D635" s="222" t="s">
        <v>832</v>
      </c>
    </row>
    <row r="636" spans="1:4" x14ac:dyDescent="0.25">
      <c r="A636" s="222" t="s">
        <v>8029</v>
      </c>
      <c r="B636" s="222">
        <v>533408</v>
      </c>
      <c r="C636" s="222" t="s">
        <v>8028</v>
      </c>
      <c r="D636" s="222" t="s">
        <v>1262</v>
      </c>
    </row>
    <row r="637" spans="1:4" x14ac:dyDescent="0.25">
      <c r="A637" s="222" t="s">
        <v>8027</v>
      </c>
      <c r="B637" s="222" t="s">
        <v>2052</v>
      </c>
      <c r="C637" s="222" t="s">
        <v>8026</v>
      </c>
      <c r="D637" s="222" t="s">
        <v>1265</v>
      </c>
    </row>
    <row r="638" spans="1:4" x14ac:dyDescent="0.25">
      <c r="A638" s="222" t="s">
        <v>8025</v>
      </c>
      <c r="B638" s="222">
        <v>539043</v>
      </c>
      <c r="C638" s="222" t="s">
        <v>8024</v>
      </c>
      <c r="D638" s="222" t="s">
        <v>1447</v>
      </c>
    </row>
    <row r="639" spans="1:4" x14ac:dyDescent="0.25">
      <c r="A639" s="222" t="s">
        <v>8023</v>
      </c>
      <c r="B639" s="222">
        <v>514183</v>
      </c>
      <c r="C639" s="222" t="s">
        <v>2052</v>
      </c>
      <c r="D639" s="222" t="s">
        <v>722</v>
      </c>
    </row>
    <row r="640" spans="1:4" x14ac:dyDescent="0.25">
      <c r="A640" s="222" t="s">
        <v>8022</v>
      </c>
      <c r="B640" s="222">
        <v>532290</v>
      </c>
      <c r="C640" s="222" t="s">
        <v>8021</v>
      </c>
      <c r="D640" s="222" t="s">
        <v>1262</v>
      </c>
    </row>
    <row r="641" spans="1:4" x14ac:dyDescent="0.25">
      <c r="A641" s="222" t="s">
        <v>8020</v>
      </c>
      <c r="B641" s="222">
        <v>506197</v>
      </c>
      <c r="C641" s="222" t="s">
        <v>8019</v>
      </c>
      <c r="D641" s="222" t="s">
        <v>789</v>
      </c>
    </row>
    <row r="642" spans="1:4" x14ac:dyDescent="0.25">
      <c r="A642" s="222" t="s">
        <v>8018</v>
      </c>
      <c r="B642" s="222">
        <v>526225</v>
      </c>
      <c r="C642" s="222" t="s">
        <v>2052</v>
      </c>
      <c r="D642" s="222" t="s">
        <v>1251</v>
      </c>
    </row>
    <row r="643" spans="1:4" x14ac:dyDescent="0.25">
      <c r="A643" s="222" t="s">
        <v>8017</v>
      </c>
      <c r="B643" s="222">
        <v>513422</v>
      </c>
      <c r="C643" s="222" t="s">
        <v>2052</v>
      </c>
      <c r="D643" s="222" t="s">
        <v>2167</v>
      </c>
    </row>
    <row r="644" spans="1:4" x14ac:dyDescent="0.25">
      <c r="A644" s="222" t="s">
        <v>8016</v>
      </c>
      <c r="B644" s="222">
        <v>531175</v>
      </c>
      <c r="C644" s="222" t="s">
        <v>2052</v>
      </c>
      <c r="D644" s="222" t="s">
        <v>1942</v>
      </c>
    </row>
    <row r="645" spans="1:4" x14ac:dyDescent="0.25">
      <c r="A645" s="222" t="s">
        <v>8015</v>
      </c>
      <c r="B645" s="222">
        <v>540073</v>
      </c>
      <c r="C645" s="222" t="s">
        <v>8014</v>
      </c>
      <c r="D645" s="222" t="s">
        <v>1492</v>
      </c>
    </row>
    <row r="646" spans="1:4" x14ac:dyDescent="0.25">
      <c r="A646" s="222" t="s">
        <v>8013</v>
      </c>
      <c r="B646" s="222">
        <v>502761</v>
      </c>
      <c r="C646" s="222" t="s">
        <v>2052</v>
      </c>
      <c r="D646" s="222" t="s">
        <v>1237</v>
      </c>
    </row>
    <row r="647" spans="1:4" x14ac:dyDescent="0.25">
      <c r="A647" s="222" t="s">
        <v>8012</v>
      </c>
      <c r="B647" s="222" t="s">
        <v>2052</v>
      </c>
      <c r="C647" s="222" t="s">
        <v>8011</v>
      </c>
      <c r="D647" s="222" t="s">
        <v>2197</v>
      </c>
    </row>
    <row r="648" spans="1:4" x14ac:dyDescent="0.25">
      <c r="A648" s="222" t="s">
        <v>8010</v>
      </c>
      <c r="B648" s="222">
        <v>502761</v>
      </c>
      <c r="C648" s="222" t="s">
        <v>2052</v>
      </c>
      <c r="D648" s="222" t="s">
        <v>1237</v>
      </c>
    </row>
    <row r="649" spans="1:4" x14ac:dyDescent="0.25">
      <c r="A649" s="222" t="s">
        <v>8009</v>
      </c>
      <c r="B649" s="222">
        <v>506981</v>
      </c>
      <c r="C649" s="222" t="s">
        <v>2052</v>
      </c>
      <c r="D649" s="222" t="s">
        <v>1237</v>
      </c>
    </row>
    <row r="650" spans="1:4" x14ac:dyDescent="0.25">
      <c r="A650" s="222" t="s">
        <v>8008</v>
      </c>
      <c r="B650" s="222">
        <v>508939</v>
      </c>
      <c r="C650" s="222" t="s">
        <v>2052</v>
      </c>
      <c r="D650" s="222" t="s">
        <v>1321</v>
      </c>
    </row>
    <row r="651" spans="1:4" x14ac:dyDescent="0.25">
      <c r="A651" s="222" t="s">
        <v>8007</v>
      </c>
      <c r="B651" s="222">
        <v>539607</v>
      </c>
      <c r="C651" s="222" t="s">
        <v>2052</v>
      </c>
      <c r="D651" s="222" t="s">
        <v>1942</v>
      </c>
    </row>
    <row r="652" spans="1:4" x14ac:dyDescent="0.25">
      <c r="A652" s="222" t="s">
        <v>8006</v>
      </c>
      <c r="B652" s="222">
        <v>531495</v>
      </c>
      <c r="C652" s="222" t="s">
        <v>8005</v>
      </c>
      <c r="D652" s="222" t="s">
        <v>2128</v>
      </c>
    </row>
    <row r="653" spans="1:4" x14ac:dyDescent="0.25">
      <c r="A653" s="222" t="s">
        <v>8004</v>
      </c>
      <c r="B653" s="222">
        <v>526612</v>
      </c>
      <c r="C653" s="222" t="s">
        <v>8003</v>
      </c>
      <c r="D653" s="222" t="s">
        <v>1329</v>
      </c>
    </row>
    <row r="654" spans="1:4" x14ac:dyDescent="0.25">
      <c r="A654" s="222" t="s">
        <v>8002</v>
      </c>
      <c r="B654" s="222">
        <v>514440</v>
      </c>
      <c r="C654" s="222" t="s">
        <v>2052</v>
      </c>
      <c r="D654" s="222" t="s">
        <v>998</v>
      </c>
    </row>
    <row r="655" spans="1:4" x14ac:dyDescent="0.25">
      <c r="A655" s="222" t="s">
        <v>8001</v>
      </c>
      <c r="B655" s="222">
        <v>500067</v>
      </c>
      <c r="C655" s="222" t="s">
        <v>8000</v>
      </c>
      <c r="D655" s="222" t="s">
        <v>950</v>
      </c>
    </row>
    <row r="656" spans="1:4" x14ac:dyDescent="0.25">
      <c r="A656" s="222" t="s">
        <v>7999</v>
      </c>
      <c r="B656" s="222">
        <v>539637</v>
      </c>
      <c r="C656" s="222" t="s">
        <v>2052</v>
      </c>
      <c r="D656" s="222" t="s">
        <v>1262</v>
      </c>
    </row>
    <row r="657" spans="1:4" x14ac:dyDescent="0.25">
      <c r="A657" s="222" t="s">
        <v>7998</v>
      </c>
      <c r="B657" s="222">
        <v>531713</v>
      </c>
      <c r="C657" s="222" t="s">
        <v>2052</v>
      </c>
      <c r="D657" s="222" t="s">
        <v>2068</v>
      </c>
    </row>
    <row r="658" spans="1:4" x14ac:dyDescent="0.25">
      <c r="A658" s="222" t="s">
        <v>7997</v>
      </c>
      <c r="B658" s="222">
        <v>531420</v>
      </c>
      <c r="C658" s="222" t="s">
        <v>2052</v>
      </c>
      <c r="D658" s="222" t="s">
        <v>2264</v>
      </c>
    </row>
    <row r="659" spans="1:4" x14ac:dyDescent="0.25">
      <c r="A659" s="222" t="s">
        <v>7996</v>
      </c>
      <c r="B659" s="222">
        <v>542669</v>
      </c>
      <c r="C659" s="222" t="s">
        <v>7995</v>
      </c>
      <c r="D659" s="222" t="s">
        <v>5076</v>
      </c>
    </row>
    <row r="660" spans="1:4" x14ac:dyDescent="0.25">
      <c r="A660" s="222" t="s">
        <v>7994</v>
      </c>
      <c r="B660" s="222">
        <v>500069</v>
      </c>
      <c r="C660" s="222" t="s">
        <v>2052</v>
      </c>
      <c r="D660" s="222" t="s">
        <v>1262</v>
      </c>
    </row>
    <row r="661" spans="1:4" x14ac:dyDescent="0.25">
      <c r="A661" s="222" t="s">
        <v>7993</v>
      </c>
      <c r="B661" s="222">
        <v>530809</v>
      </c>
      <c r="C661" s="222" t="s">
        <v>2052</v>
      </c>
      <c r="D661" s="222" t="s">
        <v>2120</v>
      </c>
    </row>
    <row r="662" spans="1:4" x14ac:dyDescent="0.25">
      <c r="A662" s="222" t="s">
        <v>7992</v>
      </c>
      <c r="B662" s="222">
        <v>524370</v>
      </c>
      <c r="C662" s="222" t="s">
        <v>7991</v>
      </c>
      <c r="D662" s="222" t="s">
        <v>722</v>
      </c>
    </row>
    <row r="663" spans="1:4" x14ac:dyDescent="0.25">
      <c r="A663" s="222" t="s">
        <v>7990</v>
      </c>
      <c r="B663" s="222">
        <v>539122</v>
      </c>
      <c r="C663" s="222" t="s">
        <v>2052</v>
      </c>
      <c r="D663" s="222" t="s">
        <v>1265</v>
      </c>
    </row>
    <row r="664" spans="1:4" x14ac:dyDescent="0.25">
      <c r="A664" s="222" t="s">
        <v>7989</v>
      </c>
      <c r="B664" s="222" t="s">
        <v>2052</v>
      </c>
      <c r="C664" s="222" t="s">
        <v>7988</v>
      </c>
      <c r="D664" s="222" t="s">
        <v>2050</v>
      </c>
    </row>
    <row r="665" spans="1:4" x14ac:dyDescent="0.25">
      <c r="A665" s="222" t="s">
        <v>7987</v>
      </c>
      <c r="B665" s="222">
        <v>501425</v>
      </c>
      <c r="C665" s="222" t="s">
        <v>7986</v>
      </c>
      <c r="D665" s="222" t="s">
        <v>1400</v>
      </c>
    </row>
    <row r="666" spans="1:4" x14ac:dyDescent="0.25">
      <c r="A666" s="222" t="s">
        <v>7985</v>
      </c>
      <c r="B666" s="222">
        <v>501430</v>
      </c>
      <c r="C666" s="222" t="s">
        <v>2052</v>
      </c>
      <c r="D666" s="222" t="s">
        <v>1529</v>
      </c>
    </row>
    <row r="667" spans="1:4" x14ac:dyDescent="0.25">
      <c r="A667" s="222" t="s">
        <v>7984</v>
      </c>
      <c r="B667" s="222">
        <v>500020</v>
      </c>
      <c r="C667" s="222" t="s">
        <v>7983</v>
      </c>
      <c r="D667" s="222" t="s">
        <v>1237</v>
      </c>
    </row>
    <row r="668" spans="1:4" x14ac:dyDescent="0.25">
      <c r="A668" s="222" t="s">
        <v>7982</v>
      </c>
      <c r="B668" s="222">
        <v>509470</v>
      </c>
      <c r="C668" s="222" t="s">
        <v>2052</v>
      </c>
      <c r="D668" s="222" t="s">
        <v>4093</v>
      </c>
    </row>
    <row r="669" spans="1:4" x14ac:dyDescent="0.25">
      <c r="A669" s="222" t="s">
        <v>7981</v>
      </c>
      <c r="B669" s="222">
        <v>502216</v>
      </c>
      <c r="C669" s="222" t="s">
        <v>2052</v>
      </c>
      <c r="D669" s="222" t="s">
        <v>1243</v>
      </c>
    </row>
    <row r="670" spans="1:4" x14ac:dyDescent="0.25">
      <c r="A670" s="222" t="s">
        <v>7980</v>
      </c>
      <c r="B670" s="222">
        <v>532678</v>
      </c>
      <c r="C670" s="222" t="s">
        <v>7979</v>
      </c>
      <c r="D670" s="222" t="s">
        <v>1237</v>
      </c>
    </row>
    <row r="671" spans="1:4" x14ac:dyDescent="0.25">
      <c r="A671" s="222" t="s">
        <v>7978</v>
      </c>
      <c r="B671" s="222" t="s">
        <v>2052</v>
      </c>
      <c r="C671" s="222" t="s">
        <v>7977</v>
      </c>
      <c r="D671" s="222" t="s">
        <v>2050</v>
      </c>
    </row>
    <row r="672" spans="1:4" x14ac:dyDescent="0.25">
      <c r="A672" s="222" t="s">
        <v>7976</v>
      </c>
      <c r="B672" s="222">
        <v>504648</v>
      </c>
      <c r="C672" s="222" t="s">
        <v>2052</v>
      </c>
      <c r="D672" s="222" t="s">
        <v>740</v>
      </c>
    </row>
    <row r="673" spans="1:4" x14ac:dyDescent="0.25">
      <c r="A673" s="222" t="s">
        <v>7975</v>
      </c>
      <c r="B673" s="222">
        <v>523133</v>
      </c>
      <c r="C673" s="222" t="s">
        <v>2052</v>
      </c>
      <c r="D673" s="222" t="s">
        <v>1237</v>
      </c>
    </row>
    <row r="674" spans="1:4" x14ac:dyDescent="0.25">
      <c r="A674" s="222" t="s">
        <v>7974</v>
      </c>
      <c r="B674" s="222">
        <v>502219</v>
      </c>
      <c r="C674" s="222" t="s">
        <v>7973</v>
      </c>
      <c r="D674" s="222" t="s">
        <v>822</v>
      </c>
    </row>
    <row r="675" spans="1:4" x14ac:dyDescent="0.25">
      <c r="A675" s="222" t="s">
        <v>7972</v>
      </c>
      <c r="B675" s="222">
        <v>500530</v>
      </c>
      <c r="C675" s="222" t="s">
        <v>7971</v>
      </c>
      <c r="D675" s="222" t="s">
        <v>1306</v>
      </c>
    </row>
    <row r="676" spans="1:4" x14ac:dyDescent="0.25">
      <c r="A676" s="222" t="s">
        <v>7970</v>
      </c>
      <c r="B676" s="222">
        <v>536820</v>
      </c>
      <c r="C676" s="222" t="s">
        <v>2052</v>
      </c>
      <c r="D676" s="222" t="s">
        <v>1942</v>
      </c>
    </row>
    <row r="677" spans="1:4" x14ac:dyDescent="0.25">
      <c r="A677" s="222" t="s">
        <v>7969</v>
      </c>
      <c r="B677" s="222">
        <v>536820</v>
      </c>
      <c r="C677" s="222" t="s">
        <v>2052</v>
      </c>
      <c r="D677" s="222" t="s">
        <v>1942</v>
      </c>
    </row>
    <row r="678" spans="1:4" x14ac:dyDescent="0.25">
      <c r="A678" s="222" t="s">
        <v>7968</v>
      </c>
      <c r="B678" s="222">
        <v>535279</v>
      </c>
      <c r="C678" s="222" t="s">
        <v>2052</v>
      </c>
      <c r="D678" s="222" t="s">
        <v>2490</v>
      </c>
    </row>
    <row r="679" spans="1:4" x14ac:dyDescent="0.25">
      <c r="A679" s="222" t="s">
        <v>7967</v>
      </c>
      <c r="B679" s="222">
        <v>500074</v>
      </c>
      <c r="C679" s="222" t="s">
        <v>7966</v>
      </c>
      <c r="D679" s="222" t="s">
        <v>950</v>
      </c>
    </row>
    <row r="680" spans="1:4" x14ac:dyDescent="0.25">
      <c r="A680" s="222" t="s">
        <v>7965</v>
      </c>
      <c r="B680" s="222">
        <v>505690</v>
      </c>
      <c r="C680" s="222" t="s">
        <v>2052</v>
      </c>
      <c r="D680" s="222" t="s">
        <v>2450</v>
      </c>
    </row>
    <row r="681" spans="1:4" x14ac:dyDescent="0.25">
      <c r="A681" s="222" t="s">
        <v>7964</v>
      </c>
      <c r="B681" s="222">
        <v>535693</v>
      </c>
      <c r="C681" s="222" t="s">
        <v>2052</v>
      </c>
      <c r="D681" s="222" t="s">
        <v>1248</v>
      </c>
    </row>
    <row r="682" spans="1:4" x14ac:dyDescent="0.25">
      <c r="A682" s="222" t="s">
        <v>7963</v>
      </c>
      <c r="B682" s="222" t="s">
        <v>2052</v>
      </c>
      <c r="C682" s="222" t="s">
        <v>857</v>
      </c>
      <c r="D682" s="222" t="s">
        <v>2050</v>
      </c>
    </row>
    <row r="683" spans="1:4" x14ac:dyDescent="0.25">
      <c r="A683" s="222" t="s">
        <v>7962</v>
      </c>
      <c r="B683" s="222">
        <v>531203</v>
      </c>
      <c r="C683" s="222" t="s">
        <v>2052</v>
      </c>
      <c r="D683" s="222" t="s">
        <v>911</v>
      </c>
    </row>
    <row r="684" spans="1:4" x14ac:dyDescent="0.25">
      <c r="A684" s="222" t="s">
        <v>7961</v>
      </c>
      <c r="B684" s="222">
        <v>530207</v>
      </c>
      <c r="C684" s="222" t="s">
        <v>2052</v>
      </c>
      <c r="D684" s="222" t="s">
        <v>789</v>
      </c>
    </row>
    <row r="685" spans="1:4" x14ac:dyDescent="0.25">
      <c r="A685" s="222" t="s">
        <v>7960</v>
      </c>
      <c r="B685" s="222">
        <v>530249</v>
      </c>
      <c r="C685" s="222" t="s">
        <v>2052</v>
      </c>
      <c r="D685" s="222" t="s">
        <v>1262</v>
      </c>
    </row>
    <row r="686" spans="1:4" x14ac:dyDescent="0.25">
      <c r="A686" s="222" t="s">
        <v>7959</v>
      </c>
      <c r="B686" s="222">
        <v>532929</v>
      </c>
      <c r="C686" s="222" t="s">
        <v>7958</v>
      </c>
      <c r="D686" s="222" t="s">
        <v>1243</v>
      </c>
    </row>
    <row r="687" spans="1:4" x14ac:dyDescent="0.25">
      <c r="A687" s="222" t="s">
        <v>7957</v>
      </c>
      <c r="B687" s="222">
        <v>526731</v>
      </c>
      <c r="C687" s="222" t="s">
        <v>2052</v>
      </c>
      <c r="D687" s="222" t="s">
        <v>1447</v>
      </c>
    </row>
    <row r="688" spans="1:4" x14ac:dyDescent="0.25">
      <c r="A688" s="222" t="s">
        <v>7956</v>
      </c>
      <c r="B688" s="222" t="s">
        <v>2052</v>
      </c>
      <c r="C688" s="222" t="s">
        <v>7955</v>
      </c>
      <c r="D688" s="222" t="s">
        <v>2050</v>
      </c>
    </row>
    <row r="689" spans="1:4" x14ac:dyDescent="0.25">
      <c r="A689" s="222" t="s">
        <v>7954</v>
      </c>
      <c r="B689" s="222">
        <v>532368</v>
      </c>
      <c r="C689" s="222" t="s">
        <v>7953</v>
      </c>
      <c r="D689" s="222" t="s">
        <v>1942</v>
      </c>
    </row>
    <row r="690" spans="1:4" x14ac:dyDescent="0.25">
      <c r="A690" s="222" t="s">
        <v>7952</v>
      </c>
      <c r="B690" s="222">
        <v>532113</v>
      </c>
      <c r="C690" s="222" t="s">
        <v>7951</v>
      </c>
      <c r="D690" s="222" t="s">
        <v>1321</v>
      </c>
    </row>
    <row r="691" spans="1:4" x14ac:dyDescent="0.25">
      <c r="A691" s="222" t="s">
        <v>7950</v>
      </c>
      <c r="B691" s="222">
        <v>539434</v>
      </c>
      <c r="C691" s="222" t="s">
        <v>2052</v>
      </c>
      <c r="D691" s="222" t="s">
        <v>1321</v>
      </c>
    </row>
    <row r="692" spans="1:4" x14ac:dyDescent="0.25">
      <c r="A692" s="222" t="s">
        <v>7949</v>
      </c>
      <c r="B692" s="222">
        <v>500825</v>
      </c>
      <c r="C692" s="222" t="s">
        <v>7948</v>
      </c>
      <c r="D692" s="222" t="s">
        <v>1161</v>
      </c>
    </row>
    <row r="693" spans="1:4" x14ac:dyDescent="0.25">
      <c r="A693" s="222" t="s">
        <v>7947</v>
      </c>
      <c r="B693" s="222">
        <v>534731</v>
      </c>
      <c r="C693" s="222" t="s">
        <v>2052</v>
      </c>
      <c r="D693" s="222" t="s">
        <v>1248</v>
      </c>
    </row>
    <row r="694" spans="1:4" x14ac:dyDescent="0.25">
      <c r="A694" s="222" t="s">
        <v>7946</v>
      </c>
      <c r="B694" s="222">
        <v>533543</v>
      </c>
      <c r="C694" s="222" t="s">
        <v>7945</v>
      </c>
      <c r="D694" s="222" t="s">
        <v>789</v>
      </c>
    </row>
    <row r="695" spans="1:4" x14ac:dyDescent="0.25">
      <c r="A695" s="222" t="s">
        <v>7944</v>
      </c>
      <c r="B695" s="222" t="s">
        <v>2052</v>
      </c>
      <c r="C695" s="222" t="s">
        <v>7943</v>
      </c>
      <c r="D695" s="222" t="s">
        <v>2197</v>
      </c>
    </row>
    <row r="696" spans="1:4" x14ac:dyDescent="0.25">
      <c r="A696" s="222" t="s">
        <v>7942</v>
      </c>
      <c r="B696" s="222">
        <v>532123</v>
      </c>
      <c r="C696" s="222" t="s">
        <v>7941</v>
      </c>
      <c r="D696" s="222" t="s">
        <v>1243</v>
      </c>
    </row>
    <row r="697" spans="1:4" x14ac:dyDescent="0.25">
      <c r="A697" s="222" t="s">
        <v>7940</v>
      </c>
      <c r="B697" s="222">
        <v>514045</v>
      </c>
      <c r="C697" s="222" t="s">
        <v>7939</v>
      </c>
      <c r="D697" s="222" t="s">
        <v>1237</v>
      </c>
    </row>
    <row r="698" spans="1:4" x14ac:dyDescent="0.25">
      <c r="A698" s="222" t="s">
        <v>7938</v>
      </c>
      <c r="B698" s="222">
        <v>538789</v>
      </c>
      <c r="C698" s="222" t="s">
        <v>2052</v>
      </c>
      <c r="D698" s="222" t="s">
        <v>5541</v>
      </c>
    </row>
    <row r="699" spans="1:4" x14ac:dyDescent="0.25">
      <c r="A699" s="222" t="s">
        <v>7937</v>
      </c>
      <c r="B699" s="222">
        <v>540006</v>
      </c>
      <c r="C699" s="222" t="s">
        <v>2052</v>
      </c>
      <c r="D699" s="222" t="s">
        <v>1262</v>
      </c>
    </row>
    <row r="700" spans="1:4" x14ac:dyDescent="0.25">
      <c r="A700" s="222" t="s">
        <v>7936</v>
      </c>
      <c r="B700" s="222">
        <v>532931</v>
      </c>
      <c r="C700" s="222" t="s">
        <v>7935</v>
      </c>
      <c r="D700" s="222" t="s">
        <v>1004</v>
      </c>
    </row>
    <row r="701" spans="1:4" x14ac:dyDescent="0.25">
      <c r="A701" s="222" t="s">
        <v>7934</v>
      </c>
      <c r="B701" s="222">
        <v>517421</v>
      </c>
      <c r="C701" s="222" t="s">
        <v>7933</v>
      </c>
      <c r="D701" s="222" t="s">
        <v>802</v>
      </c>
    </row>
    <row r="702" spans="1:4" x14ac:dyDescent="0.25">
      <c r="A702" s="222" t="s">
        <v>7932</v>
      </c>
      <c r="B702" s="222">
        <v>504643</v>
      </c>
      <c r="C702" s="222" t="s">
        <v>2052</v>
      </c>
      <c r="D702" s="222" t="s">
        <v>740</v>
      </c>
    </row>
    <row r="703" spans="1:4" x14ac:dyDescent="0.25">
      <c r="A703" s="222" t="s">
        <v>7931</v>
      </c>
      <c r="B703" s="222">
        <v>532813</v>
      </c>
      <c r="C703" s="222" t="s">
        <v>7930</v>
      </c>
      <c r="D703" s="222" t="s">
        <v>1248</v>
      </c>
    </row>
    <row r="704" spans="1:4" x14ac:dyDescent="0.25">
      <c r="A704" s="222" t="s">
        <v>7929</v>
      </c>
      <c r="B704" s="222">
        <v>507515</v>
      </c>
      <c r="C704" s="222" t="s">
        <v>2052</v>
      </c>
      <c r="D704" s="222" t="s">
        <v>722</v>
      </c>
    </row>
    <row r="705" spans="1:4" x14ac:dyDescent="0.25">
      <c r="A705" s="222" t="s">
        <v>7928</v>
      </c>
      <c r="B705" s="222">
        <v>532321</v>
      </c>
      <c r="C705" s="222" t="s">
        <v>7927</v>
      </c>
      <c r="D705" s="222" t="s">
        <v>789</v>
      </c>
    </row>
    <row r="706" spans="1:4" x14ac:dyDescent="0.25">
      <c r="A706" s="222" t="s">
        <v>7926</v>
      </c>
      <c r="B706" s="222" t="s">
        <v>2052</v>
      </c>
      <c r="C706" s="222" t="s">
        <v>7924</v>
      </c>
      <c r="D706" s="222" t="s">
        <v>2050</v>
      </c>
    </row>
    <row r="707" spans="1:4" x14ac:dyDescent="0.25">
      <c r="A707" s="222" t="s">
        <v>7925</v>
      </c>
      <c r="B707" s="222" t="s">
        <v>2052</v>
      </c>
      <c r="C707" s="222" t="s">
        <v>7924</v>
      </c>
      <c r="D707" s="222" t="s">
        <v>2050</v>
      </c>
    </row>
    <row r="708" spans="1:4" x14ac:dyDescent="0.25">
      <c r="A708" s="222" t="s">
        <v>7923</v>
      </c>
      <c r="B708" s="222">
        <v>517236</v>
      </c>
      <c r="C708" s="222" t="s">
        <v>2052</v>
      </c>
      <c r="D708" s="222" t="s">
        <v>950</v>
      </c>
    </row>
    <row r="709" spans="1:4" x14ac:dyDescent="0.25">
      <c r="A709" s="222" t="s">
        <v>7922</v>
      </c>
      <c r="B709" s="222">
        <v>532386</v>
      </c>
      <c r="C709" s="222" t="s">
        <v>7921</v>
      </c>
      <c r="D709" s="222" t="s">
        <v>1942</v>
      </c>
    </row>
    <row r="710" spans="1:4" x14ac:dyDescent="0.25">
      <c r="A710" s="222" t="s">
        <v>7920</v>
      </c>
      <c r="B710" s="222">
        <v>532801</v>
      </c>
      <c r="C710" s="222" t="s">
        <v>7919</v>
      </c>
      <c r="D710" s="222" t="s">
        <v>1942</v>
      </c>
    </row>
    <row r="711" spans="1:4" x14ac:dyDescent="0.25">
      <c r="A711" s="222" t="s">
        <v>7918</v>
      </c>
      <c r="B711" s="222">
        <v>524440</v>
      </c>
      <c r="C711" s="222" t="s">
        <v>2052</v>
      </c>
      <c r="D711" s="222" t="s">
        <v>998</v>
      </c>
    </row>
    <row r="712" spans="1:4" x14ac:dyDescent="0.25">
      <c r="A712" s="222" t="s">
        <v>7917</v>
      </c>
      <c r="B712" s="222">
        <v>532834</v>
      </c>
      <c r="C712" s="222" t="s">
        <v>7916</v>
      </c>
      <c r="D712" s="222" t="s">
        <v>722</v>
      </c>
    </row>
    <row r="713" spans="1:4" x14ac:dyDescent="0.25">
      <c r="A713" s="222" t="s">
        <v>7915</v>
      </c>
      <c r="B713" s="222">
        <v>538858</v>
      </c>
      <c r="C713" s="222" t="s">
        <v>2052</v>
      </c>
      <c r="D713" s="222" t="s">
        <v>2254</v>
      </c>
    </row>
    <row r="714" spans="1:4" x14ac:dyDescent="0.25">
      <c r="A714" s="222" t="s">
        <v>7914</v>
      </c>
      <c r="B714" s="222">
        <v>540071</v>
      </c>
      <c r="C714" s="222" t="s">
        <v>2052</v>
      </c>
      <c r="D714" s="222" t="s">
        <v>731</v>
      </c>
    </row>
    <row r="715" spans="1:4" x14ac:dyDescent="0.25">
      <c r="A715" s="222" t="s">
        <v>7913</v>
      </c>
      <c r="B715" s="222">
        <v>511196</v>
      </c>
      <c r="C715" s="222" t="s">
        <v>7912</v>
      </c>
      <c r="D715" s="222" t="s">
        <v>2520</v>
      </c>
    </row>
    <row r="716" spans="1:4" x14ac:dyDescent="0.25">
      <c r="A716" s="222" t="s">
        <v>7911</v>
      </c>
      <c r="B716" s="222">
        <v>532483</v>
      </c>
      <c r="C716" s="222" t="s">
        <v>7910</v>
      </c>
      <c r="D716" s="222" t="s">
        <v>1240</v>
      </c>
    </row>
    <row r="717" spans="1:4" x14ac:dyDescent="0.25">
      <c r="A717" s="222" t="s">
        <v>7909</v>
      </c>
      <c r="B717" s="222">
        <v>539304</v>
      </c>
      <c r="C717" s="222" t="s">
        <v>2052</v>
      </c>
      <c r="D717" s="222" t="s">
        <v>1262</v>
      </c>
    </row>
    <row r="718" spans="1:4" x14ac:dyDescent="0.25">
      <c r="A718" s="222" t="s">
        <v>7908</v>
      </c>
      <c r="B718" s="222">
        <v>533267</v>
      </c>
      <c r="C718" s="222" t="s">
        <v>7906</v>
      </c>
      <c r="D718" s="222" t="s">
        <v>1364</v>
      </c>
    </row>
    <row r="719" spans="1:4" x14ac:dyDescent="0.25">
      <c r="A719" s="222" t="s">
        <v>7907</v>
      </c>
      <c r="B719" s="222">
        <v>533267</v>
      </c>
      <c r="C719" s="222" t="s">
        <v>7906</v>
      </c>
      <c r="D719" s="222" t="s">
        <v>1364</v>
      </c>
    </row>
    <row r="720" spans="1:4" x14ac:dyDescent="0.25">
      <c r="A720" s="222" t="s">
        <v>7905</v>
      </c>
      <c r="B720" s="222">
        <v>540710</v>
      </c>
      <c r="C720" s="222" t="s">
        <v>7904</v>
      </c>
      <c r="D720" s="222" t="s">
        <v>1243</v>
      </c>
    </row>
    <row r="721" spans="1:4" x14ac:dyDescent="0.25">
      <c r="A721" s="222" t="s">
        <v>7903</v>
      </c>
      <c r="B721" s="222">
        <v>539198</v>
      </c>
      <c r="C721" s="222" t="s">
        <v>2052</v>
      </c>
      <c r="D721" s="222" t="s">
        <v>1262</v>
      </c>
    </row>
    <row r="722" spans="1:4" x14ac:dyDescent="0.25">
      <c r="A722" s="222" t="s">
        <v>7902</v>
      </c>
      <c r="B722" s="222">
        <v>539198</v>
      </c>
      <c r="C722" s="222" t="s">
        <v>2052</v>
      </c>
      <c r="D722" s="222" t="s">
        <v>1262</v>
      </c>
    </row>
    <row r="723" spans="1:4" x14ac:dyDescent="0.25">
      <c r="A723" s="222" t="s">
        <v>7901</v>
      </c>
      <c r="B723" s="222">
        <v>532938</v>
      </c>
      <c r="C723" s="222" t="s">
        <v>7900</v>
      </c>
      <c r="D723" s="222" t="s">
        <v>1262</v>
      </c>
    </row>
    <row r="724" spans="1:4" x14ac:dyDescent="0.25">
      <c r="A724" s="222" t="s">
        <v>7899</v>
      </c>
      <c r="B724" s="222">
        <v>530879</v>
      </c>
      <c r="C724" s="222" t="s">
        <v>2052</v>
      </c>
      <c r="D724" s="222" t="s">
        <v>1262</v>
      </c>
    </row>
    <row r="725" spans="1:4" x14ac:dyDescent="0.25">
      <c r="A725" s="222" t="s">
        <v>7898</v>
      </c>
      <c r="B725" s="222">
        <v>538476</v>
      </c>
      <c r="C725" s="222" t="s">
        <v>2052</v>
      </c>
      <c r="D725" s="222" t="s">
        <v>1321</v>
      </c>
    </row>
    <row r="726" spans="1:4" x14ac:dyDescent="0.25">
      <c r="A726" s="222" t="s">
        <v>7897</v>
      </c>
      <c r="B726" s="222">
        <v>511505</v>
      </c>
      <c r="C726" s="222" t="s">
        <v>7896</v>
      </c>
      <c r="D726" s="222" t="s">
        <v>1321</v>
      </c>
    </row>
    <row r="727" spans="1:4" x14ac:dyDescent="0.25">
      <c r="A727" s="222" t="s">
        <v>7895</v>
      </c>
      <c r="B727" s="222">
        <v>524742</v>
      </c>
      <c r="C727" s="222" t="s">
        <v>7894</v>
      </c>
      <c r="D727" s="222" t="s">
        <v>789</v>
      </c>
    </row>
    <row r="728" spans="1:4" x14ac:dyDescent="0.25">
      <c r="A728" s="222" t="s">
        <v>7893</v>
      </c>
      <c r="B728" s="222">
        <v>531595</v>
      </c>
      <c r="C728" s="222" t="s">
        <v>7892</v>
      </c>
      <c r="D728" s="222" t="s">
        <v>1321</v>
      </c>
    </row>
    <row r="729" spans="1:4" x14ac:dyDescent="0.25">
      <c r="A729" s="222" t="s">
        <v>7891</v>
      </c>
      <c r="B729" s="222">
        <v>512169</v>
      </c>
      <c r="C729" s="222" t="s">
        <v>2052</v>
      </c>
      <c r="D729" s="222" t="s">
        <v>2068</v>
      </c>
    </row>
    <row r="730" spans="1:4" x14ac:dyDescent="0.25">
      <c r="A730" s="222" t="s">
        <v>7890</v>
      </c>
      <c r="B730" s="222">
        <v>509486</v>
      </c>
      <c r="C730" s="222" t="s">
        <v>2052</v>
      </c>
      <c r="D730" s="222" t="s">
        <v>1251</v>
      </c>
    </row>
    <row r="731" spans="1:4" x14ac:dyDescent="0.25">
      <c r="A731" s="222" t="s">
        <v>7889</v>
      </c>
      <c r="B731" s="222">
        <v>509486</v>
      </c>
      <c r="C731" s="222" t="s">
        <v>2052</v>
      </c>
      <c r="D731" s="222" t="s">
        <v>1251</v>
      </c>
    </row>
    <row r="732" spans="1:4" x14ac:dyDescent="0.25">
      <c r="A732" s="222" t="s">
        <v>7888</v>
      </c>
      <c r="B732" s="222">
        <v>507486</v>
      </c>
      <c r="C732" s="222" t="s">
        <v>2052</v>
      </c>
      <c r="D732" s="222" t="s">
        <v>998</v>
      </c>
    </row>
    <row r="733" spans="1:4" x14ac:dyDescent="0.25">
      <c r="A733" s="222" t="s">
        <v>7887</v>
      </c>
      <c r="B733" s="222">
        <v>538817</v>
      </c>
      <c r="C733" s="222" t="s">
        <v>2052</v>
      </c>
      <c r="D733" s="222" t="s">
        <v>1251</v>
      </c>
    </row>
    <row r="734" spans="1:4" x14ac:dyDescent="0.25">
      <c r="A734" s="222" t="s">
        <v>7886</v>
      </c>
      <c r="B734" s="222">
        <v>536974</v>
      </c>
      <c r="C734" s="222" t="s">
        <v>2052</v>
      </c>
      <c r="D734" s="222" t="s">
        <v>1251</v>
      </c>
    </row>
    <row r="735" spans="1:4" x14ac:dyDescent="0.25">
      <c r="A735" s="222" t="s">
        <v>7885</v>
      </c>
      <c r="B735" s="222">
        <v>540652</v>
      </c>
      <c r="C735" s="222" t="s">
        <v>2052</v>
      </c>
      <c r="D735" s="222" t="s">
        <v>1395</v>
      </c>
    </row>
    <row r="736" spans="1:4" x14ac:dyDescent="0.25">
      <c r="A736" s="222" t="s">
        <v>7884</v>
      </c>
      <c r="B736" s="222">
        <v>513375</v>
      </c>
      <c r="C736" s="222" t="s">
        <v>7883</v>
      </c>
      <c r="D736" s="222" t="s">
        <v>1313</v>
      </c>
    </row>
    <row r="737" spans="1:4" x14ac:dyDescent="0.25">
      <c r="A737" s="222" t="s">
        <v>7882</v>
      </c>
      <c r="B737" s="222">
        <v>534804</v>
      </c>
      <c r="C737" s="222" t="s">
        <v>7881</v>
      </c>
      <c r="D737" s="222" t="s">
        <v>1262</v>
      </c>
    </row>
    <row r="738" spans="1:4" x14ac:dyDescent="0.25">
      <c r="A738" s="222" t="s">
        <v>7880</v>
      </c>
      <c r="B738" s="222">
        <v>533260</v>
      </c>
      <c r="C738" s="222" t="s">
        <v>7879</v>
      </c>
      <c r="D738" s="222" t="s">
        <v>854</v>
      </c>
    </row>
    <row r="739" spans="1:4" x14ac:dyDescent="0.25">
      <c r="A739" s="222" t="s">
        <v>7878</v>
      </c>
      <c r="B739" s="222">
        <v>530609</v>
      </c>
      <c r="C739" s="222" t="s">
        <v>2052</v>
      </c>
      <c r="D739" s="222" t="s">
        <v>1313</v>
      </c>
    </row>
    <row r="740" spans="1:4" x14ac:dyDescent="0.25">
      <c r="A740" s="222" t="s">
        <v>7877</v>
      </c>
      <c r="B740" s="222">
        <v>532282</v>
      </c>
      <c r="C740" s="222" t="s">
        <v>7876</v>
      </c>
      <c r="D740" s="222" t="s">
        <v>1306</v>
      </c>
    </row>
    <row r="741" spans="1:4" x14ac:dyDescent="0.25">
      <c r="A741" s="222" t="s">
        <v>7875</v>
      </c>
      <c r="B741" s="222">
        <v>500870</v>
      </c>
      <c r="C741" s="222" t="s">
        <v>7873</v>
      </c>
      <c r="D741" s="222" t="s">
        <v>2740</v>
      </c>
    </row>
    <row r="742" spans="1:4" x14ac:dyDescent="0.25">
      <c r="A742" s="222" t="s">
        <v>7874</v>
      </c>
      <c r="B742" s="222">
        <v>500870</v>
      </c>
      <c r="C742" s="222" t="s">
        <v>7873</v>
      </c>
      <c r="D742" s="222" t="s">
        <v>2740</v>
      </c>
    </row>
    <row r="743" spans="1:4" x14ac:dyDescent="0.25">
      <c r="A743" s="222" t="s">
        <v>7872</v>
      </c>
      <c r="B743" s="222">
        <v>531682</v>
      </c>
      <c r="C743" s="222" t="s">
        <v>2052</v>
      </c>
      <c r="D743" s="222" t="s">
        <v>1265</v>
      </c>
    </row>
    <row r="744" spans="1:4" x14ac:dyDescent="0.25">
      <c r="A744" s="222" t="s">
        <v>7871</v>
      </c>
      <c r="B744" s="222">
        <v>531158</v>
      </c>
      <c r="C744" s="222" t="s">
        <v>2052</v>
      </c>
      <c r="D744" s="222" t="s">
        <v>1529</v>
      </c>
    </row>
    <row r="745" spans="1:4" x14ac:dyDescent="0.25">
      <c r="A745" s="222" t="s">
        <v>7870</v>
      </c>
      <c r="B745" s="222">
        <v>531900</v>
      </c>
      <c r="C745" s="222" t="s">
        <v>2052</v>
      </c>
      <c r="D745" s="222" t="s">
        <v>1529</v>
      </c>
    </row>
    <row r="746" spans="1:4" x14ac:dyDescent="0.25">
      <c r="A746" s="222" t="s">
        <v>7869</v>
      </c>
      <c r="B746" s="222">
        <v>519600</v>
      </c>
      <c r="C746" s="222" t="s">
        <v>7867</v>
      </c>
      <c r="D746" s="222" t="s">
        <v>1400</v>
      </c>
    </row>
    <row r="747" spans="1:4" x14ac:dyDescent="0.25">
      <c r="A747" s="222" t="s">
        <v>7868</v>
      </c>
      <c r="B747" s="222">
        <v>519600</v>
      </c>
      <c r="C747" s="222" t="s">
        <v>7867</v>
      </c>
      <c r="D747" s="222" t="s">
        <v>1400</v>
      </c>
    </row>
    <row r="748" spans="1:4" x14ac:dyDescent="0.25">
      <c r="A748" s="222" t="s">
        <v>7866</v>
      </c>
      <c r="B748" s="222">
        <v>500878</v>
      </c>
      <c r="C748" s="222" t="s">
        <v>7865</v>
      </c>
      <c r="D748" s="222" t="s">
        <v>1410</v>
      </c>
    </row>
    <row r="749" spans="1:4" x14ac:dyDescent="0.25">
      <c r="A749" s="222" t="s">
        <v>7864</v>
      </c>
      <c r="B749" s="222">
        <v>530789</v>
      </c>
      <c r="C749" s="222" t="s">
        <v>2052</v>
      </c>
      <c r="D749" s="222" t="s">
        <v>1251</v>
      </c>
    </row>
    <row r="750" spans="1:4" x14ac:dyDescent="0.25">
      <c r="A750" s="222" t="s">
        <v>7863</v>
      </c>
      <c r="B750" s="222">
        <v>531119</v>
      </c>
      <c r="C750" s="222" t="s">
        <v>2052</v>
      </c>
      <c r="D750" s="222" t="s">
        <v>1364</v>
      </c>
    </row>
    <row r="751" spans="1:4" x14ac:dyDescent="0.25">
      <c r="A751" s="222" t="s">
        <v>7862</v>
      </c>
      <c r="B751" s="222">
        <v>531119</v>
      </c>
      <c r="C751" s="222" t="s">
        <v>2052</v>
      </c>
      <c r="D751" s="222" t="s">
        <v>1364</v>
      </c>
    </row>
    <row r="752" spans="1:4" x14ac:dyDescent="0.25">
      <c r="A752" s="222" t="s">
        <v>7861</v>
      </c>
      <c r="B752" s="222">
        <v>514171</v>
      </c>
      <c r="C752" s="222" t="s">
        <v>2052</v>
      </c>
      <c r="D752" s="222" t="s">
        <v>2357</v>
      </c>
    </row>
    <row r="753" spans="1:4" x14ac:dyDescent="0.25">
      <c r="A753" s="222" t="s">
        <v>7860</v>
      </c>
      <c r="B753" s="222">
        <v>538734</v>
      </c>
      <c r="C753" s="222" t="s">
        <v>2052</v>
      </c>
      <c r="D753" s="222" t="s">
        <v>1265</v>
      </c>
    </row>
    <row r="754" spans="1:4" x14ac:dyDescent="0.25">
      <c r="A754" s="222" t="s">
        <v>7859</v>
      </c>
      <c r="B754" s="222">
        <v>532695</v>
      </c>
      <c r="C754" s="222" t="s">
        <v>7858</v>
      </c>
      <c r="D754" s="222" t="s">
        <v>1364</v>
      </c>
    </row>
    <row r="755" spans="1:4" x14ac:dyDescent="0.25">
      <c r="A755" s="222" t="s">
        <v>7857</v>
      </c>
      <c r="B755" s="222">
        <v>532871</v>
      </c>
      <c r="C755" s="222" t="s">
        <v>7856</v>
      </c>
      <c r="D755" s="222" t="s">
        <v>2254</v>
      </c>
    </row>
    <row r="756" spans="1:4" x14ac:dyDescent="0.25">
      <c r="A756" s="222" t="s">
        <v>7855</v>
      </c>
      <c r="B756" s="222">
        <v>532701</v>
      </c>
      <c r="C756" s="222" t="s">
        <v>2052</v>
      </c>
      <c r="D756" s="222" t="s">
        <v>1972</v>
      </c>
    </row>
    <row r="757" spans="1:4" x14ac:dyDescent="0.25">
      <c r="A757" s="222" t="s">
        <v>7854</v>
      </c>
      <c r="B757" s="222">
        <v>522251</v>
      </c>
      <c r="C757" s="222" t="s">
        <v>2052</v>
      </c>
      <c r="D757" s="222" t="s">
        <v>832</v>
      </c>
    </row>
    <row r="758" spans="1:4" x14ac:dyDescent="0.25">
      <c r="A758" s="222" t="s">
        <v>7853</v>
      </c>
      <c r="B758" s="222">
        <v>531380</v>
      </c>
      <c r="C758" s="222" t="s">
        <v>2052</v>
      </c>
      <c r="D758" s="222" t="s">
        <v>1547</v>
      </c>
    </row>
    <row r="759" spans="1:4" x14ac:dyDescent="0.25">
      <c r="A759" s="222" t="s">
        <v>7852</v>
      </c>
      <c r="B759" s="222">
        <v>532885</v>
      </c>
      <c r="C759" s="222" t="s">
        <v>7851</v>
      </c>
      <c r="D759" s="222" t="s">
        <v>1240</v>
      </c>
    </row>
    <row r="760" spans="1:4" x14ac:dyDescent="0.25">
      <c r="A760" s="222" t="s">
        <v>7850</v>
      </c>
      <c r="B760" s="222" t="s">
        <v>2052</v>
      </c>
      <c r="C760" s="222" t="s">
        <v>7848</v>
      </c>
      <c r="D760" s="222" t="s">
        <v>2197</v>
      </c>
    </row>
    <row r="761" spans="1:4" x14ac:dyDescent="0.25">
      <c r="A761" s="222" t="s">
        <v>7849</v>
      </c>
      <c r="B761" s="222" t="s">
        <v>2052</v>
      </c>
      <c r="C761" s="222" t="s">
        <v>7848</v>
      </c>
      <c r="D761" s="222" t="s">
        <v>2197</v>
      </c>
    </row>
    <row r="762" spans="1:4" x14ac:dyDescent="0.25">
      <c r="A762" s="222" t="s">
        <v>7847</v>
      </c>
      <c r="B762" s="222">
        <v>501827</v>
      </c>
      <c r="C762" s="222" t="s">
        <v>2052</v>
      </c>
      <c r="D762" s="222" t="s">
        <v>2656</v>
      </c>
    </row>
    <row r="763" spans="1:4" x14ac:dyDescent="0.25">
      <c r="A763" s="222" t="s">
        <v>7846</v>
      </c>
      <c r="B763" s="222">
        <v>501150</v>
      </c>
      <c r="C763" s="222" t="s">
        <v>7845</v>
      </c>
      <c r="D763" s="222" t="s">
        <v>1262</v>
      </c>
    </row>
    <row r="764" spans="1:4" x14ac:dyDescent="0.25">
      <c r="A764" s="222" t="s">
        <v>7844</v>
      </c>
      <c r="B764" s="222">
        <v>517544</v>
      </c>
      <c r="C764" s="222" t="s">
        <v>7843</v>
      </c>
      <c r="D764" s="222" t="s">
        <v>2068</v>
      </c>
    </row>
    <row r="765" spans="1:4" x14ac:dyDescent="0.25">
      <c r="A765" s="222" t="s">
        <v>7842</v>
      </c>
      <c r="B765" s="222">
        <v>500280</v>
      </c>
      <c r="C765" s="222" t="s">
        <v>7841</v>
      </c>
      <c r="D765" s="222" t="s">
        <v>1237</v>
      </c>
    </row>
    <row r="766" spans="1:4" x14ac:dyDescent="0.25">
      <c r="A766" s="222" t="s">
        <v>7840</v>
      </c>
      <c r="B766" s="222">
        <v>500083</v>
      </c>
      <c r="C766" s="222" t="s">
        <v>7839</v>
      </c>
      <c r="D766" s="222" t="s">
        <v>2490</v>
      </c>
    </row>
    <row r="767" spans="1:4" x14ac:dyDescent="0.25">
      <c r="A767" s="222" t="s">
        <v>7838</v>
      </c>
      <c r="B767" s="222">
        <v>532548</v>
      </c>
      <c r="C767" s="222" t="s">
        <v>7836</v>
      </c>
      <c r="D767" s="222" t="s">
        <v>1272</v>
      </c>
    </row>
    <row r="768" spans="1:4" x14ac:dyDescent="0.25">
      <c r="A768" s="222" t="s">
        <v>7837</v>
      </c>
      <c r="B768" s="222">
        <v>532548</v>
      </c>
      <c r="C768" s="222" t="s">
        <v>7836</v>
      </c>
      <c r="D768" s="222" t="s">
        <v>1272</v>
      </c>
    </row>
    <row r="769" spans="1:4" x14ac:dyDescent="0.25">
      <c r="A769" s="222" t="s">
        <v>7835</v>
      </c>
      <c r="B769" s="222">
        <v>500040</v>
      </c>
      <c r="C769" s="222" t="s">
        <v>7834</v>
      </c>
      <c r="D769" s="222" t="s">
        <v>1004</v>
      </c>
    </row>
    <row r="770" spans="1:4" x14ac:dyDescent="0.25">
      <c r="A770" s="222" t="s">
        <v>7833</v>
      </c>
      <c r="B770" s="222">
        <v>530881</v>
      </c>
      <c r="C770" s="222" t="s">
        <v>2052</v>
      </c>
      <c r="D770" s="222" t="s">
        <v>1262</v>
      </c>
    </row>
    <row r="771" spans="1:4" x14ac:dyDescent="0.25">
      <c r="A771" s="222" t="s">
        <v>7832</v>
      </c>
      <c r="B771" s="222">
        <v>532443</v>
      </c>
      <c r="C771" s="222" t="s">
        <v>7831</v>
      </c>
      <c r="D771" s="222" t="s">
        <v>2714</v>
      </c>
    </row>
    <row r="772" spans="1:4" x14ac:dyDescent="0.25">
      <c r="A772" s="222" t="s">
        <v>7830</v>
      </c>
      <c r="B772" s="222">
        <v>532413</v>
      </c>
      <c r="C772" s="222" t="s">
        <v>7829</v>
      </c>
      <c r="D772" s="222" t="s">
        <v>1997</v>
      </c>
    </row>
    <row r="773" spans="1:4" x14ac:dyDescent="0.25">
      <c r="A773" s="222" t="s">
        <v>7828</v>
      </c>
      <c r="B773" s="222">
        <v>512341</v>
      </c>
      <c r="C773" s="222" t="s">
        <v>2052</v>
      </c>
      <c r="D773" s="222" t="s">
        <v>2120</v>
      </c>
    </row>
    <row r="774" spans="1:4" x14ac:dyDescent="0.25">
      <c r="A774" s="222" t="s">
        <v>7827</v>
      </c>
      <c r="B774" s="222">
        <v>500084</v>
      </c>
      <c r="C774" s="222" t="s">
        <v>7826</v>
      </c>
      <c r="D774" s="222" t="s">
        <v>2380</v>
      </c>
    </row>
    <row r="775" spans="1:4" x14ac:dyDescent="0.25">
      <c r="A775" s="222" t="s">
        <v>7825</v>
      </c>
      <c r="B775" s="222" t="s">
        <v>2052</v>
      </c>
      <c r="C775" s="222" t="s">
        <v>7824</v>
      </c>
      <c r="D775" s="222" t="s">
        <v>2647</v>
      </c>
    </row>
    <row r="776" spans="1:4" x14ac:dyDescent="0.25">
      <c r="A776" s="222" t="s">
        <v>7823</v>
      </c>
      <c r="B776" s="222">
        <v>542333</v>
      </c>
      <c r="C776" s="222" t="s">
        <v>7822</v>
      </c>
      <c r="D776" s="222" t="s">
        <v>2647</v>
      </c>
    </row>
    <row r="777" spans="1:4" x14ac:dyDescent="0.25">
      <c r="A777" s="222" t="s">
        <v>7821</v>
      </c>
      <c r="B777" s="222">
        <v>500093</v>
      </c>
      <c r="C777" s="222" t="s">
        <v>7820</v>
      </c>
      <c r="D777" s="222" t="s">
        <v>1066</v>
      </c>
    </row>
    <row r="778" spans="1:4" x14ac:dyDescent="0.25">
      <c r="A778" s="222" t="s">
        <v>7819</v>
      </c>
      <c r="B778" s="222">
        <v>531489</v>
      </c>
      <c r="C778" s="222" t="s">
        <v>2052</v>
      </c>
      <c r="D778" s="222" t="s">
        <v>1942</v>
      </c>
    </row>
    <row r="779" spans="1:4" x14ac:dyDescent="0.25">
      <c r="A779" s="222" t="s">
        <v>7818</v>
      </c>
      <c r="B779" s="222">
        <v>531946</v>
      </c>
      <c r="C779" s="222" t="s">
        <v>2052</v>
      </c>
      <c r="D779" s="222" t="s">
        <v>1972</v>
      </c>
    </row>
    <row r="780" spans="1:4" x14ac:dyDescent="0.25">
      <c r="A780" s="222" t="s">
        <v>7817</v>
      </c>
      <c r="B780" s="222">
        <v>542399</v>
      </c>
      <c r="C780" s="222" t="s">
        <v>7816</v>
      </c>
      <c r="D780" s="222" t="s">
        <v>2128</v>
      </c>
    </row>
    <row r="781" spans="1:4" x14ac:dyDescent="0.25">
      <c r="A781" s="222" t="s">
        <v>7815</v>
      </c>
      <c r="B781" s="222">
        <v>539600</v>
      </c>
      <c r="C781" s="222" t="s">
        <v>2052</v>
      </c>
      <c r="D781" s="222" t="s">
        <v>1529</v>
      </c>
    </row>
    <row r="782" spans="1:4" x14ac:dyDescent="0.25">
      <c r="A782" s="222" t="s">
        <v>7814</v>
      </c>
      <c r="B782" s="222">
        <v>530307</v>
      </c>
      <c r="C782" s="222" t="s">
        <v>2052</v>
      </c>
      <c r="D782" s="222" t="s">
        <v>731</v>
      </c>
    </row>
    <row r="783" spans="1:4" x14ac:dyDescent="0.25">
      <c r="A783" s="222" t="s">
        <v>7813</v>
      </c>
      <c r="B783" s="222">
        <v>512301</v>
      </c>
      <c r="C783" s="222" t="s">
        <v>2052</v>
      </c>
      <c r="D783" s="222" t="s">
        <v>1529</v>
      </c>
    </row>
    <row r="784" spans="1:4" x14ac:dyDescent="0.25">
      <c r="A784" s="222" t="s">
        <v>7812</v>
      </c>
      <c r="B784" s="222">
        <v>500085</v>
      </c>
      <c r="C784" s="222" t="s">
        <v>7811</v>
      </c>
      <c r="D784" s="222" t="s">
        <v>734</v>
      </c>
    </row>
    <row r="785" spans="1:4" x14ac:dyDescent="0.25">
      <c r="A785" s="222" t="s">
        <v>7810</v>
      </c>
      <c r="B785" s="222">
        <v>542627</v>
      </c>
      <c r="C785" s="222" t="s">
        <v>7809</v>
      </c>
      <c r="D785" s="222" t="s">
        <v>2156</v>
      </c>
    </row>
    <row r="786" spans="1:4" x14ac:dyDescent="0.25">
      <c r="A786" s="222" t="s">
        <v>7808</v>
      </c>
      <c r="B786" s="222">
        <v>522292</v>
      </c>
      <c r="C786" s="222" t="s">
        <v>2052</v>
      </c>
      <c r="D786" s="222" t="s">
        <v>1237</v>
      </c>
    </row>
    <row r="787" spans="1:4" x14ac:dyDescent="0.25">
      <c r="A787" s="222" t="s">
        <v>7807</v>
      </c>
      <c r="B787" s="222">
        <v>530309</v>
      </c>
      <c r="C787" s="222" t="s">
        <v>2052</v>
      </c>
      <c r="D787" s="222" t="s">
        <v>1529</v>
      </c>
    </row>
    <row r="788" spans="1:4" x14ac:dyDescent="0.25">
      <c r="A788" s="222" t="s">
        <v>7806</v>
      </c>
      <c r="B788" s="222">
        <v>540829</v>
      </c>
      <c r="C788" s="222" t="s">
        <v>2052</v>
      </c>
      <c r="D788" s="222" t="s">
        <v>1529</v>
      </c>
    </row>
    <row r="789" spans="1:4" x14ac:dyDescent="0.25">
      <c r="A789" s="222" t="s">
        <v>7805</v>
      </c>
      <c r="B789" s="222">
        <v>535142</v>
      </c>
      <c r="C789" s="222" t="s">
        <v>2052</v>
      </c>
      <c r="D789" s="222" t="s">
        <v>2264</v>
      </c>
    </row>
    <row r="790" spans="1:4" x14ac:dyDescent="0.25">
      <c r="A790" s="222" t="s">
        <v>7804</v>
      </c>
      <c r="B790" s="222">
        <v>531327</v>
      </c>
      <c r="C790" s="222" t="s">
        <v>2052</v>
      </c>
      <c r="D790" s="222" t="s">
        <v>1262</v>
      </c>
    </row>
    <row r="791" spans="1:4" x14ac:dyDescent="0.25">
      <c r="A791" s="222" t="s">
        <v>7803</v>
      </c>
      <c r="B791" s="222">
        <v>511696</v>
      </c>
      <c r="C791" s="222" t="s">
        <v>2052</v>
      </c>
      <c r="D791" s="222" t="s">
        <v>1262</v>
      </c>
    </row>
    <row r="792" spans="1:4" x14ac:dyDescent="0.25">
      <c r="A792" s="222" t="s">
        <v>7802</v>
      </c>
      <c r="B792" s="222">
        <v>531977</v>
      </c>
      <c r="C792" s="222" t="s">
        <v>2052</v>
      </c>
      <c r="D792" s="222" t="s">
        <v>2656</v>
      </c>
    </row>
    <row r="793" spans="1:4" x14ac:dyDescent="0.25">
      <c r="A793" s="222" t="s">
        <v>7801</v>
      </c>
      <c r="B793" s="222">
        <v>504671</v>
      </c>
      <c r="C793" s="222" t="s">
        <v>2052</v>
      </c>
      <c r="D793" s="222" t="s">
        <v>2167</v>
      </c>
    </row>
    <row r="794" spans="1:4" x14ac:dyDescent="0.25">
      <c r="A794" s="222" t="s">
        <v>7800</v>
      </c>
      <c r="B794" s="222">
        <v>539800</v>
      </c>
      <c r="C794" s="222" t="s">
        <v>2052</v>
      </c>
      <c r="D794" s="222" t="s">
        <v>1529</v>
      </c>
    </row>
    <row r="795" spans="1:4" x14ac:dyDescent="0.25">
      <c r="A795" s="222" t="s">
        <v>7799</v>
      </c>
      <c r="B795" s="222">
        <v>526917</v>
      </c>
      <c r="C795" s="222" t="s">
        <v>2052</v>
      </c>
      <c r="D795" s="222" t="s">
        <v>1243</v>
      </c>
    </row>
    <row r="796" spans="1:4" x14ac:dyDescent="0.25">
      <c r="A796" s="222" t="s">
        <v>7798</v>
      </c>
      <c r="B796" s="222">
        <v>530871</v>
      </c>
      <c r="C796" s="222" t="s">
        <v>2052</v>
      </c>
      <c r="D796" s="222" t="s">
        <v>722</v>
      </c>
    </row>
    <row r="797" spans="1:4" x14ac:dyDescent="0.25">
      <c r="A797" s="222" t="s">
        <v>7797</v>
      </c>
      <c r="B797" s="222">
        <v>540395</v>
      </c>
      <c r="C797" s="222" t="s">
        <v>2052</v>
      </c>
      <c r="D797" s="222" t="s">
        <v>722</v>
      </c>
    </row>
    <row r="798" spans="1:4" x14ac:dyDescent="0.25">
      <c r="A798" s="222" t="s">
        <v>7796</v>
      </c>
      <c r="B798" s="222">
        <v>541269</v>
      </c>
      <c r="C798" s="222" t="s">
        <v>7795</v>
      </c>
      <c r="D798" s="222" t="s">
        <v>998</v>
      </c>
    </row>
    <row r="799" spans="1:4" x14ac:dyDescent="0.25">
      <c r="A799" s="222" t="s">
        <v>7794</v>
      </c>
      <c r="B799" s="222">
        <v>539230</v>
      </c>
      <c r="C799" s="222" t="s">
        <v>2052</v>
      </c>
      <c r="D799" s="222" t="s">
        <v>722</v>
      </c>
    </row>
    <row r="800" spans="1:4" x14ac:dyDescent="0.25">
      <c r="A800" s="222" t="s">
        <v>7793</v>
      </c>
      <c r="B800" s="222">
        <v>506365</v>
      </c>
      <c r="C800" s="222" t="s">
        <v>2052</v>
      </c>
      <c r="D800" s="222" t="s">
        <v>789</v>
      </c>
    </row>
    <row r="801" spans="1:4" x14ac:dyDescent="0.25">
      <c r="A801" s="222" t="s">
        <v>7792</v>
      </c>
      <c r="B801" s="222">
        <v>537326</v>
      </c>
      <c r="C801" s="222" t="s">
        <v>2052</v>
      </c>
      <c r="D801" s="222" t="s">
        <v>832</v>
      </c>
    </row>
    <row r="802" spans="1:4" x14ac:dyDescent="0.25">
      <c r="A802" s="222" t="s">
        <v>7791</v>
      </c>
      <c r="B802" s="222">
        <v>539011</v>
      </c>
      <c r="C802" s="222" t="s">
        <v>2052</v>
      </c>
      <c r="D802" s="222" t="s">
        <v>2167</v>
      </c>
    </row>
    <row r="803" spans="1:4" x14ac:dyDescent="0.25">
      <c r="A803" s="222" t="s">
        <v>7790</v>
      </c>
      <c r="B803" s="222">
        <v>523489</v>
      </c>
      <c r="C803" s="222" t="s">
        <v>2052</v>
      </c>
      <c r="D803" s="222" t="s">
        <v>1425</v>
      </c>
    </row>
    <row r="804" spans="1:4" x14ac:dyDescent="0.25">
      <c r="A804" s="222" t="s">
        <v>7789</v>
      </c>
      <c r="B804" s="222">
        <v>500110</v>
      </c>
      <c r="C804" s="222" t="s">
        <v>7788</v>
      </c>
      <c r="D804" s="222" t="s">
        <v>3740</v>
      </c>
    </row>
    <row r="805" spans="1:4" x14ac:dyDescent="0.25">
      <c r="A805" s="222" t="s">
        <v>7787</v>
      </c>
      <c r="B805" s="222">
        <v>526817</v>
      </c>
      <c r="C805" s="222" t="s">
        <v>2052</v>
      </c>
      <c r="D805" s="222" t="s">
        <v>5541</v>
      </c>
    </row>
    <row r="806" spans="1:4" x14ac:dyDescent="0.25">
      <c r="A806" s="222" t="s">
        <v>7786</v>
      </c>
      <c r="B806" s="222">
        <v>521244</v>
      </c>
      <c r="C806" s="222" t="s">
        <v>2052</v>
      </c>
      <c r="D806" s="222" t="s">
        <v>1237</v>
      </c>
    </row>
    <row r="807" spans="1:4" x14ac:dyDescent="0.25">
      <c r="A807" s="222" t="s">
        <v>7785</v>
      </c>
      <c r="B807" s="222">
        <v>532992</v>
      </c>
      <c r="C807" s="222" t="s">
        <v>2052</v>
      </c>
      <c r="D807" s="222" t="s">
        <v>2128</v>
      </c>
    </row>
    <row r="808" spans="1:4" x14ac:dyDescent="0.25">
      <c r="A808" s="222" t="s">
        <v>7784</v>
      </c>
      <c r="B808" s="222">
        <v>531358</v>
      </c>
      <c r="C808" s="222" t="s">
        <v>2052</v>
      </c>
      <c r="D808" s="222" t="s">
        <v>1321</v>
      </c>
    </row>
    <row r="809" spans="1:4" x14ac:dyDescent="0.25">
      <c r="A809" s="222" t="s">
        <v>7783</v>
      </c>
      <c r="B809" s="222">
        <v>530427</v>
      </c>
      <c r="C809" s="222" t="s">
        <v>2052</v>
      </c>
      <c r="D809" s="222" t="s">
        <v>1407</v>
      </c>
    </row>
    <row r="810" spans="1:4" x14ac:dyDescent="0.25">
      <c r="A810" s="222" t="s">
        <v>7782</v>
      </c>
      <c r="B810" s="222">
        <v>526546</v>
      </c>
      <c r="C810" s="222" t="s">
        <v>2052</v>
      </c>
      <c r="D810" s="222" t="s">
        <v>1425</v>
      </c>
    </row>
    <row r="811" spans="1:4" x14ac:dyDescent="0.25">
      <c r="A811" s="222" t="s">
        <v>7781</v>
      </c>
      <c r="B811" s="222">
        <v>511243</v>
      </c>
      <c r="C811" s="222" t="s">
        <v>7780</v>
      </c>
      <c r="D811" s="222" t="s">
        <v>1321</v>
      </c>
    </row>
    <row r="812" spans="1:4" x14ac:dyDescent="0.25">
      <c r="A812" s="222" t="s">
        <v>7779</v>
      </c>
      <c r="B812" s="222">
        <v>511243</v>
      </c>
      <c r="C812" s="222" t="s">
        <v>7778</v>
      </c>
      <c r="D812" s="222" t="s">
        <v>1321</v>
      </c>
    </row>
    <row r="813" spans="1:4" x14ac:dyDescent="0.25">
      <c r="A813" s="222" t="s">
        <v>7777</v>
      </c>
      <c r="B813" s="222">
        <v>519475</v>
      </c>
      <c r="C813" s="222" t="s">
        <v>2052</v>
      </c>
      <c r="D813" s="222" t="s">
        <v>1083</v>
      </c>
    </row>
    <row r="814" spans="1:4" x14ac:dyDescent="0.25">
      <c r="A814" s="222" t="s">
        <v>7776</v>
      </c>
      <c r="B814" s="222">
        <v>540681</v>
      </c>
      <c r="C814" s="222" t="s">
        <v>2052</v>
      </c>
      <c r="D814" s="222" t="s">
        <v>1161</v>
      </c>
    </row>
    <row r="815" spans="1:4" x14ac:dyDescent="0.25">
      <c r="A815" s="222" t="s">
        <v>7775</v>
      </c>
      <c r="B815" s="222">
        <v>501833</v>
      </c>
      <c r="C815" s="222" t="s">
        <v>2052</v>
      </c>
      <c r="D815" s="222" t="s">
        <v>1112</v>
      </c>
    </row>
    <row r="816" spans="1:4" x14ac:dyDescent="0.25">
      <c r="A816" s="222" t="s">
        <v>7774</v>
      </c>
      <c r="B816" s="222">
        <v>539335</v>
      </c>
      <c r="C816" s="222" t="s">
        <v>2052</v>
      </c>
      <c r="D816" s="222" t="s">
        <v>1529</v>
      </c>
    </row>
    <row r="817" spans="1:4" x14ac:dyDescent="0.25">
      <c r="A817" s="222" t="s">
        <v>7773</v>
      </c>
      <c r="B817" s="222">
        <v>530191</v>
      </c>
      <c r="C817" s="222" t="s">
        <v>7771</v>
      </c>
      <c r="D817" s="222" t="s">
        <v>722</v>
      </c>
    </row>
    <row r="818" spans="1:4" x14ac:dyDescent="0.25">
      <c r="A818" s="222" t="s">
        <v>7772</v>
      </c>
      <c r="B818" s="222">
        <v>530191</v>
      </c>
      <c r="C818" s="222" t="s">
        <v>7771</v>
      </c>
      <c r="D818" s="222" t="s">
        <v>722</v>
      </c>
    </row>
    <row r="819" spans="1:4" x14ac:dyDescent="0.25">
      <c r="A819" s="222" t="s">
        <v>7770</v>
      </c>
      <c r="B819" s="222">
        <v>519477</v>
      </c>
      <c r="C819" s="222" t="s">
        <v>2052</v>
      </c>
      <c r="D819" s="222" t="s">
        <v>1963</v>
      </c>
    </row>
    <row r="820" spans="1:4" x14ac:dyDescent="0.25">
      <c r="A820" s="222" t="s">
        <v>7769</v>
      </c>
      <c r="B820" s="222">
        <v>542678</v>
      </c>
      <c r="C820" s="222" t="s">
        <v>7768</v>
      </c>
      <c r="D820" s="222" t="s">
        <v>789</v>
      </c>
    </row>
    <row r="821" spans="1:4" x14ac:dyDescent="0.25">
      <c r="A821" s="222" t="s">
        <v>7767</v>
      </c>
      <c r="B821" s="222">
        <v>534758</v>
      </c>
      <c r="C821" s="222" t="s">
        <v>7766</v>
      </c>
      <c r="D821" s="222" t="s">
        <v>1265</v>
      </c>
    </row>
    <row r="822" spans="1:4" x14ac:dyDescent="0.25">
      <c r="A822" s="222" t="s">
        <v>7765</v>
      </c>
      <c r="B822" s="222">
        <v>533407</v>
      </c>
      <c r="C822" s="222" t="s">
        <v>7764</v>
      </c>
      <c r="D822" s="222" t="s">
        <v>1237</v>
      </c>
    </row>
    <row r="823" spans="1:4" x14ac:dyDescent="0.25">
      <c r="A823" s="222" t="s">
        <v>7763</v>
      </c>
      <c r="B823" s="222">
        <v>530829</v>
      </c>
      <c r="C823" s="222" t="s">
        <v>2052</v>
      </c>
      <c r="D823" s="222" t="s">
        <v>1321</v>
      </c>
    </row>
    <row r="824" spans="1:4" x14ac:dyDescent="0.25">
      <c r="A824" s="222" t="s">
        <v>7762</v>
      </c>
      <c r="B824" s="222">
        <v>505230</v>
      </c>
      <c r="C824" s="222" t="s">
        <v>7761</v>
      </c>
      <c r="D824" s="222" t="s">
        <v>1318</v>
      </c>
    </row>
    <row r="825" spans="1:4" x14ac:dyDescent="0.25">
      <c r="A825" s="222" t="s">
        <v>7760</v>
      </c>
      <c r="B825" s="222">
        <v>531283</v>
      </c>
      <c r="C825" s="222" t="s">
        <v>2052</v>
      </c>
      <c r="D825" s="222" t="s">
        <v>1321</v>
      </c>
    </row>
    <row r="826" spans="1:4" x14ac:dyDescent="0.25">
      <c r="A826" s="222" t="s">
        <v>7759</v>
      </c>
      <c r="B826" s="222">
        <v>526373</v>
      </c>
      <c r="C826" s="222" t="s">
        <v>2052</v>
      </c>
      <c r="D826" s="222" t="s">
        <v>2128</v>
      </c>
    </row>
    <row r="827" spans="1:4" x14ac:dyDescent="0.25">
      <c r="A827" s="222" t="s">
        <v>7758</v>
      </c>
      <c r="B827" s="222">
        <v>532807</v>
      </c>
      <c r="C827" s="222" t="s">
        <v>7756</v>
      </c>
      <c r="D827" s="222" t="s">
        <v>1569</v>
      </c>
    </row>
    <row r="828" spans="1:4" x14ac:dyDescent="0.25">
      <c r="A828" s="222" t="s">
        <v>7757</v>
      </c>
      <c r="B828" s="222">
        <v>532807</v>
      </c>
      <c r="C828" s="222" t="s">
        <v>7756</v>
      </c>
      <c r="D828" s="222" t="s">
        <v>1569</v>
      </c>
    </row>
    <row r="829" spans="1:4" x14ac:dyDescent="0.25">
      <c r="A829" s="222" t="s">
        <v>7755</v>
      </c>
      <c r="B829" s="222">
        <v>530457</v>
      </c>
      <c r="C829" s="222" t="s">
        <v>2052</v>
      </c>
      <c r="D829" s="222" t="s">
        <v>2264</v>
      </c>
    </row>
    <row r="830" spans="1:4" x14ac:dyDescent="0.25">
      <c r="A830" s="222" t="s">
        <v>7754</v>
      </c>
      <c r="B830" s="222">
        <v>532324</v>
      </c>
      <c r="C830" s="222" t="s">
        <v>7753</v>
      </c>
      <c r="D830" s="222" t="s">
        <v>2264</v>
      </c>
    </row>
    <row r="831" spans="1:4" x14ac:dyDescent="0.25">
      <c r="A831" s="222" t="s">
        <v>7752</v>
      </c>
      <c r="B831" s="222">
        <v>500087</v>
      </c>
      <c r="C831" s="222" t="s">
        <v>7751</v>
      </c>
      <c r="D831" s="222" t="s">
        <v>789</v>
      </c>
    </row>
    <row r="832" spans="1:4" x14ac:dyDescent="0.25">
      <c r="A832" s="222" t="s">
        <v>7750</v>
      </c>
      <c r="B832" s="222">
        <v>531775</v>
      </c>
      <c r="C832" s="222" t="s">
        <v>2052</v>
      </c>
      <c r="D832" s="222" t="s">
        <v>1529</v>
      </c>
    </row>
    <row r="833" spans="1:4" x14ac:dyDescent="0.25">
      <c r="A833" s="222" t="s">
        <v>7749</v>
      </c>
      <c r="B833" s="222">
        <v>502445</v>
      </c>
      <c r="C833" s="222" t="s">
        <v>2052</v>
      </c>
      <c r="D833" s="222" t="s">
        <v>1243</v>
      </c>
    </row>
    <row r="834" spans="1:4" x14ac:dyDescent="0.25">
      <c r="A834" s="222" t="s">
        <v>7748</v>
      </c>
      <c r="B834" s="222">
        <v>531235</v>
      </c>
      <c r="C834" s="222" t="s">
        <v>2052</v>
      </c>
      <c r="D834" s="222" t="s">
        <v>1321</v>
      </c>
    </row>
    <row r="835" spans="1:4" x14ac:dyDescent="0.25">
      <c r="A835" s="222" t="s">
        <v>7747</v>
      </c>
      <c r="B835" s="222">
        <v>538786</v>
      </c>
      <c r="C835" s="222" t="s">
        <v>2052</v>
      </c>
      <c r="D835" s="222" t="s">
        <v>2784</v>
      </c>
    </row>
    <row r="836" spans="1:4" x14ac:dyDescent="0.25">
      <c r="A836" s="222" t="s">
        <v>7746</v>
      </c>
      <c r="B836" s="222">
        <v>538674</v>
      </c>
      <c r="C836" s="222" t="s">
        <v>2052</v>
      </c>
      <c r="D836" s="222" t="s">
        <v>2241</v>
      </c>
    </row>
    <row r="837" spans="1:4" x14ac:dyDescent="0.25">
      <c r="A837" s="222" t="s">
        <v>7745</v>
      </c>
      <c r="B837" s="222">
        <v>532210</v>
      </c>
      <c r="C837" s="222" t="s">
        <v>7744</v>
      </c>
      <c r="D837" s="222" t="s">
        <v>1240</v>
      </c>
    </row>
    <row r="838" spans="1:4" x14ac:dyDescent="0.25">
      <c r="A838" s="222" t="s">
        <v>7743</v>
      </c>
      <c r="B838" s="222">
        <v>521210</v>
      </c>
      <c r="C838" s="222" t="s">
        <v>2052</v>
      </c>
      <c r="D838" s="222" t="s">
        <v>1364</v>
      </c>
    </row>
    <row r="839" spans="1:4" x14ac:dyDescent="0.25">
      <c r="A839" s="222" t="s">
        <v>7742</v>
      </c>
      <c r="B839" s="222">
        <v>780013</v>
      </c>
      <c r="C839" s="222" t="s">
        <v>2052</v>
      </c>
      <c r="D839" s="222" t="s">
        <v>2197</v>
      </c>
    </row>
    <row r="840" spans="1:4" x14ac:dyDescent="0.25">
      <c r="A840" s="222" t="s">
        <v>7741</v>
      </c>
      <c r="B840" s="222">
        <v>780013</v>
      </c>
      <c r="C840" s="222" t="s">
        <v>2052</v>
      </c>
      <c r="D840" s="222" t="s">
        <v>2197</v>
      </c>
    </row>
    <row r="841" spans="1:4" x14ac:dyDescent="0.25">
      <c r="A841" s="222" t="s">
        <v>7740</v>
      </c>
      <c r="B841" s="222" t="s">
        <v>2052</v>
      </c>
      <c r="C841" s="222" t="s">
        <v>7739</v>
      </c>
      <c r="D841" s="222" t="s">
        <v>2050</v>
      </c>
    </row>
    <row r="842" spans="1:4" x14ac:dyDescent="0.25">
      <c r="A842" s="222" t="s">
        <v>7738</v>
      </c>
      <c r="B842" s="222" t="s">
        <v>2052</v>
      </c>
      <c r="C842" s="222" t="s">
        <v>7737</v>
      </c>
      <c r="D842" s="222" t="s">
        <v>2050</v>
      </c>
    </row>
    <row r="843" spans="1:4" x14ac:dyDescent="0.25">
      <c r="A843" s="222" t="s">
        <v>7736</v>
      </c>
      <c r="B843" s="222">
        <v>540403</v>
      </c>
      <c r="C843" s="222" t="s">
        <v>7735</v>
      </c>
      <c r="D843" s="222" t="s">
        <v>854</v>
      </c>
    </row>
    <row r="844" spans="1:4" x14ac:dyDescent="0.25">
      <c r="A844" s="222" t="s">
        <v>7734</v>
      </c>
      <c r="B844" s="222">
        <v>506390</v>
      </c>
      <c r="C844" s="222" t="s">
        <v>7733</v>
      </c>
      <c r="D844" s="222" t="s">
        <v>722</v>
      </c>
    </row>
    <row r="845" spans="1:4" x14ac:dyDescent="0.25">
      <c r="A845" s="222" t="s">
        <v>7732</v>
      </c>
      <c r="B845" s="222">
        <v>506390</v>
      </c>
      <c r="C845" s="222" t="s">
        <v>7731</v>
      </c>
      <c r="D845" s="222" t="s">
        <v>722</v>
      </c>
    </row>
    <row r="846" spans="1:4" x14ac:dyDescent="0.25">
      <c r="A846" s="222" t="s">
        <v>7730</v>
      </c>
      <c r="B846" s="222">
        <v>512213</v>
      </c>
      <c r="C846" s="222" t="s">
        <v>2052</v>
      </c>
      <c r="D846" s="222" t="s">
        <v>1529</v>
      </c>
    </row>
    <row r="847" spans="1:4" x14ac:dyDescent="0.25">
      <c r="A847" s="222" t="s">
        <v>7729</v>
      </c>
      <c r="B847" s="222">
        <v>540310</v>
      </c>
      <c r="C847" s="222" t="s">
        <v>2052</v>
      </c>
      <c r="D847" s="222" t="s">
        <v>1237</v>
      </c>
    </row>
    <row r="848" spans="1:4" x14ac:dyDescent="0.25">
      <c r="A848" s="222" t="s">
        <v>7728</v>
      </c>
      <c r="B848" s="222">
        <v>538433</v>
      </c>
      <c r="C848" s="222" t="s">
        <v>2052</v>
      </c>
      <c r="D848" s="222" t="s">
        <v>1262</v>
      </c>
    </row>
    <row r="849" spans="1:4" x14ac:dyDescent="0.25">
      <c r="A849" s="222" t="s">
        <v>7727</v>
      </c>
      <c r="B849" s="222">
        <v>540481</v>
      </c>
      <c r="C849" s="222" t="s">
        <v>2052</v>
      </c>
      <c r="D849" s="222" t="s">
        <v>1262</v>
      </c>
    </row>
    <row r="850" spans="1:4" x14ac:dyDescent="0.25">
      <c r="A850" s="222" t="s">
        <v>7726</v>
      </c>
      <c r="B850" s="222">
        <v>530839</v>
      </c>
      <c r="C850" s="222" t="s">
        <v>2052</v>
      </c>
      <c r="D850" s="222" t="s">
        <v>1942</v>
      </c>
    </row>
    <row r="851" spans="1:4" x14ac:dyDescent="0.25">
      <c r="A851" s="222" t="s">
        <v>7725</v>
      </c>
      <c r="B851" s="222">
        <v>500147</v>
      </c>
      <c r="C851" s="222" t="s">
        <v>2052</v>
      </c>
      <c r="D851" s="222" t="s">
        <v>832</v>
      </c>
    </row>
    <row r="852" spans="1:4" x14ac:dyDescent="0.25">
      <c r="A852" s="222" t="s">
        <v>7724</v>
      </c>
      <c r="B852" s="222">
        <v>517330</v>
      </c>
      <c r="C852" s="222" t="s">
        <v>7723</v>
      </c>
      <c r="D852" s="222" t="s">
        <v>1275</v>
      </c>
    </row>
    <row r="853" spans="1:4" x14ac:dyDescent="0.25">
      <c r="A853" s="222" t="s">
        <v>7722</v>
      </c>
      <c r="B853" s="222" t="s">
        <v>2052</v>
      </c>
      <c r="C853" s="222" t="s">
        <v>7721</v>
      </c>
      <c r="D853" s="222" t="s">
        <v>2050</v>
      </c>
    </row>
    <row r="854" spans="1:4" x14ac:dyDescent="0.25">
      <c r="A854" s="222" t="s">
        <v>7720</v>
      </c>
      <c r="B854" s="222">
        <v>512018</v>
      </c>
      <c r="C854" s="222" t="s">
        <v>2052</v>
      </c>
      <c r="D854" s="222" t="s">
        <v>1278</v>
      </c>
    </row>
    <row r="855" spans="1:4" x14ac:dyDescent="0.25">
      <c r="A855" s="222" t="s">
        <v>7719</v>
      </c>
      <c r="B855" s="222">
        <v>533278</v>
      </c>
      <c r="C855" s="222" t="s">
        <v>7718</v>
      </c>
      <c r="D855" s="222" t="s">
        <v>5944</v>
      </c>
    </row>
    <row r="856" spans="1:4" x14ac:dyDescent="0.25">
      <c r="A856" s="222" t="s">
        <v>7717</v>
      </c>
      <c r="B856" s="222">
        <v>533278</v>
      </c>
      <c r="C856" s="222" t="s">
        <v>7716</v>
      </c>
      <c r="D856" s="222" t="s">
        <v>5944</v>
      </c>
    </row>
    <row r="857" spans="1:4" x14ac:dyDescent="0.25">
      <c r="A857" s="222" t="s">
        <v>7715</v>
      </c>
      <c r="B857" s="222">
        <v>501831</v>
      </c>
      <c r="C857" s="222" t="s">
        <v>2052</v>
      </c>
      <c r="D857" s="222" t="s">
        <v>1161</v>
      </c>
    </row>
    <row r="858" spans="1:4" x14ac:dyDescent="0.25">
      <c r="A858" s="222" t="s">
        <v>7714</v>
      </c>
      <c r="B858" s="222">
        <v>520131</v>
      </c>
      <c r="C858" s="222" t="s">
        <v>2052</v>
      </c>
      <c r="D858" s="222" t="s">
        <v>2656</v>
      </c>
    </row>
    <row r="859" spans="1:4" x14ac:dyDescent="0.25">
      <c r="A859" s="222" t="s">
        <v>7713</v>
      </c>
      <c r="B859" s="222">
        <v>508571</v>
      </c>
      <c r="C859" s="222" t="s">
        <v>2052</v>
      </c>
      <c r="D859" s="222" t="s">
        <v>1410</v>
      </c>
    </row>
    <row r="860" spans="1:4" x14ac:dyDescent="0.25">
      <c r="A860" s="222" t="s">
        <v>7712</v>
      </c>
      <c r="B860" s="222">
        <v>513353</v>
      </c>
      <c r="C860" s="222" t="s">
        <v>2052</v>
      </c>
      <c r="D860" s="222" t="s">
        <v>722</v>
      </c>
    </row>
    <row r="861" spans="1:4" x14ac:dyDescent="0.25">
      <c r="A861" s="222" t="s">
        <v>7711</v>
      </c>
      <c r="B861" s="222">
        <v>540678</v>
      </c>
      <c r="C861" s="222" t="s">
        <v>7710</v>
      </c>
      <c r="D861" s="222" t="s">
        <v>1112</v>
      </c>
    </row>
    <row r="862" spans="1:4" x14ac:dyDescent="0.25">
      <c r="A862" s="222" t="s">
        <v>7709</v>
      </c>
      <c r="B862" s="222">
        <v>539436</v>
      </c>
      <c r="C862" s="222" t="s">
        <v>7708</v>
      </c>
      <c r="D862" s="222" t="s">
        <v>924</v>
      </c>
    </row>
    <row r="863" spans="1:4" x14ac:dyDescent="0.25">
      <c r="A863" s="222" t="s">
        <v>7707</v>
      </c>
      <c r="B863" s="222">
        <v>500830</v>
      </c>
      <c r="C863" s="222" t="s">
        <v>7705</v>
      </c>
      <c r="D863" s="222" t="s">
        <v>1542</v>
      </c>
    </row>
    <row r="864" spans="1:4" x14ac:dyDescent="0.25">
      <c r="A864" s="222" t="s">
        <v>7706</v>
      </c>
      <c r="B864" s="222">
        <v>500830</v>
      </c>
      <c r="C864" s="222" t="s">
        <v>7705</v>
      </c>
      <c r="D864" s="222" t="s">
        <v>1542</v>
      </c>
    </row>
    <row r="865" spans="1:4" x14ac:dyDescent="0.25">
      <c r="A865" s="222" t="s">
        <v>7704</v>
      </c>
      <c r="B865" s="222">
        <v>531210</v>
      </c>
      <c r="C865" s="222" t="s">
        <v>2052</v>
      </c>
      <c r="D865" s="222" t="s">
        <v>789</v>
      </c>
    </row>
    <row r="866" spans="1:4" x14ac:dyDescent="0.25">
      <c r="A866" s="222" t="s">
        <v>7703</v>
      </c>
      <c r="B866" s="222">
        <v>540023</v>
      </c>
      <c r="C866" s="222" t="s">
        <v>2052</v>
      </c>
      <c r="D866" s="222" t="s">
        <v>2079</v>
      </c>
    </row>
    <row r="867" spans="1:4" x14ac:dyDescent="0.25">
      <c r="A867" s="222" t="s">
        <v>7702</v>
      </c>
      <c r="B867" s="222">
        <v>524752</v>
      </c>
      <c r="C867" s="222" t="s">
        <v>2052</v>
      </c>
      <c r="D867" s="222" t="s">
        <v>789</v>
      </c>
    </row>
    <row r="868" spans="1:4" x14ac:dyDescent="0.25">
      <c r="A868" s="222" t="s">
        <v>7701</v>
      </c>
      <c r="B868" s="222">
        <v>534691</v>
      </c>
      <c r="C868" s="222" t="s">
        <v>2052</v>
      </c>
      <c r="D868" s="222" t="s">
        <v>1262</v>
      </c>
    </row>
    <row r="869" spans="1:4" x14ac:dyDescent="0.25">
      <c r="A869" s="222" t="s">
        <v>7700</v>
      </c>
      <c r="B869" s="222">
        <v>535267</v>
      </c>
      <c r="C869" s="222" t="s">
        <v>2052</v>
      </c>
      <c r="D869" s="222" t="s">
        <v>1321</v>
      </c>
    </row>
    <row r="870" spans="1:4" x14ac:dyDescent="0.25">
      <c r="A870" s="222" t="s">
        <v>7699</v>
      </c>
      <c r="B870" s="222">
        <v>531216</v>
      </c>
      <c r="C870" s="222" t="s">
        <v>2052</v>
      </c>
      <c r="D870" s="222" t="s">
        <v>1321</v>
      </c>
    </row>
    <row r="871" spans="1:4" x14ac:dyDescent="0.25">
      <c r="A871" s="222" t="s">
        <v>7698</v>
      </c>
      <c r="B871" s="222">
        <v>533272</v>
      </c>
      <c r="C871" s="222" t="s">
        <v>7697</v>
      </c>
      <c r="D871" s="222" t="s">
        <v>2450</v>
      </c>
    </row>
    <row r="872" spans="1:4" x14ac:dyDescent="0.25">
      <c r="A872" s="222" t="s">
        <v>7696</v>
      </c>
      <c r="B872" s="222">
        <v>539986</v>
      </c>
      <c r="C872" s="222" t="s">
        <v>2052</v>
      </c>
      <c r="D872" s="222" t="s">
        <v>1447</v>
      </c>
    </row>
    <row r="873" spans="1:4" x14ac:dyDescent="0.25">
      <c r="A873" s="222" t="s">
        <v>7695</v>
      </c>
      <c r="B873" s="222">
        <v>532342</v>
      </c>
      <c r="C873" s="222" t="s">
        <v>2052</v>
      </c>
      <c r="D873" s="222" t="s">
        <v>1265</v>
      </c>
    </row>
    <row r="874" spans="1:4" x14ac:dyDescent="0.25">
      <c r="A874" s="222" t="s">
        <v>7694</v>
      </c>
      <c r="B874" s="222">
        <v>531041</v>
      </c>
      <c r="C874" s="222" t="s">
        <v>2052</v>
      </c>
      <c r="D874" s="222" t="s">
        <v>1529</v>
      </c>
    </row>
    <row r="875" spans="1:4" x14ac:dyDescent="0.25">
      <c r="A875" s="222" t="s">
        <v>7693</v>
      </c>
      <c r="B875" s="222">
        <v>532456</v>
      </c>
      <c r="C875" s="222" t="s">
        <v>7692</v>
      </c>
      <c r="D875" s="222" t="s">
        <v>2585</v>
      </c>
    </row>
    <row r="876" spans="1:4" x14ac:dyDescent="0.25">
      <c r="A876" s="222" t="s">
        <v>7691</v>
      </c>
      <c r="B876" s="222">
        <v>532339</v>
      </c>
      <c r="C876" s="222" t="s">
        <v>7690</v>
      </c>
      <c r="D876" s="222" t="s">
        <v>4885</v>
      </c>
    </row>
    <row r="877" spans="1:4" x14ac:dyDescent="0.25">
      <c r="A877" s="222" t="s">
        <v>7689</v>
      </c>
      <c r="B877" s="222">
        <v>507833</v>
      </c>
      <c r="C877" s="222" t="s">
        <v>2052</v>
      </c>
      <c r="D877" s="222" t="s">
        <v>1997</v>
      </c>
    </row>
    <row r="878" spans="1:4" x14ac:dyDescent="0.25">
      <c r="A878" s="222" t="s">
        <v>7688</v>
      </c>
      <c r="B878" s="222">
        <v>522231</v>
      </c>
      <c r="C878" s="222" t="s">
        <v>2052</v>
      </c>
      <c r="D878" s="222" t="s">
        <v>1248</v>
      </c>
    </row>
    <row r="879" spans="1:4" x14ac:dyDescent="0.25">
      <c r="A879" s="222" t="s">
        <v>7687</v>
      </c>
      <c r="B879" s="222">
        <v>538965</v>
      </c>
      <c r="C879" s="222" t="s">
        <v>2052</v>
      </c>
      <c r="D879" s="222" t="s">
        <v>789</v>
      </c>
    </row>
    <row r="880" spans="1:4" x14ac:dyDescent="0.25">
      <c r="A880" s="222" t="s">
        <v>7686</v>
      </c>
      <c r="B880" s="222">
        <v>539266</v>
      </c>
      <c r="C880" s="222" t="s">
        <v>2052</v>
      </c>
      <c r="D880" s="222" t="s">
        <v>2108</v>
      </c>
    </row>
    <row r="881" spans="1:4" x14ac:dyDescent="0.25">
      <c r="A881" s="222" t="s">
        <v>7685</v>
      </c>
      <c r="B881" s="222">
        <v>504340</v>
      </c>
      <c r="C881" s="222" t="s">
        <v>2052</v>
      </c>
      <c r="D881" s="222" t="s">
        <v>1262</v>
      </c>
    </row>
    <row r="882" spans="1:4" x14ac:dyDescent="0.25">
      <c r="A882" s="222" t="s">
        <v>7684</v>
      </c>
      <c r="B882" s="222">
        <v>539991</v>
      </c>
      <c r="C882" s="222" t="s">
        <v>7683</v>
      </c>
      <c r="D882" s="222" t="s">
        <v>2156</v>
      </c>
    </row>
    <row r="883" spans="1:4" x14ac:dyDescent="0.25">
      <c r="A883" s="222" t="s">
        <v>7682</v>
      </c>
      <c r="B883" s="222">
        <v>526829</v>
      </c>
      <c r="C883" s="222" t="s">
        <v>2052</v>
      </c>
      <c r="D883" s="222" t="s">
        <v>2740</v>
      </c>
    </row>
    <row r="884" spans="1:4" x14ac:dyDescent="0.25">
      <c r="A884" s="222" t="s">
        <v>7681</v>
      </c>
      <c r="B884" s="222">
        <v>526829</v>
      </c>
      <c r="C884" s="222" t="s">
        <v>7680</v>
      </c>
      <c r="D884" s="222" t="s">
        <v>2740</v>
      </c>
    </row>
    <row r="885" spans="1:4" x14ac:dyDescent="0.25">
      <c r="A885" s="222" t="s">
        <v>7679</v>
      </c>
      <c r="B885" s="222">
        <v>526829</v>
      </c>
      <c r="C885" s="222" t="s">
        <v>2052</v>
      </c>
      <c r="D885" s="222" t="s">
        <v>2740</v>
      </c>
    </row>
    <row r="886" spans="1:4" x14ac:dyDescent="0.25">
      <c r="A886" s="222" t="s">
        <v>7678</v>
      </c>
      <c r="B886" s="222">
        <v>539091</v>
      </c>
      <c r="C886" s="222" t="s">
        <v>2052</v>
      </c>
      <c r="D886" s="222" t="s">
        <v>2108</v>
      </c>
    </row>
    <row r="887" spans="1:4" x14ac:dyDescent="0.25">
      <c r="A887" s="222" t="s">
        <v>7677</v>
      </c>
      <c r="B887" s="222">
        <v>532902</v>
      </c>
      <c r="C887" s="222" t="s">
        <v>7676</v>
      </c>
      <c r="D887" s="222" t="s">
        <v>1243</v>
      </c>
    </row>
    <row r="888" spans="1:4" x14ac:dyDescent="0.25">
      <c r="A888" s="222" t="s">
        <v>7675</v>
      </c>
      <c r="B888" s="222" t="s">
        <v>2052</v>
      </c>
      <c r="C888" s="222" t="s">
        <v>7674</v>
      </c>
      <c r="D888" s="222" t="s">
        <v>2197</v>
      </c>
    </row>
    <row r="889" spans="1:4" x14ac:dyDescent="0.25">
      <c r="A889" s="222" t="s">
        <v>7673</v>
      </c>
      <c r="B889" s="222">
        <v>531344</v>
      </c>
      <c r="C889" s="222" t="s">
        <v>7671</v>
      </c>
      <c r="D889" s="222" t="s">
        <v>1292</v>
      </c>
    </row>
    <row r="890" spans="1:4" x14ac:dyDescent="0.25">
      <c r="A890" s="222" t="s">
        <v>7672</v>
      </c>
      <c r="B890" s="222">
        <v>531344</v>
      </c>
      <c r="C890" s="222" t="s">
        <v>7671</v>
      </c>
      <c r="D890" s="222" t="s">
        <v>1292</v>
      </c>
    </row>
    <row r="891" spans="1:4" x14ac:dyDescent="0.25">
      <c r="A891" s="222" t="s">
        <v>7670</v>
      </c>
      <c r="B891" s="222">
        <v>540597</v>
      </c>
      <c r="C891" s="222" t="s">
        <v>2052</v>
      </c>
      <c r="D891" s="222" t="s">
        <v>1329</v>
      </c>
    </row>
    <row r="892" spans="1:4" x14ac:dyDescent="0.25">
      <c r="A892" s="222" t="s">
        <v>7669</v>
      </c>
      <c r="B892" s="222">
        <v>531067</v>
      </c>
      <c r="C892" s="222" t="s">
        <v>2052</v>
      </c>
      <c r="D892" s="222" t="s">
        <v>1321</v>
      </c>
    </row>
    <row r="893" spans="1:4" x14ac:dyDescent="0.25">
      <c r="A893" s="222" t="s">
        <v>7668</v>
      </c>
      <c r="B893" s="222">
        <v>531067</v>
      </c>
      <c r="C893" s="222" t="s">
        <v>2052</v>
      </c>
      <c r="D893" s="222" t="s">
        <v>1321</v>
      </c>
    </row>
    <row r="894" spans="1:4" x14ac:dyDescent="0.25">
      <c r="A894" s="222" t="s">
        <v>7667</v>
      </c>
      <c r="B894" s="222">
        <v>506935</v>
      </c>
      <c r="C894" s="222" t="s">
        <v>2052</v>
      </c>
      <c r="D894" s="222" t="s">
        <v>1942</v>
      </c>
    </row>
    <row r="895" spans="1:4" x14ac:dyDescent="0.25">
      <c r="A895" s="222" t="s">
        <v>7666</v>
      </c>
      <c r="B895" s="222">
        <v>531460</v>
      </c>
      <c r="C895" s="222" t="s">
        <v>2052</v>
      </c>
      <c r="D895" s="222" t="s">
        <v>1275</v>
      </c>
    </row>
    <row r="896" spans="1:4" x14ac:dyDescent="0.25">
      <c r="A896" s="222" t="s">
        <v>7665</v>
      </c>
      <c r="B896" s="222">
        <v>523232</v>
      </c>
      <c r="C896" s="222" t="s">
        <v>2052</v>
      </c>
      <c r="D896" s="222" t="s">
        <v>2740</v>
      </c>
    </row>
    <row r="897" spans="1:4" x14ac:dyDescent="0.25">
      <c r="A897" s="222" t="s">
        <v>7664</v>
      </c>
      <c r="B897" s="222">
        <v>538868</v>
      </c>
      <c r="C897" s="222" t="s">
        <v>2052</v>
      </c>
      <c r="D897" s="222" t="s">
        <v>1321</v>
      </c>
    </row>
    <row r="898" spans="1:4" x14ac:dyDescent="0.25">
      <c r="A898" s="222" t="s">
        <v>7663</v>
      </c>
      <c r="B898" s="222" t="s">
        <v>2052</v>
      </c>
      <c r="C898" s="222" t="s">
        <v>7662</v>
      </c>
      <c r="D898" s="222" t="s">
        <v>2050</v>
      </c>
    </row>
    <row r="899" spans="1:4" x14ac:dyDescent="0.25">
      <c r="A899" s="222" t="s">
        <v>7661</v>
      </c>
      <c r="B899" s="222">
        <v>522295</v>
      </c>
      <c r="C899" s="222" t="s">
        <v>7660</v>
      </c>
      <c r="D899" s="222" t="s">
        <v>1447</v>
      </c>
    </row>
    <row r="900" spans="1:4" x14ac:dyDescent="0.25">
      <c r="A900" s="222" t="s">
        <v>7659</v>
      </c>
      <c r="B900" s="222">
        <v>531556</v>
      </c>
      <c r="C900" s="222" t="s">
        <v>7658</v>
      </c>
      <c r="D900" s="222" t="s">
        <v>2520</v>
      </c>
    </row>
    <row r="901" spans="1:4" x14ac:dyDescent="0.25">
      <c r="A901" s="222" t="s">
        <v>7657</v>
      </c>
      <c r="B901" s="222">
        <v>524506</v>
      </c>
      <c r="C901" s="222" t="s">
        <v>2052</v>
      </c>
      <c r="D901" s="222" t="s">
        <v>789</v>
      </c>
    </row>
    <row r="902" spans="1:4" x14ac:dyDescent="0.25">
      <c r="A902" s="222" t="s">
        <v>7656</v>
      </c>
      <c r="B902" s="222">
        <v>530755</v>
      </c>
      <c r="C902" s="222" t="s">
        <v>7655</v>
      </c>
      <c r="D902" s="222" t="s">
        <v>6510</v>
      </c>
    </row>
    <row r="903" spans="1:4" x14ac:dyDescent="0.25">
      <c r="A903" s="222" t="s">
        <v>7654</v>
      </c>
      <c r="B903" s="222">
        <v>532941</v>
      </c>
      <c r="C903" s="222" t="s">
        <v>7653</v>
      </c>
      <c r="D903" s="222" t="s">
        <v>1275</v>
      </c>
    </row>
    <row r="904" spans="1:4" x14ac:dyDescent="0.25">
      <c r="A904" s="222" t="s">
        <v>7652</v>
      </c>
      <c r="B904" s="222">
        <v>507543</v>
      </c>
      <c r="C904" s="222" t="s">
        <v>2052</v>
      </c>
      <c r="D904" s="222" t="s">
        <v>1963</v>
      </c>
    </row>
    <row r="905" spans="1:4" x14ac:dyDescent="0.25">
      <c r="A905" s="222" t="s">
        <v>7651</v>
      </c>
      <c r="B905" s="222">
        <v>533167</v>
      </c>
      <c r="C905" s="222" t="s">
        <v>2052</v>
      </c>
      <c r="D905" s="222" t="s">
        <v>1248</v>
      </c>
    </row>
    <row r="906" spans="1:4" x14ac:dyDescent="0.25">
      <c r="A906" s="222" t="s">
        <v>7650</v>
      </c>
      <c r="B906" s="222">
        <v>506395</v>
      </c>
      <c r="C906" s="222" t="s">
        <v>7649</v>
      </c>
      <c r="D906" s="222" t="s">
        <v>734</v>
      </c>
    </row>
    <row r="907" spans="1:4" x14ac:dyDescent="0.25">
      <c r="A907" s="222" t="s">
        <v>7648</v>
      </c>
      <c r="B907" s="222">
        <v>526737</v>
      </c>
      <c r="C907" s="222" t="s">
        <v>2052</v>
      </c>
      <c r="D907" s="222" t="s">
        <v>1329</v>
      </c>
    </row>
    <row r="908" spans="1:4" x14ac:dyDescent="0.25">
      <c r="A908" s="222" t="s">
        <v>7647</v>
      </c>
      <c r="B908" s="222">
        <v>540199</v>
      </c>
      <c r="C908" s="222" t="s">
        <v>2052</v>
      </c>
      <c r="D908" s="222" t="s">
        <v>1262</v>
      </c>
    </row>
    <row r="909" spans="1:4" x14ac:dyDescent="0.25">
      <c r="A909" s="222" t="s">
        <v>7646</v>
      </c>
      <c r="B909" s="222">
        <v>532179</v>
      </c>
      <c r="C909" s="222" t="s">
        <v>7645</v>
      </c>
      <c r="D909" s="222" t="s">
        <v>1240</v>
      </c>
    </row>
    <row r="910" spans="1:4" x14ac:dyDescent="0.25">
      <c r="A910" s="222" t="s">
        <v>7644</v>
      </c>
      <c r="B910" s="222">
        <v>530859</v>
      </c>
      <c r="C910" s="222" t="s">
        <v>2052</v>
      </c>
      <c r="D910" s="222" t="s">
        <v>1972</v>
      </c>
    </row>
    <row r="911" spans="1:4" x14ac:dyDescent="0.25">
      <c r="A911" s="222" t="s">
        <v>7643</v>
      </c>
      <c r="B911" s="222">
        <v>530545</v>
      </c>
      <c r="C911" s="222" t="s">
        <v>2052</v>
      </c>
      <c r="D911" s="222" t="s">
        <v>1318</v>
      </c>
    </row>
    <row r="912" spans="1:4" x14ac:dyDescent="0.25">
      <c r="A912" s="222" t="s">
        <v>7642</v>
      </c>
      <c r="B912" s="222">
        <v>530545</v>
      </c>
      <c r="C912" s="222" t="s">
        <v>2052</v>
      </c>
      <c r="D912" s="222" t="s">
        <v>1318</v>
      </c>
    </row>
    <row r="913" spans="1:4" x14ac:dyDescent="0.25">
      <c r="A913" s="222" t="s">
        <v>7641</v>
      </c>
      <c r="B913" s="222">
        <v>523100</v>
      </c>
      <c r="C913" s="222" t="s">
        <v>2052</v>
      </c>
      <c r="D913" s="222" t="s">
        <v>2167</v>
      </c>
    </row>
    <row r="914" spans="1:4" x14ac:dyDescent="0.25">
      <c r="A914" s="222" t="s">
        <v>7640</v>
      </c>
      <c r="B914" s="222">
        <v>508814</v>
      </c>
      <c r="C914" s="222" t="s">
        <v>7639</v>
      </c>
      <c r="D914" s="222" t="s">
        <v>998</v>
      </c>
    </row>
    <row r="915" spans="1:4" x14ac:dyDescent="0.25">
      <c r="A915" s="222" t="s">
        <v>7638</v>
      </c>
      <c r="B915" s="222">
        <v>538922</v>
      </c>
      <c r="C915" s="222" t="s">
        <v>2052</v>
      </c>
      <c r="D915" s="222" t="s">
        <v>1942</v>
      </c>
    </row>
    <row r="916" spans="1:4" x14ac:dyDescent="0.25">
      <c r="A916" s="222" t="s">
        <v>7637</v>
      </c>
      <c r="B916" s="222">
        <v>526550</v>
      </c>
      <c r="C916" s="222" t="s">
        <v>7636</v>
      </c>
      <c r="D916" s="222" t="s">
        <v>2128</v>
      </c>
    </row>
    <row r="917" spans="1:4" x14ac:dyDescent="0.25">
      <c r="A917" s="222" t="s">
        <v>7635</v>
      </c>
      <c r="B917" s="222">
        <v>531624</v>
      </c>
      <c r="C917" s="222" t="s">
        <v>7634</v>
      </c>
      <c r="D917" s="222" t="s">
        <v>1243</v>
      </c>
    </row>
    <row r="918" spans="1:4" x14ac:dyDescent="0.25">
      <c r="A918" s="222" t="s">
        <v>7633</v>
      </c>
      <c r="B918" s="222">
        <v>523415</v>
      </c>
      <c r="C918" s="222" t="s">
        <v>2052</v>
      </c>
      <c r="D918" s="222" t="s">
        <v>2167</v>
      </c>
    </row>
    <row r="919" spans="1:4" x14ac:dyDescent="0.25">
      <c r="A919" s="222" t="s">
        <v>7632</v>
      </c>
      <c r="B919" s="222">
        <v>534920</v>
      </c>
      <c r="C919" s="222" t="s">
        <v>2052</v>
      </c>
      <c r="D919" s="222" t="s">
        <v>1265</v>
      </c>
    </row>
    <row r="920" spans="1:4" x14ac:dyDescent="0.25">
      <c r="A920" s="222" t="s">
        <v>7631</v>
      </c>
      <c r="B920" s="222">
        <v>533144</v>
      </c>
      <c r="C920" s="222" t="s">
        <v>7630</v>
      </c>
      <c r="D920" s="222" t="s">
        <v>1492</v>
      </c>
    </row>
    <row r="921" spans="1:4" x14ac:dyDescent="0.25">
      <c r="A921" s="222" t="s">
        <v>7629</v>
      </c>
      <c r="B921" s="222">
        <v>542641</v>
      </c>
      <c r="C921" s="222" t="s">
        <v>7628</v>
      </c>
      <c r="D921" s="222" t="s">
        <v>1321</v>
      </c>
    </row>
    <row r="922" spans="1:4" x14ac:dyDescent="0.25">
      <c r="A922" s="222" t="s">
        <v>7627</v>
      </c>
      <c r="B922" s="222">
        <v>538770</v>
      </c>
      <c r="C922" s="222" t="s">
        <v>2052</v>
      </c>
      <c r="D922" s="222" t="s">
        <v>1243</v>
      </c>
    </row>
    <row r="923" spans="1:4" x14ac:dyDescent="0.25">
      <c r="A923" s="222" t="s">
        <v>7626</v>
      </c>
      <c r="B923" s="222">
        <v>512093</v>
      </c>
      <c r="C923" s="222" t="s">
        <v>2052</v>
      </c>
      <c r="D923" s="222" t="s">
        <v>1942</v>
      </c>
    </row>
    <row r="924" spans="1:4" x14ac:dyDescent="0.25">
      <c r="A924" s="222" t="s">
        <v>7625</v>
      </c>
      <c r="B924" s="222">
        <v>522001</v>
      </c>
      <c r="C924" s="222" t="s">
        <v>2052</v>
      </c>
      <c r="D924" s="222" t="s">
        <v>2450</v>
      </c>
    </row>
    <row r="925" spans="1:4" x14ac:dyDescent="0.25">
      <c r="A925" s="222" t="s">
        <v>7624</v>
      </c>
      <c r="B925" s="222">
        <v>509472</v>
      </c>
      <c r="C925" s="222" t="s">
        <v>2052</v>
      </c>
      <c r="D925" s="222" t="s">
        <v>1529</v>
      </c>
    </row>
    <row r="926" spans="1:4" x14ac:dyDescent="0.25">
      <c r="A926" s="222" t="s">
        <v>7623</v>
      </c>
      <c r="B926" s="222">
        <v>524388</v>
      </c>
      <c r="C926" s="222" t="s">
        <v>2052</v>
      </c>
      <c r="D926" s="222" t="s">
        <v>1997</v>
      </c>
    </row>
    <row r="927" spans="1:4" x14ac:dyDescent="0.25">
      <c r="A927" s="222" t="s">
        <v>7622</v>
      </c>
      <c r="B927" s="222">
        <v>539527</v>
      </c>
      <c r="C927" s="222" t="s">
        <v>2052</v>
      </c>
      <c r="D927" s="222" t="s">
        <v>1313</v>
      </c>
    </row>
    <row r="928" spans="1:4" x14ac:dyDescent="0.25">
      <c r="A928" s="222" t="s">
        <v>7621</v>
      </c>
      <c r="B928" s="222">
        <v>532392</v>
      </c>
      <c r="C928" s="222" t="s">
        <v>7620</v>
      </c>
      <c r="D928" s="222" t="s">
        <v>2264</v>
      </c>
    </row>
    <row r="929" spans="1:4" x14ac:dyDescent="0.25">
      <c r="A929" s="222" t="s">
        <v>7619</v>
      </c>
      <c r="B929" s="222" t="s">
        <v>2052</v>
      </c>
      <c r="C929" s="222" t="s">
        <v>7618</v>
      </c>
      <c r="D929" s="222" t="s">
        <v>2050</v>
      </c>
    </row>
    <row r="930" spans="1:4" x14ac:dyDescent="0.25">
      <c r="A930" s="222" t="s">
        <v>7617</v>
      </c>
      <c r="B930" s="222">
        <v>541770</v>
      </c>
      <c r="C930" s="222" t="s">
        <v>7616</v>
      </c>
      <c r="D930" s="222" t="s">
        <v>1321</v>
      </c>
    </row>
    <row r="931" spans="1:4" x14ac:dyDescent="0.25">
      <c r="A931" s="222" t="s">
        <v>7615</v>
      </c>
      <c r="B931" s="222">
        <v>539131</v>
      </c>
      <c r="C931" s="222" t="s">
        <v>2052</v>
      </c>
      <c r="D931" s="222" t="s">
        <v>2108</v>
      </c>
    </row>
    <row r="932" spans="1:4" x14ac:dyDescent="0.25">
      <c r="A932" s="222" t="s">
        <v>7614</v>
      </c>
      <c r="B932" s="222">
        <v>512379</v>
      </c>
      <c r="C932" s="222" t="s">
        <v>2052</v>
      </c>
      <c r="D932" s="222" t="s">
        <v>1942</v>
      </c>
    </row>
    <row r="933" spans="1:4" x14ac:dyDescent="0.25">
      <c r="A933" s="222" t="s">
        <v>7613</v>
      </c>
      <c r="B933" s="222">
        <v>511413</v>
      </c>
      <c r="C933" s="222" t="s">
        <v>7612</v>
      </c>
      <c r="D933" s="222" t="s">
        <v>1321</v>
      </c>
    </row>
    <row r="934" spans="1:4" x14ac:dyDescent="0.25">
      <c r="A934" s="222" t="s">
        <v>7611</v>
      </c>
      <c r="B934" s="222">
        <v>526269</v>
      </c>
      <c r="C934" s="222" t="s">
        <v>2052</v>
      </c>
      <c r="D934" s="222" t="s">
        <v>722</v>
      </c>
    </row>
    <row r="935" spans="1:4" x14ac:dyDescent="0.25">
      <c r="A935" s="222" t="s">
        <v>7610</v>
      </c>
      <c r="B935" s="222">
        <v>526977</v>
      </c>
      <c r="C935" s="222" t="s">
        <v>2052</v>
      </c>
      <c r="D935" s="222" t="s">
        <v>740</v>
      </c>
    </row>
    <row r="936" spans="1:4" x14ac:dyDescent="0.25">
      <c r="A936" s="222" t="s">
        <v>7609</v>
      </c>
      <c r="B936" s="222">
        <v>500092</v>
      </c>
      <c r="C936" s="222" t="s">
        <v>7608</v>
      </c>
      <c r="D936" s="222" t="s">
        <v>1262</v>
      </c>
    </row>
    <row r="937" spans="1:4" x14ac:dyDescent="0.25">
      <c r="A937" s="222" t="s">
        <v>7607</v>
      </c>
      <c r="B937" s="222">
        <v>539876</v>
      </c>
      <c r="C937" s="222" t="s">
        <v>7606</v>
      </c>
      <c r="D937" s="222" t="s">
        <v>802</v>
      </c>
    </row>
    <row r="938" spans="1:4" x14ac:dyDescent="0.25">
      <c r="A938" s="222" t="s">
        <v>7605</v>
      </c>
      <c r="B938" s="222" t="s">
        <v>2052</v>
      </c>
      <c r="C938" s="222" t="s">
        <v>7604</v>
      </c>
      <c r="D938" s="222" t="s">
        <v>2050</v>
      </c>
    </row>
    <row r="939" spans="1:4" x14ac:dyDescent="0.25">
      <c r="A939" s="222" t="s">
        <v>7603</v>
      </c>
      <c r="B939" s="222">
        <v>538521</v>
      </c>
      <c r="C939" s="222" t="s">
        <v>2052</v>
      </c>
      <c r="D939" s="222" t="s">
        <v>1492</v>
      </c>
    </row>
    <row r="940" spans="1:4" x14ac:dyDescent="0.25">
      <c r="A940" s="222" t="s">
        <v>7602</v>
      </c>
      <c r="B940" s="222">
        <v>540903</v>
      </c>
      <c r="C940" s="222" t="s">
        <v>2052</v>
      </c>
      <c r="D940" s="222" t="s">
        <v>911</v>
      </c>
    </row>
    <row r="941" spans="1:4" x14ac:dyDescent="0.25">
      <c r="A941" s="222" t="s">
        <v>7601</v>
      </c>
      <c r="B941" s="222">
        <v>530067</v>
      </c>
      <c r="C941" s="222" t="s">
        <v>2052</v>
      </c>
      <c r="D941" s="222" t="s">
        <v>1321</v>
      </c>
    </row>
    <row r="942" spans="1:4" x14ac:dyDescent="0.25">
      <c r="A942" s="222" t="s">
        <v>7600</v>
      </c>
      <c r="B942" s="222">
        <v>526027</v>
      </c>
      <c r="C942" s="222" t="s">
        <v>7599</v>
      </c>
      <c r="D942" s="222" t="s">
        <v>3661</v>
      </c>
    </row>
    <row r="943" spans="1:4" x14ac:dyDescent="0.25">
      <c r="A943" s="222" t="s">
        <v>7598</v>
      </c>
      <c r="B943" s="222">
        <v>511710</v>
      </c>
      <c r="C943" s="222" t="s">
        <v>2052</v>
      </c>
      <c r="D943" s="222" t="s">
        <v>1321</v>
      </c>
    </row>
    <row r="944" spans="1:4" x14ac:dyDescent="0.25">
      <c r="A944" s="222" t="s">
        <v>7597</v>
      </c>
      <c r="B944" s="222">
        <v>500480</v>
      </c>
      <c r="C944" s="222" t="s">
        <v>7595</v>
      </c>
      <c r="D944" s="222" t="s">
        <v>832</v>
      </c>
    </row>
    <row r="945" spans="1:4" x14ac:dyDescent="0.25">
      <c r="A945" s="222" t="s">
        <v>7596</v>
      </c>
      <c r="B945" s="222">
        <v>500480</v>
      </c>
      <c r="C945" s="222" t="s">
        <v>7595</v>
      </c>
      <c r="D945" s="222" t="s">
        <v>832</v>
      </c>
    </row>
    <row r="946" spans="1:4" x14ac:dyDescent="0.25">
      <c r="A946" s="222" t="s">
        <v>7594</v>
      </c>
      <c r="B946" s="222">
        <v>530843</v>
      </c>
      <c r="C946" s="222" t="s">
        <v>7593</v>
      </c>
      <c r="D946" s="222" t="s">
        <v>1542</v>
      </c>
    </row>
    <row r="947" spans="1:4" x14ac:dyDescent="0.25">
      <c r="A947" s="222" t="s">
        <v>7592</v>
      </c>
      <c r="B947" s="222">
        <v>532332</v>
      </c>
      <c r="C947" s="222" t="s">
        <v>7591</v>
      </c>
      <c r="D947" s="222" t="s">
        <v>1942</v>
      </c>
    </row>
    <row r="948" spans="1:4" x14ac:dyDescent="0.25">
      <c r="A948" s="222" t="s">
        <v>7590</v>
      </c>
      <c r="B948" s="222">
        <v>531472</v>
      </c>
      <c r="C948" s="222" t="s">
        <v>2052</v>
      </c>
      <c r="D948" s="222" t="s">
        <v>1275</v>
      </c>
    </row>
    <row r="949" spans="1:4" x14ac:dyDescent="0.25">
      <c r="A949" s="222" t="s">
        <v>7589</v>
      </c>
      <c r="B949" s="222">
        <v>532640</v>
      </c>
      <c r="C949" s="222" t="s">
        <v>7587</v>
      </c>
      <c r="D949" s="222" t="s">
        <v>2784</v>
      </c>
    </row>
    <row r="950" spans="1:4" x14ac:dyDescent="0.25">
      <c r="A950" s="222" t="s">
        <v>7588</v>
      </c>
      <c r="B950" s="222">
        <v>532640</v>
      </c>
      <c r="C950" s="222" t="s">
        <v>7587</v>
      </c>
      <c r="D950" s="222" t="s">
        <v>2784</v>
      </c>
    </row>
    <row r="951" spans="1:4" x14ac:dyDescent="0.25">
      <c r="A951" s="222" t="s">
        <v>7586</v>
      </c>
      <c r="B951" s="222">
        <v>532271</v>
      </c>
      <c r="C951" s="222" t="s">
        <v>2052</v>
      </c>
      <c r="D951" s="222" t="s">
        <v>1942</v>
      </c>
    </row>
    <row r="952" spans="1:4" x14ac:dyDescent="0.25">
      <c r="A952" s="222" t="s">
        <v>7585</v>
      </c>
      <c r="B952" s="222">
        <v>532173</v>
      </c>
      <c r="C952" s="222" t="s">
        <v>7584</v>
      </c>
      <c r="D952" s="222" t="s">
        <v>1942</v>
      </c>
    </row>
    <row r="953" spans="1:4" x14ac:dyDescent="0.25">
      <c r="A953" s="222" t="s">
        <v>7583</v>
      </c>
      <c r="B953" s="222">
        <v>532175</v>
      </c>
      <c r="C953" s="222" t="s">
        <v>7582</v>
      </c>
      <c r="D953" s="222" t="s">
        <v>1265</v>
      </c>
    </row>
    <row r="954" spans="1:4" x14ac:dyDescent="0.25">
      <c r="A954" s="222" t="s">
        <v>7581</v>
      </c>
      <c r="B954" s="222">
        <v>533151</v>
      </c>
      <c r="C954" s="222" t="s">
        <v>7580</v>
      </c>
      <c r="D954" s="222" t="s">
        <v>2784</v>
      </c>
    </row>
    <row r="955" spans="1:4" x14ac:dyDescent="0.25">
      <c r="A955" s="222" t="s">
        <v>7579</v>
      </c>
      <c r="B955" s="222">
        <v>533160</v>
      </c>
      <c r="C955" s="222" t="s">
        <v>7578</v>
      </c>
      <c r="D955" s="222" t="s">
        <v>1243</v>
      </c>
    </row>
    <row r="956" spans="1:4" x14ac:dyDescent="0.25">
      <c r="A956" s="222" t="s">
        <v>7577</v>
      </c>
      <c r="B956" s="222" t="s">
        <v>2052</v>
      </c>
      <c r="C956" s="222" t="s">
        <v>7576</v>
      </c>
      <c r="D956" s="222" t="s">
        <v>2050</v>
      </c>
    </row>
    <row r="957" spans="1:4" x14ac:dyDescent="0.25">
      <c r="A957" s="222" t="s">
        <v>7575</v>
      </c>
      <c r="B957" s="222" t="s">
        <v>2052</v>
      </c>
      <c r="C957" s="222" t="s">
        <v>7574</v>
      </c>
      <c r="D957" s="222" t="s">
        <v>2050</v>
      </c>
    </row>
    <row r="958" spans="1:4" x14ac:dyDescent="0.25">
      <c r="A958" s="222" t="s">
        <v>7573</v>
      </c>
      <c r="B958" s="222">
        <v>517514</v>
      </c>
      <c r="C958" s="222" t="s">
        <v>2052</v>
      </c>
      <c r="D958" s="222" t="s">
        <v>1395</v>
      </c>
    </row>
    <row r="959" spans="1:4" x14ac:dyDescent="0.25">
      <c r="A959" s="222" t="s">
        <v>7572</v>
      </c>
      <c r="B959" s="222">
        <v>517514</v>
      </c>
      <c r="C959" s="222" t="s">
        <v>2052</v>
      </c>
      <c r="D959" s="222" t="s">
        <v>1395</v>
      </c>
    </row>
    <row r="960" spans="1:4" x14ac:dyDescent="0.25">
      <c r="A960" s="222" t="s">
        <v>7571</v>
      </c>
      <c r="B960" s="222">
        <v>500096</v>
      </c>
      <c r="C960" s="222" t="s">
        <v>7569</v>
      </c>
      <c r="D960" s="222" t="s">
        <v>1542</v>
      </c>
    </row>
    <row r="961" spans="1:4" x14ac:dyDescent="0.25">
      <c r="A961" s="222" t="s">
        <v>7570</v>
      </c>
      <c r="B961" s="222">
        <v>500096</v>
      </c>
      <c r="C961" s="222" t="s">
        <v>7569</v>
      </c>
      <c r="D961" s="222" t="s">
        <v>1542</v>
      </c>
    </row>
    <row r="962" spans="1:4" x14ac:dyDescent="0.25">
      <c r="A962" s="222" t="s">
        <v>7568</v>
      </c>
      <c r="B962" s="222">
        <v>526821</v>
      </c>
      <c r="C962" s="222" t="s">
        <v>2052</v>
      </c>
      <c r="D962" s="222" t="s">
        <v>722</v>
      </c>
    </row>
    <row r="963" spans="1:4" x14ac:dyDescent="0.25">
      <c r="A963" s="222" t="s">
        <v>7567</v>
      </c>
      <c r="B963" s="222">
        <v>530825</v>
      </c>
      <c r="C963" s="222" t="s">
        <v>2052</v>
      </c>
      <c r="D963" s="222" t="s">
        <v>722</v>
      </c>
    </row>
    <row r="964" spans="1:4" x14ac:dyDescent="0.25">
      <c r="A964" s="222" t="s">
        <v>7566</v>
      </c>
      <c r="B964" s="222">
        <v>530825</v>
      </c>
      <c r="C964" s="222" t="s">
        <v>2052</v>
      </c>
      <c r="D964" s="222" t="s">
        <v>722</v>
      </c>
    </row>
    <row r="965" spans="1:4" x14ac:dyDescent="0.25">
      <c r="A965" s="222" t="s">
        <v>7565</v>
      </c>
      <c r="B965" s="222">
        <v>501148</v>
      </c>
      <c r="C965" s="222" t="s">
        <v>2052</v>
      </c>
      <c r="D965" s="222" t="s">
        <v>2108</v>
      </c>
    </row>
    <row r="966" spans="1:4" x14ac:dyDescent="0.25">
      <c r="A966" s="222" t="s">
        <v>7564</v>
      </c>
      <c r="B966" s="222">
        <v>542216</v>
      </c>
      <c r="C966" s="222" t="s">
        <v>7563</v>
      </c>
      <c r="D966" s="222" t="s">
        <v>7562</v>
      </c>
    </row>
    <row r="967" spans="1:4" x14ac:dyDescent="0.25">
      <c r="A967" s="222" t="s">
        <v>7561</v>
      </c>
      <c r="B967" s="222">
        <v>500097</v>
      </c>
      <c r="C967" s="222" t="s">
        <v>7560</v>
      </c>
      <c r="D967" s="222" t="s">
        <v>1124</v>
      </c>
    </row>
    <row r="968" spans="1:4" x14ac:dyDescent="0.25">
      <c r="A968" s="222" t="s">
        <v>7559</v>
      </c>
      <c r="B968" s="222">
        <v>539900</v>
      </c>
      <c r="C968" s="222" t="s">
        <v>2052</v>
      </c>
      <c r="D968" s="222" t="s">
        <v>1529</v>
      </c>
    </row>
    <row r="969" spans="1:4" x14ac:dyDescent="0.25">
      <c r="A969" s="222" t="s">
        <v>7558</v>
      </c>
      <c r="B969" s="222">
        <v>521220</v>
      </c>
      <c r="C969" s="222" t="s">
        <v>7557</v>
      </c>
      <c r="D969" s="222" t="s">
        <v>1237</v>
      </c>
    </row>
    <row r="970" spans="1:4" x14ac:dyDescent="0.25">
      <c r="A970" s="222" t="s">
        <v>7556</v>
      </c>
      <c r="B970" s="222" t="s">
        <v>2052</v>
      </c>
      <c r="C970" s="222" t="s">
        <v>7555</v>
      </c>
      <c r="D970" s="222" t="s">
        <v>2050</v>
      </c>
    </row>
    <row r="971" spans="1:4" x14ac:dyDescent="0.25">
      <c r="A971" s="222" t="s">
        <v>7554</v>
      </c>
      <c r="B971" s="222">
        <v>532329</v>
      </c>
      <c r="C971" s="222" t="s">
        <v>2052</v>
      </c>
      <c r="D971" s="222" t="s">
        <v>1942</v>
      </c>
    </row>
    <row r="972" spans="1:4" x14ac:dyDescent="0.25">
      <c r="A972" s="222" t="s">
        <v>7553</v>
      </c>
      <c r="B972" s="222">
        <v>532329</v>
      </c>
      <c r="C972" s="222" t="s">
        <v>2052</v>
      </c>
      <c r="D972" s="222" t="s">
        <v>1942</v>
      </c>
    </row>
    <row r="973" spans="1:4" x14ac:dyDescent="0.25">
      <c r="A973" s="222" t="s">
        <v>7552</v>
      </c>
      <c r="B973" s="222">
        <v>540361</v>
      </c>
      <c r="C973" s="222" t="s">
        <v>2052</v>
      </c>
      <c r="D973" s="222" t="s">
        <v>1529</v>
      </c>
    </row>
    <row r="974" spans="1:4" x14ac:dyDescent="0.25">
      <c r="A974" s="222" t="s">
        <v>7551</v>
      </c>
      <c r="B974" s="222">
        <v>539770</v>
      </c>
      <c r="C974" s="222" t="s">
        <v>2052</v>
      </c>
      <c r="D974" s="222" t="s">
        <v>1262</v>
      </c>
    </row>
    <row r="975" spans="1:4" x14ac:dyDescent="0.25">
      <c r="A975" s="222" t="s">
        <v>7550</v>
      </c>
      <c r="B975" s="222">
        <v>539884</v>
      </c>
      <c r="C975" s="222" t="s">
        <v>2052</v>
      </c>
      <c r="D975" s="222" t="s">
        <v>1364</v>
      </c>
    </row>
    <row r="976" spans="1:4" x14ac:dyDescent="0.25">
      <c r="A976" s="222" t="s">
        <v>7549</v>
      </c>
      <c r="B976" s="222">
        <v>532528</v>
      </c>
      <c r="C976" s="222" t="s">
        <v>7548</v>
      </c>
      <c r="D976" s="222" t="s">
        <v>1942</v>
      </c>
    </row>
    <row r="977" spans="1:4" x14ac:dyDescent="0.25">
      <c r="A977" s="222" t="s">
        <v>7547</v>
      </c>
      <c r="B977" s="222">
        <v>530171</v>
      </c>
      <c r="C977" s="222" t="s">
        <v>2052</v>
      </c>
      <c r="D977" s="222" t="s">
        <v>1262</v>
      </c>
    </row>
    <row r="978" spans="1:4" x14ac:dyDescent="0.25">
      <c r="A978" s="222" t="s">
        <v>7546</v>
      </c>
      <c r="B978" s="222">
        <v>530393</v>
      </c>
      <c r="C978" s="222" t="s">
        <v>7545</v>
      </c>
      <c r="D978" s="222" t="s">
        <v>1262</v>
      </c>
    </row>
    <row r="979" spans="1:4" x14ac:dyDescent="0.25">
      <c r="A979" s="222" t="s">
        <v>7544</v>
      </c>
      <c r="B979" s="222">
        <v>532772</v>
      </c>
      <c r="C979" s="222" t="s">
        <v>7543</v>
      </c>
      <c r="D979" s="222" t="s">
        <v>1240</v>
      </c>
    </row>
    <row r="980" spans="1:4" x14ac:dyDescent="0.25">
      <c r="A980" s="222" t="s">
        <v>7542</v>
      </c>
      <c r="B980" s="222">
        <v>511611</v>
      </c>
      <c r="C980" s="222" t="s">
        <v>7541</v>
      </c>
      <c r="D980" s="222" t="s">
        <v>1321</v>
      </c>
    </row>
    <row r="981" spans="1:4" x14ac:dyDescent="0.25">
      <c r="A981" s="222" t="s">
        <v>7540</v>
      </c>
      <c r="B981" s="222">
        <v>502820</v>
      </c>
      <c r="C981" s="222" t="s">
        <v>7539</v>
      </c>
      <c r="D981" s="222" t="s">
        <v>1237</v>
      </c>
    </row>
    <row r="982" spans="1:4" x14ac:dyDescent="0.25">
      <c r="A982" s="222" t="s">
        <v>7538</v>
      </c>
      <c r="B982" s="222">
        <v>523369</v>
      </c>
      <c r="C982" s="222" t="s">
        <v>2052</v>
      </c>
      <c r="D982" s="222" t="s">
        <v>1124</v>
      </c>
    </row>
    <row r="983" spans="1:4" x14ac:dyDescent="0.25">
      <c r="A983" s="222" t="s">
        <v>7537</v>
      </c>
      <c r="B983" s="222">
        <v>523367</v>
      </c>
      <c r="C983" s="222" t="s">
        <v>7536</v>
      </c>
      <c r="D983" s="222" t="s">
        <v>1318</v>
      </c>
    </row>
    <row r="984" spans="1:4" x14ac:dyDescent="0.25">
      <c r="A984" s="222" t="s">
        <v>7535</v>
      </c>
      <c r="B984" s="222">
        <v>500117</v>
      </c>
      <c r="C984" s="222" t="s">
        <v>7534</v>
      </c>
      <c r="D984" s="222" t="s">
        <v>1196</v>
      </c>
    </row>
    <row r="985" spans="1:4" x14ac:dyDescent="0.25">
      <c r="A985" s="222" t="s">
        <v>7533</v>
      </c>
      <c r="B985" s="222">
        <v>590031</v>
      </c>
      <c r="C985" s="222" t="s">
        <v>7531</v>
      </c>
      <c r="D985" s="222" t="s">
        <v>1395</v>
      </c>
    </row>
    <row r="986" spans="1:4" x14ac:dyDescent="0.25">
      <c r="A986" s="222" t="s">
        <v>7532</v>
      </c>
      <c r="B986" s="222">
        <v>590031</v>
      </c>
      <c r="C986" s="222" t="s">
        <v>7531</v>
      </c>
      <c r="D986" s="222" t="s">
        <v>1395</v>
      </c>
    </row>
    <row r="987" spans="1:4" x14ac:dyDescent="0.25">
      <c r="A987" s="222" t="s">
        <v>7530</v>
      </c>
      <c r="B987" s="222" t="s">
        <v>2052</v>
      </c>
      <c r="C987" s="222" t="s">
        <v>7529</v>
      </c>
      <c r="D987" s="222" t="s">
        <v>2050</v>
      </c>
    </row>
    <row r="988" spans="1:4" x14ac:dyDescent="0.25">
      <c r="A988" s="222" t="s">
        <v>7528</v>
      </c>
      <c r="B988" s="222">
        <v>505703</v>
      </c>
      <c r="C988" s="222" t="s">
        <v>2052</v>
      </c>
      <c r="D988" s="222" t="s">
        <v>832</v>
      </c>
    </row>
    <row r="989" spans="1:4" x14ac:dyDescent="0.25">
      <c r="A989" s="222" t="s">
        <v>7527</v>
      </c>
      <c r="B989" s="222">
        <v>502137</v>
      </c>
      <c r="C989" s="222" t="s">
        <v>7526</v>
      </c>
      <c r="D989" s="222" t="s">
        <v>1004</v>
      </c>
    </row>
    <row r="990" spans="1:4" x14ac:dyDescent="0.25">
      <c r="A990" s="222" t="s">
        <v>7525</v>
      </c>
      <c r="B990" s="222">
        <v>512068</v>
      </c>
      <c r="C990" s="222" t="s">
        <v>2052</v>
      </c>
      <c r="D990" s="222" t="s">
        <v>2796</v>
      </c>
    </row>
    <row r="991" spans="1:4" x14ac:dyDescent="0.25">
      <c r="A991" s="222" t="s">
        <v>7524</v>
      </c>
      <c r="B991" s="222">
        <v>542248</v>
      </c>
      <c r="C991" s="222" t="s">
        <v>7523</v>
      </c>
      <c r="D991" s="222" t="s">
        <v>1425</v>
      </c>
    </row>
    <row r="992" spans="1:4" x14ac:dyDescent="0.25">
      <c r="A992" s="222" t="s">
        <v>7522</v>
      </c>
      <c r="B992" s="222">
        <v>531989</v>
      </c>
      <c r="C992" s="222" t="s">
        <v>2052</v>
      </c>
      <c r="D992" s="222" t="s">
        <v>1447</v>
      </c>
    </row>
    <row r="993" spans="1:4" x14ac:dyDescent="0.25">
      <c r="A993" s="222" t="s">
        <v>7521</v>
      </c>
      <c r="B993" s="222">
        <v>539190</v>
      </c>
      <c r="C993" s="222" t="s">
        <v>2052</v>
      </c>
      <c r="D993" s="222" t="s">
        <v>1321</v>
      </c>
    </row>
    <row r="994" spans="1:4" x14ac:dyDescent="0.25">
      <c r="A994" s="222" t="s">
        <v>7520</v>
      </c>
      <c r="B994" s="222">
        <v>531227</v>
      </c>
      <c r="C994" s="222" t="s">
        <v>2052</v>
      </c>
      <c r="D994" s="222" t="s">
        <v>998</v>
      </c>
    </row>
    <row r="995" spans="1:4" x14ac:dyDescent="0.25">
      <c r="A995" s="222" t="s">
        <v>7519</v>
      </c>
      <c r="B995" s="222">
        <v>539405</v>
      </c>
      <c r="C995" s="222" t="s">
        <v>2052</v>
      </c>
      <c r="D995" s="222" t="s">
        <v>1364</v>
      </c>
    </row>
    <row r="996" spans="1:4" x14ac:dyDescent="0.25">
      <c r="A996" s="222" t="s">
        <v>7518</v>
      </c>
      <c r="B996" s="222">
        <v>539559</v>
      </c>
      <c r="C996" s="222" t="s">
        <v>2052</v>
      </c>
      <c r="D996" s="222" t="s">
        <v>1364</v>
      </c>
    </row>
    <row r="997" spans="1:4" x14ac:dyDescent="0.25">
      <c r="A997" s="222" t="s">
        <v>7517</v>
      </c>
      <c r="B997" s="222">
        <v>539559</v>
      </c>
      <c r="C997" s="222" t="s">
        <v>2052</v>
      </c>
      <c r="D997" s="222" t="s">
        <v>1364</v>
      </c>
    </row>
    <row r="998" spans="1:4" x14ac:dyDescent="0.25">
      <c r="A998" s="222" t="s">
        <v>7516</v>
      </c>
      <c r="B998" s="222">
        <v>532760</v>
      </c>
      <c r="C998" s="222" t="s">
        <v>1079</v>
      </c>
      <c r="D998" s="222" t="s">
        <v>4050</v>
      </c>
    </row>
    <row r="999" spans="1:4" x14ac:dyDescent="0.25">
      <c r="A999" s="222" t="s">
        <v>7515</v>
      </c>
      <c r="B999" s="222">
        <v>541778</v>
      </c>
      <c r="C999" s="222" t="s">
        <v>2052</v>
      </c>
      <c r="D999" s="222" t="s">
        <v>722</v>
      </c>
    </row>
    <row r="1000" spans="1:4" x14ac:dyDescent="0.25">
      <c r="A1000" s="222" t="s">
        <v>7514</v>
      </c>
      <c r="B1000" s="222">
        <v>500645</v>
      </c>
      <c r="C1000" s="222" t="s">
        <v>7513</v>
      </c>
      <c r="D1000" s="222" t="s">
        <v>998</v>
      </c>
    </row>
    <row r="1001" spans="1:4" x14ac:dyDescent="0.25">
      <c r="A1001" s="222" t="s">
        <v>7512</v>
      </c>
      <c r="B1001" s="222">
        <v>506401</v>
      </c>
      <c r="C1001" s="222" t="s">
        <v>7511</v>
      </c>
      <c r="D1001" s="222" t="s">
        <v>998</v>
      </c>
    </row>
    <row r="1002" spans="1:4" x14ac:dyDescent="0.25">
      <c r="A1002" s="222" t="s">
        <v>7510</v>
      </c>
      <c r="B1002" s="222">
        <v>514030</v>
      </c>
      <c r="C1002" s="222" t="s">
        <v>2052</v>
      </c>
      <c r="D1002" s="222" t="s">
        <v>1237</v>
      </c>
    </row>
    <row r="1003" spans="1:4" x14ac:dyDescent="0.25">
      <c r="A1003" s="222" t="s">
        <v>7509</v>
      </c>
      <c r="B1003" s="222">
        <v>539455</v>
      </c>
      <c r="C1003" s="222" t="s">
        <v>2052</v>
      </c>
      <c r="D1003" s="222" t="s">
        <v>2167</v>
      </c>
    </row>
    <row r="1004" spans="1:4" x14ac:dyDescent="0.25">
      <c r="A1004" s="222" t="s">
        <v>7508</v>
      </c>
      <c r="B1004" s="222">
        <v>780006</v>
      </c>
      <c r="C1004" s="222" t="s">
        <v>2052</v>
      </c>
      <c r="D1004" s="222" t="s">
        <v>2197</v>
      </c>
    </row>
    <row r="1005" spans="1:4" x14ac:dyDescent="0.25">
      <c r="A1005" s="222" t="s">
        <v>7507</v>
      </c>
      <c r="B1005" s="222">
        <v>532848</v>
      </c>
      <c r="C1005" s="222" t="s">
        <v>7506</v>
      </c>
      <c r="D1005" s="222" t="s">
        <v>2068</v>
      </c>
    </row>
    <row r="1006" spans="1:4" x14ac:dyDescent="0.25">
      <c r="A1006" s="222" t="s">
        <v>7505</v>
      </c>
      <c r="B1006" s="222">
        <v>539596</v>
      </c>
      <c r="C1006" s="222" t="s">
        <v>2052</v>
      </c>
      <c r="D1006" s="222" t="s">
        <v>1262</v>
      </c>
    </row>
    <row r="1007" spans="1:4" x14ac:dyDescent="0.25">
      <c r="A1007" s="222" t="s">
        <v>7504</v>
      </c>
      <c r="B1007" s="222">
        <v>504286</v>
      </c>
      <c r="C1007" s="222" t="s">
        <v>7503</v>
      </c>
      <c r="D1007" s="222" t="s">
        <v>1275</v>
      </c>
    </row>
    <row r="1008" spans="1:4" x14ac:dyDescent="0.25">
      <c r="A1008" s="222" t="s">
        <v>7502</v>
      </c>
      <c r="B1008" s="222">
        <v>504240</v>
      </c>
      <c r="C1008" s="222" t="s">
        <v>2052</v>
      </c>
      <c r="D1008" s="222" t="s">
        <v>1275</v>
      </c>
    </row>
    <row r="1009" spans="1:4" x14ac:dyDescent="0.25">
      <c r="A1009" s="222" t="s">
        <v>7501</v>
      </c>
      <c r="B1009" s="222">
        <v>504256</v>
      </c>
      <c r="C1009" s="222" t="s">
        <v>2052</v>
      </c>
      <c r="D1009" s="222" t="s">
        <v>2062</v>
      </c>
    </row>
    <row r="1010" spans="1:4" x14ac:dyDescent="0.25">
      <c r="A1010" s="222" t="s">
        <v>7500</v>
      </c>
      <c r="B1010" s="222">
        <v>533137</v>
      </c>
      <c r="C1010" s="222" t="s">
        <v>7499</v>
      </c>
      <c r="D1010" s="222" t="s">
        <v>2079</v>
      </c>
    </row>
    <row r="1011" spans="1:4" x14ac:dyDescent="0.25">
      <c r="A1011" s="222" t="s">
        <v>7498</v>
      </c>
      <c r="B1011" s="222">
        <v>532121</v>
      </c>
      <c r="C1011" s="222" t="s">
        <v>7497</v>
      </c>
      <c r="D1011" s="222" t="s">
        <v>1240</v>
      </c>
    </row>
    <row r="1012" spans="1:4" x14ac:dyDescent="0.25">
      <c r="A1012" s="222" t="s">
        <v>7496</v>
      </c>
      <c r="B1012" s="222">
        <v>537536</v>
      </c>
      <c r="C1012" s="222" t="s">
        <v>2052</v>
      </c>
      <c r="D1012" s="222" t="s">
        <v>789</v>
      </c>
    </row>
    <row r="1013" spans="1:4" x14ac:dyDescent="0.25">
      <c r="A1013" s="222" t="s">
        <v>7495</v>
      </c>
      <c r="B1013" s="222">
        <v>531521</v>
      </c>
      <c r="C1013" s="222" t="s">
        <v>2052</v>
      </c>
      <c r="D1013" s="222" t="s">
        <v>789</v>
      </c>
    </row>
    <row r="1014" spans="1:4" x14ac:dyDescent="0.25">
      <c r="A1014" s="222" t="s">
        <v>7494</v>
      </c>
      <c r="B1014" s="222" t="s">
        <v>2052</v>
      </c>
      <c r="C1014" s="222" t="s">
        <v>828</v>
      </c>
      <c r="D1014" s="222" t="s">
        <v>2050</v>
      </c>
    </row>
    <row r="1015" spans="1:4" x14ac:dyDescent="0.25">
      <c r="A1015" s="222" t="s">
        <v>7493</v>
      </c>
      <c r="B1015" s="222">
        <v>539197</v>
      </c>
      <c r="C1015" s="222" t="s">
        <v>2052</v>
      </c>
      <c r="D1015" s="222" t="s">
        <v>1529</v>
      </c>
    </row>
    <row r="1016" spans="1:4" x14ac:dyDescent="0.25">
      <c r="A1016" s="222" t="s">
        <v>7492</v>
      </c>
      <c r="B1016" s="222">
        <v>539197</v>
      </c>
      <c r="C1016" s="222" t="s">
        <v>2052</v>
      </c>
      <c r="D1016" s="222" t="s">
        <v>1529</v>
      </c>
    </row>
    <row r="1017" spans="1:4" x14ac:dyDescent="0.25">
      <c r="A1017" s="222" t="s">
        <v>7491</v>
      </c>
      <c r="B1017" s="222">
        <v>531585</v>
      </c>
      <c r="C1017" s="222" t="s">
        <v>2052</v>
      </c>
      <c r="D1017" s="222" t="s">
        <v>1529</v>
      </c>
    </row>
    <row r="1018" spans="1:4" x14ac:dyDescent="0.25">
      <c r="A1018" s="222" t="s">
        <v>7490</v>
      </c>
      <c r="B1018" s="222">
        <v>512445</v>
      </c>
      <c r="C1018" s="222" t="s">
        <v>2052</v>
      </c>
      <c r="D1018" s="222" t="s">
        <v>1262</v>
      </c>
    </row>
    <row r="1019" spans="1:4" x14ac:dyDescent="0.25">
      <c r="A1019" s="222" t="s">
        <v>7489</v>
      </c>
      <c r="B1019" s="222">
        <v>530765</v>
      </c>
      <c r="C1019" s="222" t="s">
        <v>2052</v>
      </c>
      <c r="D1019" s="222" t="s">
        <v>1321</v>
      </c>
    </row>
    <row r="1020" spans="1:4" x14ac:dyDescent="0.25">
      <c r="A1020" s="222" t="s">
        <v>7488</v>
      </c>
      <c r="B1020" s="222">
        <v>542002</v>
      </c>
      <c r="C1020" s="222" t="s">
        <v>2052</v>
      </c>
      <c r="D1020" s="222" t="s">
        <v>1243</v>
      </c>
    </row>
    <row r="1021" spans="1:4" x14ac:dyDescent="0.25">
      <c r="A1021" s="222" t="s">
        <v>7487</v>
      </c>
      <c r="B1021" s="222">
        <v>511072</v>
      </c>
      <c r="C1021" s="222" t="s">
        <v>7486</v>
      </c>
      <c r="D1021" s="222" t="s">
        <v>2520</v>
      </c>
    </row>
    <row r="1022" spans="1:4" x14ac:dyDescent="0.25">
      <c r="A1022" s="222" t="s">
        <v>7485</v>
      </c>
      <c r="B1022" s="222">
        <v>519588</v>
      </c>
      <c r="C1022" s="222" t="s">
        <v>7484</v>
      </c>
      <c r="D1022" s="222" t="s">
        <v>1161</v>
      </c>
    </row>
    <row r="1023" spans="1:4" x14ac:dyDescent="0.25">
      <c r="A1023" s="222" t="s">
        <v>7483</v>
      </c>
      <c r="B1023" s="222">
        <v>538715</v>
      </c>
      <c r="C1023" s="222" t="s">
        <v>2052</v>
      </c>
      <c r="D1023" s="222" t="s">
        <v>1251</v>
      </c>
    </row>
    <row r="1024" spans="1:4" x14ac:dyDescent="0.25">
      <c r="A1024" s="222" t="s">
        <v>7482</v>
      </c>
      <c r="B1024" s="222">
        <v>500119</v>
      </c>
      <c r="C1024" s="222" t="s">
        <v>7481</v>
      </c>
      <c r="D1024" s="222" t="s">
        <v>1124</v>
      </c>
    </row>
    <row r="1025" spans="1:4" x14ac:dyDescent="0.25">
      <c r="A1025" s="222" t="s">
        <v>7480</v>
      </c>
      <c r="B1025" s="222">
        <v>531923</v>
      </c>
      <c r="C1025" s="222" t="s">
        <v>2052</v>
      </c>
      <c r="D1025" s="222" t="s">
        <v>1124</v>
      </c>
    </row>
    <row r="1026" spans="1:4" x14ac:dyDescent="0.25">
      <c r="A1026" s="222" t="s">
        <v>7479</v>
      </c>
      <c r="B1026" s="222">
        <v>531198</v>
      </c>
      <c r="C1026" s="222" t="s">
        <v>2052</v>
      </c>
      <c r="D1026" s="222" t="s">
        <v>2128</v>
      </c>
    </row>
    <row r="1027" spans="1:4" x14ac:dyDescent="0.25">
      <c r="A1027" s="222" t="s">
        <v>7478</v>
      </c>
      <c r="B1027" s="222">
        <v>521216</v>
      </c>
      <c r="C1027" s="222" t="s">
        <v>2052</v>
      </c>
      <c r="D1027" s="222" t="s">
        <v>1237</v>
      </c>
    </row>
    <row r="1028" spans="1:4" x14ac:dyDescent="0.25">
      <c r="A1028" s="222" t="s">
        <v>7477</v>
      </c>
      <c r="B1028" s="222">
        <v>542679</v>
      </c>
      <c r="C1028" s="222" t="s">
        <v>7476</v>
      </c>
      <c r="D1028" s="222" t="s">
        <v>1275</v>
      </c>
    </row>
    <row r="1029" spans="1:4" x14ac:dyDescent="0.25">
      <c r="A1029" s="222" t="s">
        <v>7475</v>
      </c>
      <c r="B1029" s="222">
        <v>532180</v>
      </c>
      <c r="C1029" s="222" t="s">
        <v>7474</v>
      </c>
      <c r="D1029" s="222" t="s">
        <v>1240</v>
      </c>
    </row>
    <row r="1030" spans="1:4" x14ac:dyDescent="0.25">
      <c r="A1030" s="222" t="s">
        <v>7473</v>
      </c>
      <c r="B1030" s="222">
        <v>512485</v>
      </c>
      <c r="C1030" s="222" t="s">
        <v>2052</v>
      </c>
      <c r="D1030" s="222" t="s">
        <v>1529</v>
      </c>
    </row>
    <row r="1031" spans="1:4" x14ac:dyDescent="0.25">
      <c r="A1031" s="222" t="s">
        <v>7472</v>
      </c>
      <c r="B1031" s="222">
        <v>521151</v>
      </c>
      <c r="C1031" s="222" t="s">
        <v>2052</v>
      </c>
      <c r="D1031" s="222" t="s">
        <v>1237</v>
      </c>
    </row>
    <row r="1032" spans="1:4" x14ac:dyDescent="0.25">
      <c r="A1032" s="222" t="s">
        <v>7471</v>
      </c>
      <c r="B1032" s="222">
        <v>503637</v>
      </c>
      <c r="C1032" s="222" t="s">
        <v>2052</v>
      </c>
      <c r="D1032" s="222" t="s">
        <v>1262</v>
      </c>
    </row>
    <row r="1033" spans="1:4" x14ac:dyDescent="0.25">
      <c r="A1033" s="222" t="s">
        <v>7470</v>
      </c>
      <c r="B1033" s="222">
        <v>507717</v>
      </c>
      <c r="C1033" s="222" t="s">
        <v>7469</v>
      </c>
      <c r="D1033" s="222" t="s">
        <v>1324</v>
      </c>
    </row>
    <row r="1034" spans="1:4" x14ac:dyDescent="0.25">
      <c r="A1034" s="222" t="s">
        <v>7468</v>
      </c>
      <c r="B1034" s="222">
        <v>538446</v>
      </c>
      <c r="C1034" s="222" t="s">
        <v>2052</v>
      </c>
      <c r="D1034" s="222" t="s">
        <v>1262</v>
      </c>
    </row>
    <row r="1035" spans="1:4" x14ac:dyDescent="0.25">
      <c r="A1035" s="222" t="s">
        <v>7467</v>
      </c>
      <c r="B1035" s="222" t="s">
        <v>2052</v>
      </c>
      <c r="C1035" s="222" t="s">
        <v>7466</v>
      </c>
      <c r="D1035" s="222" t="s">
        <v>2050</v>
      </c>
    </row>
    <row r="1036" spans="1:4" x14ac:dyDescent="0.25">
      <c r="A1036" s="222" t="s">
        <v>7465</v>
      </c>
      <c r="B1036" s="222">
        <v>531043</v>
      </c>
      <c r="C1036" s="222" t="s">
        <v>2052</v>
      </c>
      <c r="D1036" s="222" t="s">
        <v>1425</v>
      </c>
    </row>
    <row r="1037" spans="1:4" x14ac:dyDescent="0.25">
      <c r="A1037" s="222" t="s">
        <v>7464</v>
      </c>
      <c r="B1037" s="222">
        <v>540268</v>
      </c>
      <c r="C1037" s="222" t="s">
        <v>2052</v>
      </c>
      <c r="D1037" s="222" t="s">
        <v>1262</v>
      </c>
    </row>
    <row r="1038" spans="1:4" x14ac:dyDescent="0.25">
      <c r="A1038" s="222" t="s">
        <v>7463</v>
      </c>
      <c r="B1038" s="222">
        <v>506405</v>
      </c>
      <c r="C1038" s="222" t="s">
        <v>2052</v>
      </c>
      <c r="D1038" s="222" t="s">
        <v>722</v>
      </c>
    </row>
    <row r="1039" spans="1:4" x14ac:dyDescent="0.25">
      <c r="A1039" s="222" t="s">
        <v>7462</v>
      </c>
      <c r="B1039" s="222">
        <v>511451</v>
      </c>
      <c r="C1039" s="222" t="s">
        <v>2052</v>
      </c>
      <c r="D1039" s="222" t="s">
        <v>1321</v>
      </c>
    </row>
    <row r="1040" spans="1:4" x14ac:dyDescent="0.25">
      <c r="A1040" s="222" t="s">
        <v>7461</v>
      </c>
      <c r="B1040" s="222">
        <v>507442</v>
      </c>
      <c r="C1040" s="222" t="s">
        <v>7460</v>
      </c>
      <c r="D1040" s="222" t="s">
        <v>1124</v>
      </c>
    </row>
    <row r="1041" spans="1:4" x14ac:dyDescent="0.25">
      <c r="A1041" s="222" t="s">
        <v>7459</v>
      </c>
      <c r="B1041" s="222">
        <v>501945</v>
      </c>
      <c r="C1041" s="222" t="s">
        <v>2052</v>
      </c>
      <c r="D1041" s="222" t="s">
        <v>1321</v>
      </c>
    </row>
    <row r="1042" spans="1:4" x14ac:dyDescent="0.25">
      <c r="A1042" s="222" t="s">
        <v>7458</v>
      </c>
      <c r="B1042" s="222">
        <v>526971</v>
      </c>
      <c r="C1042" s="222" t="s">
        <v>2052</v>
      </c>
      <c r="D1042" s="222" t="s">
        <v>1529</v>
      </c>
    </row>
    <row r="1043" spans="1:4" x14ac:dyDescent="0.25">
      <c r="A1043" s="222" t="s">
        <v>7457</v>
      </c>
      <c r="B1043" s="222">
        <v>531306</v>
      </c>
      <c r="C1043" s="222" t="s">
        <v>2052</v>
      </c>
      <c r="D1043" s="222" t="s">
        <v>832</v>
      </c>
    </row>
    <row r="1044" spans="1:4" x14ac:dyDescent="0.25">
      <c r="A1044" s="222" t="s">
        <v>7456</v>
      </c>
      <c r="B1044" s="222">
        <v>531306</v>
      </c>
      <c r="C1044" s="222" t="s">
        <v>2052</v>
      </c>
      <c r="D1044" s="222" t="s">
        <v>832</v>
      </c>
    </row>
    <row r="1045" spans="1:4" x14ac:dyDescent="0.25">
      <c r="A1045" s="222" t="s">
        <v>7455</v>
      </c>
      <c r="B1045" s="222">
        <v>541302</v>
      </c>
      <c r="C1045" s="222" t="s">
        <v>2052</v>
      </c>
      <c r="D1045" s="222" t="s">
        <v>1248</v>
      </c>
    </row>
    <row r="1046" spans="1:4" x14ac:dyDescent="0.25">
      <c r="A1046" s="222" t="s">
        <v>7454</v>
      </c>
      <c r="B1046" s="222">
        <v>507886</v>
      </c>
      <c r="C1046" s="222" t="s">
        <v>2052</v>
      </c>
      <c r="D1046" s="222" t="s">
        <v>1243</v>
      </c>
    </row>
    <row r="1047" spans="1:4" x14ac:dyDescent="0.25">
      <c r="A1047" s="222" t="s">
        <v>7453</v>
      </c>
      <c r="B1047" s="222">
        <v>540695</v>
      </c>
      <c r="C1047" s="222" t="s">
        <v>2052</v>
      </c>
      <c r="D1047" s="222" t="s">
        <v>1529</v>
      </c>
    </row>
    <row r="1048" spans="1:4" x14ac:dyDescent="0.25">
      <c r="A1048" s="222" t="s">
        <v>7452</v>
      </c>
      <c r="B1048" s="222">
        <v>531237</v>
      </c>
      <c r="C1048" s="222" t="s">
        <v>2052</v>
      </c>
      <c r="D1048" s="222" t="s">
        <v>1321</v>
      </c>
    </row>
    <row r="1049" spans="1:4" x14ac:dyDescent="0.25">
      <c r="A1049" s="222" t="s">
        <v>7451</v>
      </c>
      <c r="B1049" s="222">
        <v>533336</v>
      </c>
      <c r="C1049" s="222" t="s">
        <v>7450</v>
      </c>
      <c r="D1049" s="222" t="s">
        <v>2108</v>
      </c>
    </row>
    <row r="1050" spans="1:4" x14ac:dyDescent="0.25">
      <c r="A1050" s="222" t="s">
        <v>7449</v>
      </c>
      <c r="B1050" s="222">
        <v>523736</v>
      </c>
      <c r="C1050" s="222" t="s">
        <v>7448</v>
      </c>
      <c r="D1050" s="222" t="s">
        <v>2299</v>
      </c>
    </row>
    <row r="1051" spans="1:4" x14ac:dyDescent="0.25">
      <c r="A1051" s="222" t="s">
        <v>7447</v>
      </c>
      <c r="B1051" s="222">
        <v>538902</v>
      </c>
      <c r="C1051" s="222" t="s">
        <v>7446</v>
      </c>
      <c r="D1051" s="222" t="s">
        <v>1400</v>
      </c>
    </row>
    <row r="1052" spans="1:4" x14ac:dyDescent="0.25">
      <c r="A1052" s="222" t="s">
        <v>7445</v>
      </c>
      <c r="B1052" s="222" t="s">
        <v>2052</v>
      </c>
      <c r="C1052" s="222" t="s">
        <v>7444</v>
      </c>
      <c r="D1052" s="222" t="s">
        <v>1400</v>
      </c>
    </row>
    <row r="1053" spans="1:4" x14ac:dyDescent="0.25">
      <c r="A1053" s="222" t="s">
        <v>7443</v>
      </c>
      <c r="B1053" s="222">
        <v>508860</v>
      </c>
      <c r="C1053" s="222" t="s">
        <v>2052</v>
      </c>
      <c r="D1053" s="222" t="s">
        <v>1248</v>
      </c>
    </row>
    <row r="1054" spans="1:4" x14ac:dyDescent="0.25">
      <c r="A1054" s="222" t="s">
        <v>7442</v>
      </c>
      <c r="B1054" s="222">
        <v>500120</v>
      </c>
      <c r="C1054" s="222" t="s">
        <v>2052</v>
      </c>
      <c r="D1054" s="222" t="s">
        <v>998</v>
      </c>
    </row>
    <row r="1055" spans="1:4" x14ac:dyDescent="0.25">
      <c r="A1055" s="222" t="s">
        <v>7441</v>
      </c>
      <c r="B1055" s="222">
        <v>522163</v>
      </c>
      <c r="C1055" s="222" t="s">
        <v>7440</v>
      </c>
      <c r="D1055" s="222" t="s">
        <v>1275</v>
      </c>
    </row>
    <row r="1056" spans="1:4" x14ac:dyDescent="0.25">
      <c r="A1056" s="222" t="s">
        <v>7439</v>
      </c>
      <c r="B1056" s="222">
        <v>530959</v>
      </c>
      <c r="C1056" s="222" t="s">
        <v>2052</v>
      </c>
      <c r="D1056" s="222" t="s">
        <v>1400</v>
      </c>
    </row>
    <row r="1057" spans="1:4" x14ac:dyDescent="0.25">
      <c r="A1057" s="222" t="s">
        <v>7438</v>
      </c>
      <c r="B1057" s="222">
        <v>500089</v>
      </c>
      <c r="C1057" s="222" t="s">
        <v>7436</v>
      </c>
      <c r="D1057" s="222" t="s">
        <v>722</v>
      </c>
    </row>
    <row r="1058" spans="1:4" x14ac:dyDescent="0.25">
      <c r="A1058" s="222" t="s">
        <v>7437</v>
      </c>
      <c r="B1058" s="222">
        <v>500089</v>
      </c>
      <c r="C1058" s="222" t="s">
        <v>7436</v>
      </c>
      <c r="D1058" s="222" t="s">
        <v>722</v>
      </c>
    </row>
    <row r="1059" spans="1:4" x14ac:dyDescent="0.25">
      <c r="A1059" s="222" t="s">
        <v>7435</v>
      </c>
      <c r="B1059" s="222">
        <v>540811</v>
      </c>
      <c r="C1059" s="222" t="s">
        <v>2052</v>
      </c>
      <c r="D1059" s="222" t="s">
        <v>1529</v>
      </c>
    </row>
    <row r="1060" spans="1:4" x14ac:dyDescent="0.25">
      <c r="A1060" s="222" t="s">
        <v>7434</v>
      </c>
      <c r="B1060" s="222">
        <v>542685</v>
      </c>
      <c r="C1060" s="222" t="s">
        <v>7433</v>
      </c>
      <c r="D1060" s="222" t="s">
        <v>2784</v>
      </c>
    </row>
    <row r="1061" spans="1:4" x14ac:dyDescent="0.25">
      <c r="A1061" s="222" t="s">
        <v>7432</v>
      </c>
      <c r="B1061" s="222">
        <v>539979</v>
      </c>
      <c r="C1061" s="222" t="s">
        <v>7431</v>
      </c>
      <c r="D1061" s="222" t="s">
        <v>1237</v>
      </c>
    </row>
    <row r="1062" spans="1:4" x14ac:dyDescent="0.25">
      <c r="A1062" s="222" t="s">
        <v>7430</v>
      </c>
      <c r="B1062" s="222">
        <v>540151</v>
      </c>
      <c r="C1062" s="222" t="s">
        <v>2052</v>
      </c>
      <c r="D1062" s="222" t="s">
        <v>2264</v>
      </c>
    </row>
    <row r="1063" spans="1:4" x14ac:dyDescent="0.25">
      <c r="A1063" s="222" t="s">
        <v>7429</v>
      </c>
      <c r="B1063" s="222">
        <v>542155</v>
      </c>
      <c r="C1063" s="222" t="s">
        <v>7428</v>
      </c>
      <c r="D1063" s="222" t="s">
        <v>2156</v>
      </c>
    </row>
    <row r="1064" spans="1:4" x14ac:dyDescent="0.25">
      <c r="A1064" s="222" t="s">
        <v>7427</v>
      </c>
      <c r="B1064" s="222">
        <v>506414</v>
      </c>
      <c r="C1064" s="222" t="s">
        <v>2052</v>
      </c>
      <c r="D1064" s="222" t="s">
        <v>789</v>
      </c>
    </row>
    <row r="1065" spans="1:4" x14ac:dyDescent="0.25">
      <c r="A1065" s="222" t="s">
        <v>7426</v>
      </c>
      <c r="B1065" s="222">
        <v>531153</v>
      </c>
      <c r="C1065" s="222" t="s">
        <v>2052</v>
      </c>
      <c r="D1065" s="222" t="s">
        <v>1963</v>
      </c>
    </row>
    <row r="1066" spans="1:4" x14ac:dyDescent="0.25">
      <c r="A1066" s="222" t="s">
        <v>7425</v>
      </c>
      <c r="B1066" s="222">
        <v>540789</v>
      </c>
      <c r="C1066" s="222" t="s">
        <v>7424</v>
      </c>
      <c r="D1066" s="222" t="s">
        <v>1558</v>
      </c>
    </row>
    <row r="1067" spans="1:4" x14ac:dyDescent="0.25">
      <c r="A1067" s="222" t="s">
        <v>7423</v>
      </c>
      <c r="B1067" s="222">
        <v>540047</v>
      </c>
      <c r="C1067" s="222" t="s">
        <v>7422</v>
      </c>
      <c r="D1067" s="222" t="s">
        <v>3887</v>
      </c>
    </row>
    <row r="1068" spans="1:4" x14ac:dyDescent="0.25">
      <c r="A1068" s="222" t="s">
        <v>7421</v>
      </c>
      <c r="B1068" s="222">
        <v>526927</v>
      </c>
      <c r="C1068" s="222" t="s">
        <v>2052</v>
      </c>
      <c r="D1068" s="222" t="s">
        <v>1942</v>
      </c>
    </row>
    <row r="1069" spans="1:4" x14ac:dyDescent="0.25">
      <c r="A1069" s="222" t="s">
        <v>7420</v>
      </c>
      <c r="B1069" s="222">
        <v>500068</v>
      </c>
      <c r="C1069" s="222" t="s">
        <v>2052</v>
      </c>
      <c r="D1069" s="222" t="s">
        <v>832</v>
      </c>
    </row>
    <row r="1070" spans="1:4" x14ac:dyDescent="0.25">
      <c r="A1070" s="222" t="s">
        <v>7419</v>
      </c>
      <c r="B1070" s="222">
        <v>500068</v>
      </c>
      <c r="C1070" s="222" t="s">
        <v>2052</v>
      </c>
      <c r="D1070" s="222" t="s">
        <v>832</v>
      </c>
    </row>
    <row r="1071" spans="1:4" x14ac:dyDescent="0.25">
      <c r="A1071" s="222" t="s">
        <v>7418</v>
      </c>
      <c r="B1071" s="222">
        <v>532839</v>
      </c>
      <c r="C1071" s="222" t="s">
        <v>7416</v>
      </c>
      <c r="D1071" s="222" t="s">
        <v>2079</v>
      </c>
    </row>
    <row r="1072" spans="1:4" x14ac:dyDescent="0.25">
      <c r="A1072" s="222" t="s">
        <v>7417</v>
      </c>
      <c r="B1072" s="222">
        <v>532839</v>
      </c>
      <c r="C1072" s="222" t="s">
        <v>7416</v>
      </c>
      <c r="D1072" s="222" t="s">
        <v>2079</v>
      </c>
    </row>
    <row r="1073" spans="1:4" x14ac:dyDescent="0.25">
      <c r="A1073" s="222" t="s">
        <v>7415</v>
      </c>
      <c r="B1073" s="222">
        <v>531553</v>
      </c>
      <c r="C1073" s="222" t="s">
        <v>2052</v>
      </c>
      <c r="D1073" s="222" t="s">
        <v>2068</v>
      </c>
    </row>
    <row r="1074" spans="1:4" x14ac:dyDescent="0.25">
      <c r="A1074" s="222" t="s">
        <v>7414</v>
      </c>
      <c r="B1074" s="222">
        <v>540701</v>
      </c>
      <c r="C1074" s="222" t="s">
        <v>7413</v>
      </c>
      <c r="D1074" s="222" t="s">
        <v>789</v>
      </c>
    </row>
    <row r="1075" spans="1:4" x14ac:dyDescent="0.25">
      <c r="A1075" s="222" t="s">
        <v>7412</v>
      </c>
      <c r="B1075" s="222">
        <v>538432</v>
      </c>
      <c r="C1075" s="222" t="s">
        <v>2052</v>
      </c>
      <c r="D1075" s="222" t="s">
        <v>1529</v>
      </c>
    </row>
    <row r="1076" spans="1:4" x14ac:dyDescent="0.25">
      <c r="A1076" s="222" t="s">
        <v>7411</v>
      </c>
      <c r="B1076" s="222">
        <v>532488</v>
      </c>
      <c r="C1076" s="222" t="s">
        <v>7410</v>
      </c>
      <c r="D1076" s="222" t="s">
        <v>789</v>
      </c>
    </row>
    <row r="1077" spans="1:4" x14ac:dyDescent="0.25">
      <c r="A1077" s="222" t="s">
        <v>7409</v>
      </c>
      <c r="B1077" s="222">
        <v>526285</v>
      </c>
      <c r="C1077" s="222" t="s">
        <v>2052</v>
      </c>
      <c r="D1077" s="222" t="s">
        <v>1963</v>
      </c>
    </row>
    <row r="1078" spans="1:4" x14ac:dyDescent="0.25">
      <c r="A1078" s="222" t="s">
        <v>7408</v>
      </c>
      <c r="B1078" s="222">
        <v>526315</v>
      </c>
      <c r="C1078" s="222" t="s">
        <v>2052</v>
      </c>
      <c r="D1078" s="222" t="s">
        <v>2357</v>
      </c>
    </row>
    <row r="1079" spans="1:4" x14ac:dyDescent="0.25">
      <c r="A1079" s="222" t="s">
        <v>7407</v>
      </c>
      <c r="B1079" s="222">
        <v>540699</v>
      </c>
      <c r="C1079" s="222" t="s">
        <v>7405</v>
      </c>
      <c r="D1079" s="222" t="s">
        <v>950</v>
      </c>
    </row>
    <row r="1080" spans="1:4" x14ac:dyDescent="0.25">
      <c r="A1080" s="222" t="s">
        <v>7406</v>
      </c>
      <c r="B1080" s="222">
        <v>540699</v>
      </c>
      <c r="C1080" s="222" t="s">
        <v>7405</v>
      </c>
      <c r="D1080" s="222" t="s">
        <v>950</v>
      </c>
    </row>
    <row r="1081" spans="1:4" x14ac:dyDescent="0.25">
      <c r="A1081" s="222" t="s">
        <v>7404</v>
      </c>
      <c r="B1081" s="222">
        <v>532868</v>
      </c>
      <c r="C1081" s="222" t="s">
        <v>7403</v>
      </c>
      <c r="D1081" s="222" t="s">
        <v>1243</v>
      </c>
    </row>
    <row r="1082" spans="1:4" x14ac:dyDescent="0.25">
      <c r="A1082" s="222" t="s">
        <v>7402</v>
      </c>
      <c r="B1082" s="222">
        <v>533146</v>
      </c>
      <c r="C1082" s="222" t="s">
        <v>7401</v>
      </c>
      <c r="D1082" s="222" t="s">
        <v>2387</v>
      </c>
    </row>
    <row r="1083" spans="1:4" x14ac:dyDescent="0.25">
      <c r="A1083" s="222" t="s">
        <v>7400</v>
      </c>
      <c r="B1083" s="222">
        <v>533146</v>
      </c>
      <c r="C1083" s="222" t="s">
        <v>7399</v>
      </c>
      <c r="D1083" s="222" t="s">
        <v>2387</v>
      </c>
    </row>
    <row r="1084" spans="1:4" x14ac:dyDescent="0.25">
      <c r="A1084" s="222" t="s">
        <v>7398</v>
      </c>
      <c r="B1084" s="222">
        <v>505526</v>
      </c>
      <c r="C1084" s="222" t="s">
        <v>2052</v>
      </c>
      <c r="D1084" s="222" t="s">
        <v>2108</v>
      </c>
    </row>
    <row r="1085" spans="1:4" x14ac:dyDescent="0.25">
      <c r="A1085" s="222" t="s">
        <v>7397</v>
      </c>
      <c r="B1085" s="222">
        <v>542013</v>
      </c>
      <c r="C1085" s="222" t="s">
        <v>2052</v>
      </c>
      <c r="D1085" s="222" t="s">
        <v>1410</v>
      </c>
    </row>
    <row r="1086" spans="1:4" x14ac:dyDescent="0.25">
      <c r="A1086" s="222" t="s">
        <v>7396</v>
      </c>
      <c r="B1086" s="222">
        <v>541403</v>
      </c>
      <c r="C1086" s="222" t="s">
        <v>7395</v>
      </c>
      <c r="D1086" s="222" t="s">
        <v>1364</v>
      </c>
    </row>
    <row r="1087" spans="1:4" x14ac:dyDescent="0.25">
      <c r="A1087" s="222" t="s">
        <v>7394</v>
      </c>
      <c r="B1087" s="222">
        <v>526504</v>
      </c>
      <c r="C1087" s="222" t="s">
        <v>2052</v>
      </c>
      <c r="D1087" s="222" t="s">
        <v>1425</v>
      </c>
    </row>
    <row r="1088" spans="1:4" x14ac:dyDescent="0.25">
      <c r="A1088" s="222" t="s">
        <v>7393</v>
      </c>
      <c r="B1088" s="222">
        <v>522261</v>
      </c>
      <c r="C1088" s="222" t="s">
        <v>7391</v>
      </c>
      <c r="D1088" s="222" t="s">
        <v>4775</v>
      </c>
    </row>
    <row r="1089" spans="1:4" x14ac:dyDescent="0.25">
      <c r="A1089" s="222" t="s">
        <v>7392</v>
      </c>
      <c r="B1089" s="222">
        <v>522261</v>
      </c>
      <c r="C1089" s="222" t="s">
        <v>7391</v>
      </c>
      <c r="D1089" s="222" t="s">
        <v>4775</v>
      </c>
    </row>
    <row r="1090" spans="1:4" x14ac:dyDescent="0.25">
      <c r="A1090" s="222" t="s">
        <v>7390</v>
      </c>
      <c r="B1090" s="222">
        <v>512519</v>
      </c>
      <c r="C1090" s="222" t="s">
        <v>7389</v>
      </c>
      <c r="D1090" s="222" t="s">
        <v>1237</v>
      </c>
    </row>
    <row r="1091" spans="1:4" x14ac:dyDescent="0.25">
      <c r="A1091" s="222" t="s">
        <v>7388</v>
      </c>
      <c r="B1091" s="222" t="s">
        <v>2052</v>
      </c>
      <c r="C1091" s="222" t="s">
        <v>7387</v>
      </c>
      <c r="D1091" s="222" t="s">
        <v>2197</v>
      </c>
    </row>
    <row r="1092" spans="1:4" x14ac:dyDescent="0.25">
      <c r="A1092" s="222" t="s">
        <v>7386</v>
      </c>
      <c r="B1092" s="222">
        <v>533176</v>
      </c>
      <c r="C1092" s="222" t="s">
        <v>7385</v>
      </c>
      <c r="D1092" s="222" t="s">
        <v>2264</v>
      </c>
    </row>
    <row r="1093" spans="1:4" x14ac:dyDescent="0.25">
      <c r="A1093" s="222" t="s">
        <v>7384</v>
      </c>
      <c r="B1093" s="222">
        <v>526783</v>
      </c>
      <c r="C1093" s="222" t="s">
        <v>2052</v>
      </c>
      <c r="D1093" s="222" t="s">
        <v>1425</v>
      </c>
    </row>
    <row r="1094" spans="1:4" x14ac:dyDescent="0.25">
      <c r="A1094" s="222" t="s">
        <v>7383</v>
      </c>
      <c r="B1094" s="222">
        <v>539267</v>
      </c>
      <c r="C1094" s="222" t="s">
        <v>2052</v>
      </c>
      <c r="D1094" s="222" t="s">
        <v>1529</v>
      </c>
    </row>
    <row r="1095" spans="1:4" x14ac:dyDescent="0.25">
      <c r="A1095" s="222" t="s">
        <v>7382</v>
      </c>
      <c r="B1095" s="222">
        <v>539524</v>
      </c>
      <c r="C1095" s="222" t="s">
        <v>7381</v>
      </c>
      <c r="D1095" s="222" t="s">
        <v>1425</v>
      </c>
    </row>
    <row r="1096" spans="1:4" x14ac:dyDescent="0.25">
      <c r="A1096" s="222" t="s">
        <v>7380</v>
      </c>
      <c r="B1096" s="222">
        <v>541299</v>
      </c>
      <c r="C1096" s="222" t="s">
        <v>2052</v>
      </c>
      <c r="D1096" s="222" t="s">
        <v>1425</v>
      </c>
    </row>
    <row r="1097" spans="1:4" x14ac:dyDescent="0.25">
      <c r="A1097" s="222" t="s">
        <v>7379</v>
      </c>
      <c r="B1097" s="222">
        <v>500124</v>
      </c>
      <c r="C1097" s="222" t="s">
        <v>7378</v>
      </c>
      <c r="D1097" s="222" t="s">
        <v>789</v>
      </c>
    </row>
    <row r="1098" spans="1:4" x14ac:dyDescent="0.25">
      <c r="A1098" s="222" t="s">
        <v>7377</v>
      </c>
      <c r="B1098" s="222">
        <v>540144</v>
      </c>
      <c r="C1098" s="222" t="s">
        <v>2052</v>
      </c>
      <c r="D1098" s="222" t="s">
        <v>911</v>
      </c>
    </row>
    <row r="1099" spans="1:4" x14ac:dyDescent="0.25">
      <c r="A1099" s="222" t="s">
        <v>7376</v>
      </c>
      <c r="B1099" s="222">
        <v>523618</v>
      </c>
      <c r="C1099" s="222" t="s">
        <v>7374</v>
      </c>
      <c r="D1099" s="222" t="s">
        <v>1112</v>
      </c>
    </row>
    <row r="1100" spans="1:4" x14ac:dyDescent="0.25">
      <c r="A1100" s="222" t="s">
        <v>7375</v>
      </c>
      <c r="B1100" s="222">
        <v>523618</v>
      </c>
      <c r="C1100" s="222" t="s">
        <v>7374</v>
      </c>
      <c r="D1100" s="222" t="s">
        <v>1112</v>
      </c>
    </row>
    <row r="1101" spans="1:4" x14ac:dyDescent="0.25">
      <c r="A1101" s="222" t="s">
        <v>7373</v>
      </c>
      <c r="B1101" s="222">
        <v>534674</v>
      </c>
      <c r="C1101" s="222" t="s">
        <v>7372</v>
      </c>
      <c r="D1101" s="222" t="s">
        <v>1529</v>
      </c>
    </row>
    <row r="1102" spans="1:4" x14ac:dyDescent="0.25">
      <c r="A1102" s="222" t="s">
        <v>7371</v>
      </c>
      <c r="B1102" s="222">
        <v>511634</v>
      </c>
      <c r="C1102" s="222" t="s">
        <v>2052</v>
      </c>
      <c r="D1102" s="222" t="s">
        <v>1248</v>
      </c>
    </row>
    <row r="1103" spans="1:4" x14ac:dyDescent="0.25">
      <c r="A1103" s="222" t="s">
        <v>7370</v>
      </c>
      <c r="B1103" s="222">
        <v>531471</v>
      </c>
      <c r="C1103" s="222" t="s">
        <v>2052</v>
      </c>
      <c r="D1103" s="222" t="s">
        <v>4775</v>
      </c>
    </row>
    <row r="1104" spans="1:4" x14ac:dyDescent="0.25">
      <c r="A1104" s="222" t="s">
        <v>7369</v>
      </c>
      <c r="B1104" s="222">
        <v>504908</v>
      </c>
      <c r="C1104" s="222" t="s">
        <v>2052</v>
      </c>
      <c r="D1104" s="222" t="s">
        <v>1306</v>
      </c>
    </row>
    <row r="1105" spans="1:4" x14ac:dyDescent="0.25">
      <c r="A1105" s="222" t="s">
        <v>7368</v>
      </c>
      <c r="B1105" s="222">
        <v>526355</v>
      </c>
      <c r="C1105" s="222" t="s">
        <v>2052</v>
      </c>
      <c r="D1105" s="222" t="s">
        <v>1251</v>
      </c>
    </row>
    <row r="1106" spans="1:4" x14ac:dyDescent="0.25">
      <c r="A1106" s="222" t="s">
        <v>7367</v>
      </c>
      <c r="B1106" s="222">
        <v>517437</v>
      </c>
      <c r="C1106" s="222" t="s">
        <v>2052</v>
      </c>
      <c r="D1106" s="222" t="s">
        <v>1251</v>
      </c>
    </row>
    <row r="1107" spans="1:4" x14ac:dyDescent="0.25">
      <c r="A1107" s="222" t="s">
        <v>7366</v>
      </c>
      <c r="B1107" s="222">
        <v>532610</v>
      </c>
      <c r="C1107" s="222" t="s">
        <v>7365</v>
      </c>
      <c r="D1107" s="222" t="s">
        <v>1124</v>
      </c>
    </row>
    <row r="1108" spans="1:4" x14ac:dyDescent="0.25">
      <c r="A1108" s="222" t="s">
        <v>7364</v>
      </c>
      <c r="B1108" s="222">
        <v>538608</v>
      </c>
      <c r="C1108" s="222" t="s">
        <v>7363</v>
      </c>
      <c r="D1108" s="222" t="s">
        <v>2156</v>
      </c>
    </row>
    <row r="1109" spans="1:4" x14ac:dyDescent="0.25">
      <c r="A1109" s="222" t="s">
        <v>7362</v>
      </c>
      <c r="B1109" s="222">
        <v>532365</v>
      </c>
      <c r="C1109" s="222" t="s">
        <v>7361</v>
      </c>
      <c r="D1109" s="222" t="s">
        <v>1265</v>
      </c>
    </row>
    <row r="1110" spans="1:4" x14ac:dyDescent="0.25">
      <c r="A1110" s="222" t="s">
        <v>7360</v>
      </c>
      <c r="B1110" s="222">
        <v>505242</v>
      </c>
      <c r="C1110" s="222" t="s">
        <v>7359</v>
      </c>
      <c r="D1110" s="222" t="s">
        <v>832</v>
      </c>
    </row>
    <row r="1111" spans="1:4" x14ac:dyDescent="0.25">
      <c r="A1111" s="222" t="s">
        <v>7358</v>
      </c>
      <c r="B1111" s="222">
        <v>539681</v>
      </c>
      <c r="C1111" s="222" t="s">
        <v>2052</v>
      </c>
      <c r="D1111" s="222" t="s">
        <v>1321</v>
      </c>
    </row>
    <row r="1112" spans="1:4" x14ac:dyDescent="0.25">
      <c r="A1112" s="222" t="s">
        <v>7357</v>
      </c>
      <c r="B1112" s="222">
        <v>540795</v>
      </c>
      <c r="C1112" s="222" t="s">
        <v>2052</v>
      </c>
      <c r="D1112" s="222" t="s">
        <v>1275</v>
      </c>
    </row>
    <row r="1113" spans="1:4" x14ac:dyDescent="0.25">
      <c r="A1113" s="222" t="s">
        <v>7356</v>
      </c>
      <c r="B1113" s="222">
        <v>524818</v>
      </c>
      <c r="C1113" s="222" t="s">
        <v>2052</v>
      </c>
      <c r="D1113" s="222" t="s">
        <v>722</v>
      </c>
    </row>
    <row r="1114" spans="1:4" x14ac:dyDescent="0.25">
      <c r="A1114" s="222" t="s">
        <v>7355</v>
      </c>
      <c r="B1114" s="222">
        <v>530779</v>
      </c>
      <c r="C1114" s="222" t="s">
        <v>2052</v>
      </c>
      <c r="D1114" s="222" t="s">
        <v>1321</v>
      </c>
    </row>
    <row r="1115" spans="1:4" x14ac:dyDescent="0.25">
      <c r="A1115" s="222" t="s">
        <v>7354</v>
      </c>
      <c r="B1115" s="222">
        <v>517238</v>
      </c>
      <c r="C1115" s="222" t="s">
        <v>2052</v>
      </c>
      <c r="D1115" s="222" t="s">
        <v>2062</v>
      </c>
    </row>
    <row r="1116" spans="1:4" x14ac:dyDescent="0.25">
      <c r="A1116" s="222" t="s">
        <v>7353</v>
      </c>
      <c r="B1116" s="222">
        <v>532707</v>
      </c>
      <c r="C1116" s="222" t="s">
        <v>7352</v>
      </c>
      <c r="D1116" s="222" t="s">
        <v>722</v>
      </c>
    </row>
    <row r="1117" spans="1:4" x14ac:dyDescent="0.25">
      <c r="A1117" s="222" t="s">
        <v>7351</v>
      </c>
      <c r="B1117" s="222">
        <v>531533</v>
      </c>
      <c r="C1117" s="222" t="s">
        <v>2052</v>
      </c>
      <c r="D1117" s="222" t="s">
        <v>1265</v>
      </c>
    </row>
    <row r="1118" spans="1:4" x14ac:dyDescent="0.25">
      <c r="A1118" s="222" t="s">
        <v>7350</v>
      </c>
      <c r="B1118" s="222" t="s">
        <v>2052</v>
      </c>
      <c r="C1118" s="222" t="s">
        <v>7349</v>
      </c>
      <c r="D1118" s="222" t="s">
        <v>2050</v>
      </c>
    </row>
    <row r="1119" spans="1:4" x14ac:dyDescent="0.25">
      <c r="A1119" s="222" t="s">
        <v>7348</v>
      </c>
      <c r="B1119" s="222">
        <v>507917</v>
      </c>
      <c r="C1119" s="222" t="s">
        <v>2052</v>
      </c>
      <c r="D1119" s="222" t="s">
        <v>1243</v>
      </c>
    </row>
    <row r="1120" spans="1:4" x14ac:dyDescent="0.25">
      <c r="A1120" s="222" t="s">
        <v>7347</v>
      </c>
      <c r="B1120" s="222">
        <v>520081</v>
      </c>
      <c r="C1120" s="222" t="s">
        <v>2052</v>
      </c>
      <c r="D1120" s="222" t="s">
        <v>2167</v>
      </c>
    </row>
    <row r="1121" spans="1:4" x14ac:dyDescent="0.25">
      <c r="A1121" s="222" t="s">
        <v>7346</v>
      </c>
      <c r="B1121" s="222">
        <v>541053</v>
      </c>
      <c r="C1121" s="222" t="s">
        <v>2052</v>
      </c>
      <c r="D1121" s="222" t="s">
        <v>1262</v>
      </c>
    </row>
    <row r="1122" spans="1:4" x14ac:dyDescent="0.25">
      <c r="A1122" s="222" t="s">
        <v>7345</v>
      </c>
      <c r="B1122" s="222">
        <v>590022</v>
      </c>
      <c r="C1122" s="222" t="s">
        <v>7344</v>
      </c>
      <c r="D1122" s="222" t="s">
        <v>1237</v>
      </c>
    </row>
    <row r="1123" spans="1:4" x14ac:dyDescent="0.25">
      <c r="A1123" s="222" t="s">
        <v>7343</v>
      </c>
      <c r="B1123" s="222">
        <v>531346</v>
      </c>
      <c r="C1123" s="222" t="s">
        <v>2052</v>
      </c>
      <c r="D1123" s="222" t="s">
        <v>1410</v>
      </c>
    </row>
    <row r="1124" spans="1:4" x14ac:dyDescent="0.25">
      <c r="A1124" s="222" t="s">
        <v>7342</v>
      </c>
      <c r="B1124" s="222">
        <v>532751</v>
      </c>
      <c r="C1124" s="222" t="s">
        <v>7341</v>
      </c>
      <c r="D1124" s="222" t="s">
        <v>1275</v>
      </c>
    </row>
    <row r="1125" spans="1:4" x14ac:dyDescent="0.25">
      <c r="A1125" s="222" t="s">
        <v>7340</v>
      </c>
      <c r="B1125" s="222" t="s">
        <v>2052</v>
      </c>
      <c r="C1125" s="222" t="s">
        <v>7339</v>
      </c>
      <c r="D1125" s="222" t="s">
        <v>2197</v>
      </c>
    </row>
    <row r="1126" spans="1:4" x14ac:dyDescent="0.25">
      <c r="A1126" s="222" t="s">
        <v>7338</v>
      </c>
      <c r="B1126" s="222">
        <v>532927</v>
      </c>
      <c r="C1126" s="222" t="s">
        <v>7337</v>
      </c>
      <c r="D1126" s="222" t="s">
        <v>2120</v>
      </c>
    </row>
    <row r="1127" spans="1:4" x14ac:dyDescent="0.25">
      <c r="A1127" s="222" t="s">
        <v>7336</v>
      </c>
      <c r="B1127" s="222">
        <v>534839</v>
      </c>
      <c r="C1127" s="222" t="s">
        <v>2052</v>
      </c>
      <c r="D1127" s="222" t="s">
        <v>731</v>
      </c>
    </row>
    <row r="1128" spans="1:4" x14ac:dyDescent="0.25">
      <c r="A1128" s="222" t="s">
        <v>7335</v>
      </c>
      <c r="B1128" s="222">
        <v>530643</v>
      </c>
      <c r="C1128" s="222" t="s">
        <v>2052</v>
      </c>
      <c r="D1128" s="222" t="s">
        <v>2062</v>
      </c>
    </row>
    <row r="1129" spans="1:4" x14ac:dyDescent="0.25">
      <c r="A1129" s="222" t="s">
        <v>7334</v>
      </c>
      <c r="B1129" s="222">
        <v>523732</v>
      </c>
      <c r="C1129" s="222" t="s">
        <v>2052</v>
      </c>
      <c r="D1129" s="222" t="s">
        <v>1272</v>
      </c>
    </row>
    <row r="1130" spans="1:4" x14ac:dyDescent="0.25">
      <c r="A1130" s="222" t="s">
        <v>7333</v>
      </c>
      <c r="B1130" s="222">
        <v>538708</v>
      </c>
      <c r="C1130" s="222" t="s">
        <v>2052</v>
      </c>
      <c r="D1130" s="222" t="s">
        <v>1321</v>
      </c>
    </row>
    <row r="1131" spans="1:4" x14ac:dyDescent="0.25">
      <c r="A1131" s="222" t="s">
        <v>7332</v>
      </c>
      <c r="B1131" s="222">
        <v>538708</v>
      </c>
      <c r="C1131" s="222" t="s">
        <v>2052</v>
      </c>
      <c r="D1131" s="222" t="s">
        <v>1321</v>
      </c>
    </row>
    <row r="1132" spans="1:4" x14ac:dyDescent="0.25">
      <c r="A1132" s="222" t="s">
        <v>7331</v>
      </c>
      <c r="B1132" s="222">
        <v>526703</v>
      </c>
      <c r="C1132" s="222" t="s">
        <v>2052</v>
      </c>
      <c r="D1132" s="222" t="s">
        <v>1251</v>
      </c>
    </row>
    <row r="1133" spans="1:4" x14ac:dyDescent="0.25">
      <c r="A1133" s="222" t="s">
        <v>7330</v>
      </c>
      <c r="B1133" s="222">
        <v>540063</v>
      </c>
      <c r="C1133" s="222" t="s">
        <v>2052</v>
      </c>
      <c r="D1133" s="222" t="s">
        <v>1265</v>
      </c>
    </row>
    <row r="1134" spans="1:4" x14ac:dyDescent="0.25">
      <c r="A1134" s="222" t="s">
        <v>7329</v>
      </c>
      <c r="B1134" s="222">
        <v>532922</v>
      </c>
      <c r="C1134" s="222" t="s">
        <v>7328</v>
      </c>
      <c r="D1134" s="222" t="s">
        <v>1262</v>
      </c>
    </row>
    <row r="1135" spans="1:4" x14ac:dyDescent="0.25">
      <c r="A1135" s="222" t="s">
        <v>7327</v>
      </c>
      <c r="B1135" s="222">
        <v>532696</v>
      </c>
      <c r="C1135" s="222" t="s">
        <v>7326</v>
      </c>
      <c r="D1135" s="222" t="s">
        <v>854</v>
      </c>
    </row>
    <row r="1136" spans="1:4" x14ac:dyDescent="0.25">
      <c r="A1136" s="222" t="s">
        <v>7325</v>
      </c>
      <c r="B1136" s="222">
        <v>526483</v>
      </c>
      <c r="C1136" s="222" t="s">
        <v>2052</v>
      </c>
      <c r="D1136" s="222" t="s">
        <v>1407</v>
      </c>
    </row>
    <row r="1137" spans="1:4" x14ac:dyDescent="0.25">
      <c r="A1137" s="222" t="s">
        <v>7324</v>
      </c>
      <c r="B1137" s="222">
        <v>535694</v>
      </c>
      <c r="C1137" s="222" t="s">
        <v>2052</v>
      </c>
      <c r="D1137" s="222" t="s">
        <v>1529</v>
      </c>
    </row>
    <row r="1138" spans="1:4" x14ac:dyDescent="0.25">
      <c r="A1138" s="222" t="s">
        <v>7323</v>
      </c>
      <c r="B1138" s="222">
        <v>505200</v>
      </c>
      <c r="C1138" s="222" t="s">
        <v>7322</v>
      </c>
      <c r="D1138" s="222" t="s">
        <v>2582</v>
      </c>
    </row>
    <row r="1139" spans="1:4" x14ac:dyDescent="0.25">
      <c r="A1139" s="222" t="s">
        <v>7321</v>
      </c>
      <c r="B1139" s="222">
        <v>500125</v>
      </c>
      <c r="C1139" s="222" t="s">
        <v>7319</v>
      </c>
      <c r="D1139" s="222" t="s">
        <v>1124</v>
      </c>
    </row>
    <row r="1140" spans="1:4" x14ac:dyDescent="0.25">
      <c r="A1140" s="222" t="s">
        <v>7320</v>
      </c>
      <c r="B1140" s="222">
        <v>500125</v>
      </c>
      <c r="C1140" s="222" t="s">
        <v>7319</v>
      </c>
      <c r="D1140" s="222" t="s">
        <v>1124</v>
      </c>
    </row>
    <row r="1141" spans="1:4" x14ac:dyDescent="0.25">
      <c r="A1141" s="222" t="s">
        <v>7318</v>
      </c>
      <c r="B1141" s="222">
        <v>523127</v>
      </c>
      <c r="C1141" s="222" t="s">
        <v>7317</v>
      </c>
      <c r="D1141" s="222" t="s">
        <v>2128</v>
      </c>
    </row>
    <row r="1142" spans="1:4" x14ac:dyDescent="0.25">
      <c r="A1142" s="222" t="s">
        <v>7316</v>
      </c>
      <c r="B1142" s="222">
        <v>500840</v>
      </c>
      <c r="C1142" s="222" t="s">
        <v>7315</v>
      </c>
      <c r="D1142" s="222" t="s">
        <v>2128</v>
      </c>
    </row>
    <row r="1143" spans="1:4" x14ac:dyDescent="0.25">
      <c r="A1143" s="222" t="s">
        <v>7314</v>
      </c>
      <c r="B1143" s="222">
        <v>523708</v>
      </c>
      <c r="C1143" s="222" t="s">
        <v>7312</v>
      </c>
      <c r="D1143" s="222" t="s">
        <v>832</v>
      </c>
    </row>
    <row r="1144" spans="1:4" x14ac:dyDescent="0.25">
      <c r="A1144" s="222" t="s">
        <v>7313</v>
      </c>
      <c r="B1144" s="222">
        <v>523708</v>
      </c>
      <c r="C1144" s="222" t="s">
        <v>7312</v>
      </c>
      <c r="D1144" s="222" t="s">
        <v>832</v>
      </c>
    </row>
    <row r="1145" spans="1:4" x14ac:dyDescent="0.25">
      <c r="A1145" s="222" t="s">
        <v>7311</v>
      </c>
      <c r="B1145" s="222">
        <v>538653</v>
      </c>
      <c r="C1145" s="222" t="s">
        <v>7310</v>
      </c>
      <c r="D1145" s="222" t="s">
        <v>2156</v>
      </c>
    </row>
    <row r="1146" spans="1:4" x14ac:dyDescent="0.25">
      <c r="A1146" s="222" t="s">
        <v>7309</v>
      </c>
      <c r="B1146" s="222">
        <v>530581</v>
      </c>
      <c r="C1146" s="222" t="s">
        <v>2052</v>
      </c>
      <c r="D1146" s="222" t="s">
        <v>2068</v>
      </c>
    </row>
    <row r="1147" spans="1:4" x14ac:dyDescent="0.25">
      <c r="A1147" s="222" t="s">
        <v>7308</v>
      </c>
      <c r="B1147" s="222">
        <v>532820</v>
      </c>
      <c r="C1147" s="222" t="s">
        <v>7307</v>
      </c>
      <c r="D1147" s="222" t="s">
        <v>1237</v>
      </c>
    </row>
    <row r="1148" spans="1:4" x14ac:dyDescent="0.25">
      <c r="A1148" s="222" t="s">
        <v>7306</v>
      </c>
      <c r="B1148" s="222">
        <v>513452</v>
      </c>
      <c r="C1148" s="222" t="s">
        <v>2052</v>
      </c>
      <c r="D1148" s="222" t="s">
        <v>2167</v>
      </c>
    </row>
    <row r="1149" spans="1:4" x14ac:dyDescent="0.25">
      <c r="A1149" s="222" t="s">
        <v>7305</v>
      </c>
      <c r="B1149" s="222">
        <v>500123</v>
      </c>
      <c r="C1149" s="222" t="s">
        <v>2052</v>
      </c>
      <c r="D1149" s="222" t="s">
        <v>998</v>
      </c>
    </row>
    <row r="1150" spans="1:4" x14ac:dyDescent="0.25">
      <c r="A1150" s="222" t="s">
        <v>7304</v>
      </c>
      <c r="B1150" s="222">
        <v>500123</v>
      </c>
      <c r="C1150" s="222" t="s">
        <v>2052</v>
      </c>
      <c r="D1150" s="222" t="s">
        <v>998</v>
      </c>
    </row>
    <row r="1151" spans="1:4" x14ac:dyDescent="0.25">
      <c r="A1151" s="222" t="s">
        <v>7303</v>
      </c>
      <c r="B1151" s="222">
        <v>503681</v>
      </c>
      <c r="C1151" s="222" t="s">
        <v>2052</v>
      </c>
      <c r="D1151" s="222" t="s">
        <v>2068</v>
      </c>
    </row>
    <row r="1152" spans="1:4" x14ac:dyDescent="0.25">
      <c r="A1152" s="222" t="s">
        <v>7302</v>
      </c>
      <c r="B1152" s="222">
        <v>523329</v>
      </c>
      <c r="C1152" s="222" t="s">
        <v>2052</v>
      </c>
      <c r="D1152" s="222" t="s">
        <v>1243</v>
      </c>
    </row>
    <row r="1153" spans="1:4" x14ac:dyDescent="0.25">
      <c r="A1153" s="222" t="s">
        <v>7301</v>
      </c>
      <c r="B1153" s="222">
        <v>505700</v>
      </c>
      <c r="C1153" s="222" t="s">
        <v>7300</v>
      </c>
      <c r="D1153" s="222" t="s">
        <v>832</v>
      </c>
    </row>
    <row r="1154" spans="1:4" x14ac:dyDescent="0.25">
      <c r="A1154" s="222" t="s">
        <v>7299</v>
      </c>
      <c r="B1154" s="222">
        <v>500128</v>
      </c>
      <c r="C1154" s="222" t="s">
        <v>7298</v>
      </c>
      <c r="D1154" s="222" t="s">
        <v>1248</v>
      </c>
    </row>
    <row r="1155" spans="1:4" x14ac:dyDescent="0.25">
      <c r="A1155" s="222" t="s">
        <v>7297</v>
      </c>
      <c r="B1155" s="222">
        <v>533264</v>
      </c>
      <c r="C1155" s="222" t="s">
        <v>7296</v>
      </c>
      <c r="D1155" s="222" t="s">
        <v>1248</v>
      </c>
    </row>
    <row r="1156" spans="1:4" x14ac:dyDescent="0.25">
      <c r="A1156" s="222" t="s">
        <v>7295</v>
      </c>
      <c r="B1156" s="222">
        <v>526608</v>
      </c>
      <c r="C1156" s="222" t="s">
        <v>7293</v>
      </c>
      <c r="D1156" s="222" t="s">
        <v>740</v>
      </c>
    </row>
    <row r="1157" spans="1:4" x14ac:dyDescent="0.25">
      <c r="A1157" s="222" t="s">
        <v>7294</v>
      </c>
      <c r="B1157" s="222">
        <v>526608</v>
      </c>
      <c r="C1157" s="222" t="s">
        <v>7293</v>
      </c>
      <c r="D1157" s="222" t="s">
        <v>740</v>
      </c>
    </row>
    <row r="1158" spans="1:4" x14ac:dyDescent="0.25">
      <c r="A1158" s="222" t="s">
        <v>7292</v>
      </c>
      <c r="B1158" s="222">
        <v>526473</v>
      </c>
      <c r="C1158" s="222" t="s">
        <v>2052</v>
      </c>
      <c r="D1158" s="222" t="s">
        <v>731</v>
      </c>
    </row>
    <row r="1159" spans="1:4" x14ac:dyDescent="0.25">
      <c r="A1159" s="222" t="s">
        <v>7291</v>
      </c>
      <c r="B1159" s="222">
        <v>526473</v>
      </c>
      <c r="C1159" s="222" t="s">
        <v>2052</v>
      </c>
      <c r="D1159" s="222" t="s">
        <v>731</v>
      </c>
    </row>
    <row r="1160" spans="1:4" x14ac:dyDescent="0.25">
      <c r="A1160" s="222" t="s">
        <v>7290</v>
      </c>
      <c r="B1160" s="222">
        <v>526705</v>
      </c>
      <c r="C1160" s="222" t="s">
        <v>2052</v>
      </c>
      <c r="D1160" s="222" t="s">
        <v>1529</v>
      </c>
    </row>
    <row r="1161" spans="1:4" x14ac:dyDescent="0.25">
      <c r="A1161" s="222" t="s">
        <v>7289</v>
      </c>
      <c r="B1161" s="222">
        <v>522074</v>
      </c>
      <c r="C1161" s="222" t="s">
        <v>7288</v>
      </c>
      <c r="D1161" s="222" t="s">
        <v>832</v>
      </c>
    </row>
    <row r="1162" spans="1:4" x14ac:dyDescent="0.25">
      <c r="A1162" s="222" t="s">
        <v>7287</v>
      </c>
      <c r="B1162" s="222" t="s">
        <v>2052</v>
      </c>
      <c r="C1162" s="222" t="s">
        <v>7286</v>
      </c>
      <c r="D1162" s="222" t="s">
        <v>2197</v>
      </c>
    </row>
    <row r="1163" spans="1:4" x14ac:dyDescent="0.25">
      <c r="A1163" s="222" t="s">
        <v>7285</v>
      </c>
      <c r="B1163" s="222">
        <v>531278</v>
      </c>
      <c r="C1163" s="222" t="s">
        <v>2052</v>
      </c>
      <c r="D1163" s="222" t="s">
        <v>1262</v>
      </c>
    </row>
    <row r="1164" spans="1:4" x14ac:dyDescent="0.25">
      <c r="A1164" s="222" t="s">
        <v>7284</v>
      </c>
      <c r="B1164" s="222">
        <v>517477</v>
      </c>
      <c r="C1164" s="222" t="s">
        <v>2052</v>
      </c>
      <c r="D1164" s="222" t="s">
        <v>1942</v>
      </c>
    </row>
    <row r="1165" spans="1:4" x14ac:dyDescent="0.25">
      <c r="A1165" s="222" t="s">
        <v>7283</v>
      </c>
      <c r="B1165" s="222">
        <v>504000</v>
      </c>
      <c r="C1165" s="222" t="s">
        <v>2052</v>
      </c>
      <c r="D1165" s="222" t="s">
        <v>1275</v>
      </c>
    </row>
    <row r="1166" spans="1:4" x14ac:dyDescent="0.25">
      <c r="A1166" s="222" t="s">
        <v>7282</v>
      </c>
      <c r="B1166" s="222">
        <v>522027</v>
      </c>
      <c r="C1166" s="222" t="s">
        <v>2052</v>
      </c>
      <c r="D1166" s="222" t="s">
        <v>832</v>
      </c>
    </row>
    <row r="1167" spans="1:4" x14ac:dyDescent="0.25">
      <c r="A1167" s="222" t="s">
        <v>7281</v>
      </c>
      <c r="B1167" s="222">
        <v>522027</v>
      </c>
      <c r="C1167" s="222" t="s">
        <v>2052</v>
      </c>
      <c r="D1167" s="222" t="s">
        <v>832</v>
      </c>
    </row>
    <row r="1168" spans="1:4" x14ac:dyDescent="0.25">
      <c r="A1168" s="222" t="s">
        <v>7280</v>
      </c>
      <c r="B1168" s="222">
        <v>531162</v>
      </c>
      <c r="C1168" s="222" t="s">
        <v>7279</v>
      </c>
      <c r="D1168" s="222" t="s">
        <v>1542</v>
      </c>
    </row>
    <row r="1169" spans="1:4" x14ac:dyDescent="0.25">
      <c r="A1169" s="222" t="s">
        <v>7278</v>
      </c>
      <c r="B1169" s="222" t="s">
        <v>2052</v>
      </c>
      <c r="C1169" s="222" t="s">
        <v>7277</v>
      </c>
      <c r="D1169" s="222" t="s">
        <v>1542</v>
      </c>
    </row>
    <row r="1170" spans="1:4" x14ac:dyDescent="0.25">
      <c r="A1170" s="222" t="s">
        <v>7276</v>
      </c>
      <c r="B1170" s="222">
        <v>533208</v>
      </c>
      <c r="C1170" s="222" t="s">
        <v>2052</v>
      </c>
      <c r="D1170" s="222" t="s">
        <v>1972</v>
      </c>
    </row>
    <row r="1171" spans="1:4" x14ac:dyDescent="0.25">
      <c r="A1171" s="222" t="s">
        <v>7275</v>
      </c>
      <c r="B1171" s="222">
        <v>533218</v>
      </c>
      <c r="C1171" s="222" t="s">
        <v>7274</v>
      </c>
      <c r="D1171" s="222" t="s">
        <v>1243</v>
      </c>
    </row>
    <row r="1172" spans="1:4" x14ac:dyDescent="0.25">
      <c r="A1172" s="222" t="s">
        <v>7273</v>
      </c>
      <c r="B1172" s="222">
        <v>542602</v>
      </c>
      <c r="C1172" s="222" t="s">
        <v>7272</v>
      </c>
      <c r="D1172" s="222" t="s">
        <v>2108</v>
      </c>
    </row>
    <row r="1173" spans="1:4" x14ac:dyDescent="0.25">
      <c r="A1173" s="222" t="s">
        <v>7271</v>
      </c>
      <c r="B1173" s="222">
        <v>504008</v>
      </c>
      <c r="C1173" s="222" t="s">
        <v>7270</v>
      </c>
      <c r="D1173" s="222" t="s">
        <v>1066</v>
      </c>
    </row>
    <row r="1174" spans="1:4" x14ac:dyDescent="0.25">
      <c r="A1174" s="222" t="s">
        <v>7269</v>
      </c>
      <c r="B1174" s="222">
        <v>538882</v>
      </c>
      <c r="C1174" s="222" t="s">
        <v>2052</v>
      </c>
      <c r="D1174" s="222" t="s">
        <v>1262</v>
      </c>
    </row>
    <row r="1175" spans="1:4" x14ac:dyDescent="0.25">
      <c r="A1175" s="222" t="s">
        <v>7268</v>
      </c>
      <c r="B1175" s="222">
        <v>507265</v>
      </c>
      <c r="C1175" s="222" t="s">
        <v>2052</v>
      </c>
      <c r="D1175" s="222" t="s">
        <v>2130</v>
      </c>
    </row>
    <row r="1176" spans="1:4" x14ac:dyDescent="0.25">
      <c r="A1176" s="222" t="s">
        <v>7267</v>
      </c>
      <c r="B1176" s="222">
        <v>530333</v>
      </c>
      <c r="C1176" s="222" t="s">
        <v>2052</v>
      </c>
      <c r="D1176" s="222" t="s">
        <v>1275</v>
      </c>
    </row>
    <row r="1177" spans="1:4" x14ac:dyDescent="0.25">
      <c r="A1177" s="222" t="s">
        <v>7266</v>
      </c>
      <c r="B1177" s="222">
        <v>532737</v>
      </c>
      <c r="C1177" s="222" t="s">
        <v>7265</v>
      </c>
      <c r="D1177" s="222" t="s">
        <v>1262</v>
      </c>
    </row>
    <row r="1178" spans="1:4" x14ac:dyDescent="0.25">
      <c r="A1178" s="222" t="s">
        <v>7264</v>
      </c>
      <c r="B1178" s="222" t="s">
        <v>2052</v>
      </c>
      <c r="C1178" s="222" t="s">
        <v>7263</v>
      </c>
      <c r="D1178" s="222" t="s">
        <v>2050</v>
      </c>
    </row>
    <row r="1179" spans="1:4" x14ac:dyDescent="0.25">
      <c r="A1179" s="222" t="s">
        <v>7262</v>
      </c>
      <c r="B1179" s="222">
        <v>533161</v>
      </c>
      <c r="C1179" s="222" t="s">
        <v>7261</v>
      </c>
      <c r="D1179" s="222" t="s">
        <v>1447</v>
      </c>
    </row>
    <row r="1180" spans="1:4" x14ac:dyDescent="0.25">
      <c r="A1180" s="222" t="s">
        <v>7260</v>
      </c>
      <c r="B1180" s="222">
        <v>524768</v>
      </c>
      <c r="C1180" s="222" t="s">
        <v>2052</v>
      </c>
      <c r="D1180" s="222" t="s">
        <v>998</v>
      </c>
    </row>
    <row r="1181" spans="1:4" x14ac:dyDescent="0.25">
      <c r="A1181" s="222" t="s">
        <v>7259</v>
      </c>
      <c r="B1181" s="222">
        <v>532038</v>
      </c>
      <c r="C1181" s="222" t="s">
        <v>2052</v>
      </c>
      <c r="D1181" s="222" t="s">
        <v>1529</v>
      </c>
    </row>
    <row r="1182" spans="1:4" x14ac:dyDescent="0.25">
      <c r="A1182" s="222" t="s">
        <v>7258</v>
      </c>
      <c r="B1182" s="222">
        <v>532920</v>
      </c>
      <c r="C1182" s="222" t="s">
        <v>7257</v>
      </c>
      <c r="D1182" s="222" t="s">
        <v>2146</v>
      </c>
    </row>
    <row r="1183" spans="1:4" x14ac:dyDescent="0.25">
      <c r="A1183" s="222" t="s">
        <v>7256</v>
      </c>
      <c r="B1183" s="222">
        <v>500132</v>
      </c>
      <c r="C1183" s="222" t="s">
        <v>2052</v>
      </c>
      <c r="D1183" s="222" t="s">
        <v>1124</v>
      </c>
    </row>
    <row r="1184" spans="1:4" x14ac:dyDescent="0.25">
      <c r="A1184" s="222" t="s">
        <v>7255</v>
      </c>
      <c r="B1184" s="222">
        <v>509525</v>
      </c>
      <c r="C1184" s="222" t="s">
        <v>2052</v>
      </c>
      <c r="D1184" s="222" t="s">
        <v>1318</v>
      </c>
    </row>
    <row r="1185" spans="1:4" x14ac:dyDescent="0.25">
      <c r="A1185" s="222" t="s">
        <v>7254</v>
      </c>
      <c r="B1185" s="222">
        <v>504351</v>
      </c>
      <c r="C1185" s="222" t="s">
        <v>2052</v>
      </c>
      <c r="D1185" s="222" t="s">
        <v>1265</v>
      </c>
    </row>
    <row r="1186" spans="1:4" x14ac:dyDescent="0.25">
      <c r="A1186" s="222" t="s">
        <v>7253</v>
      </c>
      <c r="B1186" s="222">
        <v>504351</v>
      </c>
      <c r="C1186" s="222" t="s">
        <v>2052</v>
      </c>
      <c r="D1186" s="222" t="s">
        <v>1265</v>
      </c>
    </row>
    <row r="1187" spans="1:4" x14ac:dyDescent="0.25">
      <c r="A1187" s="222" t="s">
        <v>7252</v>
      </c>
      <c r="B1187" s="222">
        <v>512441</v>
      </c>
      <c r="C1187" s="222" t="s">
        <v>2052</v>
      </c>
      <c r="D1187" s="222" t="s">
        <v>2068</v>
      </c>
    </row>
    <row r="1188" spans="1:4" x14ac:dyDescent="0.25">
      <c r="A1188" s="222" t="s">
        <v>7251</v>
      </c>
      <c r="B1188" s="222">
        <v>538684</v>
      </c>
      <c r="C1188" s="222" t="s">
        <v>2052</v>
      </c>
      <c r="D1188" s="222" t="s">
        <v>2264</v>
      </c>
    </row>
    <row r="1189" spans="1:4" x14ac:dyDescent="0.25">
      <c r="A1189" s="222" t="s">
        <v>7250</v>
      </c>
      <c r="B1189" s="222">
        <v>540153</v>
      </c>
      <c r="C1189" s="222" t="s">
        <v>7249</v>
      </c>
      <c r="D1189" s="222" t="s">
        <v>2582</v>
      </c>
    </row>
    <row r="1190" spans="1:4" x14ac:dyDescent="0.25">
      <c r="A1190" s="222" t="s">
        <v>7248</v>
      </c>
      <c r="B1190" s="222">
        <v>532219</v>
      </c>
      <c r="C1190" s="222" t="s">
        <v>7247</v>
      </c>
      <c r="D1190" s="222" t="s">
        <v>2380</v>
      </c>
    </row>
    <row r="1191" spans="1:4" x14ac:dyDescent="0.25">
      <c r="A1191" s="222" t="s">
        <v>7246</v>
      </c>
      <c r="B1191" s="222">
        <v>532178</v>
      </c>
      <c r="C1191" s="222" t="s">
        <v>7244</v>
      </c>
      <c r="D1191" s="222" t="s">
        <v>911</v>
      </c>
    </row>
    <row r="1192" spans="1:4" x14ac:dyDescent="0.25">
      <c r="A1192" s="222" t="s">
        <v>7245</v>
      </c>
      <c r="B1192" s="222">
        <v>532178</v>
      </c>
      <c r="C1192" s="222" t="s">
        <v>7244</v>
      </c>
      <c r="D1192" s="222" t="s">
        <v>911</v>
      </c>
    </row>
    <row r="1193" spans="1:4" x14ac:dyDescent="0.25">
      <c r="A1193" s="222" t="s">
        <v>7243</v>
      </c>
      <c r="B1193" s="222">
        <v>533477</v>
      </c>
      <c r="C1193" s="222" t="s">
        <v>2052</v>
      </c>
      <c r="D1193" s="222" t="s">
        <v>1306</v>
      </c>
    </row>
    <row r="1194" spans="1:4" x14ac:dyDescent="0.25">
      <c r="A1194" s="222" t="s">
        <v>7242</v>
      </c>
      <c r="B1194" s="222">
        <v>533477</v>
      </c>
      <c r="C1194" s="222" t="s">
        <v>2052</v>
      </c>
      <c r="D1194" s="222" t="s">
        <v>1306</v>
      </c>
    </row>
    <row r="1195" spans="1:4" x14ac:dyDescent="0.25">
      <c r="A1195" s="222" t="s">
        <v>7241</v>
      </c>
      <c r="B1195" s="222">
        <v>526574</v>
      </c>
      <c r="C1195" s="222" t="s">
        <v>2052</v>
      </c>
      <c r="D1195" s="222" t="s">
        <v>1529</v>
      </c>
    </row>
    <row r="1196" spans="1:4" x14ac:dyDescent="0.25">
      <c r="A1196" s="222" t="s">
        <v>7240</v>
      </c>
      <c r="B1196" s="222">
        <v>532700</v>
      </c>
      <c r="C1196" s="222" t="s">
        <v>7238</v>
      </c>
      <c r="D1196" s="222" t="s">
        <v>2079</v>
      </c>
    </row>
    <row r="1197" spans="1:4" x14ac:dyDescent="0.25">
      <c r="A1197" s="222" t="s">
        <v>7239</v>
      </c>
      <c r="B1197" s="222">
        <v>532700</v>
      </c>
      <c r="C1197" s="222" t="s">
        <v>7238</v>
      </c>
      <c r="D1197" s="222" t="s">
        <v>2079</v>
      </c>
    </row>
    <row r="1198" spans="1:4" x14ac:dyDescent="0.25">
      <c r="A1198" s="222" t="s">
        <v>7237</v>
      </c>
      <c r="B1198" s="222">
        <v>500246</v>
      </c>
      <c r="C1198" s="222" t="s">
        <v>2052</v>
      </c>
      <c r="D1198" s="222" t="s">
        <v>832</v>
      </c>
    </row>
    <row r="1199" spans="1:4" x14ac:dyDescent="0.25">
      <c r="A1199" s="222" t="s">
        <v>7236</v>
      </c>
      <c r="B1199" s="222">
        <v>532658</v>
      </c>
      <c r="C1199" s="222" t="s">
        <v>7235</v>
      </c>
      <c r="D1199" s="222" t="s">
        <v>1275</v>
      </c>
    </row>
    <row r="1200" spans="1:4" x14ac:dyDescent="0.25">
      <c r="A1200" s="222" t="s">
        <v>7234</v>
      </c>
      <c r="B1200" s="222">
        <v>523754</v>
      </c>
      <c r="C1200" s="222" t="s">
        <v>2052</v>
      </c>
      <c r="D1200" s="222" t="s">
        <v>1251</v>
      </c>
    </row>
    <row r="1201" spans="1:4" x14ac:dyDescent="0.25">
      <c r="A1201" s="222" t="s">
        <v>7233</v>
      </c>
      <c r="B1201" s="222">
        <v>530407</v>
      </c>
      <c r="C1201" s="222" t="s">
        <v>2052</v>
      </c>
      <c r="D1201" s="222" t="s">
        <v>1321</v>
      </c>
    </row>
    <row r="1202" spans="1:4" x14ac:dyDescent="0.25">
      <c r="A1202" s="222" t="s">
        <v>7232</v>
      </c>
      <c r="B1202" s="222">
        <v>531155</v>
      </c>
      <c r="C1202" s="222" t="s">
        <v>2052</v>
      </c>
      <c r="D1202" s="222" t="s">
        <v>789</v>
      </c>
    </row>
    <row r="1203" spans="1:4" x14ac:dyDescent="0.25">
      <c r="A1203" s="222" t="s">
        <v>7231</v>
      </c>
      <c r="B1203" s="222">
        <v>539844</v>
      </c>
      <c r="C1203" s="222" t="s">
        <v>7230</v>
      </c>
      <c r="D1203" s="222" t="s">
        <v>1289</v>
      </c>
    </row>
    <row r="1204" spans="1:4" x14ac:dyDescent="0.25">
      <c r="A1204" s="222" t="s">
        <v>7229</v>
      </c>
      <c r="B1204" s="222">
        <v>540596</v>
      </c>
      <c r="C1204" s="222" t="s">
        <v>7228</v>
      </c>
      <c r="D1204" s="222" t="s">
        <v>789</v>
      </c>
    </row>
    <row r="1205" spans="1:4" x14ac:dyDescent="0.25">
      <c r="A1205" s="222" t="s">
        <v>7227</v>
      </c>
      <c r="B1205" s="222">
        <v>533261</v>
      </c>
      <c r="C1205" s="222" t="s">
        <v>7226</v>
      </c>
      <c r="D1205" s="222" t="s">
        <v>2264</v>
      </c>
    </row>
    <row r="1206" spans="1:4" x14ac:dyDescent="0.25">
      <c r="A1206" s="222" t="s">
        <v>7225</v>
      </c>
      <c r="B1206" s="222">
        <v>530909</v>
      </c>
      <c r="C1206" s="222" t="s">
        <v>2052</v>
      </c>
      <c r="D1206" s="222" t="s">
        <v>2068</v>
      </c>
    </row>
    <row r="1207" spans="1:4" x14ac:dyDescent="0.25">
      <c r="A1207" s="222" t="s">
        <v>7224</v>
      </c>
      <c r="B1207" s="222">
        <v>531502</v>
      </c>
      <c r="C1207" s="222" t="s">
        <v>2052</v>
      </c>
      <c r="D1207" s="222" t="s">
        <v>2068</v>
      </c>
    </row>
    <row r="1208" spans="1:4" x14ac:dyDescent="0.25">
      <c r="A1208" s="222" t="s">
        <v>7223</v>
      </c>
      <c r="B1208" s="222">
        <v>531502</v>
      </c>
      <c r="C1208" s="222" t="s">
        <v>2052</v>
      </c>
      <c r="D1208" s="222" t="s">
        <v>2068</v>
      </c>
    </row>
    <row r="1209" spans="1:4" x14ac:dyDescent="0.25">
      <c r="A1209" s="222" t="s">
        <v>7222</v>
      </c>
      <c r="B1209" s="222">
        <v>500133</v>
      </c>
      <c r="C1209" s="222" t="s">
        <v>7221</v>
      </c>
      <c r="D1209" s="222" t="s">
        <v>1395</v>
      </c>
    </row>
    <row r="1210" spans="1:4" x14ac:dyDescent="0.25">
      <c r="A1210" s="222" t="s">
        <v>7220</v>
      </c>
      <c r="B1210" s="222">
        <v>500133</v>
      </c>
      <c r="C1210" s="222" t="s">
        <v>7219</v>
      </c>
      <c r="D1210" s="222" t="s">
        <v>1395</v>
      </c>
    </row>
    <row r="1211" spans="1:4" x14ac:dyDescent="0.25">
      <c r="A1211" s="222" t="s">
        <v>7218</v>
      </c>
      <c r="B1211" s="222">
        <v>540455</v>
      </c>
      <c r="C1211" s="222" t="s">
        <v>2052</v>
      </c>
      <c r="D1211" s="222" t="s">
        <v>1262</v>
      </c>
    </row>
    <row r="1212" spans="1:4" x14ac:dyDescent="0.25">
      <c r="A1212" s="222" t="s">
        <v>7217</v>
      </c>
      <c r="B1212" s="222">
        <v>511716</v>
      </c>
      <c r="C1212" s="222" t="s">
        <v>2052</v>
      </c>
      <c r="D1212" s="222" t="s">
        <v>1321</v>
      </c>
    </row>
    <row r="1213" spans="1:4" x14ac:dyDescent="0.25">
      <c r="A1213" s="222" t="s">
        <v>7216</v>
      </c>
      <c r="B1213" s="222">
        <v>500495</v>
      </c>
      <c r="C1213" s="222" t="s">
        <v>7215</v>
      </c>
      <c r="D1213" s="222" t="s">
        <v>2450</v>
      </c>
    </row>
    <row r="1214" spans="1:4" x14ac:dyDescent="0.25">
      <c r="A1214" s="222" t="s">
        <v>7214</v>
      </c>
      <c r="B1214" s="222">
        <v>531259</v>
      </c>
      <c r="C1214" s="222" t="s">
        <v>2052</v>
      </c>
      <c r="D1214" s="222" t="s">
        <v>1558</v>
      </c>
    </row>
    <row r="1215" spans="1:4" x14ac:dyDescent="0.25">
      <c r="A1215" s="222" t="s">
        <v>7213</v>
      </c>
      <c r="B1215" s="222">
        <v>514118</v>
      </c>
      <c r="C1215" s="222" t="s">
        <v>2052</v>
      </c>
      <c r="D1215" s="222" t="s">
        <v>1237</v>
      </c>
    </row>
    <row r="1216" spans="1:4" x14ac:dyDescent="0.25">
      <c r="A1216" s="222" t="s">
        <v>7212</v>
      </c>
      <c r="B1216" s="222">
        <v>514118</v>
      </c>
      <c r="C1216" s="222" t="s">
        <v>2052</v>
      </c>
      <c r="D1216" s="222" t="s">
        <v>1237</v>
      </c>
    </row>
    <row r="1217" spans="1:4" x14ac:dyDescent="0.25">
      <c r="A1217" s="222" t="s">
        <v>7211</v>
      </c>
      <c r="B1217" s="222">
        <v>532787</v>
      </c>
      <c r="C1217" s="222" t="s">
        <v>7210</v>
      </c>
      <c r="D1217" s="222" t="s">
        <v>1184</v>
      </c>
    </row>
    <row r="1218" spans="1:4" x14ac:dyDescent="0.25">
      <c r="A1218" s="222" t="s">
        <v>7209</v>
      </c>
      <c r="B1218" s="222">
        <v>533149</v>
      </c>
      <c r="C1218" s="222" t="s">
        <v>2052</v>
      </c>
      <c r="D1218" s="222" t="s">
        <v>1262</v>
      </c>
    </row>
    <row r="1219" spans="1:4" x14ac:dyDescent="0.25">
      <c r="A1219" s="222" t="s">
        <v>7208</v>
      </c>
      <c r="B1219" s="222">
        <v>533704</v>
      </c>
      <c r="C1219" s="222" t="s">
        <v>7207</v>
      </c>
      <c r="D1219" s="222" t="s">
        <v>1112</v>
      </c>
    </row>
    <row r="1220" spans="1:4" x14ac:dyDescent="0.25">
      <c r="A1220" s="222" t="s">
        <v>7206</v>
      </c>
      <c r="B1220" s="222">
        <v>500135</v>
      </c>
      <c r="C1220" s="222" t="s">
        <v>7205</v>
      </c>
      <c r="D1220" s="222" t="s">
        <v>1447</v>
      </c>
    </row>
    <row r="1221" spans="1:4" x14ac:dyDescent="0.25">
      <c r="A1221" s="222" t="s">
        <v>7204</v>
      </c>
      <c r="B1221" s="222">
        <v>534927</v>
      </c>
      <c r="C1221" s="222" t="s">
        <v>2052</v>
      </c>
      <c r="D1221" s="222" t="s">
        <v>731</v>
      </c>
    </row>
    <row r="1222" spans="1:4" x14ac:dyDescent="0.25">
      <c r="A1222" s="222" t="s">
        <v>7203</v>
      </c>
      <c r="B1222" s="222">
        <v>500136</v>
      </c>
      <c r="C1222" s="222" t="s">
        <v>7202</v>
      </c>
      <c r="D1222" s="222" t="s">
        <v>998</v>
      </c>
    </row>
    <row r="1223" spans="1:4" x14ac:dyDescent="0.25">
      <c r="A1223" s="222" t="s">
        <v>7201</v>
      </c>
      <c r="B1223" s="222">
        <v>537707</v>
      </c>
      <c r="C1223" s="222" t="s">
        <v>2052</v>
      </c>
      <c r="D1223" s="222" t="s">
        <v>1243</v>
      </c>
    </row>
    <row r="1224" spans="1:4" x14ac:dyDescent="0.25">
      <c r="A1224" s="222" t="s">
        <v>7200</v>
      </c>
      <c r="B1224" s="222">
        <v>521137</v>
      </c>
      <c r="C1224" s="222" t="s">
        <v>2052</v>
      </c>
      <c r="D1224" s="222" t="s">
        <v>1237</v>
      </c>
    </row>
    <row r="1225" spans="1:4" x14ac:dyDescent="0.25">
      <c r="A1225" s="222" t="s">
        <v>7199</v>
      </c>
      <c r="B1225" s="222">
        <v>530929</v>
      </c>
      <c r="C1225" s="222" t="s">
        <v>2052</v>
      </c>
      <c r="D1225" s="222" t="s">
        <v>1529</v>
      </c>
    </row>
    <row r="1226" spans="1:4" x14ac:dyDescent="0.25">
      <c r="A1226" s="222" t="s">
        <v>7198</v>
      </c>
      <c r="B1226" s="222">
        <v>532823</v>
      </c>
      <c r="C1226" s="222" t="s">
        <v>7197</v>
      </c>
      <c r="D1226" s="222" t="s">
        <v>2714</v>
      </c>
    </row>
    <row r="1227" spans="1:4" x14ac:dyDescent="0.25">
      <c r="A1227" s="222" t="s">
        <v>7196</v>
      </c>
      <c r="B1227" s="222" t="s">
        <v>2052</v>
      </c>
      <c r="C1227" s="222" t="s">
        <v>7195</v>
      </c>
      <c r="D1227" s="222" t="s">
        <v>2050</v>
      </c>
    </row>
    <row r="1228" spans="1:4" x14ac:dyDescent="0.25">
      <c r="A1228" s="222" t="s">
        <v>7194</v>
      </c>
      <c r="B1228" s="222">
        <v>533109</v>
      </c>
      <c r="C1228" s="222" t="s">
        <v>7193</v>
      </c>
      <c r="D1228" s="222" t="s">
        <v>2585</v>
      </c>
    </row>
    <row r="1229" spans="1:4" x14ac:dyDescent="0.25">
      <c r="A1229" s="222" t="s">
        <v>7192</v>
      </c>
      <c r="B1229" s="222">
        <v>521014</v>
      </c>
      <c r="C1229" s="222" t="s">
        <v>2052</v>
      </c>
      <c r="D1229" s="222" t="s">
        <v>1237</v>
      </c>
    </row>
    <row r="1230" spans="1:4" x14ac:dyDescent="0.25">
      <c r="A1230" s="222" t="s">
        <v>7191</v>
      </c>
      <c r="B1230" s="222" t="s">
        <v>2052</v>
      </c>
      <c r="C1230" s="222" t="s">
        <v>7190</v>
      </c>
      <c r="D1230" s="222" t="s">
        <v>1237</v>
      </c>
    </row>
    <row r="1231" spans="1:4" x14ac:dyDescent="0.25">
      <c r="A1231" s="222" t="s">
        <v>7189</v>
      </c>
      <c r="B1231" s="222">
        <v>542668</v>
      </c>
      <c r="C1231" s="222" t="s">
        <v>7188</v>
      </c>
      <c r="D1231" s="222" t="s">
        <v>2068</v>
      </c>
    </row>
    <row r="1232" spans="1:4" x14ac:dyDescent="0.25">
      <c r="A1232" s="222" t="s">
        <v>7187</v>
      </c>
      <c r="B1232" s="222">
        <v>531508</v>
      </c>
      <c r="C1232" s="222" t="s">
        <v>7185</v>
      </c>
      <c r="D1232" s="222" t="s">
        <v>2696</v>
      </c>
    </row>
    <row r="1233" spans="1:4" x14ac:dyDescent="0.25">
      <c r="A1233" s="222" t="s">
        <v>7186</v>
      </c>
      <c r="B1233" s="222">
        <v>531508</v>
      </c>
      <c r="C1233" s="222" t="s">
        <v>7185</v>
      </c>
      <c r="D1233" s="222" t="s">
        <v>2696</v>
      </c>
    </row>
    <row r="1234" spans="1:4" x14ac:dyDescent="0.25">
      <c r="A1234" s="222" t="s">
        <v>7184</v>
      </c>
      <c r="B1234" s="222">
        <v>508906</v>
      </c>
      <c r="C1234" s="222" t="s">
        <v>7183</v>
      </c>
      <c r="D1234" s="222" t="s">
        <v>1004</v>
      </c>
    </row>
    <row r="1235" spans="1:4" x14ac:dyDescent="0.25">
      <c r="A1235" s="222" t="s">
        <v>7182</v>
      </c>
      <c r="B1235" s="222">
        <v>532684</v>
      </c>
      <c r="C1235" s="222" t="s">
        <v>7181</v>
      </c>
      <c r="D1235" s="222" t="s">
        <v>1313</v>
      </c>
    </row>
    <row r="1236" spans="1:4" x14ac:dyDescent="0.25">
      <c r="A1236" s="222" t="s">
        <v>7180</v>
      </c>
      <c r="B1236" s="222">
        <v>524790</v>
      </c>
      <c r="C1236" s="222" t="s">
        <v>2052</v>
      </c>
      <c r="D1236" s="222" t="s">
        <v>789</v>
      </c>
    </row>
    <row r="1237" spans="1:4" x14ac:dyDescent="0.25">
      <c r="A1237" s="222" t="s">
        <v>7179</v>
      </c>
      <c r="B1237" s="222">
        <v>514060</v>
      </c>
      <c r="C1237" s="222" t="s">
        <v>2052</v>
      </c>
      <c r="D1237" s="222" t="s">
        <v>1237</v>
      </c>
    </row>
    <row r="1238" spans="1:4" x14ac:dyDescent="0.25">
      <c r="A1238" s="222" t="s">
        <v>7178</v>
      </c>
      <c r="B1238" s="222">
        <v>514358</v>
      </c>
      <c r="C1238" s="222" t="s">
        <v>2052</v>
      </c>
      <c r="D1238" s="222" t="s">
        <v>1237</v>
      </c>
    </row>
    <row r="1239" spans="1:4" x14ac:dyDescent="0.25">
      <c r="A1239" s="222" t="s">
        <v>7177</v>
      </c>
      <c r="B1239" s="222">
        <v>532511</v>
      </c>
      <c r="C1239" s="222" t="s">
        <v>7176</v>
      </c>
      <c r="D1239" s="222" t="s">
        <v>1324</v>
      </c>
    </row>
    <row r="1240" spans="1:4" x14ac:dyDescent="0.25">
      <c r="A1240" s="222" t="s">
        <v>7175</v>
      </c>
      <c r="B1240" s="222">
        <v>500650</v>
      </c>
      <c r="C1240" s="222" t="s">
        <v>7174</v>
      </c>
      <c r="D1240" s="222" t="s">
        <v>722</v>
      </c>
    </row>
    <row r="1241" spans="1:4" x14ac:dyDescent="0.25">
      <c r="A1241" s="222" t="s">
        <v>7173</v>
      </c>
      <c r="B1241" s="222">
        <v>533090</v>
      </c>
      <c r="C1241" s="222" t="s">
        <v>7172</v>
      </c>
      <c r="D1241" s="222" t="s">
        <v>2120</v>
      </c>
    </row>
    <row r="1242" spans="1:4" x14ac:dyDescent="0.25">
      <c r="A1242" s="222" t="s">
        <v>7171</v>
      </c>
      <c r="B1242" s="222">
        <v>500086</v>
      </c>
      <c r="C1242" s="222" t="s">
        <v>7170</v>
      </c>
      <c r="D1242" s="222" t="s">
        <v>1306</v>
      </c>
    </row>
    <row r="1243" spans="1:4" x14ac:dyDescent="0.25">
      <c r="A1243" s="222" t="s">
        <v>7169</v>
      </c>
      <c r="B1243" s="222" t="s">
        <v>2052</v>
      </c>
      <c r="C1243" s="222" t="s">
        <v>7168</v>
      </c>
      <c r="D1243" s="222" t="s">
        <v>1306</v>
      </c>
    </row>
    <row r="1244" spans="1:4" x14ac:dyDescent="0.25">
      <c r="A1244" s="222" t="s">
        <v>7167</v>
      </c>
      <c r="B1244" s="222">
        <v>530571</v>
      </c>
      <c r="C1244" s="222" t="s">
        <v>2052</v>
      </c>
      <c r="D1244" s="222" t="s">
        <v>2068</v>
      </c>
    </row>
    <row r="1245" spans="1:4" x14ac:dyDescent="0.25">
      <c r="A1245" s="222" t="s">
        <v>7166</v>
      </c>
      <c r="B1245" s="222">
        <v>526614</v>
      </c>
      <c r="C1245" s="222" t="s">
        <v>2052</v>
      </c>
      <c r="D1245" s="222" t="s">
        <v>1313</v>
      </c>
    </row>
    <row r="1246" spans="1:4" x14ac:dyDescent="0.25">
      <c r="A1246" s="222" t="s">
        <v>7165</v>
      </c>
      <c r="B1246" s="222">
        <v>539552</v>
      </c>
      <c r="C1246" s="222" t="s">
        <v>2052</v>
      </c>
      <c r="D1246" s="222" t="s">
        <v>1321</v>
      </c>
    </row>
    <row r="1247" spans="1:4" x14ac:dyDescent="0.25">
      <c r="A1247" s="222" t="s">
        <v>7164</v>
      </c>
      <c r="B1247" s="222">
        <v>532656</v>
      </c>
      <c r="C1247" s="222" t="s">
        <v>2052</v>
      </c>
      <c r="D1247" s="222" t="s">
        <v>2167</v>
      </c>
    </row>
    <row r="1248" spans="1:4" x14ac:dyDescent="0.25">
      <c r="A1248" s="222" t="s">
        <v>7163</v>
      </c>
      <c r="B1248" s="222">
        <v>514474</v>
      </c>
      <c r="C1248" s="222" t="s">
        <v>2052</v>
      </c>
      <c r="D1248" s="222" t="s">
        <v>1237</v>
      </c>
    </row>
    <row r="1249" spans="1:4" x14ac:dyDescent="0.25">
      <c r="A1249" s="222" t="s">
        <v>7162</v>
      </c>
      <c r="B1249" s="222">
        <v>530117</v>
      </c>
      <c r="C1249" s="222" t="s">
        <v>7161</v>
      </c>
      <c r="D1249" s="222" t="s">
        <v>722</v>
      </c>
    </row>
    <row r="1250" spans="1:4" x14ac:dyDescent="0.25">
      <c r="A1250" s="222" t="s">
        <v>7160</v>
      </c>
      <c r="B1250" s="222">
        <v>530079</v>
      </c>
      <c r="C1250" s="222" t="s">
        <v>2052</v>
      </c>
      <c r="D1250" s="222" t="s">
        <v>1237</v>
      </c>
    </row>
    <row r="1251" spans="1:4" x14ac:dyDescent="0.25">
      <c r="A1251" s="222" t="s">
        <v>7159</v>
      </c>
      <c r="B1251" s="222">
        <v>532666</v>
      </c>
      <c r="C1251" s="222" t="s">
        <v>7158</v>
      </c>
      <c r="D1251" s="222" t="s">
        <v>1265</v>
      </c>
    </row>
    <row r="1252" spans="1:4" x14ac:dyDescent="0.25">
      <c r="A1252" s="222" t="s">
        <v>7157</v>
      </c>
      <c r="B1252" s="222">
        <v>531599</v>
      </c>
      <c r="C1252" s="222" t="s">
        <v>7156</v>
      </c>
      <c r="D1252" s="222" t="s">
        <v>789</v>
      </c>
    </row>
    <row r="1253" spans="1:4" x14ac:dyDescent="0.25">
      <c r="A1253" s="222" t="s">
        <v>7155</v>
      </c>
      <c r="B1253" s="222">
        <v>505744</v>
      </c>
      <c r="C1253" s="222" t="s">
        <v>7153</v>
      </c>
      <c r="D1253" s="222" t="s">
        <v>1306</v>
      </c>
    </row>
    <row r="1254" spans="1:4" x14ac:dyDescent="0.25">
      <c r="A1254" s="222" t="s">
        <v>7154</v>
      </c>
      <c r="B1254" s="222">
        <v>505744</v>
      </c>
      <c r="C1254" s="222" t="s">
        <v>7153</v>
      </c>
      <c r="D1254" s="222" t="s">
        <v>1306</v>
      </c>
    </row>
    <row r="1255" spans="1:4" x14ac:dyDescent="0.25">
      <c r="A1255" s="222" t="s">
        <v>7152</v>
      </c>
      <c r="B1255" s="222" t="s">
        <v>2052</v>
      </c>
      <c r="C1255" s="222" t="s">
        <v>7151</v>
      </c>
      <c r="D1255" s="222" t="s">
        <v>2050</v>
      </c>
    </row>
    <row r="1256" spans="1:4" x14ac:dyDescent="0.25">
      <c r="A1256" s="222" t="s">
        <v>7150</v>
      </c>
      <c r="B1256" s="222">
        <v>526689</v>
      </c>
      <c r="C1256" s="222" t="s">
        <v>2052</v>
      </c>
      <c r="D1256" s="222" t="s">
        <v>1251</v>
      </c>
    </row>
    <row r="1257" spans="1:4" x14ac:dyDescent="0.25">
      <c r="A1257" s="222" t="s">
        <v>7149</v>
      </c>
      <c r="B1257" s="222">
        <v>500141</v>
      </c>
      <c r="C1257" s="222" t="s">
        <v>2052</v>
      </c>
      <c r="D1257" s="222" t="s">
        <v>2167</v>
      </c>
    </row>
    <row r="1258" spans="1:4" x14ac:dyDescent="0.25">
      <c r="A1258" s="222" t="s">
        <v>7148</v>
      </c>
      <c r="B1258" s="222">
        <v>590024</v>
      </c>
      <c r="C1258" s="222" t="s">
        <v>7147</v>
      </c>
      <c r="D1258" s="222" t="s">
        <v>734</v>
      </c>
    </row>
    <row r="1259" spans="1:4" x14ac:dyDescent="0.25">
      <c r="A1259" s="222" t="s">
        <v>7146</v>
      </c>
      <c r="B1259" s="222">
        <v>533896</v>
      </c>
      <c r="C1259" s="222" t="s">
        <v>2052</v>
      </c>
      <c r="D1259" s="222" t="s">
        <v>789</v>
      </c>
    </row>
    <row r="1260" spans="1:4" x14ac:dyDescent="0.25">
      <c r="A1260" s="222" t="s">
        <v>7145</v>
      </c>
      <c r="B1260" s="222">
        <v>500142</v>
      </c>
      <c r="C1260" s="222" t="s">
        <v>2052</v>
      </c>
      <c r="D1260" s="222" t="s">
        <v>1321</v>
      </c>
    </row>
    <row r="1261" spans="1:4" x14ac:dyDescent="0.25">
      <c r="A1261" s="222" t="s">
        <v>7144</v>
      </c>
      <c r="B1261" s="222">
        <v>507910</v>
      </c>
      <c r="C1261" s="222" t="s">
        <v>2052</v>
      </c>
      <c r="D1261" s="222" t="s">
        <v>1251</v>
      </c>
    </row>
    <row r="1262" spans="1:4" x14ac:dyDescent="0.25">
      <c r="A1262" s="222" t="s">
        <v>7143</v>
      </c>
      <c r="B1262" s="222">
        <v>507910</v>
      </c>
      <c r="C1262" s="222" t="s">
        <v>2052</v>
      </c>
      <c r="D1262" s="222" t="s">
        <v>1251</v>
      </c>
    </row>
    <row r="1263" spans="1:4" x14ac:dyDescent="0.25">
      <c r="A1263" s="222" t="s">
        <v>7142</v>
      </c>
      <c r="B1263" s="222">
        <v>532768</v>
      </c>
      <c r="C1263" s="222" t="s">
        <v>7141</v>
      </c>
      <c r="D1263" s="222" t="s">
        <v>1306</v>
      </c>
    </row>
    <row r="1264" spans="1:4" x14ac:dyDescent="0.25">
      <c r="A1264" s="222" t="s">
        <v>7140</v>
      </c>
      <c r="B1264" s="222">
        <v>526227</v>
      </c>
      <c r="C1264" s="222" t="s">
        <v>7137</v>
      </c>
      <c r="D1264" s="222" t="s">
        <v>1237</v>
      </c>
    </row>
    <row r="1265" spans="1:4" x14ac:dyDescent="0.25">
      <c r="A1265" s="222" t="s">
        <v>7139</v>
      </c>
      <c r="B1265" s="222">
        <v>532022</v>
      </c>
      <c r="C1265" s="222" t="s">
        <v>2052</v>
      </c>
      <c r="D1265" s="222" t="s">
        <v>1237</v>
      </c>
    </row>
    <row r="1266" spans="1:4" x14ac:dyDescent="0.25">
      <c r="A1266" s="222" t="s">
        <v>7138</v>
      </c>
      <c r="B1266" s="222">
        <v>526227</v>
      </c>
      <c r="C1266" s="222" t="s">
        <v>7137</v>
      </c>
      <c r="D1266" s="222" t="s">
        <v>1237</v>
      </c>
    </row>
    <row r="1267" spans="1:4" x14ac:dyDescent="0.25">
      <c r="A1267" s="222" t="s">
        <v>7136</v>
      </c>
      <c r="B1267" s="222">
        <v>539098</v>
      </c>
      <c r="C1267" s="222" t="s">
        <v>2052</v>
      </c>
      <c r="D1267" s="222" t="s">
        <v>2445</v>
      </c>
    </row>
    <row r="1268" spans="1:4" x14ac:dyDescent="0.25">
      <c r="A1268" s="222" t="s">
        <v>7135</v>
      </c>
      <c r="B1268" s="222">
        <v>541557</v>
      </c>
      <c r="C1268" s="222" t="s">
        <v>7134</v>
      </c>
      <c r="D1268" s="222" t="s">
        <v>722</v>
      </c>
    </row>
    <row r="1269" spans="1:4" x14ac:dyDescent="0.25">
      <c r="A1269" s="222" t="s">
        <v>7133</v>
      </c>
      <c r="B1269" s="222">
        <v>517264</v>
      </c>
      <c r="C1269" s="222" t="s">
        <v>7132</v>
      </c>
      <c r="D1269" s="222" t="s">
        <v>2062</v>
      </c>
    </row>
    <row r="1270" spans="1:4" x14ac:dyDescent="0.25">
      <c r="A1270" s="222" t="s">
        <v>7131</v>
      </c>
      <c r="B1270" s="222">
        <v>533333</v>
      </c>
      <c r="C1270" s="222" t="s">
        <v>7130</v>
      </c>
      <c r="D1270" s="222" t="s">
        <v>722</v>
      </c>
    </row>
    <row r="1271" spans="1:4" x14ac:dyDescent="0.25">
      <c r="A1271" s="222" t="s">
        <v>7129</v>
      </c>
      <c r="B1271" s="222">
        <v>508954</v>
      </c>
      <c r="C1271" s="222" t="s">
        <v>2052</v>
      </c>
      <c r="D1271" s="222" t="s">
        <v>1321</v>
      </c>
    </row>
    <row r="1272" spans="1:4" x14ac:dyDescent="0.25">
      <c r="A1272" s="222" t="s">
        <v>7128</v>
      </c>
      <c r="B1272" s="222">
        <v>500144</v>
      </c>
      <c r="C1272" s="222" t="s">
        <v>7127</v>
      </c>
      <c r="D1272" s="222" t="s">
        <v>1275</v>
      </c>
    </row>
    <row r="1273" spans="1:4" x14ac:dyDescent="0.25">
      <c r="A1273" s="222" t="s">
        <v>7126</v>
      </c>
      <c r="B1273" s="222">
        <v>500940</v>
      </c>
      <c r="C1273" s="222" t="s">
        <v>7125</v>
      </c>
      <c r="D1273" s="222" t="s">
        <v>1251</v>
      </c>
    </row>
    <row r="1274" spans="1:4" x14ac:dyDescent="0.25">
      <c r="A1274" s="222" t="s">
        <v>7124</v>
      </c>
      <c r="B1274" s="222">
        <v>511122</v>
      </c>
      <c r="C1274" s="222" t="s">
        <v>2052</v>
      </c>
      <c r="D1274" s="222" t="s">
        <v>1321</v>
      </c>
    </row>
    <row r="1275" spans="1:4" x14ac:dyDescent="0.25">
      <c r="A1275" s="222" t="s">
        <v>7123</v>
      </c>
      <c r="B1275" s="222">
        <v>511122</v>
      </c>
      <c r="C1275" s="222" t="s">
        <v>2052</v>
      </c>
      <c r="D1275" s="222" t="s">
        <v>1321</v>
      </c>
    </row>
    <row r="1276" spans="1:4" x14ac:dyDescent="0.25">
      <c r="A1276" s="222" t="s">
        <v>7122</v>
      </c>
      <c r="B1276" s="222">
        <v>532379</v>
      </c>
      <c r="C1276" s="222" t="s">
        <v>2052</v>
      </c>
      <c r="D1276" s="222" t="s">
        <v>1942</v>
      </c>
    </row>
    <row r="1277" spans="1:4" x14ac:dyDescent="0.25">
      <c r="A1277" s="222" t="s">
        <v>7121</v>
      </c>
      <c r="B1277" s="222">
        <v>532809</v>
      </c>
      <c r="C1277" s="222" t="s">
        <v>7120</v>
      </c>
      <c r="D1277" s="222" t="s">
        <v>2120</v>
      </c>
    </row>
    <row r="1278" spans="1:4" x14ac:dyDescent="0.25">
      <c r="A1278" s="222" t="s">
        <v>7119</v>
      </c>
      <c r="B1278" s="222">
        <v>524743</v>
      </c>
      <c r="C1278" s="222" t="s">
        <v>2052</v>
      </c>
      <c r="D1278" s="222" t="s">
        <v>998</v>
      </c>
    </row>
    <row r="1279" spans="1:4" x14ac:dyDescent="0.25">
      <c r="A1279" s="222" t="s">
        <v>7118</v>
      </c>
      <c r="B1279" s="222" t="s">
        <v>2052</v>
      </c>
      <c r="C1279" s="222" t="s">
        <v>7117</v>
      </c>
      <c r="D1279" s="222" t="s">
        <v>2050</v>
      </c>
    </row>
    <row r="1280" spans="1:4" x14ac:dyDescent="0.25">
      <c r="A1280" s="222" t="s">
        <v>7116</v>
      </c>
      <c r="B1280" s="222">
        <v>530885</v>
      </c>
      <c r="C1280" s="222" t="s">
        <v>2052</v>
      </c>
      <c r="D1280" s="222" t="s">
        <v>1265</v>
      </c>
    </row>
    <row r="1281" spans="1:4" x14ac:dyDescent="0.25">
      <c r="A1281" s="222" t="s">
        <v>7115</v>
      </c>
      <c r="B1281" s="222">
        <v>536751</v>
      </c>
      <c r="C1281" s="222" t="s">
        <v>2052</v>
      </c>
      <c r="D1281" s="222" t="s">
        <v>1262</v>
      </c>
    </row>
    <row r="1282" spans="1:4" x14ac:dyDescent="0.25">
      <c r="A1282" s="222" t="s">
        <v>7114</v>
      </c>
      <c r="B1282" s="222">
        <v>523672</v>
      </c>
      <c r="C1282" s="222" t="s">
        <v>2052</v>
      </c>
      <c r="D1282" s="222" t="s">
        <v>731</v>
      </c>
    </row>
    <row r="1283" spans="1:4" x14ac:dyDescent="0.25">
      <c r="A1283" s="222" t="s">
        <v>7113</v>
      </c>
      <c r="B1283" s="222">
        <v>533638</v>
      </c>
      <c r="C1283" s="222" t="s">
        <v>7112</v>
      </c>
      <c r="D1283" s="222" t="s">
        <v>1251</v>
      </c>
    </row>
    <row r="1284" spans="1:4" x14ac:dyDescent="0.25">
      <c r="A1284" s="222" t="s">
        <v>7111</v>
      </c>
      <c r="B1284" s="222">
        <v>540267</v>
      </c>
      <c r="C1284" s="222" t="s">
        <v>2052</v>
      </c>
      <c r="D1284" s="222" t="s">
        <v>1529</v>
      </c>
    </row>
    <row r="1285" spans="1:4" x14ac:dyDescent="0.25">
      <c r="A1285" s="222" t="s">
        <v>7110</v>
      </c>
      <c r="B1285" s="222">
        <v>530705</v>
      </c>
      <c r="C1285" s="222" t="s">
        <v>2052</v>
      </c>
      <c r="D1285" s="222" t="s">
        <v>1237</v>
      </c>
    </row>
    <row r="1286" spans="1:4" x14ac:dyDescent="0.25">
      <c r="A1286" s="222" t="s">
        <v>7109</v>
      </c>
      <c r="B1286" s="222">
        <v>532518</v>
      </c>
      <c r="C1286" s="222" t="s">
        <v>2052</v>
      </c>
      <c r="D1286" s="222" t="s">
        <v>2108</v>
      </c>
    </row>
    <row r="1287" spans="1:4" x14ac:dyDescent="0.25">
      <c r="A1287" s="222" t="s">
        <v>7108</v>
      </c>
      <c r="B1287" s="222">
        <v>522017</v>
      </c>
      <c r="C1287" s="222" t="s">
        <v>2052</v>
      </c>
      <c r="D1287" s="222" t="s">
        <v>1275</v>
      </c>
    </row>
    <row r="1288" spans="1:4" x14ac:dyDescent="0.25">
      <c r="A1288" s="222" t="s">
        <v>7107</v>
      </c>
      <c r="B1288" s="222">
        <v>534757</v>
      </c>
      <c r="C1288" s="222" t="s">
        <v>2052</v>
      </c>
      <c r="D1288" s="222" t="s">
        <v>1321</v>
      </c>
    </row>
    <row r="1289" spans="1:4" x14ac:dyDescent="0.25">
      <c r="A1289" s="222" t="s">
        <v>7106</v>
      </c>
      <c r="B1289" s="222" t="s">
        <v>2052</v>
      </c>
      <c r="C1289" s="222" t="s">
        <v>1043</v>
      </c>
      <c r="D1289" s="222" t="s">
        <v>2050</v>
      </c>
    </row>
    <row r="1290" spans="1:4" x14ac:dyDescent="0.25">
      <c r="A1290" s="222" t="s">
        <v>7105</v>
      </c>
      <c r="B1290" s="222">
        <v>540945</v>
      </c>
      <c r="C1290" s="222" t="s">
        <v>2052</v>
      </c>
      <c r="D1290" s="222" t="s">
        <v>911</v>
      </c>
    </row>
    <row r="1291" spans="1:4" x14ac:dyDescent="0.25">
      <c r="A1291" s="222" t="s">
        <v>7104</v>
      </c>
      <c r="B1291" s="222">
        <v>503831</v>
      </c>
      <c r="C1291" s="222" t="s">
        <v>2052</v>
      </c>
      <c r="D1291" s="222" t="s">
        <v>2128</v>
      </c>
    </row>
    <row r="1292" spans="1:4" x14ac:dyDescent="0.25">
      <c r="A1292" s="222" t="s">
        <v>7103</v>
      </c>
      <c r="B1292" s="222">
        <v>507552</v>
      </c>
      <c r="C1292" s="222" t="s">
        <v>2052</v>
      </c>
      <c r="D1292" s="222" t="s">
        <v>1083</v>
      </c>
    </row>
    <row r="1293" spans="1:4" x14ac:dyDescent="0.25">
      <c r="A1293" s="222" t="s">
        <v>7102</v>
      </c>
      <c r="B1293" s="222">
        <v>502865</v>
      </c>
      <c r="C1293" s="222" t="s">
        <v>2052</v>
      </c>
      <c r="D1293" s="222" t="s">
        <v>832</v>
      </c>
    </row>
    <row r="1294" spans="1:4" x14ac:dyDescent="0.25">
      <c r="A1294" s="222" t="s">
        <v>7101</v>
      </c>
      <c r="B1294" s="222">
        <v>500033</v>
      </c>
      <c r="C1294" s="222" t="s">
        <v>2052</v>
      </c>
      <c r="D1294" s="222" t="s">
        <v>5344</v>
      </c>
    </row>
    <row r="1295" spans="1:4" x14ac:dyDescent="0.25">
      <c r="A1295" s="222" t="s">
        <v>7100</v>
      </c>
      <c r="B1295" s="222">
        <v>532843</v>
      </c>
      <c r="C1295" s="222" t="s">
        <v>7099</v>
      </c>
      <c r="D1295" s="222" t="s">
        <v>1297</v>
      </c>
    </row>
    <row r="1296" spans="1:4" x14ac:dyDescent="0.25">
      <c r="A1296" s="222" t="s">
        <v>7098</v>
      </c>
      <c r="B1296" s="222">
        <v>523696</v>
      </c>
      <c r="C1296" s="222" t="s">
        <v>2052</v>
      </c>
      <c r="D1296" s="222" t="s">
        <v>1425</v>
      </c>
    </row>
    <row r="1297" spans="1:4" x14ac:dyDescent="0.25">
      <c r="A1297" s="222" t="s">
        <v>7097</v>
      </c>
      <c r="B1297" s="222">
        <v>530213</v>
      </c>
      <c r="C1297" s="222" t="s">
        <v>2052</v>
      </c>
      <c r="D1297" s="222" t="s">
        <v>1529</v>
      </c>
    </row>
    <row r="1298" spans="1:4" x14ac:dyDescent="0.25">
      <c r="A1298" s="222" t="s">
        <v>7096</v>
      </c>
      <c r="B1298" s="222">
        <v>500150</v>
      </c>
      <c r="C1298" s="222" t="s">
        <v>7094</v>
      </c>
      <c r="D1298" s="222" t="s">
        <v>998</v>
      </c>
    </row>
    <row r="1299" spans="1:4" x14ac:dyDescent="0.25">
      <c r="A1299" s="222" t="s">
        <v>7095</v>
      </c>
      <c r="B1299" s="222">
        <v>500150</v>
      </c>
      <c r="C1299" s="222" t="s">
        <v>7094</v>
      </c>
      <c r="D1299" s="222" t="s">
        <v>998</v>
      </c>
    </row>
    <row r="1300" spans="1:4" x14ac:dyDescent="0.25">
      <c r="A1300" s="222" t="s">
        <v>7093</v>
      </c>
      <c r="B1300" s="222">
        <v>513579</v>
      </c>
      <c r="C1300" s="222" t="s">
        <v>2052</v>
      </c>
      <c r="D1300" s="222" t="s">
        <v>5944</v>
      </c>
    </row>
    <row r="1301" spans="1:4" x14ac:dyDescent="0.25">
      <c r="A1301" s="222" t="s">
        <v>7092</v>
      </c>
      <c r="B1301" s="222" t="s">
        <v>2052</v>
      </c>
      <c r="C1301" s="222" t="s">
        <v>7091</v>
      </c>
      <c r="D1301" s="222" t="s">
        <v>2050</v>
      </c>
    </row>
    <row r="1302" spans="1:4" x14ac:dyDescent="0.25">
      <c r="A1302" s="222" t="s">
        <v>7090</v>
      </c>
      <c r="B1302" s="222">
        <v>532403</v>
      </c>
      <c r="C1302" s="222" t="s">
        <v>2052</v>
      </c>
      <c r="D1302" s="222" t="s">
        <v>1942</v>
      </c>
    </row>
    <row r="1303" spans="1:4" x14ac:dyDescent="0.25">
      <c r="A1303" s="222" t="s">
        <v>7089</v>
      </c>
      <c r="B1303" s="222">
        <v>540190</v>
      </c>
      <c r="C1303" s="222" t="s">
        <v>2052</v>
      </c>
      <c r="D1303" s="222" t="s">
        <v>1529</v>
      </c>
    </row>
    <row r="1304" spans="1:4" x14ac:dyDescent="0.25">
      <c r="A1304" s="222" t="s">
        <v>7088</v>
      </c>
      <c r="B1304" s="222">
        <v>539839</v>
      </c>
      <c r="C1304" s="222" t="s">
        <v>2052</v>
      </c>
      <c r="D1304" s="222" t="s">
        <v>1321</v>
      </c>
    </row>
    <row r="1305" spans="1:4" x14ac:dyDescent="0.25">
      <c r="A1305" s="222" t="s">
        <v>7087</v>
      </c>
      <c r="B1305" s="222">
        <v>539032</v>
      </c>
      <c r="C1305" s="222" t="s">
        <v>7086</v>
      </c>
      <c r="D1305" s="222" t="s">
        <v>2156</v>
      </c>
    </row>
    <row r="1306" spans="1:4" x14ac:dyDescent="0.25">
      <c r="A1306" s="222" t="s">
        <v>7085</v>
      </c>
      <c r="B1306" s="222">
        <v>539730</v>
      </c>
      <c r="C1306" s="222" t="s">
        <v>2052</v>
      </c>
      <c r="D1306" s="222" t="s">
        <v>789</v>
      </c>
    </row>
    <row r="1307" spans="1:4" x14ac:dyDescent="0.25">
      <c r="A1307" s="222" t="s">
        <v>7084</v>
      </c>
      <c r="B1307" s="222">
        <v>530077</v>
      </c>
      <c r="C1307" s="222" t="s">
        <v>2052</v>
      </c>
      <c r="D1307" s="222" t="s">
        <v>731</v>
      </c>
    </row>
    <row r="1308" spans="1:4" x14ac:dyDescent="0.25">
      <c r="A1308" s="222" t="s">
        <v>7083</v>
      </c>
      <c r="B1308" s="222">
        <v>508980</v>
      </c>
      <c r="C1308" s="222" t="s">
        <v>2052</v>
      </c>
      <c r="D1308" s="222" t="s">
        <v>2068</v>
      </c>
    </row>
    <row r="1309" spans="1:4" x14ac:dyDescent="0.25">
      <c r="A1309" s="222" t="s">
        <v>7082</v>
      </c>
      <c r="B1309" s="222">
        <v>522195</v>
      </c>
      <c r="C1309" s="222" t="s">
        <v>2052</v>
      </c>
      <c r="D1309" s="222" t="s">
        <v>1306</v>
      </c>
    </row>
    <row r="1310" spans="1:4" x14ac:dyDescent="0.25">
      <c r="A1310" s="222" t="s">
        <v>7081</v>
      </c>
      <c r="B1310" s="222">
        <v>521167</v>
      </c>
      <c r="C1310" s="222" t="s">
        <v>7080</v>
      </c>
      <c r="D1310" s="222" t="s">
        <v>2536</v>
      </c>
    </row>
    <row r="1311" spans="1:4" x14ac:dyDescent="0.25">
      <c r="A1311" s="222" t="s">
        <v>7079</v>
      </c>
      <c r="B1311" s="222">
        <v>532042</v>
      </c>
      <c r="C1311" s="222" t="s">
        <v>2052</v>
      </c>
      <c r="D1311" s="222" t="s">
        <v>2656</v>
      </c>
    </row>
    <row r="1312" spans="1:4" x14ac:dyDescent="0.25">
      <c r="A1312" s="222" t="s">
        <v>7078</v>
      </c>
      <c r="B1312" s="222">
        <v>533213</v>
      </c>
      <c r="C1312" s="222" t="s">
        <v>2052</v>
      </c>
      <c r="D1312" s="222" t="s">
        <v>1262</v>
      </c>
    </row>
    <row r="1313" spans="1:4" x14ac:dyDescent="0.25">
      <c r="A1313" s="222" t="s">
        <v>7077</v>
      </c>
      <c r="B1313" s="222">
        <v>538568</v>
      </c>
      <c r="C1313" s="222" t="s">
        <v>2052</v>
      </c>
      <c r="D1313" s="222" t="s">
        <v>1529</v>
      </c>
    </row>
    <row r="1314" spans="1:4" x14ac:dyDescent="0.25">
      <c r="A1314" s="222" t="s">
        <v>7076</v>
      </c>
      <c r="B1314" s="222">
        <v>539169</v>
      </c>
      <c r="C1314" s="222" t="s">
        <v>2052</v>
      </c>
      <c r="D1314" s="222" t="s">
        <v>1265</v>
      </c>
    </row>
    <row r="1315" spans="1:4" x14ac:dyDescent="0.25">
      <c r="A1315" s="222" t="s">
        <v>7075</v>
      </c>
      <c r="B1315" s="222">
        <v>533400</v>
      </c>
      <c r="C1315" s="222" t="s">
        <v>7074</v>
      </c>
      <c r="D1315" s="222" t="s">
        <v>1161</v>
      </c>
    </row>
    <row r="1316" spans="1:4" x14ac:dyDescent="0.25">
      <c r="A1316" s="222" t="s">
        <v>7072</v>
      </c>
      <c r="B1316" s="222">
        <v>523574</v>
      </c>
      <c r="C1316" s="222" t="s">
        <v>7073</v>
      </c>
      <c r="D1316" s="222" t="s">
        <v>2247</v>
      </c>
    </row>
    <row r="1317" spans="1:4" x14ac:dyDescent="0.25">
      <c r="A1317" s="222" t="s">
        <v>7072</v>
      </c>
      <c r="B1317" s="222">
        <v>570002</v>
      </c>
      <c r="C1317" s="222" t="s">
        <v>7071</v>
      </c>
      <c r="D1317" s="222" t="s">
        <v>2247</v>
      </c>
    </row>
    <row r="1318" spans="1:4" x14ac:dyDescent="0.25">
      <c r="A1318" s="222" t="s">
        <v>7070</v>
      </c>
      <c r="B1318" s="222">
        <v>536507</v>
      </c>
      <c r="C1318" s="222" t="s">
        <v>7069</v>
      </c>
      <c r="D1318" s="222" t="s">
        <v>2247</v>
      </c>
    </row>
    <row r="1319" spans="1:4" x14ac:dyDescent="0.25">
      <c r="A1319" s="222" t="s">
        <v>7068</v>
      </c>
      <c r="B1319" s="222">
        <v>533296</v>
      </c>
      <c r="C1319" s="222" t="s">
        <v>7067</v>
      </c>
      <c r="D1319" s="222" t="s">
        <v>2247</v>
      </c>
    </row>
    <row r="1320" spans="1:4" x14ac:dyDescent="0.25">
      <c r="A1320" s="222" t="s">
        <v>7066</v>
      </c>
      <c r="B1320" s="222">
        <v>540064</v>
      </c>
      <c r="C1320" s="222" t="s">
        <v>7065</v>
      </c>
      <c r="D1320" s="222" t="s">
        <v>2247</v>
      </c>
    </row>
    <row r="1321" spans="1:4" x14ac:dyDescent="0.25">
      <c r="A1321" s="222" t="s">
        <v>7064</v>
      </c>
      <c r="B1321" s="222">
        <v>540798</v>
      </c>
      <c r="C1321" s="222" t="s">
        <v>7063</v>
      </c>
      <c r="D1321" s="222" t="s">
        <v>1329</v>
      </c>
    </row>
    <row r="1322" spans="1:4" x14ac:dyDescent="0.25">
      <c r="A1322" s="222" t="s">
        <v>7062</v>
      </c>
      <c r="B1322" s="222">
        <v>523113</v>
      </c>
      <c r="C1322" s="222" t="s">
        <v>2052</v>
      </c>
      <c r="D1322" s="222" t="s">
        <v>1321</v>
      </c>
    </row>
    <row r="1323" spans="1:4" x14ac:dyDescent="0.25">
      <c r="A1323" s="222" t="s">
        <v>7061</v>
      </c>
      <c r="B1323" s="222">
        <v>534063</v>
      </c>
      <c r="C1323" s="222" t="s">
        <v>2052</v>
      </c>
      <c r="D1323" s="222" t="s">
        <v>1262</v>
      </c>
    </row>
    <row r="1324" spans="1:4" x14ac:dyDescent="0.25">
      <c r="A1324" s="222" t="s">
        <v>7060</v>
      </c>
      <c r="B1324" s="222">
        <v>504346</v>
      </c>
      <c r="C1324" s="222" t="s">
        <v>2052</v>
      </c>
      <c r="D1324" s="222" t="s">
        <v>1262</v>
      </c>
    </row>
    <row r="1325" spans="1:4" x14ac:dyDescent="0.25">
      <c r="A1325" s="222" t="s">
        <v>7059</v>
      </c>
      <c r="B1325" s="222">
        <v>505250</v>
      </c>
      <c r="C1325" s="222" t="s">
        <v>2052</v>
      </c>
      <c r="D1325" s="222" t="s">
        <v>832</v>
      </c>
    </row>
    <row r="1326" spans="1:4" x14ac:dyDescent="0.25">
      <c r="A1326" s="222" t="s">
        <v>7058</v>
      </c>
      <c r="B1326" s="222">
        <v>540614</v>
      </c>
      <c r="C1326" s="222" t="s">
        <v>2052</v>
      </c>
      <c r="D1326" s="222" t="s">
        <v>1066</v>
      </c>
    </row>
    <row r="1327" spans="1:4" x14ac:dyDescent="0.25">
      <c r="A1327" s="222" t="s">
        <v>7057</v>
      </c>
      <c r="B1327" s="222">
        <v>531758</v>
      </c>
      <c r="C1327" s="222" t="s">
        <v>2052</v>
      </c>
      <c r="D1327" s="222" t="s">
        <v>1321</v>
      </c>
    </row>
    <row r="1328" spans="1:4" x14ac:dyDescent="0.25">
      <c r="A1328" s="222" t="s">
        <v>7056</v>
      </c>
      <c r="B1328" s="222">
        <v>513059</v>
      </c>
      <c r="C1328" s="222" t="s">
        <v>2052</v>
      </c>
      <c r="D1328" s="222" t="s">
        <v>1306</v>
      </c>
    </row>
    <row r="1329" spans="1:4" x14ac:dyDescent="0.25">
      <c r="A1329" s="222" t="s">
        <v>7055</v>
      </c>
      <c r="B1329" s="222">
        <v>542666</v>
      </c>
      <c r="C1329" s="222" t="s">
        <v>7054</v>
      </c>
      <c r="D1329" s="222" t="s">
        <v>5436</v>
      </c>
    </row>
    <row r="1330" spans="1:4" x14ac:dyDescent="0.25">
      <c r="A1330" s="222" t="s">
        <v>7053</v>
      </c>
      <c r="B1330" s="222">
        <v>505714</v>
      </c>
      <c r="C1330" s="222" t="s">
        <v>7051</v>
      </c>
      <c r="D1330" s="222" t="s">
        <v>1306</v>
      </c>
    </row>
    <row r="1331" spans="1:4" x14ac:dyDescent="0.25">
      <c r="A1331" s="222" t="s">
        <v>7052</v>
      </c>
      <c r="B1331" s="222">
        <v>505714</v>
      </c>
      <c r="C1331" s="222" t="s">
        <v>7051</v>
      </c>
      <c r="D1331" s="222" t="s">
        <v>1306</v>
      </c>
    </row>
    <row r="1332" spans="1:4" x14ac:dyDescent="0.25">
      <c r="A1332" s="222" t="s">
        <v>7050</v>
      </c>
      <c r="B1332" s="222">
        <v>524624</v>
      </c>
      <c r="C1332" s="222" t="s">
        <v>7049</v>
      </c>
      <c r="D1332" s="222" t="s">
        <v>7048</v>
      </c>
    </row>
    <row r="1333" spans="1:4" x14ac:dyDescent="0.25">
      <c r="A1333" s="222" t="s">
        <v>7047</v>
      </c>
      <c r="B1333" s="222">
        <v>531196</v>
      </c>
      <c r="C1333" s="222" t="s">
        <v>2052</v>
      </c>
      <c r="D1333" s="222" t="s">
        <v>1529</v>
      </c>
    </row>
    <row r="1334" spans="1:4" x14ac:dyDescent="0.25">
      <c r="A1334" s="222" t="s">
        <v>7046</v>
      </c>
      <c r="B1334" s="222">
        <v>531196</v>
      </c>
      <c r="C1334" s="222" t="s">
        <v>2052</v>
      </c>
      <c r="D1334" s="222" t="s">
        <v>1529</v>
      </c>
    </row>
    <row r="1335" spans="1:4" x14ac:dyDescent="0.25">
      <c r="A1335" s="222" t="s">
        <v>7045</v>
      </c>
      <c r="B1335" s="222">
        <v>532155</v>
      </c>
      <c r="C1335" s="222" t="s">
        <v>7043</v>
      </c>
      <c r="D1335" s="222" t="s">
        <v>2445</v>
      </c>
    </row>
    <row r="1336" spans="1:4" x14ac:dyDescent="0.25">
      <c r="A1336" s="222" t="s">
        <v>7044</v>
      </c>
      <c r="B1336" s="222">
        <v>532155</v>
      </c>
      <c r="C1336" s="222" t="s">
        <v>7043</v>
      </c>
      <c r="D1336" s="222" t="s">
        <v>2445</v>
      </c>
    </row>
    <row r="1337" spans="1:4" x14ac:dyDescent="0.25">
      <c r="A1337" s="222" t="s">
        <v>7042</v>
      </c>
      <c r="B1337" s="222">
        <v>538609</v>
      </c>
      <c r="C1337" s="222" t="s">
        <v>2052</v>
      </c>
      <c r="D1337" s="222" t="s">
        <v>1262</v>
      </c>
    </row>
    <row r="1338" spans="1:4" x14ac:dyDescent="0.25">
      <c r="A1338" s="222" t="s">
        <v>7041</v>
      </c>
      <c r="B1338" s="222">
        <v>505711</v>
      </c>
      <c r="C1338" s="222" t="s">
        <v>2052</v>
      </c>
      <c r="D1338" s="222" t="s">
        <v>1306</v>
      </c>
    </row>
    <row r="1339" spans="1:4" x14ac:dyDescent="0.25">
      <c r="A1339" s="222" t="s">
        <v>7040</v>
      </c>
      <c r="B1339" s="222">
        <v>539228</v>
      </c>
      <c r="C1339" s="222" t="s">
        <v>2052</v>
      </c>
      <c r="D1339" s="222" t="s">
        <v>2542</v>
      </c>
    </row>
    <row r="1340" spans="1:4" x14ac:dyDescent="0.25">
      <c r="A1340" s="222" t="s">
        <v>7039</v>
      </c>
      <c r="B1340" s="222">
        <v>538881</v>
      </c>
      <c r="C1340" s="222" t="s">
        <v>2052</v>
      </c>
      <c r="D1340" s="222" t="s">
        <v>1321</v>
      </c>
    </row>
    <row r="1341" spans="1:4" x14ac:dyDescent="0.25">
      <c r="A1341" s="222" t="s">
        <v>7038</v>
      </c>
      <c r="B1341" s="222">
        <v>504697</v>
      </c>
      <c r="C1341" s="222" t="s">
        <v>2052</v>
      </c>
      <c r="D1341" s="222" t="s">
        <v>1275</v>
      </c>
    </row>
    <row r="1342" spans="1:4" x14ac:dyDescent="0.25">
      <c r="A1342" s="222" t="s">
        <v>7037</v>
      </c>
      <c r="B1342" s="222">
        <v>531911</v>
      </c>
      <c r="C1342" s="222" t="s">
        <v>2052</v>
      </c>
      <c r="D1342" s="222" t="s">
        <v>832</v>
      </c>
    </row>
    <row r="1343" spans="1:4" x14ac:dyDescent="0.25">
      <c r="A1343" s="222" t="s">
        <v>7036</v>
      </c>
      <c r="B1343" s="222">
        <v>526073</v>
      </c>
      <c r="C1343" s="222" t="s">
        <v>2052</v>
      </c>
      <c r="D1343" s="222" t="s">
        <v>1395</v>
      </c>
    </row>
    <row r="1344" spans="1:4" x14ac:dyDescent="0.25">
      <c r="A1344" s="222" t="s">
        <v>7035</v>
      </c>
      <c r="B1344" s="222">
        <v>506186</v>
      </c>
      <c r="C1344" s="222" t="s">
        <v>2052</v>
      </c>
      <c r="D1344" s="222" t="s">
        <v>2264</v>
      </c>
    </row>
    <row r="1345" spans="1:4" x14ac:dyDescent="0.25">
      <c r="A1345" s="222" t="s">
        <v>7034</v>
      </c>
      <c r="B1345" s="222">
        <v>540935</v>
      </c>
      <c r="C1345" s="222" t="s">
        <v>7033</v>
      </c>
      <c r="D1345" s="222" t="s">
        <v>722</v>
      </c>
    </row>
    <row r="1346" spans="1:4" x14ac:dyDescent="0.25">
      <c r="A1346" s="222" t="s">
        <v>7032</v>
      </c>
      <c r="B1346" s="222">
        <v>533265</v>
      </c>
      <c r="C1346" s="222" t="s">
        <v>7031</v>
      </c>
      <c r="D1346" s="222" t="s">
        <v>2167</v>
      </c>
    </row>
    <row r="1347" spans="1:4" x14ac:dyDescent="0.25">
      <c r="A1347" s="222" t="s">
        <v>7030</v>
      </c>
      <c r="B1347" s="222">
        <v>532726</v>
      </c>
      <c r="C1347" s="222" t="s">
        <v>7029</v>
      </c>
      <c r="D1347" s="222" t="s">
        <v>2167</v>
      </c>
    </row>
    <row r="1348" spans="1:4" x14ac:dyDescent="0.25">
      <c r="A1348" s="222" t="s">
        <v>7028</v>
      </c>
      <c r="B1348" s="222">
        <v>531902</v>
      </c>
      <c r="C1348" s="222" t="s">
        <v>7027</v>
      </c>
      <c r="D1348" s="222" t="s">
        <v>1243</v>
      </c>
    </row>
    <row r="1349" spans="1:4" x14ac:dyDescent="0.25">
      <c r="A1349" s="222" t="s">
        <v>7026</v>
      </c>
      <c r="B1349" s="222">
        <v>532959</v>
      </c>
      <c r="C1349" s="222" t="s">
        <v>7025</v>
      </c>
      <c r="D1349" s="222" t="s">
        <v>1248</v>
      </c>
    </row>
    <row r="1350" spans="1:4" x14ac:dyDescent="0.25">
      <c r="A1350" s="222" t="s">
        <v>7024</v>
      </c>
      <c r="B1350" s="222">
        <v>513108</v>
      </c>
      <c r="C1350" s="222" t="s">
        <v>7023</v>
      </c>
      <c r="D1350" s="222" t="s">
        <v>740</v>
      </c>
    </row>
    <row r="1351" spans="1:4" x14ac:dyDescent="0.25">
      <c r="A1351" s="222" t="s">
        <v>7022</v>
      </c>
      <c r="B1351" s="222">
        <v>500153</v>
      </c>
      <c r="C1351" s="222" t="s">
        <v>2052</v>
      </c>
      <c r="D1351" s="222" t="s">
        <v>998</v>
      </c>
    </row>
    <row r="1352" spans="1:4" x14ac:dyDescent="0.25">
      <c r="A1352" s="222" t="s">
        <v>7021</v>
      </c>
      <c r="B1352" s="222">
        <v>541703</v>
      </c>
      <c r="C1352" s="222" t="s">
        <v>2052</v>
      </c>
      <c r="D1352" s="222" t="s">
        <v>1569</v>
      </c>
    </row>
    <row r="1353" spans="1:4" x14ac:dyDescent="0.25">
      <c r="A1353" s="222" t="s">
        <v>7020</v>
      </c>
      <c r="B1353" s="222">
        <v>541703</v>
      </c>
      <c r="C1353" s="222" t="s">
        <v>2052</v>
      </c>
      <c r="D1353" s="222" t="s">
        <v>1569</v>
      </c>
    </row>
    <row r="1354" spans="1:4" x14ac:dyDescent="0.25">
      <c r="A1354" s="222" t="s">
        <v>7019</v>
      </c>
      <c r="B1354" s="222">
        <v>504397</v>
      </c>
      <c r="C1354" s="222" t="s">
        <v>2052</v>
      </c>
      <c r="D1354" s="222" t="s">
        <v>2068</v>
      </c>
    </row>
    <row r="1355" spans="1:4" x14ac:dyDescent="0.25">
      <c r="A1355" s="222" t="s">
        <v>7018</v>
      </c>
      <c r="B1355" s="222">
        <v>526367</v>
      </c>
      <c r="C1355" s="222" t="s">
        <v>7017</v>
      </c>
      <c r="D1355" s="222" t="s">
        <v>1243</v>
      </c>
    </row>
    <row r="1356" spans="1:4" x14ac:dyDescent="0.25">
      <c r="A1356" s="222" t="s">
        <v>7016</v>
      </c>
      <c r="B1356" s="222">
        <v>514167</v>
      </c>
      <c r="C1356" s="222" t="s">
        <v>7015</v>
      </c>
      <c r="D1356" s="222" t="s">
        <v>2068</v>
      </c>
    </row>
    <row r="1357" spans="1:4" x14ac:dyDescent="0.25">
      <c r="A1357" s="222" t="s">
        <v>7014</v>
      </c>
      <c r="B1357" s="222" t="s">
        <v>2052</v>
      </c>
      <c r="C1357" s="222" t="s">
        <v>7013</v>
      </c>
      <c r="D1357" s="222" t="s">
        <v>2050</v>
      </c>
    </row>
    <row r="1358" spans="1:4" x14ac:dyDescent="0.25">
      <c r="A1358" s="222" t="s">
        <v>7012</v>
      </c>
      <c r="B1358" s="222">
        <v>531813</v>
      </c>
      <c r="C1358" s="222" t="s">
        <v>2052</v>
      </c>
      <c r="D1358" s="222" t="s">
        <v>1972</v>
      </c>
    </row>
    <row r="1359" spans="1:4" x14ac:dyDescent="0.25">
      <c r="A1359" s="222" t="s">
        <v>7011</v>
      </c>
      <c r="B1359" s="222">
        <v>531813</v>
      </c>
      <c r="C1359" s="222" t="s">
        <v>2052</v>
      </c>
      <c r="D1359" s="222" t="s">
        <v>1972</v>
      </c>
    </row>
    <row r="1360" spans="1:4" x14ac:dyDescent="0.25">
      <c r="A1360" s="222" t="s">
        <v>7010</v>
      </c>
      <c r="B1360" s="222">
        <v>539680</v>
      </c>
      <c r="C1360" s="222" t="s">
        <v>2052</v>
      </c>
      <c r="D1360" s="222" t="s">
        <v>789</v>
      </c>
    </row>
    <row r="1361" spans="1:4" x14ac:dyDescent="0.25">
      <c r="A1361" s="222" t="s">
        <v>7009</v>
      </c>
      <c r="B1361" s="222">
        <v>540647</v>
      </c>
      <c r="C1361" s="222" t="s">
        <v>7008</v>
      </c>
      <c r="D1361" s="222" t="s">
        <v>2108</v>
      </c>
    </row>
    <row r="1362" spans="1:4" x14ac:dyDescent="0.25">
      <c r="A1362" s="222" t="s">
        <v>7007</v>
      </c>
      <c r="B1362" s="222">
        <v>521176</v>
      </c>
      <c r="C1362" s="222" t="s">
        <v>7006</v>
      </c>
      <c r="D1362" s="222" t="s">
        <v>1237</v>
      </c>
    </row>
    <row r="1363" spans="1:4" x14ac:dyDescent="0.25">
      <c r="A1363" s="222" t="s">
        <v>7005</v>
      </c>
      <c r="B1363" s="222">
        <v>512443</v>
      </c>
      <c r="C1363" s="222" t="s">
        <v>2052</v>
      </c>
      <c r="D1363" s="222" t="s">
        <v>1529</v>
      </c>
    </row>
    <row r="1364" spans="1:4" x14ac:dyDescent="0.25">
      <c r="A1364" s="222" t="s">
        <v>7004</v>
      </c>
      <c r="B1364" s="222">
        <v>539492</v>
      </c>
      <c r="C1364" s="222" t="s">
        <v>2052</v>
      </c>
      <c r="D1364" s="222" t="s">
        <v>1321</v>
      </c>
    </row>
    <row r="1365" spans="1:4" x14ac:dyDescent="0.25">
      <c r="A1365" s="222" t="s">
        <v>7003</v>
      </c>
      <c r="B1365" s="222">
        <v>542011</v>
      </c>
      <c r="C1365" s="222" t="s">
        <v>7002</v>
      </c>
      <c r="D1365" s="222" t="s">
        <v>2450</v>
      </c>
    </row>
    <row r="1366" spans="1:4" x14ac:dyDescent="0.25">
      <c r="A1366" s="222" t="s">
        <v>7001</v>
      </c>
      <c r="B1366" s="222">
        <v>500155</v>
      </c>
      <c r="C1366" s="222" t="s">
        <v>7000</v>
      </c>
      <c r="D1366" s="222" t="s">
        <v>1237</v>
      </c>
    </row>
    <row r="1367" spans="1:4" x14ac:dyDescent="0.25">
      <c r="A1367" s="222" t="s">
        <v>6999</v>
      </c>
      <c r="B1367" s="222">
        <v>530615</v>
      </c>
      <c r="C1367" s="222" t="s">
        <v>2052</v>
      </c>
      <c r="D1367" s="222" t="s">
        <v>2167</v>
      </c>
    </row>
    <row r="1368" spans="1:4" x14ac:dyDescent="0.25">
      <c r="A1368" s="222" t="s">
        <v>6998</v>
      </c>
      <c r="B1368" s="222">
        <v>526727</v>
      </c>
      <c r="C1368" s="222" t="s">
        <v>2052</v>
      </c>
      <c r="D1368" s="222" t="s">
        <v>1248</v>
      </c>
    </row>
    <row r="1369" spans="1:4" x14ac:dyDescent="0.25">
      <c r="A1369" s="222" t="s">
        <v>6997</v>
      </c>
      <c r="B1369" s="222">
        <v>512493</v>
      </c>
      <c r="C1369" s="222" t="s">
        <v>2052</v>
      </c>
      <c r="D1369" s="222" t="s">
        <v>1262</v>
      </c>
    </row>
    <row r="1370" spans="1:4" x14ac:dyDescent="0.25">
      <c r="A1370" s="222" t="s">
        <v>6996</v>
      </c>
      <c r="B1370" s="222">
        <v>530161</v>
      </c>
      <c r="C1370" s="222" t="s">
        <v>2052</v>
      </c>
      <c r="D1370" s="222" t="s">
        <v>1529</v>
      </c>
    </row>
    <row r="1371" spans="1:4" x14ac:dyDescent="0.25">
      <c r="A1371" s="222" t="s">
        <v>6995</v>
      </c>
      <c r="B1371" s="222">
        <v>541276</v>
      </c>
      <c r="C1371" s="222" t="s">
        <v>2052</v>
      </c>
      <c r="D1371" s="222" t="s">
        <v>1529</v>
      </c>
    </row>
    <row r="1372" spans="1:4" x14ac:dyDescent="0.25">
      <c r="A1372" s="222" t="s">
        <v>6994</v>
      </c>
      <c r="B1372" s="222">
        <v>509563</v>
      </c>
      <c r="C1372" s="222" t="s">
        <v>2052</v>
      </c>
      <c r="D1372" s="222" t="s">
        <v>1237</v>
      </c>
    </row>
    <row r="1373" spans="1:4" x14ac:dyDescent="0.25">
      <c r="A1373" s="222" t="s">
        <v>6993</v>
      </c>
      <c r="B1373" s="222">
        <v>500655</v>
      </c>
      <c r="C1373" s="222" t="s">
        <v>2052</v>
      </c>
      <c r="D1373" s="222" t="s">
        <v>998</v>
      </c>
    </row>
    <row r="1374" spans="1:4" x14ac:dyDescent="0.25">
      <c r="A1374" s="222" t="s">
        <v>6992</v>
      </c>
      <c r="B1374" s="222">
        <v>514400</v>
      </c>
      <c r="C1374" s="222" t="s">
        <v>2052</v>
      </c>
      <c r="D1374" s="222" t="s">
        <v>1529</v>
      </c>
    </row>
    <row r="1375" spans="1:4" x14ac:dyDescent="0.25">
      <c r="A1375" s="222" t="s">
        <v>6991</v>
      </c>
      <c r="B1375" s="222">
        <v>509557</v>
      </c>
      <c r="C1375" s="222" t="s">
        <v>6990</v>
      </c>
      <c r="D1375" s="222" t="s">
        <v>1237</v>
      </c>
    </row>
    <row r="1376" spans="1:4" x14ac:dyDescent="0.25">
      <c r="A1376" s="222" t="s">
        <v>6989</v>
      </c>
      <c r="B1376" s="222">
        <v>532622</v>
      </c>
      <c r="C1376" s="222" t="s">
        <v>6988</v>
      </c>
      <c r="D1376" s="222" t="s">
        <v>1329</v>
      </c>
    </row>
    <row r="1377" spans="1:4" x14ac:dyDescent="0.25">
      <c r="A1377" s="222" t="s">
        <v>6987</v>
      </c>
      <c r="B1377" s="222">
        <v>532345</v>
      </c>
      <c r="C1377" s="222" t="s">
        <v>6986</v>
      </c>
      <c r="D1377" s="222" t="s">
        <v>1329</v>
      </c>
    </row>
    <row r="1378" spans="1:4" x14ac:dyDescent="0.25">
      <c r="A1378" s="222" t="s">
        <v>6985</v>
      </c>
      <c r="B1378" s="222">
        <v>539515</v>
      </c>
      <c r="C1378" s="222" t="s">
        <v>2052</v>
      </c>
      <c r="D1378" s="222" t="s">
        <v>1529</v>
      </c>
    </row>
    <row r="1379" spans="1:4" x14ac:dyDescent="0.25">
      <c r="A1379" s="222" t="s">
        <v>6984</v>
      </c>
      <c r="B1379" s="222">
        <v>540613</v>
      </c>
      <c r="C1379" s="222" t="s">
        <v>2052</v>
      </c>
      <c r="D1379" s="222" t="s">
        <v>1529</v>
      </c>
    </row>
    <row r="1380" spans="1:4" x14ac:dyDescent="0.25">
      <c r="A1380" s="222" t="s">
        <v>6983</v>
      </c>
      <c r="B1380" s="222">
        <v>540936</v>
      </c>
      <c r="C1380" s="222" t="s">
        <v>2052</v>
      </c>
      <c r="D1380" s="222" t="s">
        <v>1529</v>
      </c>
    </row>
    <row r="1381" spans="1:4" x14ac:dyDescent="0.25">
      <c r="A1381" s="222" t="s">
        <v>6982</v>
      </c>
      <c r="B1381" s="222">
        <v>524564</v>
      </c>
      <c r="C1381" s="222" t="s">
        <v>2052</v>
      </c>
      <c r="D1381" s="222" t="s">
        <v>998</v>
      </c>
    </row>
    <row r="1382" spans="1:4" x14ac:dyDescent="0.25">
      <c r="A1382" s="222" t="s">
        <v>6981</v>
      </c>
      <c r="B1382" s="222">
        <v>541546</v>
      </c>
      <c r="C1382" s="222" t="s">
        <v>6980</v>
      </c>
      <c r="D1382" s="222" t="s">
        <v>1248</v>
      </c>
    </row>
    <row r="1383" spans="1:4" x14ac:dyDescent="0.25">
      <c r="A1383" s="222" t="s">
        <v>6979</v>
      </c>
      <c r="B1383" s="222">
        <v>532767</v>
      </c>
      <c r="C1383" s="222" t="s">
        <v>6978</v>
      </c>
      <c r="D1383" s="222" t="s">
        <v>1248</v>
      </c>
    </row>
    <row r="1384" spans="1:4" x14ac:dyDescent="0.25">
      <c r="A1384" s="222" t="s">
        <v>6977</v>
      </c>
      <c r="B1384" s="222">
        <v>532183</v>
      </c>
      <c r="C1384" s="222" t="s">
        <v>2052</v>
      </c>
      <c r="D1384" s="222" t="s">
        <v>1124</v>
      </c>
    </row>
    <row r="1385" spans="1:4" x14ac:dyDescent="0.25">
      <c r="A1385" s="222" t="s">
        <v>6976</v>
      </c>
      <c r="B1385" s="222">
        <v>539009</v>
      </c>
      <c r="C1385" s="222" t="s">
        <v>2052</v>
      </c>
      <c r="D1385" s="222" t="s">
        <v>1248</v>
      </c>
    </row>
    <row r="1386" spans="1:4" x14ac:dyDescent="0.25">
      <c r="A1386" s="222" t="s">
        <v>6975</v>
      </c>
      <c r="B1386" s="222">
        <v>538319</v>
      </c>
      <c r="C1386" s="222" t="s">
        <v>2052</v>
      </c>
      <c r="D1386" s="222" t="s">
        <v>1262</v>
      </c>
    </row>
    <row r="1387" spans="1:4" x14ac:dyDescent="0.25">
      <c r="A1387" s="222" t="s">
        <v>6974</v>
      </c>
      <c r="B1387" s="222">
        <v>535917</v>
      </c>
      <c r="C1387" s="222" t="s">
        <v>2052</v>
      </c>
      <c r="D1387" s="222" t="s">
        <v>1262</v>
      </c>
    </row>
    <row r="1388" spans="1:4" x14ac:dyDescent="0.25">
      <c r="A1388" s="222" t="s">
        <v>6973</v>
      </c>
      <c r="B1388" s="222">
        <v>535431</v>
      </c>
      <c r="C1388" s="222" t="s">
        <v>2052</v>
      </c>
      <c r="D1388" s="222" t="s">
        <v>1262</v>
      </c>
    </row>
    <row r="1389" spans="1:4" x14ac:dyDescent="0.25">
      <c r="A1389" s="222" t="s">
        <v>6972</v>
      </c>
      <c r="B1389" s="222">
        <v>530855</v>
      </c>
      <c r="C1389" s="222" t="s">
        <v>2052</v>
      </c>
      <c r="D1389" s="222" t="s">
        <v>1321</v>
      </c>
    </row>
    <row r="1390" spans="1:4" x14ac:dyDescent="0.25">
      <c r="A1390" s="222" t="s">
        <v>6971</v>
      </c>
      <c r="B1390" s="222">
        <v>532309</v>
      </c>
      <c r="C1390" s="222" t="s">
        <v>6969</v>
      </c>
      <c r="D1390" s="222" t="s">
        <v>1066</v>
      </c>
    </row>
    <row r="1391" spans="1:4" x14ac:dyDescent="0.25">
      <c r="A1391" s="222" t="s">
        <v>6970</v>
      </c>
      <c r="B1391" s="222">
        <v>532309</v>
      </c>
      <c r="C1391" s="222" t="s">
        <v>6969</v>
      </c>
      <c r="D1391" s="222" t="s">
        <v>1066</v>
      </c>
    </row>
    <row r="1392" spans="1:4" x14ac:dyDescent="0.25">
      <c r="A1392" s="222" t="s">
        <v>6968</v>
      </c>
      <c r="B1392" s="222">
        <v>522275</v>
      </c>
      <c r="C1392" s="222" t="s">
        <v>6966</v>
      </c>
      <c r="D1392" s="222" t="s">
        <v>2380</v>
      </c>
    </row>
    <row r="1393" spans="1:4" x14ac:dyDescent="0.25">
      <c r="A1393" s="222" t="s">
        <v>6967</v>
      </c>
      <c r="B1393" s="222">
        <v>522275</v>
      </c>
      <c r="C1393" s="222" t="s">
        <v>6966</v>
      </c>
      <c r="D1393" s="222" t="s">
        <v>2380</v>
      </c>
    </row>
    <row r="1394" spans="1:4" x14ac:dyDescent="0.25">
      <c r="A1394" s="222" t="s">
        <v>6965</v>
      </c>
      <c r="B1394" s="222">
        <v>504028</v>
      </c>
      <c r="C1394" s="222" t="s">
        <v>2052</v>
      </c>
      <c r="D1394" s="222" t="s">
        <v>1395</v>
      </c>
    </row>
    <row r="1395" spans="1:4" x14ac:dyDescent="0.25">
      <c r="A1395" s="222" t="s">
        <v>6964</v>
      </c>
      <c r="B1395" s="222">
        <v>532764</v>
      </c>
      <c r="C1395" s="222" t="s">
        <v>6963</v>
      </c>
      <c r="D1395" s="222" t="s">
        <v>1243</v>
      </c>
    </row>
    <row r="1396" spans="1:4" x14ac:dyDescent="0.25">
      <c r="A1396" s="222" t="s">
        <v>6962</v>
      </c>
      <c r="B1396" s="222">
        <v>530389</v>
      </c>
      <c r="C1396" s="222" t="s">
        <v>2052</v>
      </c>
      <c r="D1396" s="222" t="s">
        <v>2108</v>
      </c>
    </row>
    <row r="1397" spans="1:4" x14ac:dyDescent="0.25">
      <c r="A1397" s="222" t="s">
        <v>6961</v>
      </c>
      <c r="B1397" s="222" t="s">
        <v>2052</v>
      </c>
      <c r="C1397" s="222" t="s">
        <v>6960</v>
      </c>
      <c r="D1397" s="222" t="s">
        <v>2050</v>
      </c>
    </row>
    <row r="1398" spans="1:4" x14ac:dyDescent="0.25">
      <c r="A1398" s="222" t="s">
        <v>6959</v>
      </c>
      <c r="B1398" s="222">
        <v>539486</v>
      </c>
      <c r="C1398" s="222" t="s">
        <v>2052</v>
      </c>
      <c r="D1398" s="222" t="s">
        <v>1321</v>
      </c>
    </row>
    <row r="1399" spans="1:4" x14ac:dyDescent="0.25">
      <c r="A1399" s="222" t="s">
        <v>6958</v>
      </c>
      <c r="B1399" s="222">
        <v>521133</v>
      </c>
      <c r="C1399" s="222" t="s">
        <v>2052</v>
      </c>
      <c r="D1399" s="222" t="s">
        <v>1237</v>
      </c>
    </row>
    <row r="1400" spans="1:4" x14ac:dyDescent="0.25">
      <c r="A1400" s="222" t="s">
        <v>6957</v>
      </c>
      <c r="B1400" s="222">
        <v>521133</v>
      </c>
      <c r="C1400" s="222" t="s">
        <v>2052</v>
      </c>
      <c r="D1400" s="222" t="s">
        <v>1237</v>
      </c>
    </row>
    <row r="1401" spans="1:4" x14ac:dyDescent="0.25">
      <c r="A1401" s="222" t="s">
        <v>6956</v>
      </c>
      <c r="B1401" s="222">
        <v>532318</v>
      </c>
      <c r="C1401" s="222" t="s">
        <v>6955</v>
      </c>
      <c r="D1401" s="222" t="s">
        <v>2387</v>
      </c>
    </row>
    <row r="1402" spans="1:4" x14ac:dyDescent="0.25">
      <c r="A1402" s="222" t="s">
        <v>6954</v>
      </c>
      <c r="B1402" s="222">
        <v>531137</v>
      </c>
      <c r="C1402" s="222" t="s">
        <v>2052</v>
      </c>
      <c r="D1402" s="222" t="s">
        <v>2068</v>
      </c>
    </row>
    <row r="1403" spans="1:4" x14ac:dyDescent="0.25">
      <c r="A1403" s="222" t="s">
        <v>6953</v>
      </c>
      <c r="B1403" s="222">
        <v>541999</v>
      </c>
      <c r="C1403" s="222" t="s">
        <v>2052</v>
      </c>
      <c r="D1403" s="222" t="s">
        <v>731</v>
      </c>
    </row>
    <row r="1404" spans="1:4" x14ac:dyDescent="0.25">
      <c r="A1404" s="222" t="s">
        <v>6952</v>
      </c>
      <c r="B1404" s="222">
        <v>540755</v>
      </c>
      <c r="C1404" s="222" t="s">
        <v>6951</v>
      </c>
      <c r="D1404" s="222" t="s">
        <v>906</v>
      </c>
    </row>
    <row r="1405" spans="1:4" x14ac:dyDescent="0.25">
      <c r="A1405" s="222" t="s">
        <v>6950</v>
      </c>
      <c r="B1405" s="222">
        <v>539407</v>
      </c>
      <c r="C1405" s="222" t="s">
        <v>2052</v>
      </c>
      <c r="D1405" s="222" t="s">
        <v>1248</v>
      </c>
    </row>
    <row r="1406" spans="1:4" x14ac:dyDescent="0.25">
      <c r="A1406" s="222" t="s">
        <v>6949</v>
      </c>
      <c r="B1406" s="222">
        <v>514336</v>
      </c>
      <c r="C1406" s="222" t="s">
        <v>2052</v>
      </c>
      <c r="D1406" s="222" t="s">
        <v>2254</v>
      </c>
    </row>
    <row r="1407" spans="1:4" x14ac:dyDescent="0.25">
      <c r="A1407" s="222" t="s">
        <v>6948</v>
      </c>
      <c r="B1407" s="222">
        <v>514336</v>
      </c>
      <c r="C1407" s="222" t="s">
        <v>2052</v>
      </c>
      <c r="D1407" s="222" t="s">
        <v>2254</v>
      </c>
    </row>
    <row r="1408" spans="1:4" x14ac:dyDescent="0.25">
      <c r="A1408" s="222" t="s">
        <v>6947</v>
      </c>
      <c r="B1408" s="222">
        <v>506109</v>
      </c>
      <c r="C1408" s="222" t="s">
        <v>6946</v>
      </c>
      <c r="D1408" s="222" t="s">
        <v>1942</v>
      </c>
    </row>
    <row r="1409" spans="1:4" x14ac:dyDescent="0.25">
      <c r="A1409" s="222" t="s">
        <v>6945</v>
      </c>
      <c r="B1409" s="222">
        <v>531739</v>
      </c>
      <c r="C1409" s="222" t="s">
        <v>2052</v>
      </c>
      <c r="D1409" s="222" t="s">
        <v>789</v>
      </c>
    </row>
    <row r="1410" spans="1:4" x14ac:dyDescent="0.25">
      <c r="A1410" s="222" t="s">
        <v>6944</v>
      </c>
      <c r="B1410" s="222">
        <v>539206</v>
      </c>
      <c r="C1410" s="222" t="s">
        <v>2052</v>
      </c>
      <c r="D1410" s="222" t="s">
        <v>2254</v>
      </c>
    </row>
    <row r="1411" spans="1:4" x14ac:dyDescent="0.25">
      <c r="A1411" s="222" t="s">
        <v>6943</v>
      </c>
      <c r="B1411" s="222">
        <v>538961</v>
      </c>
      <c r="C1411" s="222" t="s">
        <v>6942</v>
      </c>
      <c r="D1411" s="222" t="s">
        <v>1972</v>
      </c>
    </row>
    <row r="1412" spans="1:4" x14ac:dyDescent="0.25">
      <c r="A1412" s="222" t="s">
        <v>6941</v>
      </c>
      <c r="B1412" s="222">
        <v>530343</v>
      </c>
      <c r="C1412" s="222" t="s">
        <v>6940</v>
      </c>
      <c r="D1412" s="222" t="s">
        <v>1275</v>
      </c>
    </row>
    <row r="1413" spans="1:4" x14ac:dyDescent="0.25">
      <c r="A1413" s="222" t="s">
        <v>6939</v>
      </c>
      <c r="B1413" s="222">
        <v>532285</v>
      </c>
      <c r="C1413" s="222" t="s">
        <v>6938</v>
      </c>
      <c r="D1413" s="222" t="s">
        <v>1262</v>
      </c>
    </row>
    <row r="1414" spans="1:4" x14ac:dyDescent="0.25">
      <c r="A1414" s="222" t="s">
        <v>6937</v>
      </c>
      <c r="B1414" s="222">
        <v>500171</v>
      </c>
      <c r="C1414" s="222" t="s">
        <v>6936</v>
      </c>
      <c r="D1414" s="222" t="s">
        <v>998</v>
      </c>
    </row>
    <row r="1415" spans="1:4" x14ac:dyDescent="0.25">
      <c r="A1415" s="222" t="s">
        <v>6935</v>
      </c>
      <c r="B1415" s="222">
        <v>533048</v>
      </c>
      <c r="C1415" s="222" t="s">
        <v>6934</v>
      </c>
      <c r="D1415" s="222" t="s">
        <v>1248</v>
      </c>
    </row>
    <row r="1416" spans="1:4" x14ac:dyDescent="0.25">
      <c r="A1416" s="222" t="s">
        <v>6933</v>
      </c>
      <c r="B1416" s="222">
        <v>511676</v>
      </c>
      <c r="C1416" s="222" t="s">
        <v>6932</v>
      </c>
      <c r="D1416" s="222" t="s">
        <v>2520</v>
      </c>
    </row>
    <row r="1417" spans="1:4" x14ac:dyDescent="0.25">
      <c r="A1417" s="222" t="s">
        <v>6931</v>
      </c>
      <c r="B1417" s="222">
        <v>538788</v>
      </c>
      <c r="C1417" s="222" t="s">
        <v>2052</v>
      </c>
      <c r="D1417" s="222" t="s">
        <v>1321</v>
      </c>
    </row>
    <row r="1418" spans="1:4" x14ac:dyDescent="0.25">
      <c r="A1418" s="222" t="s">
        <v>6930</v>
      </c>
      <c r="B1418" s="222">
        <v>532716</v>
      </c>
      <c r="C1418" s="222" t="s">
        <v>6929</v>
      </c>
      <c r="D1418" s="222" t="s">
        <v>1318</v>
      </c>
    </row>
    <row r="1419" spans="1:4" x14ac:dyDescent="0.25">
      <c r="A1419" s="222" t="s">
        <v>6928</v>
      </c>
      <c r="B1419" s="222">
        <v>507815</v>
      </c>
      <c r="C1419" s="222" t="s">
        <v>6926</v>
      </c>
      <c r="D1419" s="222" t="s">
        <v>1542</v>
      </c>
    </row>
    <row r="1420" spans="1:4" x14ac:dyDescent="0.25">
      <c r="A1420" s="222" t="s">
        <v>6927</v>
      </c>
      <c r="B1420" s="222">
        <v>507815</v>
      </c>
      <c r="C1420" s="222" t="s">
        <v>6926</v>
      </c>
      <c r="D1420" s="222" t="s">
        <v>1542</v>
      </c>
    </row>
    <row r="1421" spans="1:4" x14ac:dyDescent="0.25">
      <c r="A1421" s="222" t="s">
        <v>6925</v>
      </c>
      <c r="B1421" s="222">
        <v>531744</v>
      </c>
      <c r="C1421" s="222" t="s">
        <v>2052</v>
      </c>
      <c r="D1421" s="222" t="s">
        <v>1529</v>
      </c>
    </row>
    <row r="1422" spans="1:4" x14ac:dyDescent="0.25">
      <c r="A1422" s="222" t="s">
        <v>6924</v>
      </c>
      <c r="B1422" s="222">
        <v>590025</v>
      </c>
      <c r="C1422" s="222" t="s">
        <v>6923</v>
      </c>
      <c r="D1422" s="222" t="s">
        <v>1237</v>
      </c>
    </row>
    <row r="1423" spans="1:4" x14ac:dyDescent="0.25">
      <c r="A1423" s="222" t="s">
        <v>6922</v>
      </c>
      <c r="B1423" s="222">
        <v>507506</v>
      </c>
      <c r="C1423" s="222" t="s">
        <v>2052</v>
      </c>
      <c r="D1423" s="222" t="s">
        <v>1124</v>
      </c>
    </row>
    <row r="1424" spans="1:4" x14ac:dyDescent="0.25">
      <c r="A1424" s="222" t="s">
        <v>6921</v>
      </c>
      <c r="B1424" s="222" t="s">
        <v>2052</v>
      </c>
      <c r="C1424" s="222" t="s">
        <v>6920</v>
      </c>
      <c r="D1424" s="222" t="s">
        <v>2050</v>
      </c>
    </row>
    <row r="1425" spans="1:4" x14ac:dyDescent="0.25">
      <c r="A1425" s="222" t="s">
        <v>6919</v>
      </c>
      <c r="B1425" s="222">
        <v>539013</v>
      </c>
      <c r="C1425" s="222" t="s">
        <v>2052</v>
      </c>
      <c r="D1425" s="222" t="s">
        <v>2380</v>
      </c>
    </row>
    <row r="1426" spans="1:4" x14ac:dyDescent="0.25">
      <c r="A1426" s="222" t="s">
        <v>6918</v>
      </c>
      <c r="B1426" s="222">
        <v>533212</v>
      </c>
      <c r="C1426" s="222" t="s">
        <v>2052</v>
      </c>
      <c r="D1426" s="222" t="s">
        <v>1425</v>
      </c>
    </row>
    <row r="1427" spans="1:4" x14ac:dyDescent="0.25">
      <c r="A1427" s="222" t="s">
        <v>6917</v>
      </c>
      <c r="B1427" s="222" t="s">
        <v>2052</v>
      </c>
      <c r="C1427" s="222" t="s">
        <v>6916</v>
      </c>
      <c r="D1427" s="222" t="s">
        <v>2197</v>
      </c>
    </row>
    <row r="1428" spans="1:4" x14ac:dyDescent="0.25">
      <c r="A1428" s="222" t="s">
        <v>6915</v>
      </c>
      <c r="B1428" s="222">
        <v>531199</v>
      </c>
      <c r="C1428" s="222" t="s">
        <v>2052</v>
      </c>
      <c r="D1428" s="222" t="s">
        <v>1321</v>
      </c>
    </row>
    <row r="1429" spans="1:4" x14ac:dyDescent="0.25">
      <c r="A1429" s="222" t="s">
        <v>6914</v>
      </c>
      <c r="B1429" s="222">
        <v>500676</v>
      </c>
      <c r="C1429" s="222" t="s">
        <v>6913</v>
      </c>
      <c r="D1429" s="222" t="s">
        <v>1161</v>
      </c>
    </row>
    <row r="1430" spans="1:4" x14ac:dyDescent="0.25">
      <c r="A1430" s="222" t="s">
        <v>6912</v>
      </c>
      <c r="B1430" s="222">
        <v>500660</v>
      </c>
      <c r="C1430" s="222" t="s">
        <v>6911</v>
      </c>
      <c r="D1430" s="222" t="s">
        <v>789</v>
      </c>
    </row>
    <row r="1431" spans="1:4" x14ac:dyDescent="0.25">
      <c r="A1431" s="222" t="s">
        <v>6910</v>
      </c>
      <c r="B1431" s="222">
        <v>542477</v>
      </c>
      <c r="C1431" s="222" t="s">
        <v>6909</v>
      </c>
      <c r="D1431" s="222" t="s">
        <v>2156</v>
      </c>
    </row>
    <row r="1432" spans="1:4" x14ac:dyDescent="0.25">
      <c r="A1432" s="222" t="s">
        <v>6908</v>
      </c>
      <c r="B1432" s="222">
        <v>532296</v>
      </c>
      <c r="C1432" s="222" t="s">
        <v>6907</v>
      </c>
      <c r="D1432" s="222" t="s">
        <v>789</v>
      </c>
    </row>
    <row r="1433" spans="1:4" x14ac:dyDescent="0.25">
      <c r="A1433" s="222" t="s">
        <v>6906</v>
      </c>
      <c r="B1433" s="222">
        <v>513528</v>
      </c>
      <c r="C1433" s="222" t="s">
        <v>2052</v>
      </c>
      <c r="D1433" s="222" t="s">
        <v>2357</v>
      </c>
    </row>
    <row r="1434" spans="1:4" x14ac:dyDescent="0.25">
      <c r="A1434" s="222" t="s">
        <v>6905</v>
      </c>
      <c r="B1434" s="222">
        <v>530263</v>
      </c>
      <c r="C1434" s="222" t="s">
        <v>2052</v>
      </c>
      <c r="D1434" s="222" t="s">
        <v>1321</v>
      </c>
    </row>
    <row r="1435" spans="1:4" x14ac:dyDescent="0.25">
      <c r="A1435" s="222" t="s">
        <v>6904</v>
      </c>
      <c r="B1435" s="222" t="s">
        <v>2052</v>
      </c>
      <c r="C1435" s="222" t="s">
        <v>6903</v>
      </c>
      <c r="D1435" s="222" t="s">
        <v>2050</v>
      </c>
    </row>
    <row r="1436" spans="1:4" x14ac:dyDescent="0.25">
      <c r="A1436" s="222" t="s">
        <v>6902</v>
      </c>
      <c r="B1436" s="222">
        <v>531463</v>
      </c>
      <c r="C1436" s="222" t="s">
        <v>2052</v>
      </c>
      <c r="D1436" s="222" t="s">
        <v>2068</v>
      </c>
    </row>
    <row r="1437" spans="1:4" x14ac:dyDescent="0.25">
      <c r="A1437" s="222" t="s">
        <v>6901</v>
      </c>
      <c r="B1437" s="222">
        <v>531479</v>
      </c>
      <c r="C1437" s="222" t="s">
        <v>2052</v>
      </c>
      <c r="D1437" s="222" t="s">
        <v>1243</v>
      </c>
    </row>
    <row r="1438" spans="1:4" x14ac:dyDescent="0.25">
      <c r="A1438" s="222" t="s">
        <v>6900</v>
      </c>
      <c r="B1438" s="222">
        <v>501848</v>
      </c>
      <c r="C1438" s="222" t="s">
        <v>6899</v>
      </c>
      <c r="D1438" s="222" t="s">
        <v>1112</v>
      </c>
    </row>
    <row r="1439" spans="1:4" x14ac:dyDescent="0.25">
      <c r="A1439" s="222" t="s">
        <v>6898</v>
      </c>
      <c r="B1439" s="222">
        <v>532773</v>
      </c>
      <c r="C1439" s="222" t="s">
        <v>6897</v>
      </c>
      <c r="D1439" s="222" t="s">
        <v>2972</v>
      </c>
    </row>
    <row r="1440" spans="1:4" x14ac:dyDescent="0.25">
      <c r="A1440" s="222" t="s">
        <v>6896</v>
      </c>
      <c r="B1440" s="222">
        <v>540654</v>
      </c>
      <c r="C1440" s="222" t="s">
        <v>2052</v>
      </c>
      <c r="D1440" s="222" t="s">
        <v>1265</v>
      </c>
    </row>
    <row r="1441" spans="1:4" x14ac:dyDescent="0.25">
      <c r="A1441" s="222" t="s">
        <v>6895</v>
      </c>
      <c r="B1441" s="222">
        <v>540266</v>
      </c>
      <c r="C1441" s="222" t="s">
        <v>2052</v>
      </c>
      <c r="D1441" s="222" t="s">
        <v>1529</v>
      </c>
    </row>
    <row r="1442" spans="1:4" x14ac:dyDescent="0.25">
      <c r="A1442" s="222" t="s">
        <v>6894</v>
      </c>
      <c r="B1442" s="222" t="s">
        <v>2052</v>
      </c>
      <c r="C1442" s="222" t="s">
        <v>6893</v>
      </c>
      <c r="D1442" s="222" t="s">
        <v>2050</v>
      </c>
    </row>
    <row r="1443" spans="1:4" x14ac:dyDescent="0.25">
      <c r="A1443" s="222" t="s">
        <v>6892</v>
      </c>
      <c r="B1443" s="222" t="s">
        <v>2052</v>
      </c>
      <c r="C1443" s="222" t="s">
        <v>6890</v>
      </c>
      <c r="D1443" s="222" t="s">
        <v>2050</v>
      </c>
    </row>
    <row r="1444" spans="1:4" x14ac:dyDescent="0.25">
      <c r="A1444" s="222" t="s">
        <v>6891</v>
      </c>
      <c r="B1444" s="222" t="s">
        <v>2052</v>
      </c>
      <c r="C1444" s="222" t="s">
        <v>6890</v>
      </c>
      <c r="D1444" s="222" t="s">
        <v>2050</v>
      </c>
    </row>
    <row r="1445" spans="1:4" x14ac:dyDescent="0.25">
      <c r="A1445" s="222" t="s">
        <v>6889</v>
      </c>
      <c r="B1445" s="222">
        <v>526025</v>
      </c>
      <c r="C1445" s="222" t="s">
        <v>2052</v>
      </c>
      <c r="D1445" s="222" t="s">
        <v>1237</v>
      </c>
    </row>
    <row r="1446" spans="1:4" x14ac:dyDescent="0.25">
      <c r="A1446" s="222" t="s">
        <v>6888</v>
      </c>
      <c r="B1446" s="222">
        <v>531904</v>
      </c>
      <c r="C1446" s="222" t="s">
        <v>6887</v>
      </c>
      <c r="D1446" s="222" t="s">
        <v>2156</v>
      </c>
    </row>
    <row r="1447" spans="1:4" x14ac:dyDescent="0.25">
      <c r="A1447" s="222" t="s">
        <v>6886</v>
      </c>
      <c r="B1447" s="222">
        <v>533104</v>
      </c>
      <c r="C1447" s="222" t="s">
        <v>6885</v>
      </c>
      <c r="D1447" s="222" t="s">
        <v>2146</v>
      </c>
    </row>
    <row r="1448" spans="1:4" x14ac:dyDescent="0.25">
      <c r="A1448" s="222" t="s">
        <v>6884</v>
      </c>
      <c r="B1448" s="222">
        <v>542351</v>
      </c>
      <c r="C1448" s="222" t="s">
        <v>6883</v>
      </c>
      <c r="D1448" s="222" t="s">
        <v>6882</v>
      </c>
    </row>
    <row r="1449" spans="1:4" x14ac:dyDescent="0.25">
      <c r="A1449" s="222" t="s">
        <v>6881</v>
      </c>
      <c r="B1449" s="222">
        <v>507488</v>
      </c>
      <c r="C1449" s="222" t="s">
        <v>6880</v>
      </c>
      <c r="D1449" s="222" t="s">
        <v>2146</v>
      </c>
    </row>
    <row r="1450" spans="1:4" x14ac:dyDescent="0.25">
      <c r="A1450" s="222" t="s">
        <v>6879</v>
      </c>
      <c r="B1450" s="222">
        <v>505255</v>
      </c>
      <c r="C1450" s="222" t="s">
        <v>6878</v>
      </c>
      <c r="D1450" s="222" t="s">
        <v>832</v>
      </c>
    </row>
    <row r="1451" spans="1:4" x14ac:dyDescent="0.25">
      <c r="A1451" s="222" t="s">
        <v>6877</v>
      </c>
      <c r="B1451" s="222">
        <v>532754</v>
      </c>
      <c r="C1451" s="222" t="s">
        <v>6876</v>
      </c>
      <c r="D1451" s="222" t="s">
        <v>2380</v>
      </c>
    </row>
    <row r="1452" spans="1:4" x14ac:dyDescent="0.25">
      <c r="A1452" s="222" t="s">
        <v>6875</v>
      </c>
      <c r="B1452" s="222">
        <v>540124</v>
      </c>
      <c r="C1452" s="222" t="s">
        <v>6874</v>
      </c>
      <c r="D1452" s="222" t="s">
        <v>1306</v>
      </c>
    </row>
    <row r="1453" spans="1:4" x14ac:dyDescent="0.25">
      <c r="A1453" s="222" t="s">
        <v>6873</v>
      </c>
      <c r="B1453" s="222">
        <v>509567</v>
      </c>
      <c r="C1453" s="222" t="s">
        <v>6872</v>
      </c>
      <c r="D1453" s="222" t="s">
        <v>3740</v>
      </c>
    </row>
    <row r="1454" spans="1:4" x14ac:dyDescent="0.25">
      <c r="A1454" s="222" t="s">
        <v>6871</v>
      </c>
      <c r="B1454" s="222">
        <v>506480</v>
      </c>
      <c r="C1454" s="222" t="s">
        <v>6870</v>
      </c>
      <c r="D1454" s="222" t="s">
        <v>2740</v>
      </c>
    </row>
    <row r="1455" spans="1:4" x14ac:dyDescent="0.25">
      <c r="A1455" s="222" t="s">
        <v>6869</v>
      </c>
      <c r="B1455" s="222">
        <v>530317</v>
      </c>
      <c r="C1455" s="222" t="s">
        <v>2052</v>
      </c>
      <c r="D1455" s="222" t="s">
        <v>789</v>
      </c>
    </row>
    <row r="1456" spans="1:4" x14ac:dyDescent="0.25">
      <c r="A1456" s="222" t="s">
        <v>6868</v>
      </c>
      <c r="B1456" s="222">
        <v>532734</v>
      </c>
      <c r="C1456" s="222" t="s">
        <v>6867</v>
      </c>
      <c r="D1456" s="222" t="s">
        <v>2167</v>
      </c>
    </row>
    <row r="1457" spans="1:4" x14ac:dyDescent="0.25">
      <c r="A1457" s="222" t="s">
        <v>6866</v>
      </c>
      <c r="B1457" s="222">
        <v>500163</v>
      </c>
      <c r="C1457" s="222" t="s">
        <v>6864</v>
      </c>
      <c r="D1457" s="222" t="s">
        <v>2227</v>
      </c>
    </row>
    <row r="1458" spans="1:4" x14ac:dyDescent="0.25">
      <c r="A1458" s="222" t="s">
        <v>6865</v>
      </c>
      <c r="B1458" s="222">
        <v>500163</v>
      </c>
      <c r="C1458" s="222" t="s">
        <v>6864</v>
      </c>
      <c r="D1458" s="222" t="s">
        <v>2227</v>
      </c>
    </row>
    <row r="1459" spans="1:4" x14ac:dyDescent="0.25">
      <c r="A1459" s="222" t="s">
        <v>6863</v>
      </c>
      <c r="B1459" s="222" t="s">
        <v>2052</v>
      </c>
      <c r="C1459" s="222" t="s">
        <v>6862</v>
      </c>
      <c r="D1459" s="222" t="s">
        <v>2050</v>
      </c>
    </row>
    <row r="1460" spans="1:4" x14ac:dyDescent="0.25">
      <c r="A1460" s="222" t="s">
        <v>6861</v>
      </c>
      <c r="B1460" s="222">
        <v>540743</v>
      </c>
      <c r="C1460" s="222" t="s">
        <v>6860</v>
      </c>
      <c r="D1460" s="222" t="s">
        <v>731</v>
      </c>
    </row>
    <row r="1461" spans="1:4" x14ac:dyDescent="0.25">
      <c r="A1461" s="222" t="s">
        <v>6859</v>
      </c>
      <c r="B1461" s="222">
        <v>532424</v>
      </c>
      <c r="C1461" s="222" t="s">
        <v>6858</v>
      </c>
      <c r="D1461" s="222" t="s">
        <v>1542</v>
      </c>
    </row>
    <row r="1462" spans="1:4" x14ac:dyDescent="0.25">
      <c r="A1462" s="222" t="s">
        <v>6857</v>
      </c>
      <c r="B1462" s="222">
        <v>500164</v>
      </c>
      <c r="C1462" s="222" t="s">
        <v>6856</v>
      </c>
      <c r="D1462" s="222" t="s">
        <v>998</v>
      </c>
    </row>
    <row r="1463" spans="1:4" x14ac:dyDescent="0.25">
      <c r="A1463" s="222" t="s">
        <v>6855</v>
      </c>
      <c r="B1463" s="222">
        <v>533150</v>
      </c>
      <c r="C1463" s="222" t="s">
        <v>6854</v>
      </c>
      <c r="D1463" s="222" t="s">
        <v>1243</v>
      </c>
    </row>
    <row r="1464" spans="1:4" x14ac:dyDescent="0.25">
      <c r="A1464" s="222" t="s">
        <v>6853</v>
      </c>
      <c r="B1464" s="222">
        <v>538787</v>
      </c>
      <c r="C1464" s="222" t="s">
        <v>2052</v>
      </c>
      <c r="D1464" s="222" t="s">
        <v>1321</v>
      </c>
    </row>
    <row r="1465" spans="1:4" x14ac:dyDescent="0.25">
      <c r="A1465" s="222" t="s">
        <v>6852</v>
      </c>
      <c r="B1465" s="222">
        <v>533189</v>
      </c>
      <c r="C1465" s="222" t="s">
        <v>6851</v>
      </c>
      <c r="D1465" s="222" t="s">
        <v>1364</v>
      </c>
    </row>
    <row r="1466" spans="1:4" x14ac:dyDescent="0.25">
      <c r="A1466" s="222" t="s">
        <v>6850</v>
      </c>
      <c r="B1466" s="222">
        <v>531600</v>
      </c>
      <c r="C1466" s="222" t="s">
        <v>2052</v>
      </c>
      <c r="D1466" s="222" t="s">
        <v>1262</v>
      </c>
    </row>
    <row r="1467" spans="1:4" x14ac:dyDescent="0.25">
      <c r="A1467" s="222" t="s">
        <v>6849</v>
      </c>
      <c r="B1467" s="222">
        <v>532957</v>
      </c>
      <c r="C1467" s="222" t="s">
        <v>2052</v>
      </c>
      <c r="D1467" s="222" t="s">
        <v>1237</v>
      </c>
    </row>
    <row r="1468" spans="1:4" x14ac:dyDescent="0.25">
      <c r="A1468" s="222" t="s">
        <v>6848</v>
      </c>
      <c r="B1468" s="222">
        <v>532630</v>
      </c>
      <c r="C1468" s="222" t="s">
        <v>6847</v>
      </c>
      <c r="D1468" s="222" t="s">
        <v>1364</v>
      </c>
    </row>
    <row r="1469" spans="1:4" x14ac:dyDescent="0.25">
      <c r="A1469" s="222" t="s">
        <v>6846</v>
      </c>
      <c r="B1469" s="222">
        <v>539725</v>
      </c>
      <c r="C1469" s="222" t="s">
        <v>6845</v>
      </c>
      <c r="D1469" s="222" t="s">
        <v>1963</v>
      </c>
    </row>
    <row r="1470" spans="1:4" x14ac:dyDescent="0.25">
      <c r="A1470" s="222" t="s">
        <v>6844</v>
      </c>
      <c r="B1470" s="222">
        <v>532980</v>
      </c>
      <c r="C1470" s="222" t="s">
        <v>6843</v>
      </c>
      <c r="D1470" s="222" t="s">
        <v>1963</v>
      </c>
    </row>
    <row r="1471" spans="1:4" x14ac:dyDescent="0.25">
      <c r="A1471" s="222" t="s">
        <v>6842</v>
      </c>
      <c r="B1471" s="222">
        <v>780012</v>
      </c>
      <c r="C1471" s="222" t="s">
        <v>2052</v>
      </c>
      <c r="D1471" s="222" t="s">
        <v>2197</v>
      </c>
    </row>
    <row r="1472" spans="1:4" x14ac:dyDescent="0.25">
      <c r="A1472" s="222" t="s">
        <v>6841</v>
      </c>
      <c r="B1472" s="222">
        <v>538542</v>
      </c>
      <c r="C1472" s="222" t="s">
        <v>2052</v>
      </c>
      <c r="D1472" s="222" t="s">
        <v>1161</v>
      </c>
    </row>
    <row r="1473" spans="1:4" x14ac:dyDescent="0.25">
      <c r="A1473" s="222" t="s">
        <v>6840</v>
      </c>
      <c r="B1473" s="222">
        <v>538180</v>
      </c>
      <c r="C1473" s="222" t="s">
        <v>6839</v>
      </c>
      <c r="D1473" s="222" t="s">
        <v>2108</v>
      </c>
    </row>
    <row r="1474" spans="1:4" x14ac:dyDescent="0.25">
      <c r="A1474" s="222" t="s">
        <v>6838</v>
      </c>
      <c r="B1474" s="222">
        <v>505576</v>
      </c>
      <c r="C1474" s="222" t="s">
        <v>2052</v>
      </c>
      <c r="D1474" s="222" t="s">
        <v>1321</v>
      </c>
    </row>
    <row r="1475" spans="1:4" x14ac:dyDescent="0.25">
      <c r="A1475" s="222" t="s">
        <v>6837</v>
      </c>
      <c r="B1475" s="222">
        <v>531928</v>
      </c>
      <c r="C1475" s="222" t="s">
        <v>2052</v>
      </c>
      <c r="D1475" s="222" t="s">
        <v>2714</v>
      </c>
    </row>
    <row r="1476" spans="1:4" x14ac:dyDescent="0.25">
      <c r="A1476" s="222" t="s">
        <v>6836</v>
      </c>
      <c r="B1476" s="222">
        <v>540062</v>
      </c>
      <c r="C1476" s="222" t="s">
        <v>2052</v>
      </c>
      <c r="D1476" s="222" t="s">
        <v>854</v>
      </c>
    </row>
    <row r="1477" spans="1:4" x14ac:dyDescent="0.25">
      <c r="A1477" s="222" t="s">
        <v>6835</v>
      </c>
      <c r="B1477" s="222">
        <v>530579</v>
      </c>
      <c r="C1477" s="222" t="s">
        <v>2052</v>
      </c>
      <c r="D1477" s="222" t="s">
        <v>1321</v>
      </c>
    </row>
    <row r="1478" spans="1:4" x14ac:dyDescent="0.25">
      <c r="A1478" s="222" t="s">
        <v>6834</v>
      </c>
      <c r="B1478" s="222">
        <v>500151</v>
      </c>
      <c r="C1478" s="222" t="s">
        <v>6833</v>
      </c>
      <c r="D1478" s="222" t="s">
        <v>2227</v>
      </c>
    </row>
    <row r="1479" spans="1:4" x14ac:dyDescent="0.25">
      <c r="A1479" s="222" t="s">
        <v>6832</v>
      </c>
      <c r="B1479" s="222">
        <v>526729</v>
      </c>
      <c r="C1479" s="222" t="s">
        <v>6831</v>
      </c>
      <c r="D1479" s="222" t="s">
        <v>1364</v>
      </c>
    </row>
    <row r="1480" spans="1:4" x14ac:dyDescent="0.25">
      <c r="A1480" s="222" t="s">
        <v>6830</v>
      </c>
      <c r="B1480" s="222" t="s">
        <v>2052</v>
      </c>
      <c r="C1480" s="222" t="s">
        <v>6829</v>
      </c>
      <c r="D1480" s="222" t="s">
        <v>2050</v>
      </c>
    </row>
    <row r="1481" spans="1:4" x14ac:dyDescent="0.25">
      <c r="A1481" s="222" t="s">
        <v>6828</v>
      </c>
      <c r="B1481" s="222">
        <v>531439</v>
      </c>
      <c r="C1481" s="222" t="s">
        <v>6827</v>
      </c>
      <c r="D1481" s="222" t="s">
        <v>1265</v>
      </c>
    </row>
    <row r="1482" spans="1:4" x14ac:dyDescent="0.25">
      <c r="A1482" s="222" t="s">
        <v>6826</v>
      </c>
      <c r="B1482" s="222">
        <v>531360</v>
      </c>
      <c r="C1482" s="222" t="s">
        <v>2052</v>
      </c>
      <c r="D1482" s="222" t="s">
        <v>2068</v>
      </c>
    </row>
    <row r="1483" spans="1:4" x14ac:dyDescent="0.25">
      <c r="A1483" s="222" t="s">
        <v>6825</v>
      </c>
      <c r="B1483" s="222">
        <v>513309</v>
      </c>
      <c r="C1483" s="222" t="s">
        <v>2052</v>
      </c>
      <c r="D1483" s="222" t="s">
        <v>2490</v>
      </c>
    </row>
    <row r="1484" spans="1:4" x14ac:dyDescent="0.25">
      <c r="A1484" s="222" t="s">
        <v>6824</v>
      </c>
      <c r="B1484" s="222">
        <v>523676</v>
      </c>
      <c r="C1484" s="222" t="s">
        <v>2052</v>
      </c>
      <c r="D1484" s="222" t="s">
        <v>1364</v>
      </c>
    </row>
    <row r="1485" spans="1:4" x14ac:dyDescent="0.25">
      <c r="A1485" s="222" t="s">
        <v>6823</v>
      </c>
      <c r="B1485" s="222">
        <v>530655</v>
      </c>
      <c r="C1485" s="222" t="s">
        <v>6821</v>
      </c>
      <c r="D1485" s="222" t="s">
        <v>740</v>
      </c>
    </row>
    <row r="1486" spans="1:4" x14ac:dyDescent="0.25">
      <c r="A1486" s="222" t="s">
        <v>6822</v>
      </c>
      <c r="B1486" s="222">
        <v>530655</v>
      </c>
      <c r="C1486" s="222" t="s">
        <v>6821</v>
      </c>
      <c r="D1486" s="222" t="s">
        <v>740</v>
      </c>
    </row>
    <row r="1487" spans="1:4" x14ac:dyDescent="0.25">
      <c r="A1487" s="222" t="s">
        <v>6820</v>
      </c>
      <c r="B1487" s="222">
        <v>500166</v>
      </c>
      <c r="C1487" s="222" t="s">
        <v>2052</v>
      </c>
      <c r="D1487" s="222" t="s">
        <v>1400</v>
      </c>
    </row>
    <row r="1488" spans="1:4" x14ac:dyDescent="0.25">
      <c r="A1488" s="222" t="s">
        <v>6819</v>
      </c>
      <c r="B1488" s="222">
        <v>500168</v>
      </c>
      <c r="C1488" s="222" t="s">
        <v>2052</v>
      </c>
      <c r="D1488" s="222" t="s">
        <v>1410</v>
      </c>
    </row>
    <row r="1489" spans="1:4" x14ac:dyDescent="0.25">
      <c r="A1489" s="222" t="s">
        <v>6818</v>
      </c>
      <c r="B1489" s="222">
        <v>500168</v>
      </c>
      <c r="C1489" s="222" t="s">
        <v>2052</v>
      </c>
      <c r="D1489" s="222" t="s">
        <v>1410</v>
      </c>
    </row>
    <row r="1490" spans="1:4" x14ac:dyDescent="0.25">
      <c r="A1490" s="222" t="s">
        <v>6817</v>
      </c>
      <c r="B1490" s="222">
        <v>531913</v>
      </c>
      <c r="C1490" s="222" t="s">
        <v>2052</v>
      </c>
      <c r="D1490" s="222" t="s">
        <v>740</v>
      </c>
    </row>
    <row r="1491" spans="1:4" x14ac:dyDescent="0.25">
      <c r="A1491" s="222" t="s">
        <v>6816</v>
      </c>
      <c r="B1491" s="222">
        <v>526717</v>
      </c>
      <c r="C1491" s="222" t="s">
        <v>2052</v>
      </c>
      <c r="D1491" s="222" t="s">
        <v>1447</v>
      </c>
    </row>
    <row r="1492" spans="1:4" x14ac:dyDescent="0.25">
      <c r="A1492" s="222" t="s">
        <v>6815</v>
      </c>
      <c r="B1492" s="222">
        <v>531608</v>
      </c>
      <c r="C1492" s="222" t="s">
        <v>2052</v>
      </c>
      <c r="D1492" s="222" t="s">
        <v>822</v>
      </c>
    </row>
    <row r="1493" spans="1:4" x14ac:dyDescent="0.25">
      <c r="A1493" s="222" t="s">
        <v>6814</v>
      </c>
      <c r="B1493" s="222">
        <v>531111</v>
      </c>
      <c r="C1493" s="222" t="s">
        <v>2052</v>
      </c>
      <c r="D1493" s="222" t="s">
        <v>822</v>
      </c>
    </row>
    <row r="1494" spans="1:4" x14ac:dyDescent="0.25">
      <c r="A1494" s="222" t="s">
        <v>6813</v>
      </c>
      <c r="B1494" s="222">
        <v>531111</v>
      </c>
      <c r="C1494" s="222" t="s">
        <v>2052</v>
      </c>
      <c r="D1494" s="222" t="s">
        <v>822</v>
      </c>
    </row>
    <row r="1495" spans="1:4" x14ac:dyDescent="0.25">
      <c r="A1495" s="222" t="s">
        <v>6812</v>
      </c>
      <c r="B1495" s="222">
        <v>509148</v>
      </c>
      <c r="C1495" s="222" t="s">
        <v>2052</v>
      </c>
      <c r="D1495" s="222" t="s">
        <v>1410</v>
      </c>
    </row>
    <row r="1496" spans="1:4" x14ac:dyDescent="0.25">
      <c r="A1496" s="222" t="s">
        <v>6811</v>
      </c>
      <c r="B1496" s="222">
        <v>530709</v>
      </c>
      <c r="C1496" s="222" t="s">
        <v>2052</v>
      </c>
      <c r="D1496" s="222" t="s">
        <v>1321</v>
      </c>
    </row>
    <row r="1497" spans="1:4" x14ac:dyDescent="0.25">
      <c r="A1497" s="222" t="s">
        <v>6810</v>
      </c>
      <c r="B1497" s="222">
        <v>530663</v>
      </c>
      <c r="C1497" s="222" t="s">
        <v>2052</v>
      </c>
      <c r="D1497" s="222" t="s">
        <v>1262</v>
      </c>
    </row>
    <row r="1498" spans="1:4" x14ac:dyDescent="0.25">
      <c r="A1498" s="222" t="s">
        <v>6809</v>
      </c>
      <c r="B1498" s="222">
        <v>532543</v>
      </c>
      <c r="C1498" s="222" t="s">
        <v>6808</v>
      </c>
      <c r="D1498" s="222" t="s">
        <v>2740</v>
      </c>
    </row>
    <row r="1499" spans="1:4" x14ac:dyDescent="0.25">
      <c r="A1499" s="222" t="s">
        <v>6807</v>
      </c>
      <c r="B1499" s="222">
        <v>533761</v>
      </c>
      <c r="C1499" s="222" t="s">
        <v>6806</v>
      </c>
      <c r="D1499" s="222" t="s">
        <v>1248</v>
      </c>
    </row>
    <row r="1500" spans="1:4" x14ac:dyDescent="0.25">
      <c r="A1500" s="222" t="s">
        <v>6805</v>
      </c>
      <c r="B1500" s="222">
        <v>780002</v>
      </c>
      <c r="C1500" s="222" t="s">
        <v>2052</v>
      </c>
      <c r="D1500" s="222" t="s">
        <v>2197</v>
      </c>
    </row>
    <row r="1501" spans="1:4" x14ac:dyDescent="0.25">
      <c r="A1501" s="222" t="s">
        <v>6804</v>
      </c>
      <c r="B1501" s="222">
        <v>590126</v>
      </c>
      <c r="C1501" s="222" t="s">
        <v>2052</v>
      </c>
      <c r="D1501" s="222" t="s">
        <v>1558</v>
      </c>
    </row>
    <row r="1502" spans="1:4" x14ac:dyDescent="0.25">
      <c r="A1502" s="222" t="s">
        <v>6803</v>
      </c>
      <c r="B1502" s="222">
        <v>539235</v>
      </c>
      <c r="C1502" s="222" t="s">
        <v>2052</v>
      </c>
      <c r="D1502" s="222" t="s">
        <v>1400</v>
      </c>
    </row>
    <row r="1503" spans="1:4" x14ac:dyDescent="0.25">
      <c r="A1503" s="222" t="s">
        <v>6802</v>
      </c>
      <c r="B1503" s="222">
        <v>532482</v>
      </c>
      <c r="C1503" s="222" t="s">
        <v>6800</v>
      </c>
      <c r="D1503" s="222" t="s">
        <v>789</v>
      </c>
    </row>
    <row r="1504" spans="1:4" x14ac:dyDescent="0.25">
      <c r="A1504" s="222" t="s">
        <v>6801</v>
      </c>
      <c r="B1504" s="222">
        <v>532482</v>
      </c>
      <c r="C1504" s="222" t="s">
        <v>6800</v>
      </c>
      <c r="D1504" s="222" t="s">
        <v>789</v>
      </c>
    </row>
    <row r="1505" spans="1:4" x14ac:dyDescent="0.25">
      <c r="A1505" s="222" t="s">
        <v>6799</v>
      </c>
      <c r="B1505" s="222">
        <v>509488</v>
      </c>
      <c r="C1505" s="222" t="s">
        <v>6797</v>
      </c>
      <c r="D1505" s="222" t="s">
        <v>1395</v>
      </c>
    </row>
    <row r="1506" spans="1:4" x14ac:dyDescent="0.25">
      <c r="A1506" s="222" t="s">
        <v>6798</v>
      </c>
      <c r="B1506" s="222">
        <v>509488</v>
      </c>
      <c r="C1506" s="222" t="s">
        <v>6797</v>
      </c>
      <c r="D1506" s="222" t="s">
        <v>1395</v>
      </c>
    </row>
    <row r="1507" spans="1:4" x14ac:dyDescent="0.25">
      <c r="A1507" s="222" t="s">
        <v>6796</v>
      </c>
      <c r="B1507" s="222">
        <v>500300</v>
      </c>
      <c r="C1507" s="222" t="s">
        <v>6795</v>
      </c>
      <c r="D1507" s="222" t="s">
        <v>1004</v>
      </c>
    </row>
    <row r="1508" spans="1:4" x14ac:dyDescent="0.25">
      <c r="A1508" s="222" t="s">
        <v>6794</v>
      </c>
      <c r="B1508" s="222">
        <v>526751</v>
      </c>
      <c r="C1508" s="222" t="s">
        <v>2052</v>
      </c>
      <c r="D1508" s="222" t="s">
        <v>1972</v>
      </c>
    </row>
    <row r="1509" spans="1:4" x14ac:dyDescent="0.25">
      <c r="A1509" s="222" t="s">
        <v>6793</v>
      </c>
      <c r="B1509" s="222">
        <v>505710</v>
      </c>
      <c r="C1509" s="222" t="s">
        <v>2052</v>
      </c>
      <c r="D1509" s="222" t="s">
        <v>998</v>
      </c>
    </row>
    <row r="1510" spans="1:4" x14ac:dyDescent="0.25">
      <c r="A1510" s="222" t="s">
        <v>6792</v>
      </c>
      <c r="B1510" s="222">
        <v>505710</v>
      </c>
      <c r="C1510" s="222" t="s">
        <v>2052</v>
      </c>
      <c r="D1510" s="222" t="s">
        <v>998</v>
      </c>
    </row>
    <row r="1511" spans="1:4" x14ac:dyDescent="0.25">
      <c r="A1511" s="222" t="s">
        <v>6791</v>
      </c>
      <c r="B1511" s="222">
        <v>509546</v>
      </c>
      <c r="C1511" s="222" t="s">
        <v>2052</v>
      </c>
      <c r="D1511" s="222" t="s">
        <v>2128</v>
      </c>
    </row>
    <row r="1512" spans="1:4" x14ac:dyDescent="0.25">
      <c r="A1512" s="222" t="s">
        <v>6790</v>
      </c>
      <c r="B1512" s="222">
        <v>533282</v>
      </c>
      <c r="C1512" s="222" t="s">
        <v>6788</v>
      </c>
      <c r="D1512" s="222" t="s">
        <v>3218</v>
      </c>
    </row>
    <row r="1513" spans="1:4" x14ac:dyDescent="0.25">
      <c r="A1513" s="222" t="s">
        <v>6789</v>
      </c>
      <c r="B1513" s="222">
        <v>533282</v>
      </c>
      <c r="C1513" s="222" t="s">
        <v>6788</v>
      </c>
      <c r="D1513" s="222" t="s">
        <v>3218</v>
      </c>
    </row>
    <row r="1514" spans="1:4" x14ac:dyDescent="0.25">
      <c r="A1514" s="222" t="s">
        <v>6787</v>
      </c>
      <c r="B1514" s="222">
        <v>532015</v>
      </c>
      <c r="C1514" s="222" t="s">
        <v>2052</v>
      </c>
      <c r="D1514" s="222" t="s">
        <v>1237</v>
      </c>
    </row>
    <row r="1515" spans="1:4" x14ac:dyDescent="0.25">
      <c r="A1515" s="222" t="s">
        <v>6786</v>
      </c>
      <c r="B1515" s="222">
        <v>532015</v>
      </c>
      <c r="C1515" s="222" t="s">
        <v>2052</v>
      </c>
      <c r="D1515" s="222" t="s">
        <v>1237</v>
      </c>
    </row>
    <row r="1516" spans="1:4" x14ac:dyDescent="0.25">
      <c r="A1516" s="222" t="s">
        <v>6785</v>
      </c>
      <c r="B1516" s="222">
        <v>501455</v>
      </c>
      <c r="C1516" s="222" t="s">
        <v>6784</v>
      </c>
      <c r="D1516" s="222" t="s">
        <v>832</v>
      </c>
    </row>
    <row r="1517" spans="1:4" x14ac:dyDescent="0.25">
      <c r="A1517" s="222" t="s">
        <v>6783</v>
      </c>
      <c r="B1517" s="222">
        <v>531737</v>
      </c>
      <c r="C1517" s="222" t="s">
        <v>2052</v>
      </c>
      <c r="D1517" s="222" t="s">
        <v>2068</v>
      </c>
    </row>
    <row r="1518" spans="1:4" x14ac:dyDescent="0.25">
      <c r="A1518" s="222" t="s">
        <v>6782</v>
      </c>
      <c r="B1518" s="222">
        <v>538979</v>
      </c>
      <c r="C1518" s="222" t="s">
        <v>6781</v>
      </c>
      <c r="D1518" s="222" t="s">
        <v>2714</v>
      </c>
    </row>
    <row r="1519" spans="1:4" x14ac:dyDescent="0.25">
      <c r="A1519" s="222" t="s">
        <v>6780</v>
      </c>
      <c r="B1519" s="222">
        <v>526797</v>
      </c>
      <c r="C1519" s="222" t="s">
        <v>6779</v>
      </c>
      <c r="D1519" s="222" t="s">
        <v>1272</v>
      </c>
    </row>
    <row r="1520" spans="1:4" x14ac:dyDescent="0.25">
      <c r="A1520" s="222" t="s">
        <v>6778</v>
      </c>
      <c r="B1520" s="222" t="s">
        <v>2052</v>
      </c>
      <c r="C1520" s="222" t="s">
        <v>6777</v>
      </c>
      <c r="D1520" s="222" t="s">
        <v>2050</v>
      </c>
    </row>
    <row r="1521" spans="1:4" x14ac:dyDescent="0.25">
      <c r="A1521" s="222" t="s">
        <v>6776</v>
      </c>
      <c r="B1521" s="222">
        <v>508918</v>
      </c>
      <c r="C1521" s="222" t="s">
        <v>2052</v>
      </c>
      <c r="D1521" s="222" t="s">
        <v>854</v>
      </c>
    </row>
    <row r="1522" spans="1:4" x14ac:dyDescent="0.25">
      <c r="A1522" s="222" t="s">
        <v>6775</v>
      </c>
      <c r="B1522" s="222">
        <v>506076</v>
      </c>
      <c r="C1522" s="222" t="s">
        <v>6774</v>
      </c>
      <c r="D1522" s="222" t="s">
        <v>1313</v>
      </c>
    </row>
    <row r="1523" spans="1:4" x14ac:dyDescent="0.25">
      <c r="A1523" s="222" t="s">
        <v>6773</v>
      </c>
      <c r="B1523" s="222">
        <v>531449</v>
      </c>
      <c r="C1523" s="222" t="s">
        <v>2052</v>
      </c>
      <c r="D1523" s="222" t="s">
        <v>731</v>
      </c>
    </row>
    <row r="1524" spans="1:4" x14ac:dyDescent="0.25">
      <c r="A1524" s="222" t="s">
        <v>6772</v>
      </c>
      <c r="B1524" s="222">
        <v>501314</v>
      </c>
      <c r="C1524" s="222" t="s">
        <v>2052</v>
      </c>
      <c r="D1524" s="222" t="s">
        <v>1529</v>
      </c>
    </row>
    <row r="1525" spans="1:4" x14ac:dyDescent="0.25">
      <c r="A1525" s="222" t="s">
        <v>6771</v>
      </c>
      <c r="B1525" s="222">
        <v>539522</v>
      </c>
      <c r="C1525" s="222" t="s">
        <v>2052</v>
      </c>
      <c r="D1525" s="222" t="s">
        <v>6769</v>
      </c>
    </row>
    <row r="1526" spans="1:4" x14ac:dyDescent="0.25">
      <c r="A1526" s="222" t="s">
        <v>6770</v>
      </c>
      <c r="B1526" s="222">
        <v>539522</v>
      </c>
      <c r="C1526" s="222" t="s">
        <v>2052</v>
      </c>
      <c r="D1526" s="222" t="s">
        <v>6769</v>
      </c>
    </row>
    <row r="1527" spans="1:4" x14ac:dyDescent="0.25">
      <c r="A1527" s="222" t="s">
        <v>6768</v>
      </c>
      <c r="B1527" s="222">
        <v>509152</v>
      </c>
      <c r="C1527" s="222" t="s">
        <v>6767</v>
      </c>
      <c r="D1527" s="222" t="s">
        <v>1410</v>
      </c>
    </row>
    <row r="1528" spans="1:4" x14ac:dyDescent="0.25">
      <c r="A1528" s="222" t="s">
        <v>6766</v>
      </c>
      <c r="B1528" s="222">
        <v>511288</v>
      </c>
      <c r="C1528" s="222" t="s">
        <v>6765</v>
      </c>
      <c r="D1528" s="222" t="s">
        <v>2520</v>
      </c>
    </row>
    <row r="1529" spans="1:4" x14ac:dyDescent="0.25">
      <c r="A1529" s="222" t="s">
        <v>6764</v>
      </c>
      <c r="B1529" s="222">
        <v>511543</v>
      </c>
      <c r="C1529" s="222" t="s">
        <v>2052</v>
      </c>
      <c r="D1529" s="222" t="s">
        <v>1321</v>
      </c>
    </row>
    <row r="1530" spans="1:4" x14ac:dyDescent="0.25">
      <c r="A1530" s="222" t="s">
        <v>6763</v>
      </c>
      <c r="B1530" s="222">
        <v>530605</v>
      </c>
      <c r="C1530" s="222" t="s">
        <v>2052</v>
      </c>
      <c r="D1530" s="222" t="s">
        <v>1237</v>
      </c>
    </row>
    <row r="1531" spans="1:4" x14ac:dyDescent="0.25">
      <c r="A1531" s="222" t="s">
        <v>6762</v>
      </c>
      <c r="B1531" s="222">
        <v>530469</v>
      </c>
      <c r="C1531" s="222" t="s">
        <v>2052</v>
      </c>
      <c r="D1531" s="222" t="s">
        <v>1321</v>
      </c>
    </row>
    <row r="1532" spans="1:4" x14ac:dyDescent="0.25">
      <c r="A1532" s="222" t="s">
        <v>6761</v>
      </c>
      <c r="B1532" s="222">
        <v>532951</v>
      </c>
      <c r="C1532" s="222" t="s">
        <v>6760</v>
      </c>
      <c r="D1532" s="222" t="s">
        <v>1265</v>
      </c>
    </row>
    <row r="1533" spans="1:4" x14ac:dyDescent="0.25">
      <c r="A1533" s="222" t="s">
        <v>6759</v>
      </c>
      <c r="B1533" s="222">
        <v>532139</v>
      </c>
      <c r="C1533" s="222" t="s">
        <v>2052</v>
      </c>
      <c r="D1533" s="222" t="s">
        <v>2120</v>
      </c>
    </row>
    <row r="1534" spans="1:4" x14ac:dyDescent="0.25">
      <c r="A1534" s="222" t="s">
        <v>6758</v>
      </c>
      <c r="B1534" s="222">
        <v>532775</v>
      </c>
      <c r="C1534" s="222" t="s">
        <v>6757</v>
      </c>
      <c r="D1534" s="222" t="s">
        <v>2114</v>
      </c>
    </row>
    <row r="1535" spans="1:4" x14ac:dyDescent="0.25">
      <c r="A1535" s="222" t="s">
        <v>6756</v>
      </c>
      <c r="B1535" s="222">
        <v>500160</v>
      </c>
      <c r="C1535" s="222" t="s">
        <v>6755</v>
      </c>
      <c r="D1535" s="222" t="s">
        <v>1129</v>
      </c>
    </row>
    <row r="1536" spans="1:4" x14ac:dyDescent="0.25">
      <c r="A1536" s="222" t="s">
        <v>6754</v>
      </c>
      <c r="B1536" s="222">
        <v>500170</v>
      </c>
      <c r="C1536" s="222" t="s">
        <v>6753</v>
      </c>
      <c r="D1536" s="222" t="s">
        <v>1237</v>
      </c>
    </row>
    <row r="1537" spans="1:4" x14ac:dyDescent="0.25">
      <c r="A1537" s="222" t="s">
        <v>6752</v>
      </c>
      <c r="B1537" s="222">
        <v>532744</v>
      </c>
      <c r="C1537" s="222" t="s">
        <v>6751</v>
      </c>
      <c r="D1537" s="222" t="s">
        <v>1237</v>
      </c>
    </row>
    <row r="1538" spans="1:4" x14ac:dyDescent="0.25">
      <c r="A1538" s="222" t="s">
        <v>6750</v>
      </c>
      <c r="B1538" s="222">
        <v>540602</v>
      </c>
      <c r="C1538" s="222" t="s">
        <v>6749</v>
      </c>
      <c r="D1538" s="222" t="s">
        <v>1129</v>
      </c>
    </row>
    <row r="1539" spans="1:4" x14ac:dyDescent="0.25">
      <c r="A1539" s="222" t="s">
        <v>6748</v>
      </c>
      <c r="B1539" s="222">
        <v>539479</v>
      </c>
      <c r="C1539" s="222" t="s">
        <v>2052</v>
      </c>
      <c r="D1539" s="222" t="s">
        <v>832</v>
      </c>
    </row>
    <row r="1540" spans="1:4" x14ac:dyDescent="0.25">
      <c r="A1540" s="222" t="s">
        <v>6747</v>
      </c>
      <c r="B1540" s="222">
        <v>509079</v>
      </c>
      <c r="C1540" s="222" t="s">
        <v>6746</v>
      </c>
      <c r="D1540" s="222" t="s">
        <v>789</v>
      </c>
    </row>
    <row r="1541" spans="1:4" x14ac:dyDescent="0.25">
      <c r="A1541" s="222" t="s">
        <v>6745</v>
      </c>
      <c r="B1541" s="222">
        <v>530001</v>
      </c>
      <c r="C1541" s="222" t="s">
        <v>6744</v>
      </c>
      <c r="D1541" s="222" t="s">
        <v>998</v>
      </c>
    </row>
    <row r="1542" spans="1:4" x14ac:dyDescent="0.25">
      <c r="A1542" s="222" t="s">
        <v>6743</v>
      </c>
      <c r="B1542" s="222">
        <v>524226</v>
      </c>
      <c r="C1542" s="222" t="s">
        <v>6742</v>
      </c>
      <c r="D1542" s="222" t="s">
        <v>731</v>
      </c>
    </row>
    <row r="1543" spans="1:4" x14ac:dyDescent="0.25">
      <c r="A1543" s="222" t="s">
        <v>6741</v>
      </c>
      <c r="B1543" s="222">
        <v>522217</v>
      </c>
      <c r="C1543" s="222" t="s">
        <v>6740</v>
      </c>
      <c r="D1543" s="222" t="s">
        <v>2450</v>
      </c>
    </row>
    <row r="1544" spans="1:4" x14ac:dyDescent="0.25">
      <c r="A1544" s="222" t="s">
        <v>6739</v>
      </c>
      <c r="B1544" s="222">
        <v>523768</v>
      </c>
      <c r="C1544" s="222" t="s">
        <v>2052</v>
      </c>
      <c r="D1544" s="222" t="s">
        <v>2357</v>
      </c>
    </row>
    <row r="1545" spans="1:4" x14ac:dyDescent="0.25">
      <c r="A1545" s="222" t="s">
        <v>6738</v>
      </c>
      <c r="B1545" s="222">
        <v>513507</v>
      </c>
      <c r="C1545" s="222" t="s">
        <v>2052</v>
      </c>
      <c r="D1545" s="222" t="s">
        <v>740</v>
      </c>
    </row>
    <row r="1546" spans="1:4" x14ac:dyDescent="0.25">
      <c r="A1546" s="222" t="s">
        <v>6737</v>
      </c>
      <c r="B1546" s="222">
        <v>514386</v>
      </c>
      <c r="C1546" s="222" t="s">
        <v>2052</v>
      </c>
      <c r="D1546" s="222" t="s">
        <v>1237</v>
      </c>
    </row>
    <row r="1547" spans="1:4" x14ac:dyDescent="0.25">
      <c r="A1547" s="222" t="s">
        <v>6736</v>
      </c>
      <c r="B1547" s="222">
        <v>526965</v>
      </c>
      <c r="C1547" s="222" t="s">
        <v>2052</v>
      </c>
      <c r="D1547" s="222" t="s">
        <v>1447</v>
      </c>
    </row>
    <row r="1548" spans="1:4" x14ac:dyDescent="0.25">
      <c r="A1548" s="222" t="s">
        <v>6735</v>
      </c>
      <c r="B1548" s="222">
        <v>511441</v>
      </c>
      <c r="C1548" s="222" t="s">
        <v>2052</v>
      </c>
      <c r="D1548" s="222" t="s">
        <v>1262</v>
      </c>
    </row>
    <row r="1549" spans="1:4" x14ac:dyDescent="0.25">
      <c r="A1549" s="222" t="s">
        <v>6734</v>
      </c>
      <c r="B1549" s="222">
        <v>500173</v>
      </c>
      <c r="C1549" s="222" t="s">
        <v>6733</v>
      </c>
      <c r="D1549" s="222" t="s">
        <v>4093</v>
      </c>
    </row>
    <row r="1550" spans="1:4" x14ac:dyDescent="0.25">
      <c r="A1550" s="222" t="s">
        <v>6732</v>
      </c>
      <c r="B1550" s="222">
        <v>531410</v>
      </c>
      <c r="C1550" s="222" t="s">
        <v>2052</v>
      </c>
      <c r="D1550" s="222" t="s">
        <v>2490</v>
      </c>
    </row>
    <row r="1551" spans="1:4" x14ac:dyDescent="0.25">
      <c r="A1551" s="222" t="s">
        <v>6731</v>
      </c>
      <c r="B1551" s="222">
        <v>539336</v>
      </c>
      <c r="C1551" s="222" t="s">
        <v>6730</v>
      </c>
      <c r="D1551" s="222" t="s">
        <v>4050</v>
      </c>
    </row>
    <row r="1552" spans="1:4" x14ac:dyDescent="0.25">
      <c r="A1552" s="222" t="s">
        <v>6729</v>
      </c>
      <c r="B1552" s="222">
        <v>507960</v>
      </c>
      <c r="C1552" s="222" t="s">
        <v>2052</v>
      </c>
      <c r="D1552" s="222" t="s">
        <v>2128</v>
      </c>
    </row>
    <row r="1553" spans="1:4" x14ac:dyDescent="0.25">
      <c r="A1553" s="222" t="s">
        <v>6728</v>
      </c>
      <c r="B1553" s="222">
        <v>540938</v>
      </c>
      <c r="C1553" s="222" t="s">
        <v>2052</v>
      </c>
      <c r="D1553" s="222" t="s">
        <v>1237</v>
      </c>
    </row>
    <row r="1554" spans="1:4" x14ac:dyDescent="0.25">
      <c r="A1554" s="222" t="s">
        <v>6727</v>
      </c>
      <c r="B1554" s="222">
        <v>517300</v>
      </c>
      <c r="C1554" s="222" t="s">
        <v>6726</v>
      </c>
      <c r="D1554" s="222" t="s">
        <v>2380</v>
      </c>
    </row>
    <row r="1555" spans="1:4" x14ac:dyDescent="0.25">
      <c r="A1555" s="222" t="s">
        <v>6725</v>
      </c>
      <c r="B1555" s="222">
        <v>517372</v>
      </c>
      <c r="C1555" s="222" t="s">
        <v>2052</v>
      </c>
      <c r="D1555" s="222" t="s">
        <v>1313</v>
      </c>
    </row>
    <row r="1556" spans="1:4" x14ac:dyDescent="0.25">
      <c r="A1556" s="222" t="s">
        <v>6724</v>
      </c>
      <c r="B1556" s="222">
        <v>531341</v>
      </c>
      <c r="C1556" s="222" t="s">
        <v>2052</v>
      </c>
      <c r="D1556" s="222" t="s">
        <v>1321</v>
      </c>
    </row>
    <row r="1557" spans="1:4" x14ac:dyDescent="0.25">
      <c r="A1557" s="222" t="s">
        <v>6723</v>
      </c>
      <c r="B1557" s="222">
        <v>500174</v>
      </c>
      <c r="C1557" s="222" t="s">
        <v>6722</v>
      </c>
      <c r="D1557" s="222" t="s">
        <v>1321</v>
      </c>
    </row>
    <row r="1558" spans="1:4" x14ac:dyDescent="0.25">
      <c r="A1558" s="222" t="s">
        <v>6721</v>
      </c>
      <c r="B1558" s="222">
        <v>524754</v>
      </c>
      <c r="C1558" s="222" t="s">
        <v>2052</v>
      </c>
      <c r="D1558" s="222" t="s">
        <v>3560</v>
      </c>
    </row>
    <row r="1559" spans="1:4" x14ac:dyDescent="0.25">
      <c r="A1559" s="222" t="s">
        <v>6720</v>
      </c>
      <c r="B1559" s="222">
        <v>531881</v>
      </c>
      <c r="C1559" s="222" t="s">
        <v>2052</v>
      </c>
      <c r="D1559" s="222" t="s">
        <v>1529</v>
      </c>
    </row>
    <row r="1560" spans="1:4" x14ac:dyDescent="0.25">
      <c r="A1560" s="222" t="s">
        <v>6719</v>
      </c>
      <c r="B1560" s="222">
        <v>532181</v>
      </c>
      <c r="C1560" s="222" t="s">
        <v>6718</v>
      </c>
      <c r="D1560" s="222" t="s">
        <v>5944</v>
      </c>
    </row>
    <row r="1561" spans="1:4" x14ac:dyDescent="0.25">
      <c r="A1561" s="222" t="s">
        <v>6717</v>
      </c>
      <c r="B1561" s="222">
        <v>500670</v>
      </c>
      <c r="C1561" s="222" t="s">
        <v>6716</v>
      </c>
      <c r="D1561" s="222" t="s">
        <v>734</v>
      </c>
    </row>
    <row r="1562" spans="1:4" x14ac:dyDescent="0.25">
      <c r="A1562" s="222" t="s">
        <v>6715</v>
      </c>
      <c r="B1562" s="222">
        <v>513536</v>
      </c>
      <c r="C1562" s="222" t="s">
        <v>2052</v>
      </c>
      <c r="D1562" s="222" t="s">
        <v>3699</v>
      </c>
    </row>
    <row r="1563" spans="1:4" x14ac:dyDescent="0.25">
      <c r="A1563" s="222" t="s">
        <v>6714</v>
      </c>
      <c r="B1563" s="222">
        <v>506858</v>
      </c>
      <c r="C1563" s="222" t="s">
        <v>2052</v>
      </c>
      <c r="D1563" s="222" t="s">
        <v>2299</v>
      </c>
    </row>
    <row r="1564" spans="1:4" x14ac:dyDescent="0.25">
      <c r="A1564" s="222" t="s">
        <v>6713</v>
      </c>
      <c r="B1564" s="222">
        <v>533248</v>
      </c>
      <c r="C1564" s="222" t="s">
        <v>6712</v>
      </c>
      <c r="D1564" s="222" t="s">
        <v>2245</v>
      </c>
    </row>
    <row r="1565" spans="1:4" x14ac:dyDescent="0.25">
      <c r="A1565" s="222" t="s">
        <v>6711</v>
      </c>
      <c r="B1565" s="222">
        <v>517288</v>
      </c>
      <c r="C1565" s="222" t="s">
        <v>2052</v>
      </c>
      <c r="D1565" s="222" t="s">
        <v>1275</v>
      </c>
    </row>
    <row r="1566" spans="1:4" x14ac:dyDescent="0.25">
      <c r="A1566" s="222" t="s">
        <v>6710</v>
      </c>
      <c r="B1566" s="222">
        <v>523836</v>
      </c>
      <c r="C1566" s="222" t="s">
        <v>6709</v>
      </c>
      <c r="D1566" s="222" t="s">
        <v>1447</v>
      </c>
    </row>
    <row r="1567" spans="1:4" x14ac:dyDescent="0.25">
      <c r="A1567" s="222" t="s">
        <v>6708</v>
      </c>
      <c r="B1567" s="222">
        <v>518029</v>
      </c>
      <c r="C1567" s="222" t="s">
        <v>6707</v>
      </c>
      <c r="D1567" s="222" t="s">
        <v>1004</v>
      </c>
    </row>
    <row r="1568" spans="1:4" x14ac:dyDescent="0.25">
      <c r="A1568" s="222" t="s">
        <v>6706</v>
      </c>
      <c r="B1568" s="222">
        <v>500690</v>
      </c>
      <c r="C1568" s="222" t="s">
        <v>6705</v>
      </c>
      <c r="D1568" s="222" t="s">
        <v>734</v>
      </c>
    </row>
    <row r="1569" spans="1:4" x14ac:dyDescent="0.25">
      <c r="A1569" s="222" t="s">
        <v>6704</v>
      </c>
      <c r="B1569" s="222">
        <v>532160</v>
      </c>
      <c r="C1569" s="222" t="s">
        <v>2052</v>
      </c>
      <c r="D1569" s="222" t="s">
        <v>2680</v>
      </c>
    </row>
    <row r="1570" spans="1:4" x14ac:dyDescent="0.25">
      <c r="A1570" s="222" t="s">
        <v>6703</v>
      </c>
      <c r="B1570" s="222">
        <v>532702</v>
      </c>
      <c r="C1570" s="222" t="s">
        <v>6702</v>
      </c>
      <c r="D1570" s="222" t="s">
        <v>2445</v>
      </c>
    </row>
    <row r="1571" spans="1:4" x14ac:dyDescent="0.25">
      <c r="A1571" s="222" t="s">
        <v>6701</v>
      </c>
      <c r="B1571" s="222">
        <v>524314</v>
      </c>
      <c r="C1571" s="222" t="s">
        <v>2052</v>
      </c>
      <c r="D1571" s="222" t="s">
        <v>789</v>
      </c>
    </row>
    <row r="1572" spans="1:4" x14ac:dyDescent="0.25">
      <c r="A1572" s="222" t="s">
        <v>6700</v>
      </c>
      <c r="B1572" s="222">
        <v>506879</v>
      </c>
      <c r="C1572" s="222" t="s">
        <v>2052</v>
      </c>
      <c r="D1572" s="222" t="s">
        <v>789</v>
      </c>
    </row>
    <row r="1573" spans="1:4" x14ac:dyDescent="0.25">
      <c r="A1573" s="222" t="s">
        <v>6699</v>
      </c>
      <c r="B1573" s="222">
        <v>513337</v>
      </c>
      <c r="C1573" s="222" t="s">
        <v>2052</v>
      </c>
      <c r="D1573" s="222" t="s">
        <v>1251</v>
      </c>
    </row>
    <row r="1574" spans="1:4" x14ac:dyDescent="0.25">
      <c r="A1574" s="222" t="s">
        <v>6698</v>
      </c>
      <c r="B1574" s="222">
        <v>506640</v>
      </c>
      <c r="C1574" s="222" t="s">
        <v>2052</v>
      </c>
      <c r="D1574" s="222" t="s">
        <v>998</v>
      </c>
    </row>
    <row r="1575" spans="1:4" x14ac:dyDescent="0.25">
      <c r="A1575" s="222" t="s">
        <v>6697</v>
      </c>
      <c r="B1575" s="222">
        <v>506640</v>
      </c>
      <c r="C1575" s="222" t="s">
        <v>2052</v>
      </c>
      <c r="D1575" s="222" t="s">
        <v>998</v>
      </c>
    </row>
    <row r="1576" spans="1:4" x14ac:dyDescent="0.25">
      <c r="A1576" s="222" t="s">
        <v>6696</v>
      </c>
      <c r="B1576" s="222">
        <v>538567</v>
      </c>
      <c r="C1576" s="222" t="s">
        <v>6694</v>
      </c>
      <c r="D1576" s="222" t="s">
        <v>2740</v>
      </c>
    </row>
    <row r="1577" spans="1:4" x14ac:dyDescent="0.25">
      <c r="A1577" s="222" t="s">
        <v>6695</v>
      </c>
      <c r="B1577" s="222">
        <v>538567</v>
      </c>
      <c r="C1577" s="222" t="s">
        <v>6694</v>
      </c>
      <c r="D1577" s="222" t="s">
        <v>2740</v>
      </c>
    </row>
    <row r="1578" spans="1:4" x14ac:dyDescent="0.25">
      <c r="A1578" s="222" t="s">
        <v>6693</v>
      </c>
      <c r="B1578" s="222">
        <v>532425</v>
      </c>
      <c r="C1578" s="222" t="s">
        <v>2052</v>
      </c>
      <c r="D1578" s="222" t="s">
        <v>998</v>
      </c>
    </row>
    <row r="1579" spans="1:4" x14ac:dyDescent="0.25">
      <c r="A1579" s="222" t="s">
        <v>6692</v>
      </c>
      <c r="B1579" s="222">
        <v>532457</v>
      </c>
      <c r="C1579" s="222" t="s">
        <v>6691</v>
      </c>
      <c r="D1579" s="222" t="s">
        <v>998</v>
      </c>
    </row>
    <row r="1580" spans="1:4" x14ac:dyDescent="0.25">
      <c r="A1580" s="222" t="s">
        <v>6690</v>
      </c>
      <c r="B1580" s="222">
        <v>523277</v>
      </c>
      <c r="C1580" s="222" t="s">
        <v>2052</v>
      </c>
      <c r="D1580" s="222" t="s">
        <v>2264</v>
      </c>
    </row>
    <row r="1581" spans="1:4" x14ac:dyDescent="0.25">
      <c r="A1581" s="222" t="s">
        <v>6689</v>
      </c>
      <c r="B1581" s="222">
        <v>532708</v>
      </c>
      <c r="C1581" s="222" t="s">
        <v>6688</v>
      </c>
      <c r="D1581" s="222" t="s">
        <v>2380</v>
      </c>
    </row>
    <row r="1582" spans="1:4" x14ac:dyDescent="0.25">
      <c r="A1582" s="222" t="s">
        <v>6687</v>
      </c>
      <c r="B1582" s="222">
        <v>530141</v>
      </c>
      <c r="C1582" s="222" t="s">
        <v>2052</v>
      </c>
      <c r="D1582" s="222" t="s">
        <v>1243</v>
      </c>
    </row>
    <row r="1583" spans="1:4" x14ac:dyDescent="0.25">
      <c r="A1583" s="222" t="s">
        <v>6686</v>
      </c>
      <c r="B1583" s="222">
        <v>533275</v>
      </c>
      <c r="C1583" s="222" t="s">
        <v>6685</v>
      </c>
      <c r="D1583" s="222" t="s">
        <v>2167</v>
      </c>
    </row>
    <row r="1584" spans="1:4" x14ac:dyDescent="0.25">
      <c r="A1584" s="222" t="s">
        <v>6684</v>
      </c>
      <c r="B1584" s="222">
        <v>541019</v>
      </c>
      <c r="C1584" s="222" t="s">
        <v>6683</v>
      </c>
      <c r="D1584" s="222" t="s">
        <v>1248</v>
      </c>
    </row>
    <row r="1585" spans="1:4" x14ac:dyDescent="0.25">
      <c r="A1585" s="222" t="s">
        <v>6682</v>
      </c>
      <c r="B1585" s="222">
        <v>539337</v>
      </c>
      <c r="C1585" s="222" t="s">
        <v>2052</v>
      </c>
      <c r="D1585" s="222" t="s">
        <v>1447</v>
      </c>
    </row>
    <row r="1586" spans="1:4" x14ac:dyDescent="0.25">
      <c r="A1586" s="222" t="s">
        <v>6681</v>
      </c>
      <c r="B1586" s="222">
        <v>502873</v>
      </c>
      <c r="C1586" s="222" t="s">
        <v>2052</v>
      </c>
      <c r="D1586" s="222" t="s">
        <v>1237</v>
      </c>
    </row>
    <row r="1587" spans="1:4" x14ac:dyDescent="0.25">
      <c r="A1587" s="222" t="s">
        <v>6680</v>
      </c>
      <c r="B1587" s="222">
        <v>532145</v>
      </c>
      <c r="C1587" s="222" t="s">
        <v>2052</v>
      </c>
      <c r="D1587" s="222" t="s">
        <v>2128</v>
      </c>
    </row>
    <row r="1588" spans="1:4" x14ac:dyDescent="0.25">
      <c r="A1588" s="222" t="s">
        <v>6679</v>
      </c>
      <c r="B1588" s="222">
        <v>532145</v>
      </c>
      <c r="C1588" s="222" t="s">
        <v>2052</v>
      </c>
      <c r="D1588" s="222" t="s">
        <v>2128</v>
      </c>
    </row>
    <row r="1589" spans="1:4" x14ac:dyDescent="0.25">
      <c r="A1589" s="222" t="s">
        <v>6678</v>
      </c>
      <c r="B1589" s="222">
        <v>539854</v>
      </c>
      <c r="C1589" s="222" t="s">
        <v>2052</v>
      </c>
      <c r="D1589" s="222" t="s">
        <v>731</v>
      </c>
    </row>
    <row r="1590" spans="1:4" x14ac:dyDescent="0.25">
      <c r="A1590" s="222" t="s">
        <v>6677</v>
      </c>
      <c r="B1590" s="222">
        <v>515147</v>
      </c>
      <c r="C1590" s="222" t="s">
        <v>2052</v>
      </c>
      <c r="D1590" s="222" t="s">
        <v>1447</v>
      </c>
    </row>
    <row r="1591" spans="1:4" x14ac:dyDescent="0.25">
      <c r="A1591" s="222" t="s">
        <v>6676</v>
      </c>
      <c r="B1591" s="222">
        <v>509597</v>
      </c>
      <c r="C1591" s="222" t="s">
        <v>2052</v>
      </c>
      <c r="D1591" s="222" t="s">
        <v>722</v>
      </c>
    </row>
    <row r="1592" spans="1:4" x14ac:dyDescent="0.25">
      <c r="A1592" s="222" t="s">
        <v>6675</v>
      </c>
      <c r="B1592" s="222">
        <v>531971</v>
      </c>
      <c r="C1592" s="222" t="s">
        <v>2052</v>
      </c>
      <c r="D1592" s="222" t="s">
        <v>1237</v>
      </c>
    </row>
    <row r="1593" spans="1:4" x14ac:dyDescent="0.25">
      <c r="A1593" s="222" t="s">
        <v>6674</v>
      </c>
      <c r="B1593" s="222">
        <v>538081</v>
      </c>
      <c r="C1593" s="222" t="s">
        <v>2052</v>
      </c>
      <c r="D1593" s="222" t="s">
        <v>1237</v>
      </c>
    </row>
    <row r="1594" spans="1:4" x14ac:dyDescent="0.25">
      <c r="A1594" s="222" t="s">
        <v>6673</v>
      </c>
      <c r="B1594" s="222">
        <v>512604</v>
      </c>
      <c r="C1594" s="222" t="s">
        <v>2052</v>
      </c>
      <c r="D1594" s="222" t="s">
        <v>1364</v>
      </c>
    </row>
    <row r="1595" spans="1:4" x14ac:dyDescent="0.25">
      <c r="A1595" s="222" t="s">
        <v>6672</v>
      </c>
      <c r="B1595" s="222">
        <v>542682</v>
      </c>
      <c r="C1595" s="222" t="s">
        <v>6671</v>
      </c>
      <c r="D1595" s="222" t="s">
        <v>832</v>
      </c>
    </row>
    <row r="1596" spans="1:4" x14ac:dyDescent="0.25">
      <c r="A1596" s="222" t="s">
        <v>6670</v>
      </c>
      <c r="B1596" s="222">
        <v>590043</v>
      </c>
      <c r="C1596" s="222" t="s">
        <v>6669</v>
      </c>
      <c r="D1596" s="222" t="s">
        <v>1306</v>
      </c>
    </row>
    <row r="1597" spans="1:4" x14ac:dyDescent="0.25">
      <c r="A1597" s="222" t="s">
        <v>6668</v>
      </c>
      <c r="B1597" s="222">
        <v>506024</v>
      </c>
      <c r="C1597" s="222" t="s">
        <v>2052</v>
      </c>
      <c r="D1597" s="222" t="s">
        <v>2167</v>
      </c>
    </row>
    <row r="1598" spans="1:4" x14ac:dyDescent="0.25">
      <c r="A1598" s="222" t="s">
        <v>6667</v>
      </c>
      <c r="B1598" s="222">
        <v>526931</v>
      </c>
      <c r="C1598" s="222" t="s">
        <v>2052</v>
      </c>
      <c r="D1598" s="222" t="s">
        <v>1395</v>
      </c>
    </row>
    <row r="1599" spans="1:4" x14ac:dyDescent="0.25">
      <c r="A1599" s="222" t="s">
        <v>6666</v>
      </c>
      <c r="B1599" s="222">
        <v>530055</v>
      </c>
      <c r="C1599" s="222" t="s">
        <v>2052</v>
      </c>
      <c r="D1599" s="222" t="s">
        <v>2068</v>
      </c>
    </row>
    <row r="1600" spans="1:4" x14ac:dyDescent="0.25">
      <c r="A1600" s="222" t="s">
        <v>6665</v>
      </c>
      <c r="B1600" s="222">
        <v>500467</v>
      </c>
      <c r="C1600" s="222" t="s">
        <v>6664</v>
      </c>
      <c r="D1600" s="222" t="s">
        <v>1410</v>
      </c>
    </row>
    <row r="1601" spans="1:4" x14ac:dyDescent="0.25">
      <c r="A1601" s="222" t="s">
        <v>6663</v>
      </c>
      <c r="B1601" s="222">
        <v>532855</v>
      </c>
      <c r="C1601" s="222" t="s">
        <v>2052</v>
      </c>
      <c r="D1601" s="222" t="s">
        <v>2108</v>
      </c>
    </row>
    <row r="1602" spans="1:4" x14ac:dyDescent="0.25">
      <c r="A1602" s="222" t="s">
        <v>6662</v>
      </c>
      <c r="B1602" s="222">
        <v>530927</v>
      </c>
      <c r="C1602" s="222" t="s">
        <v>2052</v>
      </c>
      <c r="D1602" s="222" t="s">
        <v>2680</v>
      </c>
    </row>
    <row r="1603" spans="1:4" x14ac:dyDescent="0.25">
      <c r="A1603" s="222" t="s">
        <v>6661</v>
      </c>
      <c r="B1603" s="222">
        <v>524080</v>
      </c>
      <c r="C1603" s="222" t="s">
        <v>2052</v>
      </c>
      <c r="D1603" s="222" t="s">
        <v>998</v>
      </c>
    </row>
    <row r="1604" spans="1:4" x14ac:dyDescent="0.25">
      <c r="A1604" s="222" t="s">
        <v>6660</v>
      </c>
      <c r="B1604" s="222">
        <v>780014</v>
      </c>
      <c r="C1604" s="222" t="s">
        <v>2052</v>
      </c>
      <c r="D1604" s="222" t="s">
        <v>2197</v>
      </c>
    </row>
    <row r="1605" spans="1:4" x14ac:dyDescent="0.25">
      <c r="A1605" s="222" t="s">
        <v>6659</v>
      </c>
      <c r="B1605" s="222">
        <v>531387</v>
      </c>
      <c r="C1605" s="222" t="s">
        <v>2052</v>
      </c>
      <c r="D1605" s="222" t="s">
        <v>1321</v>
      </c>
    </row>
    <row r="1606" spans="1:4" x14ac:dyDescent="0.25">
      <c r="A1606" s="222" t="s">
        <v>6658</v>
      </c>
      <c r="B1606" s="222">
        <v>509073</v>
      </c>
      <c r="C1606" s="222" t="s">
        <v>6657</v>
      </c>
      <c r="D1606" s="222" t="s">
        <v>6656</v>
      </c>
    </row>
    <row r="1607" spans="1:4" x14ac:dyDescent="0.25">
      <c r="A1607" s="222" t="s">
        <v>6655</v>
      </c>
      <c r="B1607" s="222">
        <v>533162</v>
      </c>
      <c r="C1607" s="222" t="s">
        <v>6654</v>
      </c>
      <c r="D1607" s="222" t="s">
        <v>2079</v>
      </c>
    </row>
    <row r="1608" spans="1:4" x14ac:dyDescent="0.25">
      <c r="A1608" s="222" t="s">
        <v>6653</v>
      </c>
      <c r="B1608" s="222">
        <v>531531</v>
      </c>
      <c r="C1608" s="222" t="s">
        <v>6652</v>
      </c>
      <c r="D1608" s="222" t="s">
        <v>1161</v>
      </c>
    </row>
    <row r="1609" spans="1:4" x14ac:dyDescent="0.25">
      <c r="A1609" s="222" t="s">
        <v>6651</v>
      </c>
      <c r="B1609" s="222">
        <v>517354</v>
      </c>
      <c r="C1609" s="222" t="s">
        <v>6649</v>
      </c>
      <c r="D1609" s="222" t="s">
        <v>1275</v>
      </c>
    </row>
    <row r="1610" spans="1:4" x14ac:dyDescent="0.25">
      <c r="A1610" s="222" t="s">
        <v>6650</v>
      </c>
      <c r="B1610" s="222">
        <v>517354</v>
      </c>
      <c r="C1610" s="222" t="s">
        <v>6649</v>
      </c>
      <c r="D1610" s="222" t="s">
        <v>1275</v>
      </c>
    </row>
    <row r="1611" spans="1:4" x14ac:dyDescent="0.25">
      <c r="A1611" s="222" t="s">
        <v>6648</v>
      </c>
      <c r="B1611" s="222">
        <v>539176</v>
      </c>
      <c r="C1611" s="222" t="s">
        <v>2052</v>
      </c>
      <c r="D1611" s="222" t="s">
        <v>832</v>
      </c>
    </row>
    <row r="1612" spans="1:4" x14ac:dyDescent="0.25">
      <c r="A1612" s="222" t="s">
        <v>6647</v>
      </c>
      <c r="B1612" s="222">
        <v>508486</v>
      </c>
      <c r="C1612" s="222" t="s">
        <v>2052</v>
      </c>
      <c r="D1612" s="222" t="s">
        <v>822</v>
      </c>
    </row>
    <row r="1613" spans="1:4" x14ac:dyDescent="0.25">
      <c r="A1613" s="222" t="s">
        <v>6646</v>
      </c>
      <c r="B1613" s="222">
        <v>532467</v>
      </c>
      <c r="C1613" s="222" t="s">
        <v>2052</v>
      </c>
      <c r="D1613" s="222" t="s">
        <v>2264</v>
      </c>
    </row>
    <row r="1614" spans="1:4" x14ac:dyDescent="0.25">
      <c r="A1614" s="222" t="s">
        <v>6645</v>
      </c>
      <c r="B1614" s="222">
        <v>532334</v>
      </c>
      <c r="C1614" s="222" t="s">
        <v>2052</v>
      </c>
      <c r="D1614" s="222" t="s">
        <v>1243</v>
      </c>
    </row>
    <row r="1615" spans="1:4" x14ac:dyDescent="0.25">
      <c r="A1615" s="222" t="s">
        <v>6644</v>
      </c>
      <c r="B1615" s="222">
        <v>508956</v>
      </c>
      <c r="C1615" s="222" t="s">
        <v>2052</v>
      </c>
      <c r="D1615" s="222" t="s">
        <v>1321</v>
      </c>
    </row>
    <row r="1616" spans="1:4" x14ac:dyDescent="0.25">
      <c r="A1616" s="222" t="s">
        <v>6643</v>
      </c>
      <c r="B1616" s="222">
        <v>532333</v>
      </c>
      <c r="C1616" s="222" t="s">
        <v>2052</v>
      </c>
      <c r="D1616" s="222" t="s">
        <v>1262</v>
      </c>
    </row>
    <row r="1617" spans="1:4" x14ac:dyDescent="0.25">
      <c r="A1617" s="222" t="s">
        <v>6642</v>
      </c>
      <c r="B1617" s="222">
        <v>532216</v>
      </c>
      <c r="C1617" s="222" t="s">
        <v>6641</v>
      </c>
      <c r="D1617" s="222" t="s">
        <v>1321</v>
      </c>
    </row>
    <row r="1618" spans="1:4" x14ac:dyDescent="0.25">
      <c r="A1618" s="222" t="s">
        <v>6640</v>
      </c>
      <c r="B1618" s="222">
        <v>517271</v>
      </c>
      <c r="C1618" s="222" t="s">
        <v>6639</v>
      </c>
      <c r="D1618" s="222" t="s">
        <v>1275</v>
      </c>
    </row>
    <row r="1619" spans="1:4" x14ac:dyDescent="0.25">
      <c r="A1619" s="222" t="s">
        <v>6638</v>
      </c>
      <c r="B1619" s="222">
        <v>539224</v>
      </c>
      <c r="C1619" s="222" t="s">
        <v>2052</v>
      </c>
      <c r="D1619" s="222" t="s">
        <v>1318</v>
      </c>
    </row>
    <row r="1620" spans="1:4" x14ac:dyDescent="0.25">
      <c r="A1620" s="222" t="s">
        <v>6637</v>
      </c>
      <c r="B1620" s="222">
        <v>500179</v>
      </c>
      <c r="C1620" s="222" t="s">
        <v>6636</v>
      </c>
      <c r="D1620" s="222" t="s">
        <v>1997</v>
      </c>
    </row>
    <row r="1621" spans="1:4" x14ac:dyDescent="0.25">
      <c r="A1621" s="222" t="s">
        <v>6635</v>
      </c>
      <c r="B1621" s="222">
        <v>532281</v>
      </c>
      <c r="C1621" s="222" t="s">
        <v>6634</v>
      </c>
      <c r="D1621" s="222" t="s">
        <v>1265</v>
      </c>
    </row>
    <row r="1622" spans="1:4" x14ac:dyDescent="0.25">
      <c r="A1622" s="222" t="s">
        <v>6633</v>
      </c>
      <c r="B1622" s="222">
        <v>541729</v>
      </c>
      <c r="C1622" s="222" t="s">
        <v>6632</v>
      </c>
      <c r="D1622" s="222" t="s">
        <v>1254</v>
      </c>
    </row>
    <row r="1623" spans="1:4" x14ac:dyDescent="0.25">
      <c r="A1623" s="222" t="s">
        <v>6631</v>
      </c>
      <c r="B1623" s="222">
        <v>500180</v>
      </c>
      <c r="C1623" s="222" t="s">
        <v>6630</v>
      </c>
      <c r="D1623" s="222" t="s">
        <v>1240</v>
      </c>
    </row>
    <row r="1624" spans="1:4" x14ac:dyDescent="0.25">
      <c r="A1624" s="222" t="s">
        <v>6629</v>
      </c>
      <c r="B1624" s="222">
        <v>533230</v>
      </c>
      <c r="C1624" s="222" t="s">
        <v>6628</v>
      </c>
      <c r="D1624" s="222" t="s">
        <v>1262</v>
      </c>
    </row>
    <row r="1625" spans="1:4" x14ac:dyDescent="0.25">
      <c r="A1625" s="222" t="s">
        <v>6627</v>
      </c>
      <c r="B1625" s="222">
        <v>540777</v>
      </c>
      <c r="C1625" s="222" t="s">
        <v>6626</v>
      </c>
      <c r="D1625" s="222" t="s">
        <v>746</v>
      </c>
    </row>
    <row r="1626" spans="1:4" x14ac:dyDescent="0.25">
      <c r="A1626" s="222" t="s">
        <v>6625</v>
      </c>
      <c r="B1626" s="222">
        <v>539787</v>
      </c>
      <c r="C1626" s="222" t="s">
        <v>6624</v>
      </c>
      <c r="D1626" s="222" t="s">
        <v>1297</v>
      </c>
    </row>
    <row r="1627" spans="1:4" x14ac:dyDescent="0.25">
      <c r="A1627" s="222" t="s">
        <v>6623</v>
      </c>
      <c r="B1627" s="222">
        <v>503689</v>
      </c>
      <c r="C1627" s="222" t="s">
        <v>2052</v>
      </c>
      <c r="D1627" s="222" t="s">
        <v>2068</v>
      </c>
    </row>
    <row r="1628" spans="1:4" x14ac:dyDescent="0.25">
      <c r="A1628" s="222" t="s">
        <v>6622</v>
      </c>
      <c r="B1628" s="222" t="s">
        <v>2052</v>
      </c>
      <c r="C1628" s="222" t="s">
        <v>6621</v>
      </c>
      <c r="D1628" s="222" t="s">
        <v>2050</v>
      </c>
    </row>
    <row r="1629" spans="1:4" x14ac:dyDescent="0.25">
      <c r="A1629" s="222" t="s">
        <v>6620</v>
      </c>
      <c r="B1629" s="222">
        <v>526967</v>
      </c>
      <c r="C1629" s="222" t="s">
        <v>2052</v>
      </c>
      <c r="D1629" s="222" t="s">
        <v>2167</v>
      </c>
    </row>
    <row r="1630" spans="1:4" x14ac:dyDescent="0.25">
      <c r="A1630" s="222" t="s">
        <v>6619</v>
      </c>
      <c r="B1630" s="222">
        <v>509631</v>
      </c>
      <c r="C1630" s="222" t="s">
        <v>6618</v>
      </c>
      <c r="D1630" s="222" t="s">
        <v>1395</v>
      </c>
    </row>
    <row r="1631" spans="1:4" x14ac:dyDescent="0.25">
      <c r="A1631" s="222" t="s">
        <v>6617</v>
      </c>
      <c r="B1631" s="222">
        <v>500292</v>
      </c>
      <c r="C1631" s="222" t="s">
        <v>6615</v>
      </c>
      <c r="D1631" s="222" t="s">
        <v>1004</v>
      </c>
    </row>
    <row r="1632" spans="1:4" x14ac:dyDescent="0.25">
      <c r="A1632" s="222" t="s">
        <v>6616</v>
      </c>
      <c r="B1632" s="222">
        <v>500292</v>
      </c>
      <c r="C1632" s="222" t="s">
        <v>6615</v>
      </c>
      <c r="D1632" s="222" t="s">
        <v>1004</v>
      </c>
    </row>
    <row r="1633" spans="1:4" x14ac:dyDescent="0.25">
      <c r="A1633" s="222" t="s">
        <v>6614</v>
      </c>
      <c r="B1633" s="222">
        <v>539174</v>
      </c>
      <c r="C1633" s="222" t="s">
        <v>6613</v>
      </c>
      <c r="D1633" s="222" t="s">
        <v>1321</v>
      </c>
    </row>
    <row r="1634" spans="1:4" x14ac:dyDescent="0.25">
      <c r="A1634" s="222" t="s">
        <v>6612</v>
      </c>
      <c r="B1634" s="222">
        <v>505520</v>
      </c>
      <c r="C1634" s="222" t="s">
        <v>2052</v>
      </c>
      <c r="D1634" s="222" t="s">
        <v>2068</v>
      </c>
    </row>
    <row r="1635" spans="1:4" x14ac:dyDescent="0.25">
      <c r="A1635" s="222" t="s">
        <v>6611</v>
      </c>
      <c r="B1635" s="222">
        <v>531178</v>
      </c>
      <c r="C1635" s="222" t="s">
        <v>2052</v>
      </c>
      <c r="D1635" s="222" t="s">
        <v>1529</v>
      </c>
    </row>
    <row r="1636" spans="1:4" x14ac:dyDescent="0.25">
      <c r="A1636" s="222" t="s">
        <v>6610</v>
      </c>
      <c r="B1636" s="222">
        <v>524590</v>
      </c>
      <c r="C1636" s="222" t="s">
        <v>2052</v>
      </c>
      <c r="D1636" s="222" t="s">
        <v>1529</v>
      </c>
    </row>
    <row r="1637" spans="1:4" x14ac:dyDescent="0.25">
      <c r="A1637" s="222" t="s">
        <v>6609</v>
      </c>
      <c r="B1637" s="222">
        <v>505720</v>
      </c>
      <c r="C1637" s="222" t="s">
        <v>6608</v>
      </c>
      <c r="D1637" s="222" t="s">
        <v>832</v>
      </c>
    </row>
    <row r="1638" spans="1:4" x14ac:dyDescent="0.25">
      <c r="A1638" s="222" t="s">
        <v>6607</v>
      </c>
      <c r="B1638" s="222">
        <v>519552</v>
      </c>
      <c r="C1638" s="222" t="s">
        <v>6606</v>
      </c>
      <c r="D1638" s="222" t="s">
        <v>1161</v>
      </c>
    </row>
    <row r="1639" spans="1:4" x14ac:dyDescent="0.25">
      <c r="A1639" s="222" t="s">
        <v>6605</v>
      </c>
      <c r="B1639" s="222">
        <v>500182</v>
      </c>
      <c r="C1639" s="222" t="s">
        <v>6604</v>
      </c>
      <c r="D1639" s="222" t="s">
        <v>2582</v>
      </c>
    </row>
    <row r="1640" spans="1:4" x14ac:dyDescent="0.25">
      <c r="A1640" s="222" t="s">
        <v>6603</v>
      </c>
      <c r="B1640" s="222">
        <v>524669</v>
      </c>
      <c r="C1640" s="222" t="s">
        <v>6602</v>
      </c>
      <c r="D1640" s="222" t="s">
        <v>789</v>
      </c>
    </row>
    <row r="1641" spans="1:4" x14ac:dyDescent="0.25">
      <c r="A1641" s="222" t="s">
        <v>6601</v>
      </c>
      <c r="B1641" s="222">
        <v>534328</v>
      </c>
      <c r="C1641" s="222" t="s">
        <v>6600</v>
      </c>
      <c r="D1641" s="222" t="s">
        <v>1529</v>
      </c>
    </row>
    <row r="1642" spans="1:4" x14ac:dyDescent="0.25">
      <c r="A1642" s="222" t="s">
        <v>6599</v>
      </c>
      <c r="B1642" s="222">
        <v>532129</v>
      </c>
      <c r="C1642" s="222" t="s">
        <v>6598</v>
      </c>
      <c r="D1642" s="222" t="s">
        <v>1265</v>
      </c>
    </row>
    <row r="1643" spans="1:4" x14ac:dyDescent="0.25">
      <c r="A1643" s="222" t="s">
        <v>6597</v>
      </c>
      <c r="B1643" s="222">
        <v>504176</v>
      </c>
      <c r="C1643" s="222" t="s">
        <v>2052</v>
      </c>
      <c r="D1643" s="222" t="s">
        <v>2696</v>
      </c>
    </row>
    <row r="1644" spans="1:4" x14ac:dyDescent="0.25">
      <c r="A1644" s="222" t="s">
        <v>6596</v>
      </c>
      <c r="B1644" s="222">
        <v>504176</v>
      </c>
      <c r="C1644" s="222" t="s">
        <v>2052</v>
      </c>
      <c r="D1644" s="222" t="s">
        <v>2696</v>
      </c>
    </row>
    <row r="1645" spans="1:4" x14ac:dyDescent="0.25">
      <c r="A1645" s="222" t="s">
        <v>6595</v>
      </c>
      <c r="B1645" s="222">
        <v>517080</v>
      </c>
      <c r="C1645" s="222" t="s">
        <v>6594</v>
      </c>
      <c r="D1645" s="222" t="s">
        <v>1248</v>
      </c>
    </row>
    <row r="1646" spans="1:4" x14ac:dyDescent="0.25">
      <c r="A1646" s="222" t="s">
        <v>6593</v>
      </c>
      <c r="B1646" s="222">
        <v>531301</v>
      </c>
      <c r="C1646" s="222" t="s">
        <v>2052</v>
      </c>
      <c r="D1646" s="222" t="s">
        <v>1237</v>
      </c>
    </row>
    <row r="1647" spans="1:4" x14ac:dyDescent="0.25">
      <c r="A1647" s="222" t="s">
        <v>6592</v>
      </c>
      <c r="B1647" s="222">
        <v>524735</v>
      </c>
      <c r="C1647" s="222" t="s">
        <v>6591</v>
      </c>
      <c r="D1647" s="222" t="s">
        <v>789</v>
      </c>
    </row>
    <row r="1648" spans="1:4" x14ac:dyDescent="0.25">
      <c r="A1648" s="222" t="s">
        <v>6590</v>
      </c>
      <c r="B1648" s="222">
        <v>542332</v>
      </c>
      <c r="C1648" s="222" t="s">
        <v>6589</v>
      </c>
      <c r="D1648" s="222" t="s">
        <v>1262</v>
      </c>
    </row>
    <row r="1649" spans="1:4" x14ac:dyDescent="0.25">
      <c r="A1649" s="222" t="s">
        <v>6588</v>
      </c>
      <c r="B1649" s="222">
        <v>509675</v>
      </c>
      <c r="C1649" s="222" t="s">
        <v>6587</v>
      </c>
      <c r="D1649" s="222" t="s">
        <v>1004</v>
      </c>
    </row>
    <row r="1650" spans="1:4" x14ac:dyDescent="0.25">
      <c r="A1650" s="222" t="s">
        <v>6586</v>
      </c>
      <c r="B1650" s="222">
        <v>532847</v>
      </c>
      <c r="C1650" s="222" t="s">
        <v>6585</v>
      </c>
      <c r="D1650" s="222" t="s">
        <v>1313</v>
      </c>
    </row>
    <row r="1651" spans="1:4" x14ac:dyDescent="0.25">
      <c r="A1651" s="222" t="s">
        <v>6584</v>
      </c>
      <c r="B1651" s="222">
        <v>505712</v>
      </c>
      <c r="C1651" s="222" t="s">
        <v>2052</v>
      </c>
      <c r="D1651" s="222" t="s">
        <v>1306</v>
      </c>
    </row>
    <row r="1652" spans="1:4" x14ac:dyDescent="0.25">
      <c r="A1652" s="222" t="s">
        <v>6583</v>
      </c>
      <c r="B1652" s="222">
        <v>514010</v>
      </c>
      <c r="C1652" s="222" t="s">
        <v>2052</v>
      </c>
      <c r="D1652" s="222" t="s">
        <v>1237</v>
      </c>
    </row>
    <row r="1653" spans="1:4" x14ac:dyDescent="0.25">
      <c r="A1653" s="222" t="s">
        <v>6582</v>
      </c>
      <c r="B1653" s="222">
        <v>500183</v>
      </c>
      <c r="C1653" s="222" t="s">
        <v>6581</v>
      </c>
      <c r="D1653" s="222" t="s">
        <v>2307</v>
      </c>
    </row>
    <row r="1654" spans="1:4" x14ac:dyDescent="0.25">
      <c r="A1654" s="222" t="s">
        <v>6580</v>
      </c>
      <c r="B1654" s="222">
        <v>500184</v>
      </c>
      <c r="C1654" s="222" t="s">
        <v>6579</v>
      </c>
      <c r="D1654" s="222" t="s">
        <v>722</v>
      </c>
    </row>
    <row r="1655" spans="1:4" x14ac:dyDescent="0.25">
      <c r="A1655" s="222" t="s">
        <v>6578</v>
      </c>
      <c r="B1655" s="222">
        <v>526899</v>
      </c>
      <c r="C1655" s="222" t="s">
        <v>2052</v>
      </c>
      <c r="D1655" s="222" t="s">
        <v>731</v>
      </c>
    </row>
    <row r="1656" spans="1:4" x14ac:dyDescent="0.25">
      <c r="A1656" s="222" t="s">
        <v>6577</v>
      </c>
      <c r="B1656" s="222">
        <v>513723</v>
      </c>
      <c r="C1656" s="222" t="s">
        <v>2052</v>
      </c>
      <c r="D1656" s="222" t="s">
        <v>2357</v>
      </c>
    </row>
    <row r="1657" spans="1:4" x14ac:dyDescent="0.25">
      <c r="A1657" s="222" t="s">
        <v>6576</v>
      </c>
      <c r="B1657" s="222">
        <v>511169</v>
      </c>
      <c r="C1657" s="222" t="s">
        <v>2052</v>
      </c>
      <c r="D1657" s="222" t="s">
        <v>1321</v>
      </c>
    </row>
    <row r="1658" spans="1:4" x14ac:dyDescent="0.25">
      <c r="A1658" s="222" t="s">
        <v>6575</v>
      </c>
      <c r="B1658" s="222">
        <v>514043</v>
      </c>
      <c r="C1658" s="222" t="s">
        <v>6574</v>
      </c>
      <c r="D1658" s="222" t="s">
        <v>1237</v>
      </c>
    </row>
    <row r="1659" spans="1:4" x14ac:dyDescent="0.25">
      <c r="A1659" s="222" t="s">
        <v>6573</v>
      </c>
      <c r="B1659" s="222">
        <v>531979</v>
      </c>
      <c r="C1659" s="222" t="s">
        <v>2052</v>
      </c>
      <c r="D1659" s="222" t="s">
        <v>2490</v>
      </c>
    </row>
    <row r="1660" spans="1:4" x14ac:dyDescent="0.25">
      <c r="A1660" s="222" t="s">
        <v>6572</v>
      </c>
      <c r="B1660" s="222">
        <v>538652</v>
      </c>
      <c r="C1660" s="222" t="s">
        <v>2052</v>
      </c>
      <c r="D1660" s="222" t="s">
        <v>1529</v>
      </c>
    </row>
    <row r="1661" spans="1:4" x14ac:dyDescent="0.25">
      <c r="A1661" s="222" t="s">
        <v>6571</v>
      </c>
      <c r="B1661" s="222">
        <v>504036</v>
      </c>
      <c r="C1661" s="222" t="s">
        <v>6570</v>
      </c>
      <c r="D1661" s="222" t="s">
        <v>2062</v>
      </c>
    </row>
    <row r="1662" spans="1:4" x14ac:dyDescent="0.25">
      <c r="A1662" s="222" t="s">
        <v>6569</v>
      </c>
      <c r="B1662" s="222">
        <v>539114</v>
      </c>
      <c r="C1662" s="222" t="s">
        <v>2052</v>
      </c>
      <c r="D1662" s="222" t="s">
        <v>1321</v>
      </c>
    </row>
    <row r="1663" spans="1:4" x14ac:dyDescent="0.25">
      <c r="A1663" s="222" t="s">
        <v>6568</v>
      </c>
      <c r="B1663" s="222">
        <v>503881</v>
      </c>
      <c r="C1663" s="222" t="s">
        <v>6567</v>
      </c>
      <c r="D1663" s="222" t="s">
        <v>1237</v>
      </c>
    </row>
    <row r="1664" spans="1:4" x14ac:dyDescent="0.25">
      <c r="A1664" s="222" t="s">
        <v>6566</v>
      </c>
      <c r="B1664" s="222">
        <v>500440</v>
      </c>
      <c r="C1664" s="222" t="s">
        <v>6565</v>
      </c>
      <c r="D1664" s="222" t="s">
        <v>2490</v>
      </c>
    </row>
    <row r="1665" spans="1:4" x14ac:dyDescent="0.25">
      <c r="A1665" s="222" t="s">
        <v>6564</v>
      </c>
      <c r="B1665" s="222" t="s">
        <v>2052</v>
      </c>
      <c r="C1665" s="222" t="s">
        <v>6563</v>
      </c>
      <c r="D1665" s="222" t="s">
        <v>2050</v>
      </c>
    </row>
    <row r="1666" spans="1:4" x14ac:dyDescent="0.25">
      <c r="A1666" s="222" t="s">
        <v>6562</v>
      </c>
      <c r="B1666" s="222">
        <v>509895</v>
      </c>
      <c r="C1666" s="222" t="s">
        <v>2052</v>
      </c>
      <c r="D1666" s="222" t="s">
        <v>1237</v>
      </c>
    </row>
    <row r="1667" spans="1:4" x14ac:dyDescent="0.25">
      <c r="A1667" s="222" t="s">
        <v>6561</v>
      </c>
      <c r="B1667" s="222">
        <v>532859</v>
      </c>
      <c r="C1667" s="222" t="s">
        <v>6560</v>
      </c>
      <c r="D1667" s="222" t="s">
        <v>2120</v>
      </c>
    </row>
    <row r="1668" spans="1:4" x14ac:dyDescent="0.25">
      <c r="A1668" s="222" t="s">
        <v>6559</v>
      </c>
      <c r="B1668" s="222">
        <v>500189</v>
      </c>
      <c r="C1668" s="222" t="s">
        <v>6558</v>
      </c>
      <c r="D1668" s="222" t="s">
        <v>2079</v>
      </c>
    </row>
    <row r="1669" spans="1:4" x14ac:dyDescent="0.25">
      <c r="A1669" s="222" t="s">
        <v>6557</v>
      </c>
      <c r="B1669" s="222">
        <v>514428</v>
      </c>
      <c r="C1669" s="222" t="s">
        <v>2052</v>
      </c>
      <c r="D1669" s="222" t="s">
        <v>1251</v>
      </c>
    </row>
    <row r="1670" spans="1:4" x14ac:dyDescent="0.25">
      <c r="A1670" s="222" t="s">
        <v>33</v>
      </c>
      <c r="B1670" s="222">
        <v>541154</v>
      </c>
      <c r="C1670" s="222" t="s">
        <v>6556</v>
      </c>
      <c r="D1670" s="222" t="s">
        <v>2946</v>
      </c>
    </row>
    <row r="1671" spans="1:4" x14ac:dyDescent="0.25">
      <c r="A1671" s="222" t="s">
        <v>6555</v>
      </c>
      <c r="B1671" s="222">
        <v>531918</v>
      </c>
      <c r="C1671" s="222" t="s">
        <v>2052</v>
      </c>
      <c r="D1671" s="222" t="s">
        <v>1529</v>
      </c>
    </row>
    <row r="1672" spans="1:4" x14ac:dyDescent="0.25">
      <c r="A1672" s="222" t="s">
        <v>6554</v>
      </c>
      <c r="B1672" s="222">
        <v>532041</v>
      </c>
      <c r="C1672" s="222" t="s">
        <v>6553</v>
      </c>
      <c r="D1672" s="222" t="s">
        <v>1942</v>
      </c>
    </row>
    <row r="1673" spans="1:4" x14ac:dyDescent="0.25">
      <c r="A1673" s="222" t="s">
        <v>6552</v>
      </c>
      <c r="B1673" s="222">
        <v>509635</v>
      </c>
      <c r="C1673" s="222" t="s">
        <v>6551</v>
      </c>
      <c r="D1673" s="222" t="s">
        <v>1306</v>
      </c>
    </row>
    <row r="1674" spans="1:4" x14ac:dyDescent="0.25">
      <c r="A1674" s="222" t="s">
        <v>6550</v>
      </c>
      <c r="B1674" s="222">
        <v>500185</v>
      </c>
      <c r="C1674" s="222" t="s">
        <v>6549</v>
      </c>
      <c r="D1674" s="222" t="s">
        <v>1248</v>
      </c>
    </row>
    <row r="1675" spans="1:4" x14ac:dyDescent="0.25">
      <c r="A1675" s="222" t="s">
        <v>6548</v>
      </c>
      <c r="B1675" s="222">
        <v>513599</v>
      </c>
      <c r="C1675" s="222" t="s">
        <v>6547</v>
      </c>
      <c r="D1675" s="222" t="s">
        <v>3661</v>
      </c>
    </row>
    <row r="1676" spans="1:4" x14ac:dyDescent="0.25">
      <c r="A1676" s="222" t="s">
        <v>6546</v>
      </c>
      <c r="B1676" s="222">
        <v>505725</v>
      </c>
      <c r="C1676" s="222" t="s">
        <v>6545</v>
      </c>
      <c r="D1676" s="222" t="s">
        <v>1395</v>
      </c>
    </row>
    <row r="1677" spans="1:4" x14ac:dyDescent="0.25">
      <c r="A1677" s="222" t="s">
        <v>6544</v>
      </c>
      <c r="B1677" s="222">
        <v>524013</v>
      </c>
      <c r="C1677" s="222" t="s">
        <v>2052</v>
      </c>
      <c r="D1677" s="222" t="s">
        <v>2299</v>
      </c>
    </row>
    <row r="1678" spans="1:4" x14ac:dyDescent="0.25">
      <c r="A1678" s="222" t="s">
        <v>6543</v>
      </c>
      <c r="B1678" s="222">
        <v>519126</v>
      </c>
      <c r="C1678" s="222" t="s">
        <v>2052</v>
      </c>
      <c r="D1678" s="222" t="s">
        <v>1161</v>
      </c>
    </row>
    <row r="1679" spans="1:4" x14ac:dyDescent="0.25">
      <c r="A1679" s="222" t="s">
        <v>6542</v>
      </c>
      <c r="B1679" s="222">
        <v>505893</v>
      </c>
      <c r="C1679" s="222" t="s">
        <v>2052</v>
      </c>
      <c r="D1679" s="222" t="s">
        <v>1306</v>
      </c>
    </row>
    <row r="1680" spans="1:4" x14ac:dyDescent="0.25">
      <c r="A1680" s="222" t="s">
        <v>6541</v>
      </c>
      <c r="B1680" s="222">
        <v>509650</v>
      </c>
      <c r="C1680" s="222" t="s">
        <v>2052</v>
      </c>
      <c r="D1680" s="222" t="s">
        <v>2520</v>
      </c>
    </row>
    <row r="1681" spans="1:4" x14ac:dyDescent="0.25">
      <c r="A1681" s="222" t="s">
        <v>6540</v>
      </c>
      <c r="B1681" s="222">
        <v>533217</v>
      </c>
      <c r="C1681" s="222" t="s">
        <v>6539</v>
      </c>
      <c r="D1681" s="222" t="s">
        <v>2784</v>
      </c>
    </row>
    <row r="1682" spans="1:4" x14ac:dyDescent="0.25">
      <c r="A1682" s="222" t="s">
        <v>6538</v>
      </c>
      <c r="B1682" s="222">
        <v>500500</v>
      </c>
      <c r="C1682" s="222" t="s">
        <v>6537</v>
      </c>
      <c r="D1682" s="222" t="s">
        <v>5344</v>
      </c>
    </row>
    <row r="1683" spans="1:4" x14ac:dyDescent="0.25">
      <c r="A1683" s="222" t="s">
        <v>6536</v>
      </c>
      <c r="B1683" s="222">
        <v>500186</v>
      </c>
      <c r="C1683" s="222" t="s">
        <v>6535</v>
      </c>
      <c r="D1683" s="222" t="s">
        <v>3699</v>
      </c>
    </row>
    <row r="1684" spans="1:4" x14ac:dyDescent="0.25">
      <c r="A1684" s="222" t="s">
        <v>6534</v>
      </c>
      <c r="B1684" s="222">
        <v>500449</v>
      </c>
      <c r="C1684" s="222" t="s">
        <v>2052</v>
      </c>
      <c r="D1684" s="222" t="s">
        <v>998</v>
      </c>
    </row>
    <row r="1685" spans="1:4" x14ac:dyDescent="0.25">
      <c r="A1685" s="222" t="s">
        <v>6533</v>
      </c>
      <c r="B1685" s="222">
        <v>500104</v>
      </c>
      <c r="C1685" s="222" t="s">
        <v>6532</v>
      </c>
      <c r="D1685" s="222" t="s">
        <v>3740</v>
      </c>
    </row>
    <row r="1686" spans="1:4" x14ac:dyDescent="0.25">
      <c r="A1686" s="222" t="s">
        <v>6531</v>
      </c>
      <c r="B1686" s="222">
        <v>530315</v>
      </c>
      <c r="C1686" s="222" t="s">
        <v>2052</v>
      </c>
      <c r="D1686" s="222" t="s">
        <v>1447</v>
      </c>
    </row>
    <row r="1687" spans="1:4" x14ac:dyDescent="0.25">
      <c r="A1687" s="222" t="s">
        <v>6530</v>
      </c>
      <c r="B1687" s="222">
        <v>500696</v>
      </c>
      <c r="C1687" s="222" t="s">
        <v>6529</v>
      </c>
      <c r="D1687" s="222" t="s">
        <v>1542</v>
      </c>
    </row>
    <row r="1688" spans="1:4" x14ac:dyDescent="0.25">
      <c r="A1688" s="222" t="s">
        <v>6528</v>
      </c>
      <c r="B1688" s="222">
        <v>504713</v>
      </c>
      <c r="C1688" s="222" t="s">
        <v>2052</v>
      </c>
      <c r="D1688" s="222" t="s">
        <v>1313</v>
      </c>
    </row>
    <row r="1689" spans="1:4" x14ac:dyDescent="0.25">
      <c r="A1689" s="222" t="s">
        <v>6527</v>
      </c>
      <c r="B1689" s="222">
        <v>500188</v>
      </c>
      <c r="C1689" s="222" t="s">
        <v>6526</v>
      </c>
      <c r="D1689" s="222" t="s">
        <v>2384</v>
      </c>
    </row>
    <row r="1690" spans="1:4" x14ac:dyDescent="0.25">
      <c r="A1690" s="222" t="s">
        <v>6525</v>
      </c>
      <c r="B1690" s="222">
        <v>515145</v>
      </c>
      <c r="C1690" s="222" t="s">
        <v>6524</v>
      </c>
      <c r="D1690" s="222" t="s">
        <v>1447</v>
      </c>
    </row>
    <row r="1691" spans="1:4" x14ac:dyDescent="0.25">
      <c r="A1691" s="222" t="s">
        <v>6523</v>
      </c>
      <c r="B1691" s="222">
        <v>513039</v>
      </c>
      <c r="C1691" s="222" t="s">
        <v>2052</v>
      </c>
      <c r="D1691" s="222" t="s">
        <v>832</v>
      </c>
    </row>
    <row r="1692" spans="1:4" x14ac:dyDescent="0.25">
      <c r="A1692" s="222" t="s">
        <v>6522</v>
      </c>
      <c r="B1692" s="222">
        <v>539984</v>
      </c>
      <c r="C1692" s="222" t="s">
        <v>2052</v>
      </c>
      <c r="D1692" s="222" t="s">
        <v>2062</v>
      </c>
    </row>
    <row r="1693" spans="1:4" x14ac:dyDescent="0.25">
      <c r="A1693" s="222" t="s">
        <v>6521</v>
      </c>
      <c r="B1693" s="222">
        <v>530853</v>
      </c>
      <c r="C1693" s="222" t="s">
        <v>2052</v>
      </c>
      <c r="D1693" s="222" t="s">
        <v>1184</v>
      </c>
    </row>
    <row r="1694" spans="1:4" x14ac:dyDescent="0.25">
      <c r="A1694" s="222" t="s">
        <v>6520</v>
      </c>
      <c r="B1694" s="222">
        <v>531743</v>
      </c>
      <c r="C1694" s="222" t="s">
        <v>2052</v>
      </c>
      <c r="D1694" s="222" t="s">
        <v>1529</v>
      </c>
    </row>
    <row r="1695" spans="1:4" x14ac:dyDescent="0.25">
      <c r="A1695" s="222" t="s">
        <v>6519</v>
      </c>
      <c r="B1695" s="222">
        <v>590018</v>
      </c>
      <c r="C1695" s="222" t="s">
        <v>6518</v>
      </c>
      <c r="D1695" s="222" t="s">
        <v>2167</v>
      </c>
    </row>
    <row r="1696" spans="1:4" x14ac:dyDescent="0.25">
      <c r="A1696" s="222" t="s">
        <v>6517</v>
      </c>
      <c r="B1696" s="222">
        <v>521068</v>
      </c>
      <c r="C1696" s="222" t="s">
        <v>2052</v>
      </c>
      <c r="D1696" s="222" t="s">
        <v>1237</v>
      </c>
    </row>
    <row r="1697" spans="1:4" x14ac:dyDescent="0.25">
      <c r="A1697" s="222" t="s">
        <v>6516</v>
      </c>
      <c r="B1697" s="222">
        <v>532359</v>
      </c>
      <c r="C1697" s="222" t="s">
        <v>2052</v>
      </c>
      <c r="D1697" s="222" t="s">
        <v>1942</v>
      </c>
    </row>
    <row r="1698" spans="1:4" x14ac:dyDescent="0.25">
      <c r="A1698" s="222" t="s">
        <v>6515</v>
      </c>
      <c r="B1698" s="222">
        <v>526217</v>
      </c>
      <c r="C1698" s="222" t="s">
        <v>6514</v>
      </c>
      <c r="D1698" s="222" t="s">
        <v>1447</v>
      </c>
    </row>
    <row r="1699" spans="1:4" x14ac:dyDescent="0.25">
      <c r="A1699" s="222" t="s">
        <v>6513</v>
      </c>
      <c r="B1699" s="222" t="s">
        <v>2052</v>
      </c>
      <c r="C1699" s="222" t="s">
        <v>909</v>
      </c>
      <c r="D1699" s="222" t="s">
        <v>2197</v>
      </c>
    </row>
    <row r="1700" spans="1:4" x14ac:dyDescent="0.25">
      <c r="A1700" s="222" t="s">
        <v>6512</v>
      </c>
      <c r="B1700" s="222">
        <v>541627</v>
      </c>
      <c r="C1700" s="222" t="s">
        <v>6511</v>
      </c>
      <c r="D1700" s="222" t="s">
        <v>6510</v>
      </c>
    </row>
    <row r="1701" spans="1:4" x14ac:dyDescent="0.25">
      <c r="A1701" s="222" t="s">
        <v>6509</v>
      </c>
      <c r="B1701" s="222">
        <v>531661</v>
      </c>
      <c r="C1701" s="222" t="s">
        <v>2052</v>
      </c>
      <c r="D1701" s="222" t="s">
        <v>832</v>
      </c>
    </row>
    <row r="1702" spans="1:4" x14ac:dyDescent="0.25">
      <c r="A1702" s="222" t="s">
        <v>6508</v>
      </c>
      <c r="B1702" s="222">
        <v>500191</v>
      </c>
      <c r="C1702" s="222" t="s">
        <v>6507</v>
      </c>
      <c r="D1702" s="222" t="s">
        <v>2450</v>
      </c>
    </row>
    <row r="1703" spans="1:4" x14ac:dyDescent="0.25">
      <c r="A1703" s="222" t="s">
        <v>6506</v>
      </c>
      <c r="B1703" s="222">
        <v>522064</v>
      </c>
      <c r="C1703" s="222" t="s">
        <v>6505</v>
      </c>
      <c r="D1703" s="222" t="s">
        <v>832</v>
      </c>
    </row>
    <row r="1704" spans="1:4" x14ac:dyDescent="0.25">
      <c r="A1704" s="222" t="s">
        <v>6504</v>
      </c>
      <c r="B1704" s="222">
        <v>517174</v>
      </c>
      <c r="C1704" s="222" t="s">
        <v>6502</v>
      </c>
      <c r="D1704" s="222" t="s">
        <v>1275</v>
      </c>
    </row>
    <row r="1705" spans="1:4" x14ac:dyDescent="0.25">
      <c r="A1705" s="222" t="s">
        <v>6503</v>
      </c>
      <c r="B1705" s="222">
        <v>517174</v>
      </c>
      <c r="C1705" s="222" t="s">
        <v>6502</v>
      </c>
      <c r="D1705" s="222" t="s">
        <v>1275</v>
      </c>
    </row>
    <row r="1706" spans="1:4" x14ac:dyDescent="0.25">
      <c r="A1706" s="222" t="s">
        <v>6501</v>
      </c>
      <c r="B1706" s="222">
        <v>500193</v>
      </c>
      <c r="C1706" s="222" t="s">
        <v>6500</v>
      </c>
      <c r="D1706" s="222" t="s">
        <v>2128</v>
      </c>
    </row>
    <row r="1707" spans="1:4" x14ac:dyDescent="0.25">
      <c r="A1707" s="222" t="s">
        <v>6499</v>
      </c>
      <c r="B1707" s="222">
        <v>526683</v>
      </c>
      <c r="C1707" s="222" t="s">
        <v>6498</v>
      </c>
      <c r="D1707" s="222" t="s">
        <v>2128</v>
      </c>
    </row>
    <row r="1708" spans="1:4" x14ac:dyDescent="0.25">
      <c r="A1708" s="222" t="s">
        <v>6497</v>
      </c>
      <c r="B1708" s="222">
        <v>540530</v>
      </c>
      <c r="C1708" s="222" t="s">
        <v>6496</v>
      </c>
      <c r="D1708" s="222" t="s">
        <v>2520</v>
      </c>
    </row>
    <row r="1709" spans="1:4" x14ac:dyDescent="0.25">
      <c r="A1709" s="222" t="s">
        <v>6495</v>
      </c>
      <c r="B1709" s="222">
        <v>532873</v>
      </c>
      <c r="C1709" s="222" t="s">
        <v>6494</v>
      </c>
      <c r="D1709" s="222" t="s">
        <v>1243</v>
      </c>
    </row>
    <row r="1710" spans="1:4" x14ac:dyDescent="0.25">
      <c r="A1710" s="222" t="s">
        <v>6493</v>
      </c>
      <c r="B1710" s="222">
        <v>500010</v>
      </c>
      <c r="C1710" s="222" t="s">
        <v>6492</v>
      </c>
      <c r="D1710" s="222" t="s">
        <v>2520</v>
      </c>
    </row>
    <row r="1711" spans="1:4" x14ac:dyDescent="0.25">
      <c r="A1711" s="222" t="s">
        <v>6491</v>
      </c>
      <c r="B1711" s="222">
        <v>532761</v>
      </c>
      <c r="C1711" s="222" t="s">
        <v>6490</v>
      </c>
      <c r="D1711" s="222" t="s">
        <v>2120</v>
      </c>
    </row>
    <row r="1712" spans="1:4" x14ac:dyDescent="0.25">
      <c r="A1712" s="222" t="s">
        <v>6489</v>
      </c>
      <c r="B1712" s="222">
        <v>526761</v>
      </c>
      <c r="C1712" s="222" t="s">
        <v>2052</v>
      </c>
      <c r="D1712" s="222" t="s">
        <v>2128</v>
      </c>
    </row>
    <row r="1713" spans="1:4" x14ac:dyDescent="0.25">
      <c r="A1713" s="222" t="s">
        <v>6488</v>
      </c>
      <c r="B1713" s="222">
        <v>535217</v>
      </c>
      <c r="C1713" s="222" t="s">
        <v>2052</v>
      </c>
      <c r="D1713" s="222" t="s">
        <v>731</v>
      </c>
    </row>
    <row r="1714" spans="1:4" x14ac:dyDescent="0.25">
      <c r="A1714" s="222" t="s">
        <v>6487</v>
      </c>
      <c r="B1714" s="222">
        <v>540136</v>
      </c>
      <c r="C1714" s="222" t="s">
        <v>6486</v>
      </c>
      <c r="D1714" s="222" t="s">
        <v>1066</v>
      </c>
    </row>
    <row r="1715" spans="1:4" x14ac:dyDescent="0.25">
      <c r="A1715" s="222" t="s">
        <v>6485</v>
      </c>
      <c r="B1715" s="222">
        <v>531724</v>
      </c>
      <c r="C1715" s="222" t="s">
        <v>2052</v>
      </c>
      <c r="D1715" s="222" t="s">
        <v>2068</v>
      </c>
    </row>
    <row r="1716" spans="1:4" x14ac:dyDescent="0.25">
      <c r="A1716" s="222" t="s">
        <v>6484</v>
      </c>
      <c r="B1716" s="222">
        <v>500187</v>
      </c>
      <c r="C1716" s="222" t="s">
        <v>6483</v>
      </c>
      <c r="D1716" s="222" t="s">
        <v>1447</v>
      </c>
    </row>
    <row r="1717" spans="1:4" x14ac:dyDescent="0.25">
      <c r="A1717" s="222" t="s">
        <v>6482</v>
      </c>
      <c r="B1717" s="222">
        <v>532662</v>
      </c>
      <c r="C1717" s="222" t="s">
        <v>6481</v>
      </c>
      <c r="D1717" s="222" t="s">
        <v>2784</v>
      </c>
    </row>
    <row r="1718" spans="1:4" x14ac:dyDescent="0.25">
      <c r="A1718" s="222" t="s">
        <v>6480</v>
      </c>
      <c r="B1718" s="222">
        <v>532799</v>
      </c>
      <c r="C1718" s="222" t="s">
        <v>6479</v>
      </c>
      <c r="D1718" s="222" t="s">
        <v>1243</v>
      </c>
    </row>
    <row r="1719" spans="1:4" x14ac:dyDescent="0.25">
      <c r="A1719" s="222" t="s">
        <v>6478</v>
      </c>
      <c r="B1719" s="222">
        <v>509820</v>
      </c>
      <c r="C1719" s="222" t="s">
        <v>6477</v>
      </c>
      <c r="D1719" s="222" t="s">
        <v>1447</v>
      </c>
    </row>
    <row r="1720" spans="1:4" x14ac:dyDescent="0.25">
      <c r="A1720" s="222" t="s">
        <v>6476</v>
      </c>
      <c r="B1720" s="222">
        <v>542592</v>
      </c>
      <c r="C1720" s="222" t="s">
        <v>6475</v>
      </c>
      <c r="D1720" s="222" t="s">
        <v>854</v>
      </c>
    </row>
    <row r="1721" spans="1:4" x14ac:dyDescent="0.25">
      <c r="A1721" s="222" t="s">
        <v>6474</v>
      </c>
      <c r="B1721" s="222" t="s">
        <v>2052</v>
      </c>
      <c r="C1721" s="222" t="s">
        <v>6473</v>
      </c>
      <c r="D1721" s="222" t="s">
        <v>2050</v>
      </c>
    </row>
    <row r="1722" spans="1:4" x14ac:dyDescent="0.25">
      <c r="A1722" s="222" t="s">
        <v>6472</v>
      </c>
      <c r="B1722" s="222">
        <v>539724</v>
      </c>
      <c r="C1722" s="222" t="s">
        <v>2052</v>
      </c>
      <c r="D1722" s="222" t="s">
        <v>1265</v>
      </c>
    </row>
    <row r="1723" spans="1:4" x14ac:dyDescent="0.25">
      <c r="A1723" s="222" t="s">
        <v>6471</v>
      </c>
      <c r="B1723" s="222">
        <v>519463</v>
      </c>
      <c r="C1723" s="222" t="s">
        <v>2052</v>
      </c>
      <c r="D1723" s="222" t="s">
        <v>731</v>
      </c>
    </row>
    <row r="1724" spans="1:4" x14ac:dyDescent="0.25">
      <c r="A1724" s="222" t="s">
        <v>6470</v>
      </c>
      <c r="B1724" s="222" t="s">
        <v>2052</v>
      </c>
      <c r="C1724" s="222" t="s">
        <v>6469</v>
      </c>
      <c r="D1724" s="222" t="s">
        <v>2050</v>
      </c>
    </row>
    <row r="1725" spans="1:4" x14ac:dyDescent="0.25">
      <c r="A1725" s="222" t="s">
        <v>6468</v>
      </c>
      <c r="B1725" s="222">
        <v>532174</v>
      </c>
      <c r="C1725" s="222" t="s">
        <v>6467</v>
      </c>
      <c r="D1725" s="222" t="s">
        <v>1240</v>
      </c>
    </row>
    <row r="1726" spans="1:4" x14ac:dyDescent="0.25">
      <c r="A1726" s="222" t="s">
        <v>6466</v>
      </c>
      <c r="B1726" s="222">
        <v>540716</v>
      </c>
      <c r="C1726" s="222" t="s">
        <v>6465</v>
      </c>
      <c r="D1726" s="222" t="s">
        <v>906</v>
      </c>
    </row>
    <row r="1727" spans="1:4" x14ac:dyDescent="0.25">
      <c r="A1727" s="222" t="s">
        <v>6464</v>
      </c>
      <c r="B1727" s="222">
        <v>533244</v>
      </c>
      <c r="C1727" s="222" t="s">
        <v>6463</v>
      </c>
      <c r="D1727" s="222" t="s">
        <v>1262</v>
      </c>
    </row>
    <row r="1728" spans="1:4" x14ac:dyDescent="0.25">
      <c r="A1728" s="222" t="s">
        <v>6462</v>
      </c>
      <c r="B1728" s="222">
        <v>540133</v>
      </c>
      <c r="C1728" s="222" t="s">
        <v>6461</v>
      </c>
      <c r="D1728" s="222" t="s">
        <v>746</v>
      </c>
    </row>
    <row r="1729" spans="1:4" x14ac:dyDescent="0.25">
      <c r="A1729" s="222" t="s">
        <v>6460</v>
      </c>
      <c r="B1729" s="222">
        <v>555555</v>
      </c>
      <c r="C1729" s="222" t="s">
        <v>6459</v>
      </c>
      <c r="D1729" s="222" t="s">
        <v>1262</v>
      </c>
    </row>
    <row r="1730" spans="1:4" x14ac:dyDescent="0.25">
      <c r="A1730" s="222" t="s">
        <v>6458</v>
      </c>
      <c r="B1730" s="222">
        <v>541179</v>
      </c>
      <c r="C1730" s="222" t="s">
        <v>6457</v>
      </c>
      <c r="D1730" s="222" t="s">
        <v>1262</v>
      </c>
    </row>
    <row r="1731" spans="1:4" x14ac:dyDescent="0.25">
      <c r="A1731" s="222" t="s">
        <v>6456</v>
      </c>
      <c r="B1731" s="222">
        <v>532835</v>
      </c>
      <c r="C1731" s="222" t="s">
        <v>6455</v>
      </c>
      <c r="D1731" s="222" t="s">
        <v>1262</v>
      </c>
    </row>
    <row r="1732" spans="1:4" x14ac:dyDescent="0.25">
      <c r="A1732" s="222" t="s">
        <v>6454</v>
      </c>
      <c r="B1732" s="222">
        <v>531524</v>
      </c>
      <c r="C1732" s="222" t="s">
        <v>6452</v>
      </c>
      <c r="D1732" s="222" t="s">
        <v>1275</v>
      </c>
    </row>
    <row r="1733" spans="1:4" x14ac:dyDescent="0.25">
      <c r="A1733" s="222" t="s">
        <v>6453</v>
      </c>
      <c r="B1733" s="222">
        <v>531524</v>
      </c>
      <c r="C1733" s="222" t="s">
        <v>6452</v>
      </c>
      <c r="D1733" s="222" t="s">
        <v>1275</v>
      </c>
    </row>
    <row r="1734" spans="1:4" x14ac:dyDescent="0.25">
      <c r="A1734" s="222" t="s">
        <v>6451</v>
      </c>
      <c r="B1734" s="222">
        <v>500116</v>
      </c>
      <c r="C1734" s="222" t="s">
        <v>6450</v>
      </c>
      <c r="D1734" s="222" t="s">
        <v>1240</v>
      </c>
    </row>
    <row r="1735" spans="1:4" x14ac:dyDescent="0.25">
      <c r="A1735" s="222" t="s">
        <v>6449</v>
      </c>
      <c r="B1735" s="222">
        <v>539437</v>
      </c>
      <c r="C1735" s="222" t="s">
        <v>6448</v>
      </c>
      <c r="D1735" s="222" t="s">
        <v>1240</v>
      </c>
    </row>
    <row r="1736" spans="1:4" x14ac:dyDescent="0.25">
      <c r="A1736" s="222" t="s">
        <v>6447</v>
      </c>
      <c r="B1736" s="222" t="s">
        <v>2052</v>
      </c>
      <c r="C1736" s="222" t="s">
        <v>6446</v>
      </c>
      <c r="D1736" s="222" t="s">
        <v>1240</v>
      </c>
    </row>
    <row r="1737" spans="1:4" x14ac:dyDescent="0.25">
      <c r="A1737" s="222" t="s">
        <v>6445</v>
      </c>
      <c r="B1737" s="222">
        <v>532659</v>
      </c>
      <c r="C1737" s="222" t="s">
        <v>6444</v>
      </c>
      <c r="D1737" s="222" t="s">
        <v>1321</v>
      </c>
    </row>
    <row r="1738" spans="1:4" x14ac:dyDescent="0.25">
      <c r="A1738" s="222" t="s">
        <v>6443</v>
      </c>
      <c r="B1738" s="222">
        <v>507438</v>
      </c>
      <c r="C1738" s="222" t="s">
        <v>6442</v>
      </c>
      <c r="D1738" s="222" t="s">
        <v>2146</v>
      </c>
    </row>
    <row r="1739" spans="1:4" x14ac:dyDescent="0.25">
      <c r="A1739" s="222" t="s">
        <v>6441</v>
      </c>
      <c r="B1739" s="222">
        <v>505726</v>
      </c>
      <c r="C1739" s="222" t="s">
        <v>6440</v>
      </c>
      <c r="D1739" s="222" t="s">
        <v>802</v>
      </c>
    </row>
    <row r="1740" spans="1:4" x14ac:dyDescent="0.25">
      <c r="A1740" s="222" t="s">
        <v>6439</v>
      </c>
      <c r="B1740" s="222">
        <v>500106</v>
      </c>
      <c r="C1740" s="222" t="s">
        <v>6438</v>
      </c>
      <c r="D1740" s="222" t="s">
        <v>2680</v>
      </c>
    </row>
    <row r="1741" spans="1:4" x14ac:dyDescent="0.25">
      <c r="A1741" s="222" t="s">
        <v>6437</v>
      </c>
      <c r="B1741" s="222">
        <v>540774</v>
      </c>
      <c r="C1741" s="222" t="s">
        <v>6436</v>
      </c>
      <c r="D1741" s="222" t="s">
        <v>1395</v>
      </c>
    </row>
    <row r="1742" spans="1:4" x14ac:dyDescent="0.25">
      <c r="A1742" s="222" t="s">
        <v>6435</v>
      </c>
      <c r="B1742" s="222">
        <v>540377</v>
      </c>
      <c r="C1742" s="222" t="s">
        <v>2052</v>
      </c>
      <c r="D1742" s="222" t="s">
        <v>1529</v>
      </c>
    </row>
    <row r="1743" spans="1:4" x14ac:dyDescent="0.25">
      <c r="A1743" s="222" t="s">
        <v>6434</v>
      </c>
      <c r="B1743" s="222">
        <v>522289</v>
      </c>
      <c r="C1743" s="222" t="s">
        <v>2052</v>
      </c>
      <c r="D1743" s="222" t="s">
        <v>1529</v>
      </c>
    </row>
    <row r="1744" spans="1:4" x14ac:dyDescent="0.25">
      <c r="A1744" s="222" t="s">
        <v>6433</v>
      </c>
      <c r="B1744" s="222">
        <v>500199</v>
      </c>
      <c r="C1744" s="222" t="s">
        <v>6432</v>
      </c>
      <c r="D1744" s="222" t="s">
        <v>998</v>
      </c>
    </row>
    <row r="1745" spans="1:4" x14ac:dyDescent="0.25">
      <c r="A1745" s="222" t="s">
        <v>6431</v>
      </c>
      <c r="B1745" s="222">
        <v>517380</v>
      </c>
      <c r="C1745" s="222" t="s">
        <v>6429</v>
      </c>
      <c r="D1745" s="222" t="s">
        <v>1306</v>
      </c>
    </row>
    <row r="1746" spans="1:4" x14ac:dyDescent="0.25">
      <c r="A1746" s="222" t="s">
        <v>6430</v>
      </c>
      <c r="B1746" s="222">
        <v>517380</v>
      </c>
      <c r="C1746" s="222" t="s">
        <v>6429</v>
      </c>
      <c r="D1746" s="222" t="s">
        <v>1306</v>
      </c>
    </row>
    <row r="1747" spans="1:4" x14ac:dyDescent="0.25">
      <c r="A1747" s="222" t="s">
        <v>6428</v>
      </c>
      <c r="B1747" s="222">
        <v>539449</v>
      </c>
      <c r="C1747" s="222" t="s">
        <v>2052</v>
      </c>
      <c r="D1747" s="222" t="s">
        <v>1529</v>
      </c>
    </row>
    <row r="1748" spans="1:4" x14ac:dyDescent="0.25">
      <c r="A1748" s="222" t="s">
        <v>6427</v>
      </c>
      <c r="B1748" s="222">
        <v>532636</v>
      </c>
      <c r="C1748" s="222" t="s">
        <v>6426</v>
      </c>
      <c r="D1748" s="222" t="s">
        <v>1262</v>
      </c>
    </row>
    <row r="1749" spans="1:4" x14ac:dyDescent="0.25">
      <c r="A1749" s="222" t="s">
        <v>6425</v>
      </c>
      <c r="B1749" s="222">
        <v>531968</v>
      </c>
      <c r="C1749" s="222" t="s">
        <v>6424</v>
      </c>
      <c r="D1749" s="222" t="s">
        <v>1243</v>
      </c>
    </row>
    <row r="1750" spans="1:4" x14ac:dyDescent="0.25">
      <c r="A1750" s="222" t="s">
        <v>6423</v>
      </c>
      <c r="B1750" s="222">
        <v>514238</v>
      </c>
      <c r="C1750" s="222" t="s">
        <v>2052</v>
      </c>
      <c r="D1750" s="222" t="s">
        <v>1262</v>
      </c>
    </row>
    <row r="1751" spans="1:4" x14ac:dyDescent="0.25">
      <c r="A1751" s="222" t="s">
        <v>6422</v>
      </c>
      <c r="B1751" s="222">
        <v>532414</v>
      </c>
      <c r="C1751" s="222" t="s">
        <v>2052</v>
      </c>
      <c r="D1751" s="222" t="s">
        <v>1942</v>
      </c>
    </row>
    <row r="1752" spans="1:4" x14ac:dyDescent="0.25">
      <c r="A1752" s="222" t="s">
        <v>6421</v>
      </c>
      <c r="B1752" s="222">
        <v>532907</v>
      </c>
      <c r="C1752" s="222" t="s">
        <v>6420</v>
      </c>
      <c r="D1752" s="222" t="s">
        <v>1248</v>
      </c>
    </row>
    <row r="1753" spans="1:4" x14ac:dyDescent="0.25">
      <c r="A1753" s="222" t="s">
        <v>6419</v>
      </c>
      <c r="B1753" s="222">
        <v>511208</v>
      </c>
      <c r="C1753" s="222" t="s">
        <v>6418</v>
      </c>
      <c r="D1753" s="222" t="s">
        <v>1254</v>
      </c>
    </row>
    <row r="1754" spans="1:4" x14ac:dyDescent="0.25">
      <c r="A1754" s="222" t="s">
        <v>6417</v>
      </c>
      <c r="B1754" s="222">
        <v>533177</v>
      </c>
      <c r="C1754" s="222" t="s">
        <v>6416</v>
      </c>
      <c r="D1754" s="222" t="s">
        <v>3887</v>
      </c>
    </row>
    <row r="1755" spans="1:4" x14ac:dyDescent="0.25">
      <c r="A1755" s="222" t="s">
        <v>6415</v>
      </c>
      <c r="B1755" s="222">
        <v>511628</v>
      </c>
      <c r="C1755" s="222" t="s">
        <v>2052</v>
      </c>
      <c r="D1755" s="222" t="s">
        <v>1321</v>
      </c>
    </row>
    <row r="1756" spans="1:4" x14ac:dyDescent="0.25">
      <c r="A1756" s="222" t="s">
        <v>6414</v>
      </c>
      <c r="B1756" s="222">
        <v>505539</v>
      </c>
      <c r="C1756" s="222" t="s">
        <v>2052</v>
      </c>
      <c r="D1756" s="222" t="s">
        <v>2068</v>
      </c>
    </row>
    <row r="1757" spans="1:4" x14ac:dyDescent="0.25">
      <c r="A1757" s="222" t="s">
        <v>6413</v>
      </c>
      <c r="B1757" s="222">
        <v>513295</v>
      </c>
      <c r="C1757" s="222" t="s">
        <v>2052</v>
      </c>
      <c r="D1757" s="222" t="s">
        <v>2167</v>
      </c>
    </row>
    <row r="1758" spans="1:4" x14ac:dyDescent="0.25">
      <c r="A1758" s="222" t="s">
        <v>6412</v>
      </c>
      <c r="B1758" s="222">
        <v>517571</v>
      </c>
      <c r="C1758" s="222" t="s">
        <v>6411</v>
      </c>
      <c r="D1758" s="222" t="s">
        <v>1066</v>
      </c>
    </row>
    <row r="1759" spans="1:4" x14ac:dyDescent="0.25">
      <c r="A1759" s="222" t="s">
        <v>6410</v>
      </c>
      <c r="B1759" s="222">
        <v>532614</v>
      </c>
      <c r="C1759" s="222" t="s">
        <v>6409</v>
      </c>
      <c r="D1759" s="222" t="s">
        <v>2167</v>
      </c>
    </row>
    <row r="1760" spans="1:4" x14ac:dyDescent="0.25">
      <c r="A1760" s="222" t="s">
        <v>6408</v>
      </c>
      <c r="B1760" s="222">
        <v>531129</v>
      </c>
      <c r="C1760" s="222" t="s">
        <v>2052</v>
      </c>
      <c r="D1760" s="222" t="s">
        <v>2357</v>
      </c>
    </row>
    <row r="1761" spans="1:4" x14ac:dyDescent="0.25">
      <c r="A1761" s="222" t="s">
        <v>6407</v>
      </c>
      <c r="B1761" s="222">
        <v>531672</v>
      </c>
      <c r="C1761" s="222" t="s">
        <v>2052</v>
      </c>
      <c r="D1761" s="222" t="s">
        <v>1262</v>
      </c>
    </row>
    <row r="1762" spans="1:4" x14ac:dyDescent="0.25">
      <c r="A1762" s="222" t="s">
        <v>6406</v>
      </c>
      <c r="B1762" s="222">
        <v>517370</v>
      </c>
      <c r="C1762" s="222" t="s">
        <v>2052</v>
      </c>
      <c r="D1762" s="222" t="s">
        <v>1275</v>
      </c>
    </row>
    <row r="1763" spans="1:4" x14ac:dyDescent="0.25">
      <c r="A1763" s="222" t="s">
        <v>6405</v>
      </c>
      <c r="B1763" s="222">
        <v>538541</v>
      </c>
      <c r="C1763" s="222" t="s">
        <v>2052</v>
      </c>
      <c r="D1763" s="222" t="s">
        <v>1529</v>
      </c>
    </row>
    <row r="1764" spans="1:4" x14ac:dyDescent="0.25">
      <c r="A1764" s="222" t="s">
        <v>6404</v>
      </c>
      <c r="B1764" s="222">
        <v>531594</v>
      </c>
      <c r="C1764" s="222" t="s">
        <v>2052</v>
      </c>
      <c r="D1764" s="222" t="s">
        <v>832</v>
      </c>
    </row>
    <row r="1765" spans="1:4" x14ac:dyDescent="0.25">
      <c r="A1765" s="222" t="s">
        <v>6403</v>
      </c>
      <c r="B1765" s="222">
        <v>523465</v>
      </c>
      <c r="C1765" s="222" t="s">
        <v>2052</v>
      </c>
      <c r="D1765" s="222" t="s">
        <v>2520</v>
      </c>
    </row>
    <row r="1766" spans="1:4" x14ac:dyDescent="0.25">
      <c r="A1766" s="222" t="s">
        <v>6402</v>
      </c>
      <c r="B1766" s="222">
        <v>536709</v>
      </c>
      <c r="C1766" s="222" t="s">
        <v>2052</v>
      </c>
      <c r="D1766" s="222" t="s">
        <v>2380</v>
      </c>
    </row>
    <row r="1767" spans="1:4" x14ac:dyDescent="0.25">
      <c r="A1767" s="222" t="s">
        <v>6401</v>
      </c>
      <c r="B1767" s="222">
        <v>509162</v>
      </c>
      <c r="C1767" s="222" t="s">
        <v>2052</v>
      </c>
      <c r="D1767" s="222" t="s">
        <v>1410</v>
      </c>
    </row>
    <row r="1768" spans="1:4" x14ac:dyDescent="0.25">
      <c r="A1768" s="222" t="s">
        <v>6400</v>
      </c>
      <c r="B1768" s="222">
        <v>517077</v>
      </c>
      <c r="C1768" s="222" t="s">
        <v>2052</v>
      </c>
      <c r="D1768" s="222" t="s">
        <v>1529</v>
      </c>
    </row>
    <row r="1769" spans="1:4" x14ac:dyDescent="0.25">
      <c r="A1769" s="222" t="s">
        <v>6399</v>
      </c>
      <c r="B1769" s="222">
        <v>511473</v>
      </c>
      <c r="C1769" s="222" t="s">
        <v>6398</v>
      </c>
      <c r="D1769" s="222" t="s">
        <v>1262</v>
      </c>
    </row>
    <row r="1770" spans="1:4" x14ac:dyDescent="0.25">
      <c r="A1770" s="222" t="s">
        <v>6397</v>
      </c>
      <c r="B1770" s="222">
        <v>531505</v>
      </c>
      <c r="C1770" s="222" t="s">
        <v>2052</v>
      </c>
      <c r="D1770" s="222" t="s">
        <v>1321</v>
      </c>
    </row>
    <row r="1771" spans="1:4" x14ac:dyDescent="0.25">
      <c r="A1771" s="222" t="s">
        <v>6396</v>
      </c>
      <c r="B1771" s="222">
        <v>511355</v>
      </c>
      <c r="C1771" s="222" t="s">
        <v>2052</v>
      </c>
      <c r="D1771" s="222" t="s">
        <v>1321</v>
      </c>
    </row>
    <row r="1772" spans="1:4" x14ac:dyDescent="0.25">
      <c r="A1772" s="222" t="s">
        <v>6395</v>
      </c>
      <c r="B1772" s="222">
        <v>535667</v>
      </c>
      <c r="C1772" s="222" t="s">
        <v>2052</v>
      </c>
      <c r="D1772" s="222" t="s">
        <v>1321</v>
      </c>
    </row>
    <row r="1773" spans="1:4" x14ac:dyDescent="0.25">
      <c r="A1773" s="222" t="s">
        <v>6394</v>
      </c>
      <c r="B1773" s="222">
        <v>531253</v>
      </c>
      <c r="C1773" s="222" t="s">
        <v>2052</v>
      </c>
      <c r="D1773" s="222" t="s">
        <v>722</v>
      </c>
    </row>
    <row r="1774" spans="1:4" x14ac:dyDescent="0.25">
      <c r="A1774" s="222" t="s">
        <v>6393</v>
      </c>
      <c r="B1774" s="222">
        <v>500201</v>
      </c>
      <c r="C1774" s="222" t="s">
        <v>6392</v>
      </c>
      <c r="D1774" s="222" t="s">
        <v>998</v>
      </c>
    </row>
    <row r="1775" spans="1:4" x14ac:dyDescent="0.25">
      <c r="A1775" s="222" t="s">
        <v>6391</v>
      </c>
      <c r="B1775" s="222">
        <v>540152</v>
      </c>
      <c r="C1775" s="222" t="s">
        <v>2052</v>
      </c>
      <c r="D1775" s="222" t="s">
        <v>1243</v>
      </c>
    </row>
    <row r="1776" spans="1:4" x14ac:dyDescent="0.25">
      <c r="A1776" s="222" t="s">
        <v>6390</v>
      </c>
      <c r="B1776" s="222">
        <v>540565</v>
      </c>
      <c r="C1776" s="222" t="s">
        <v>6389</v>
      </c>
      <c r="D1776" s="222" t="s">
        <v>2108</v>
      </c>
    </row>
    <row r="1777" spans="1:4" x14ac:dyDescent="0.25">
      <c r="A1777" s="222" t="s">
        <v>6388</v>
      </c>
      <c r="B1777" s="222">
        <v>530979</v>
      </c>
      <c r="C1777" s="222" t="s">
        <v>2052</v>
      </c>
      <c r="D1777" s="222" t="s">
        <v>2520</v>
      </c>
    </row>
    <row r="1778" spans="1:4" x14ac:dyDescent="0.25">
      <c r="A1778" s="222" t="s">
        <v>6387</v>
      </c>
      <c r="B1778" s="222">
        <v>531343</v>
      </c>
      <c r="C1778" s="222" t="s">
        <v>2052</v>
      </c>
      <c r="D1778" s="222" t="s">
        <v>2068</v>
      </c>
    </row>
    <row r="1779" spans="1:4" x14ac:dyDescent="0.25">
      <c r="A1779" s="222" t="s">
        <v>6386</v>
      </c>
      <c r="B1779" s="222">
        <v>590065</v>
      </c>
      <c r="C1779" s="222" t="s">
        <v>6385</v>
      </c>
      <c r="D1779" s="222" t="s">
        <v>1529</v>
      </c>
    </row>
    <row r="1780" spans="1:4" x14ac:dyDescent="0.25">
      <c r="A1780" s="222" t="s">
        <v>6384</v>
      </c>
      <c r="B1780" s="222">
        <v>532240</v>
      </c>
      <c r="C1780" s="222" t="s">
        <v>6383</v>
      </c>
      <c r="D1780" s="222" t="s">
        <v>1306</v>
      </c>
    </row>
    <row r="1781" spans="1:4" x14ac:dyDescent="0.25">
      <c r="A1781" s="222" t="s">
        <v>6382</v>
      </c>
      <c r="B1781" s="222">
        <v>513361</v>
      </c>
      <c r="C1781" s="222" t="s">
        <v>2052</v>
      </c>
      <c r="D1781" s="222" t="s">
        <v>2167</v>
      </c>
    </row>
    <row r="1782" spans="1:4" x14ac:dyDescent="0.25">
      <c r="A1782" s="222" t="s">
        <v>6381</v>
      </c>
      <c r="B1782" s="222">
        <v>532189</v>
      </c>
      <c r="C1782" s="222" t="s">
        <v>6380</v>
      </c>
      <c r="D1782" s="222" t="s">
        <v>2128</v>
      </c>
    </row>
    <row r="1783" spans="1:4" x14ac:dyDescent="0.25">
      <c r="A1783" s="222" t="s">
        <v>6379</v>
      </c>
      <c r="B1783" s="222">
        <v>535789</v>
      </c>
      <c r="C1783" s="222" t="s">
        <v>6378</v>
      </c>
      <c r="D1783" s="222" t="s">
        <v>2520</v>
      </c>
    </row>
    <row r="1784" spans="1:4" x14ac:dyDescent="0.25">
      <c r="A1784" s="222" t="s">
        <v>6377</v>
      </c>
      <c r="B1784" s="222">
        <v>533520</v>
      </c>
      <c r="C1784" s="222" t="s">
        <v>6376</v>
      </c>
      <c r="D1784" s="222" t="s">
        <v>1529</v>
      </c>
    </row>
    <row r="1785" spans="1:4" x14ac:dyDescent="0.25">
      <c r="A1785" s="222" t="s">
        <v>6375</v>
      </c>
      <c r="B1785" s="222">
        <v>532832</v>
      </c>
      <c r="C1785" s="222" t="s">
        <v>6374</v>
      </c>
      <c r="D1785" s="222" t="s">
        <v>1243</v>
      </c>
    </row>
    <row r="1786" spans="1:4" x14ac:dyDescent="0.25">
      <c r="A1786" s="222" t="s">
        <v>6373</v>
      </c>
      <c r="B1786" s="222">
        <v>532960</v>
      </c>
      <c r="C1786" s="222" t="s">
        <v>6372</v>
      </c>
      <c r="D1786" s="222" t="s">
        <v>1262</v>
      </c>
    </row>
    <row r="1787" spans="1:4" x14ac:dyDescent="0.25">
      <c r="A1787" s="222" t="s">
        <v>6371</v>
      </c>
      <c r="B1787" s="222">
        <v>514165</v>
      </c>
      <c r="C1787" s="222" t="s">
        <v>2052</v>
      </c>
      <c r="D1787" s="222" t="s">
        <v>2299</v>
      </c>
    </row>
    <row r="1788" spans="1:4" x14ac:dyDescent="0.25">
      <c r="A1788" s="222" t="s">
        <v>6370</v>
      </c>
      <c r="B1788" s="222">
        <v>532814</v>
      </c>
      <c r="C1788" s="222" t="s">
        <v>6369</v>
      </c>
      <c r="D1788" s="222" t="s">
        <v>1240</v>
      </c>
    </row>
    <row r="1789" spans="1:4" x14ac:dyDescent="0.25">
      <c r="A1789" s="222" t="s">
        <v>6368</v>
      </c>
      <c r="B1789" s="222">
        <v>504731</v>
      </c>
      <c r="C1789" s="222" t="s">
        <v>2052</v>
      </c>
      <c r="D1789" s="222" t="s">
        <v>2167</v>
      </c>
    </row>
    <row r="1790" spans="1:4" x14ac:dyDescent="0.25">
      <c r="A1790" s="222" t="s">
        <v>6367</v>
      </c>
      <c r="B1790" s="222">
        <v>509692</v>
      </c>
      <c r="C1790" s="222" t="s">
        <v>6366</v>
      </c>
      <c r="D1790" s="222" t="s">
        <v>1237</v>
      </c>
    </row>
    <row r="1791" spans="1:4" x14ac:dyDescent="0.25">
      <c r="A1791" s="222" t="s">
        <v>6365</v>
      </c>
      <c r="B1791" s="222">
        <v>540750</v>
      </c>
      <c r="C1791" s="222" t="s">
        <v>6364</v>
      </c>
      <c r="D1791" s="222" t="s">
        <v>2380</v>
      </c>
    </row>
    <row r="1792" spans="1:4" x14ac:dyDescent="0.25">
      <c r="A1792" s="222" t="s">
        <v>6363</v>
      </c>
      <c r="B1792" s="222">
        <v>524614</v>
      </c>
      <c r="C1792" s="222" t="s">
        <v>2052</v>
      </c>
      <c r="D1792" s="222" t="s">
        <v>1083</v>
      </c>
    </row>
    <row r="1793" spans="1:4" x14ac:dyDescent="0.25">
      <c r="A1793" s="222" t="s">
        <v>6362</v>
      </c>
      <c r="B1793" s="222">
        <v>504741</v>
      </c>
      <c r="C1793" s="222" t="s">
        <v>6361</v>
      </c>
      <c r="D1793" s="222" t="s">
        <v>1004</v>
      </c>
    </row>
    <row r="1794" spans="1:4" x14ac:dyDescent="0.25">
      <c r="A1794" s="222" t="s">
        <v>6360</v>
      </c>
      <c r="B1794" s="222">
        <v>509051</v>
      </c>
      <c r="C1794" s="222" t="s">
        <v>2052</v>
      </c>
      <c r="D1794" s="222" t="s">
        <v>1942</v>
      </c>
    </row>
    <row r="1795" spans="1:4" x14ac:dyDescent="0.25">
      <c r="A1795" s="222" t="s">
        <v>6359</v>
      </c>
      <c r="B1795" s="222">
        <v>504746</v>
      </c>
      <c r="C1795" s="222" t="s">
        <v>2052</v>
      </c>
      <c r="D1795" s="222" t="s">
        <v>1313</v>
      </c>
    </row>
    <row r="1796" spans="1:4" x14ac:dyDescent="0.25">
      <c r="A1796" s="222" t="s">
        <v>6358</v>
      </c>
      <c r="B1796" s="222">
        <v>533047</v>
      </c>
      <c r="C1796" s="222" t="s">
        <v>6357</v>
      </c>
      <c r="D1796" s="222" t="s">
        <v>2167</v>
      </c>
    </row>
    <row r="1797" spans="1:4" x14ac:dyDescent="0.25">
      <c r="A1797" s="222" t="s">
        <v>6356</v>
      </c>
      <c r="B1797" s="222">
        <v>530965</v>
      </c>
      <c r="C1797" s="222" t="s">
        <v>6355</v>
      </c>
      <c r="D1797" s="222" t="s">
        <v>2740</v>
      </c>
    </row>
    <row r="1798" spans="1:4" x14ac:dyDescent="0.25">
      <c r="A1798" s="222" t="s">
        <v>6354</v>
      </c>
      <c r="B1798" s="222">
        <v>532388</v>
      </c>
      <c r="C1798" s="222" t="s">
        <v>6353</v>
      </c>
      <c r="D1798" s="222" t="s">
        <v>1240</v>
      </c>
    </row>
    <row r="1799" spans="1:4" x14ac:dyDescent="0.25">
      <c r="A1799" s="222" t="s">
        <v>6352</v>
      </c>
      <c r="B1799" s="222">
        <v>500319</v>
      </c>
      <c r="C1799" s="222" t="s">
        <v>2052</v>
      </c>
      <c r="D1799" s="222" t="s">
        <v>1124</v>
      </c>
    </row>
    <row r="1800" spans="1:4" x14ac:dyDescent="0.25">
      <c r="A1800" s="222" t="s">
        <v>6351</v>
      </c>
      <c r="B1800" s="222">
        <v>533329</v>
      </c>
      <c r="C1800" s="222" t="s">
        <v>6350</v>
      </c>
      <c r="D1800" s="222" t="s">
        <v>1364</v>
      </c>
    </row>
    <row r="1801" spans="1:4" x14ac:dyDescent="0.25">
      <c r="A1801" s="222" t="s">
        <v>6349</v>
      </c>
      <c r="B1801" s="222">
        <v>523586</v>
      </c>
      <c r="C1801" s="222" t="s">
        <v>2052</v>
      </c>
      <c r="D1801" s="222" t="s">
        <v>722</v>
      </c>
    </row>
    <row r="1802" spans="1:4" x14ac:dyDescent="0.25">
      <c r="A1802" s="222" t="s">
        <v>6348</v>
      </c>
      <c r="B1802" s="222">
        <v>501700</v>
      </c>
      <c r="C1802" s="222" t="s">
        <v>2052</v>
      </c>
      <c r="D1802" s="222" t="s">
        <v>1321</v>
      </c>
    </row>
    <row r="1803" spans="1:4" x14ac:dyDescent="0.25">
      <c r="A1803" s="222" t="s">
        <v>6347</v>
      </c>
      <c r="B1803" s="222">
        <v>532745</v>
      </c>
      <c r="C1803" s="222" t="s">
        <v>2052</v>
      </c>
      <c r="D1803" s="222" t="s">
        <v>1262</v>
      </c>
    </row>
    <row r="1804" spans="1:4" x14ac:dyDescent="0.25">
      <c r="A1804" s="222" t="s">
        <v>6346</v>
      </c>
      <c r="B1804" s="222">
        <v>524648</v>
      </c>
      <c r="C1804" s="222" t="s">
        <v>2052</v>
      </c>
      <c r="D1804" s="222" t="s">
        <v>998</v>
      </c>
    </row>
    <row r="1805" spans="1:4" x14ac:dyDescent="0.25">
      <c r="A1805" s="222" t="s">
        <v>6345</v>
      </c>
      <c r="B1805" s="222">
        <v>530747</v>
      </c>
      <c r="C1805" s="222" t="s">
        <v>2052</v>
      </c>
      <c r="D1805" s="222" t="s">
        <v>1321</v>
      </c>
    </row>
    <row r="1806" spans="1:4" x14ac:dyDescent="0.25">
      <c r="A1806" s="222" t="s">
        <v>6344</v>
      </c>
      <c r="B1806" s="222">
        <v>524342</v>
      </c>
      <c r="C1806" s="222" t="s">
        <v>2052</v>
      </c>
      <c r="D1806" s="222" t="s">
        <v>998</v>
      </c>
    </row>
    <row r="1807" spans="1:4" x14ac:dyDescent="0.25">
      <c r="A1807" s="222" t="s">
        <v>6343</v>
      </c>
      <c r="B1807" s="222">
        <v>538838</v>
      </c>
      <c r="C1807" s="222" t="s">
        <v>2052</v>
      </c>
      <c r="D1807" s="222" t="s">
        <v>1237</v>
      </c>
    </row>
    <row r="1808" spans="1:4" x14ac:dyDescent="0.25">
      <c r="A1808" s="222" t="s">
        <v>6342</v>
      </c>
      <c r="B1808" s="222">
        <v>521016</v>
      </c>
      <c r="C1808" s="222" t="s">
        <v>6341</v>
      </c>
      <c r="D1808" s="222" t="s">
        <v>1237</v>
      </c>
    </row>
    <row r="1809" spans="1:4" x14ac:dyDescent="0.25">
      <c r="A1809" s="222" t="s">
        <v>6340</v>
      </c>
      <c r="B1809" s="222">
        <v>526887</v>
      </c>
      <c r="C1809" s="222" t="s">
        <v>2052</v>
      </c>
      <c r="D1809" s="222" t="s">
        <v>1321</v>
      </c>
    </row>
    <row r="1810" spans="1:4" x14ac:dyDescent="0.25">
      <c r="A1810" s="222" t="s">
        <v>6339</v>
      </c>
      <c r="B1810" s="222">
        <v>524458</v>
      </c>
      <c r="C1810" s="222" t="s">
        <v>2052</v>
      </c>
      <c r="D1810" s="222" t="s">
        <v>722</v>
      </c>
    </row>
    <row r="1811" spans="1:4" x14ac:dyDescent="0.25">
      <c r="A1811" s="222" t="s">
        <v>6338</v>
      </c>
      <c r="B1811" s="222">
        <v>506945</v>
      </c>
      <c r="C1811" s="222" t="s">
        <v>2052</v>
      </c>
      <c r="D1811" s="222" t="s">
        <v>722</v>
      </c>
    </row>
    <row r="1812" spans="1:4" x14ac:dyDescent="0.25">
      <c r="A1812" s="222" t="s">
        <v>6337</v>
      </c>
      <c r="B1812" s="222">
        <v>531565</v>
      </c>
      <c r="C1812" s="222" t="s">
        <v>2052</v>
      </c>
      <c r="D1812" s="222" t="s">
        <v>1243</v>
      </c>
    </row>
    <row r="1813" spans="1:4" x14ac:dyDescent="0.25">
      <c r="A1813" s="222" t="s">
        <v>6336</v>
      </c>
      <c r="B1813" s="222">
        <v>500207</v>
      </c>
      <c r="C1813" s="222" t="s">
        <v>6334</v>
      </c>
      <c r="D1813" s="222" t="s">
        <v>1237</v>
      </c>
    </row>
    <row r="1814" spans="1:4" x14ac:dyDescent="0.25">
      <c r="A1814" s="222" t="s">
        <v>6335</v>
      </c>
      <c r="B1814" s="222">
        <v>500207</v>
      </c>
      <c r="C1814" s="222" t="s">
        <v>6334</v>
      </c>
      <c r="D1814" s="222" t="s">
        <v>1237</v>
      </c>
    </row>
    <row r="1815" spans="1:4" x14ac:dyDescent="0.25">
      <c r="A1815" s="222" t="s">
        <v>6333</v>
      </c>
      <c r="B1815" s="222">
        <v>532717</v>
      </c>
      <c r="C1815" s="222" t="s">
        <v>6332</v>
      </c>
      <c r="D1815" s="222" t="s">
        <v>1066</v>
      </c>
    </row>
    <row r="1816" spans="1:4" x14ac:dyDescent="0.25">
      <c r="A1816" s="222" t="s">
        <v>6331</v>
      </c>
      <c r="B1816" s="222">
        <v>533676</v>
      </c>
      <c r="C1816" s="222" t="s">
        <v>6330</v>
      </c>
      <c r="D1816" s="222" t="s">
        <v>1262</v>
      </c>
    </row>
    <row r="1817" spans="1:4" x14ac:dyDescent="0.25">
      <c r="A1817" s="222" t="s">
        <v>6329</v>
      </c>
      <c r="B1817" s="222">
        <v>541304</v>
      </c>
      <c r="C1817" s="222" t="s">
        <v>2052</v>
      </c>
      <c r="D1817" s="222" t="s">
        <v>731</v>
      </c>
    </row>
    <row r="1818" spans="1:4" x14ac:dyDescent="0.25">
      <c r="A1818" s="222" t="s">
        <v>6328</v>
      </c>
      <c r="B1818" s="222">
        <v>532100</v>
      </c>
      <c r="C1818" s="222" t="s">
        <v>2052</v>
      </c>
      <c r="D1818" s="222" t="s">
        <v>1942</v>
      </c>
    </row>
    <row r="1819" spans="1:4" x14ac:dyDescent="0.25">
      <c r="A1819" s="222" t="s">
        <v>6327</v>
      </c>
      <c r="B1819" s="222">
        <v>532612</v>
      </c>
      <c r="C1819" s="222" t="s">
        <v>6326</v>
      </c>
      <c r="D1819" s="222" t="s">
        <v>789</v>
      </c>
    </row>
    <row r="1820" spans="1:4" x14ac:dyDescent="0.25">
      <c r="A1820" s="222" t="s">
        <v>6325</v>
      </c>
      <c r="B1820" s="222">
        <v>539433</v>
      </c>
      <c r="C1820" s="222" t="s">
        <v>2052</v>
      </c>
      <c r="D1820" s="222" t="s">
        <v>1297</v>
      </c>
    </row>
    <row r="1821" spans="1:4" x14ac:dyDescent="0.25">
      <c r="A1821" s="222" t="s">
        <v>6324</v>
      </c>
      <c r="B1821" s="222">
        <v>504092</v>
      </c>
      <c r="C1821" s="222" t="s">
        <v>2052</v>
      </c>
      <c r="D1821" s="222" t="s">
        <v>722</v>
      </c>
    </row>
    <row r="1822" spans="1:4" x14ac:dyDescent="0.25">
      <c r="A1822" s="222" t="s">
        <v>6323</v>
      </c>
      <c r="B1822" s="222">
        <v>504058</v>
      </c>
      <c r="C1822" s="222" t="s">
        <v>6322</v>
      </c>
      <c r="D1822" s="222" t="s">
        <v>2696</v>
      </c>
    </row>
    <row r="1823" spans="1:4" x14ac:dyDescent="0.25">
      <c r="A1823" s="222" t="s">
        <v>6321</v>
      </c>
      <c r="B1823" s="222">
        <v>533257</v>
      </c>
      <c r="C1823" s="222" t="s">
        <v>6320</v>
      </c>
      <c r="D1823" s="222" t="s">
        <v>1275</v>
      </c>
    </row>
    <row r="1824" spans="1:4" x14ac:dyDescent="0.25">
      <c r="A1824" s="222" t="s">
        <v>6319</v>
      </c>
      <c r="B1824" s="222">
        <v>541336</v>
      </c>
      <c r="C1824" s="222" t="s">
        <v>6318</v>
      </c>
      <c r="D1824" s="222" t="s">
        <v>1321</v>
      </c>
    </row>
    <row r="1825" spans="1:4" x14ac:dyDescent="0.25">
      <c r="A1825" s="222" t="s">
        <v>6317</v>
      </c>
      <c r="B1825" s="222">
        <v>521005</v>
      </c>
      <c r="C1825" s="222" t="s">
        <v>2052</v>
      </c>
      <c r="D1825" s="222" t="s">
        <v>1237</v>
      </c>
    </row>
    <row r="1826" spans="1:4" x14ac:dyDescent="0.25">
      <c r="A1826" s="222" t="s">
        <v>6316</v>
      </c>
      <c r="B1826" s="222">
        <v>532894</v>
      </c>
      <c r="C1826" s="222" t="s">
        <v>6315</v>
      </c>
      <c r="D1826" s="222" t="s">
        <v>2380</v>
      </c>
    </row>
    <row r="1827" spans="1:4" x14ac:dyDescent="0.25">
      <c r="A1827" s="222" t="s">
        <v>6314</v>
      </c>
      <c r="B1827" s="222">
        <v>539175</v>
      </c>
      <c r="C1827" s="222" t="s">
        <v>2052</v>
      </c>
      <c r="D1827" s="222" t="s">
        <v>734</v>
      </c>
    </row>
    <row r="1828" spans="1:4" x14ac:dyDescent="0.25">
      <c r="A1828" s="222" t="s">
        <v>6313</v>
      </c>
      <c r="B1828" s="222">
        <v>532514</v>
      </c>
      <c r="C1828" s="222" t="s">
        <v>6312</v>
      </c>
      <c r="D1828" s="222" t="s">
        <v>2445</v>
      </c>
    </row>
    <row r="1829" spans="1:4" x14ac:dyDescent="0.25">
      <c r="A1829" s="222" t="s">
        <v>6311</v>
      </c>
      <c r="B1829" s="222">
        <v>532150</v>
      </c>
      <c r="C1829" s="222" t="s">
        <v>6310</v>
      </c>
      <c r="D1829" s="222" t="s">
        <v>1297</v>
      </c>
    </row>
    <row r="1830" spans="1:4" x14ac:dyDescent="0.25">
      <c r="A1830" s="222" t="s">
        <v>6309</v>
      </c>
      <c r="B1830" s="222">
        <v>526445</v>
      </c>
      <c r="C1830" s="222" t="s">
        <v>6308</v>
      </c>
      <c r="D1830" s="222" t="s">
        <v>731</v>
      </c>
    </row>
    <row r="1831" spans="1:4" x14ac:dyDescent="0.25">
      <c r="A1831" s="222" t="s">
        <v>6307</v>
      </c>
      <c r="B1831" s="222">
        <v>522165</v>
      </c>
      <c r="C1831" s="222" t="s">
        <v>2052</v>
      </c>
      <c r="D1831" s="222" t="s">
        <v>2167</v>
      </c>
    </row>
    <row r="1832" spans="1:4" x14ac:dyDescent="0.25">
      <c r="A1832" s="222" t="s">
        <v>6306</v>
      </c>
      <c r="B1832" s="222">
        <v>503639</v>
      </c>
      <c r="C1832" s="222" t="s">
        <v>2052</v>
      </c>
      <c r="D1832" s="222" t="s">
        <v>2068</v>
      </c>
    </row>
    <row r="1833" spans="1:4" x14ac:dyDescent="0.25">
      <c r="A1833" s="222" t="s">
        <v>6305</v>
      </c>
      <c r="B1833" s="222">
        <v>532305</v>
      </c>
      <c r="C1833" s="222" t="s">
        <v>6304</v>
      </c>
      <c r="D1833" s="222" t="s">
        <v>789</v>
      </c>
    </row>
    <row r="1834" spans="1:4" x14ac:dyDescent="0.25">
      <c r="A1834" s="222" t="s">
        <v>6303</v>
      </c>
      <c r="B1834" s="222">
        <v>524652</v>
      </c>
      <c r="C1834" s="222" t="s">
        <v>6302</v>
      </c>
      <c r="D1834" s="222" t="s">
        <v>789</v>
      </c>
    </row>
    <row r="1835" spans="1:4" x14ac:dyDescent="0.25">
      <c r="A1835" s="222" t="s">
        <v>6301</v>
      </c>
      <c r="B1835" s="222">
        <v>532001</v>
      </c>
      <c r="C1835" s="222" t="s">
        <v>2052</v>
      </c>
      <c r="D1835" s="222" t="s">
        <v>2167</v>
      </c>
    </row>
    <row r="1836" spans="1:4" x14ac:dyDescent="0.25">
      <c r="A1836" s="222" t="s">
        <v>6300</v>
      </c>
      <c r="B1836" s="222">
        <v>531841</v>
      </c>
      <c r="C1836" s="222" t="s">
        <v>2052</v>
      </c>
      <c r="D1836" s="222" t="s">
        <v>1321</v>
      </c>
    </row>
    <row r="1837" spans="1:4" x14ac:dyDescent="0.25">
      <c r="A1837" s="222" t="s">
        <v>6299</v>
      </c>
      <c r="B1837" s="222">
        <v>532187</v>
      </c>
      <c r="C1837" s="222" t="s">
        <v>6298</v>
      </c>
      <c r="D1837" s="222" t="s">
        <v>1240</v>
      </c>
    </row>
    <row r="1838" spans="1:4" x14ac:dyDescent="0.25">
      <c r="A1838" s="222" t="s">
        <v>6297</v>
      </c>
      <c r="B1838" s="222">
        <v>501298</v>
      </c>
      <c r="C1838" s="222" t="s">
        <v>2052</v>
      </c>
      <c r="D1838" s="222" t="s">
        <v>2108</v>
      </c>
    </row>
    <row r="1839" spans="1:4" x14ac:dyDescent="0.25">
      <c r="A1839" s="222" t="s">
        <v>6296</v>
      </c>
      <c r="B1839" s="222">
        <v>501295</v>
      </c>
      <c r="C1839" s="222" t="s">
        <v>6295</v>
      </c>
      <c r="D1839" s="222" t="s">
        <v>1321</v>
      </c>
    </row>
    <row r="1840" spans="1:4" x14ac:dyDescent="0.25">
      <c r="A1840" s="222" t="s">
        <v>6294</v>
      </c>
      <c r="B1840" s="222">
        <v>506222</v>
      </c>
      <c r="C1840" s="222" t="s">
        <v>6292</v>
      </c>
      <c r="D1840" s="222" t="s">
        <v>722</v>
      </c>
    </row>
    <row r="1841" spans="1:4" x14ac:dyDescent="0.25">
      <c r="A1841" s="222" t="s">
        <v>6293</v>
      </c>
      <c r="B1841" s="222">
        <v>506222</v>
      </c>
      <c r="C1841" s="222" t="s">
        <v>6292</v>
      </c>
      <c r="D1841" s="222" t="s">
        <v>722</v>
      </c>
    </row>
    <row r="1842" spans="1:4" x14ac:dyDescent="0.25">
      <c r="A1842" s="222" t="s">
        <v>6291</v>
      </c>
      <c r="B1842" s="222">
        <v>512025</v>
      </c>
      <c r="C1842" s="222" t="s">
        <v>2052</v>
      </c>
      <c r="D1842" s="222" t="s">
        <v>2068</v>
      </c>
    </row>
    <row r="1843" spans="1:4" x14ac:dyDescent="0.25">
      <c r="A1843" s="222" t="s">
        <v>6290</v>
      </c>
      <c r="B1843" s="222">
        <v>539807</v>
      </c>
      <c r="C1843" s="222" t="s">
        <v>6289</v>
      </c>
      <c r="D1843" s="222" t="s">
        <v>1278</v>
      </c>
    </row>
    <row r="1844" spans="1:4" x14ac:dyDescent="0.25">
      <c r="A1844" s="222" t="s">
        <v>6288</v>
      </c>
      <c r="B1844" s="222">
        <v>533154</v>
      </c>
      <c r="C1844" s="222" t="s">
        <v>6286</v>
      </c>
      <c r="D1844" s="222" t="s">
        <v>1265</v>
      </c>
    </row>
    <row r="1845" spans="1:4" x14ac:dyDescent="0.25">
      <c r="A1845" s="222" t="s">
        <v>6287</v>
      </c>
      <c r="B1845" s="222">
        <v>533154</v>
      </c>
      <c r="C1845" s="222" t="s">
        <v>6286</v>
      </c>
      <c r="D1845" s="222" t="s">
        <v>1265</v>
      </c>
    </row>
    <row r="1846" spans="1:4" x14ac:dyDescent="0.25">
      <c r="A1846" s="222" t="s">
        <v>6285</v>
      </c>
      <c r="B1846" s="222">
        <v>541083</v>
      </c>
      <c r="C1846" s="222" t="s">
        <v>2052</v>
      </c>
      <c r="D1846" s="222" t="s">
        <v>822</v>
      </c>
    </row>
    <row r="1847" spans="1:4" x14ac:dyDescent="0.25">
      <c r="A1847" s="222" t="s">
        <v>6284</v>
      </c>
      <c r="B1847" s="222">
        <v>532777</v>
      </c>
      <c r="C1847" s="222" t="s">
        <v>6282</v>
      </c>
      <c r="D1847" s="222" t="s">
        <v>4767</v>
      </c>
    </row>
    <row r="1848" spans="1:4" x14ac:dyDescent="0.25">
      <c r="A1848" s="222" t="s">
        <v>6283</v>
      </c>
      <c r="B1848" s="222">
        <v>532777</v>
      </c>
      <c r="C1848" s="222" t="s">
        <v>6282</v>
      </c>
      <c r="D1848" s="222" t="s">
        <v>4767</v>
      </c>
    </row>
    <row r="1849" spans="1:4" x14ac:dyDescent="0.25">
      <c r="A1849" s="222" t="s">
        <v>6281</v>
      </c>
      <c r="B1849" s="222" t="s">
        <v>2052</v>
      </c>
      <c r="C1849" s="222" t="s">
        <v>6280</v>
      </c>
      <c r="D1849" s="222" t="s">
        <v>2050</v>
      </c>
    </row>
    <row r="1850" spans="1:4" x14ac:dyDescent="0.25">
      <c r="A1850" s="222" t="s">
        <v>6279</v>
      </c>
      <c r="B1850" s="222">
        <v>504810</v>
      </c>
      <c r="C1850" s="222" t="s">
        <v>2052</v>
      </c>
      <c r="D1850" s="222" t="s">
        <v>2120</v>
      </c>
    </row>
    <row r="1851" spans="1:4" x14ac:dyDescent="0.25">
      <c r="A1851" s="222" t="s">
        <v>6278</v>
      </c>
      <c r="B1851" s="222">
        <v>504810</v>
      </c>
      <c r="C1851" s="222" t="s">
        <v>2052</v>
      </c>
      <c r="D1851" s="222" t="s">
        <v>2120</v>
      </c>
    </row>
    <row r="1852" spans="1:4" x14ac:dyDescent="0.25">
      <c r="A1852" s="222" t="s">
        <v>6277</v>
      </c>
      <c r="B1852" s="222">
        <v>500209</v>
      </c>
      <c r="C1852" s="222" t="s">
        <v>6276</v>
      </c>
      <c r="D1852" s="222" t="s">
        <v>1265</v>
      </c>
    </row>
    <row r="1853" spans="1:4" x14ac:dyDescent="0.25">
      <c r="A1853" s="222" t="s">
        <v>6275</v>
      </c>
      <c r="B1853" s="222">
        <v>530777</v>
      </c>
      <c r="C1853" s="222" t="s">
        <v>2052</v>
      </c>
      <c r="D1853" s="222" t="s">
        <v>1251</v>
      </c>
    </row>
    <row r="1854" spans="1:4" x14ac:dyDescent="0.25">
      <c r="A1854" s="222" t="s">
        <v>6274</v>
      </c>
      <c r="B1854" s="222">
        <v>537985</v>
      </c>
      <c r="C1854" s="222" t="s">
        <v>2052</v>
      </c>
      <c r="D1854" s="222" t="s">
        <v>1942</v>
      </c>
    </row>
    <row r="1855" spans="1:4" x14ac:dyDescent="0.25">
      <c r="A1855" s="222" t="s">
        <v>6273</v>
      </c>
      <c r="B1855" s="222">
        <v>500210</v>
      </c>
      <c r="C1855" s="222" t="s">
        <v>6271</v>
      </c>
      <c r="D1855" s="222" t="s">
        <v>832</v>
      </c>
    </row>
    <row r="1856" spans="1:4" x14ac:dyDescent="0.25">
      <c r="A1856" s="222" t="s">
        <v>6272</v>
      </c>
      <c r="B1856" s="222">
        <v>500210</v>
      </c>
      <c r="C1856" s="222" t="s">
        <v>6271</v>
      </c>
      <c r="D1856" s="222" t="s">
        <v>832</v>
      </c>
    </row>
    <row r="1857" spans="1:4" x14ac:dyDescent="0.25">
      <c r="A1857" s="222" t="s">
        <v>6270</v>
      </c>
      <c r="B1857" s="222">
        <v>530787</v>
      </c>
      <c r="C1857" s="222" t="s">
        <v>2052</v>
      </c>
      <c r="D1857" s="222" t="s">
        <v>2542</v>
      </c>
    </row>
    <row r="1858" spans="1:4" x14ac:dyDescent="0.25">
      <c r="A1858" s="222" t="s">
        <v>6269</v>
      </c>
      <c r="B1858" s="222">
        <v>531929</v>
      </c>
      <c r="C1858" s="222" t="s">
        <v>6268</v>
      </c>
      <c r="D1858" s="222" t="s">
        <v>1251</v>
      </c>
    </row>
    <row r="1859" spans="1:4" x14ac:dyDescent="0.25">
      <c r="A1859" s="222" t="s">
        <v>6267</v>
      </c>
      <c r="B1859" s="222" t="s">
        <v>2052</v>
      </c>
      <c r="C1859" s="222" t="s">
        <v>6266</v>
      </c>
      <c r="D1859" s="222" t="s">
        <v>2050</v>
      </c>
    </row>
    <row r="1860" spans="1:4" x14ac:dyDescent="0.25">
      <c r="A1860" s="222" t="s">
        <v>6265</v>
      </c>
      <c r="B1860" s="222">
        <v>533315</v>
      </c>
      <c r="C1860" s="222" t="s">
        <v>2052</v>
      </c>
      <c r="D1860" s="222" t="s">
        <v>1289</v>
      </c>
    </row>
    <row r="1861" spans="1:4" x14ac:dyDescent="0.25">
      <c r="A1861" s="222" t="s">
        <v>6264</v>
      </c>
      <c r="B1861" s="222">
        <v>517433</v>
      </c>
      <c r="C1861" s="222" t="s">
        <v>2052</v>
      </c>
      <c r="D1861" s="222" t="s">
        <v>1265</v>
      </c>
    </row>
    <row r="1862" spans="1:4" x14ac:dyDescent="0.25">
      <c r="A1862" s="222" t="s">
        <v>6263</v>
      </c>
      <c r="B1862" s="222">
        <v>541983</v>
      </c>
      <c r="C1862" s="222" t="s">
        <v>2052</v>
      </c>
      <c r="D1862" s="222" t="s">
        <v>2870</v>
      </c>
    </row>
    <row r="1863" spans="1:4" x14ac:dyDescent="0.25">
      <c r="A1863" s="222" t="s">
        <v>6262</v>
      </c>
      <c r="B1863" s="222">
        <v>541983</v>
      </c>
      <c r="C1863" s="222" t="s">
        <v>2052</v>
      </c>
      <c r="D1863" s="222" t="s">
        <v>2870</v>
      </c>
    </row>
    <row r="1864" spans="1:4" x14ac:dyDescent="0.25">
      <c r="A1864" s="222" t="s">
        <v>6261</v>
      </c>
      <c r="B1864" s="222">
        <v>523840</v>
      </c>
      <c r="C1864" s="222" t="s">
        <v>2052</v>
      </c>
      <c r="D1864" s="222" t="s">
        <v>1447</v>
      </c>
    </row>
    <row r="1865" spans="1:4" x14ac:dyDescent="0.25">
      <c r="A1865" s="222" t="s">
        <v>6260</v>
      </c>
      <c r="B1865" s="222" t="s">
        <v>2052</v>
      </c>
      <c r="C1865" s="222" t="s">
        <v>6259</v>
      </c>
      <c r="D1865" s="222" t="s">
        <v>2050</v>
      </c>
    </row>
    <row r="1866" spans="1:4" x14ac:dyDescent="0.25">
      <c r="A1866" s="222" t="s">
        <v>6258</v>
      </c>
      <c r="B1866" s="222">
        <v>541353</v>
      </c>
      <c r="C1866" s="222" t="s">
        <v>2052</v>
      </c>
      <c r="D1866" s="222" t="s">
        <v>1248</v>
      </c>
    </row>
    <row r="1867" spans="1:4" x14ac:dyDescent="0.25">
      <c r="A1867" s="222" t="s">
        <v>6257</v>
      </c>
      <c r="B1867" s="222">
        <v>532706</v>
      </c>
      <c r="C1867" s="222" t="s">
        <v>6256</v>
      </c>
      <c r="D1867" s="222" t="s">
        <v>1569</v>
      </c>
    </row>
    <row r="1868" spans="1:4" x14ac:dyDescent="0.25">
      <c r="A1868" s="222" t="s">
        <v>6255</v>
      </c>
      <c r="B1868" s="222">
        <v>539083</v>
      </c>
      <c r="C1868" s="222" t="s">
        <v>6254</v>
      </c>
      <c r="D1868" s="222" t="s">
        <v>1066</v>
      </c>
    </row>
    <row r="1869" spans="1:4" x14ac:dyDescent="0.25">
      <c r="A1869" s="222" t="s">
        <v>6253</v>
      </c>
      <c r="B1869" s="222">
        <v>532851</v>
      </c>
      <c r="C1869" s="222" t="s">
        <v>6251</v>
      </c>
      <c r="D1869" s="222" t="s">
        <v>1324</v>
      </c>
    </row>
    <row r="1870" spans="1:4" x14ac:dyDescent="0.25">
      <c r="A1870" s="222" t="s">
        <v>6252</v>
      </c>
      <c r="B1870" s="222">
        <v>532851</v>
      </c>
      <c r="C1870" s="222" t="s">
        <v>6251</v>
      </c>
      <c r="D1870" s="222" t="s">
        <v>1324</v>
      </c>
    </row>
    <row r="1871" spans="1:4" x14ac:dyDescent="0.25">
      <c r="A1871" s="222" t="s">
        <v>6250</v>
      </c>
      <c r="B1871" s="222">
        <v>500211</v>
      </c>
      <c r="C1871" s="222" t="s">
        <v>2052</v>
      </c>
      <c r="D1871" s="222" t="s">
        <v>1395</v>
      </c>
    </row>
    <row r="1872" spans="1:4" x14ac:dyDescent="0.25">
      <c r="A1872" s="222" t="s">
        <v>6249</v>
      </c>
      <c r="B1872" s="222">
        <v>532774</v>
      </c>
      <c r="C1872" s="222" t="s">
        <v>6248</v>
      </c>
      <c r="D1872" s="222" t="s">
        <v>1265</v>
      </c>
    </row>
    <row r="1873" spans="1:4" x14ac:dyDescent="0.25">
      <c r="A1873" s="222" t="s">
        <v>6247</v>
      </c>
      <c r="B1873" s="222">
        <v>526871</v>
      </c>
      <c r="C1873" s="222" t="s">
        <v>2052</v>
      </c>
      <c r="D1873" s="222" t="s">
        <v>1262</v>
      </c>
    </row>
    <row r="1874" spans="1:4" x14ac:dyDescent="0.25">
      <c r="A1874" s="222" t="s">
        <v>6246</v>
      </c>
      <c r="B1874" s="222">
        <v>531314</v>
      </c>
      <c r="C1874" s="222" t="s">
        <v>6245</v>
      </c>
      <c r="D1874" s="222" t="s">
        <v>1321</v>
      </c>
    </row>
    <row r="1875" spans="1:4" x14ac:dyDescent="0.25">
      <c r="A1875" s="222" t="s">
        <v>6244</v>
      </c>
      <c r="B1875" s="222">
        <v>505358</v>
      </c>
      <c r="C1875" s="222" t="s">
        <v>2052</v>
      </c>
      <c r="D1875" s="222" t="s">
        <v>832</v>
      </c>
    </row>
    <row r="1876" spans="1:4" x14ac:dyDescent="0.25">
      <c r="A1876" s="222" t="s">
        <v>6243</v>
      </c>
      <c r="B1876" s="222">
        <v>505358</v>
      </c>
      <c r="C1876" s="222" t="s">
        <v>2052</v>
      </c>
      <c r="D1876" s="222" t="s">
        <v>832</v>
      </c>
    </row>
    <row r="1877" spans="1:4" x14ac:dyDescent="0.25">
      <c r="A1877" s="222" t="s">
        <v>6242</v>
      </c>
      <c r="B1877" s="222">
        <v>535958</v>
      </c>
      <c r="C1877" s="222" t="s">
        <v>6241</v>
      </c>
      <c r="D1877" s="222" t="s">
        <v>1364</v>
      </c>
    </row>
    <row r="1878" spans="1:4" x14ac:dyDescent="0.25">
      <c r="A1878" s="222" t="s">
        <v>6240</v>
      </c>
      <c r="B1878" s="222">
        <v>517423</v>
      </c>
      <c r="C1878" s="222" t="s">
        <v>2052</v>
      </c>
      <c r="D1878" s="222" t="s">
        <v>1275</v>
      </c>
    </row>
    <row r="1879" spans="1:4" x14ac:dyDescent="0.25">
      <c r="A1879" s="222" t="s">
        <v>6239</v>
      </c>
      <c r="B1879" s="222">
        <v>536868</v>
      </c>
      <c r="C1879" s="222" t="s">
        <v>2052</v>
      </c>
      <c r="D1879" s="222" t="s">
        <v>1265</v>
      </c>
    </row>
    <row r="1880" spans="1:4" x14ac:dyDescent="0.25">
      <c r="A1880" s="222" t="s">
        <v>6238</v>
      </c>
      <c r="B1880" s="222">
        <v>539149</v>
      </c>
      <c r="C1880" s="222" t="s">
        <v>2052</v>
      </c>
      <c r="D1880" s="222" t="s">
        <v>911</v>
      </c>
    </row>
    <row r="1881" spans="1:4" x14ac:dyDescent="0.25">
      <c r="A1881" s="222" t="s">
        <v>6237</v>
      </c>
      <c r="B1881" s="222">
        <v>500212</v>
      </c>
      <c r="C1881" s="222" t="s">
        <v>2052</v>
      </c>
      <c r="D1881" s="222" t="s">
        <v>1321</v>
      </c>
    </row>
    <row r="1882" spans="1:4" x14ac:dyDescent="0.25">
      <c r="A1882" s="222" t="s">
        <v>6236</v>
      </c>
      <c r="B1882" s="222">
        <v>519606</v>
      </c>
      <c r="C1882" s="222" t="s">
        <v>2052</v>
      </c>
      <c r="D1882" s="222" t="s">
        <v>1963</v>
      </c>
    </row>
    <row r="1883" spans="1:4" x14ac:dyDescent="0.25">
      <c r="A1883" s="222" t="s">
        <v>6235</v>
      </c>
      <c r="B1883" s="222">
        <v>531889</v>
      </c>
      <c r="C1883" s="222" t="s">
        <v>2052</v>
      </c>
      <c r="D1883" s="222" t="s">
        <v>2062</v>
      </c>
    </row>
    <row r="1884" spans="1:4" x14ac:dyDescent="0.25">
      <c r="A1884" s="222" t="s">
        <v>6234</v>
      </c>
      <c r="B1884" s="222">
        <v>530921</v>
      </c>
      <c r="C1884" s="222" t="s">
        <v>2052</v>
      </c>
      <c r="D1884" s="222" t="s">
        <v>1251</v>
      </c>
    </row>
    <row r="1885" spans="1:4" x14ac:dyDescent="0.25">
      <c r="A1885" s="222" t="s">
        <v>6233</v>
      </c>
      <c r="B1885" s="222">
        <v>538835</v>
      </c>
      <c r="C1885" s="222" t="s">
        <v>6232</v>
      </c>
      <c r="D1885" s="222" t="s">
        <v>1942</v>
      </c>
    </row>
    <row r="1886" spans="1:4" x14ac:dyDescent="0.25">
      <c r="A1886" s="222" t="s">
        <v>6231</v>
      </c>
      <c r="B1886" s="222">
        <v>534732</v>
      </c>
      <c r="C1886" s="222" t="s">
        <v>2052</v>
      </c>
      <c r="D1886" s="222" t="s">
        <v>1262</v>
      </c>
    </row>
    <row r="1887" spans="1:4" x14ac:dyDescent="0.25">
      <c r="A1887" s="222" t="s">
        <v>6230</v>
      </c>
      <c r="B1887" s="222">
        <v>506134</v>
      </c>
      <c r="C1887" s="222" t="s">
        <v>2052</v>
      </c>
      <c r="D1887" s="222" t="s">
        <v>1251</v>
      </c>
    </row>
    <row r="1888" spans="1:4" x14ac:dyDescent="0.25">
      <c r="A1888" s="222" t="s">
        <v>6229</v>
      </c>
      <c r="B1888" s="222">
        <v>532326</v>
      </c>
      <c r="C1888" s="222" t="s">
        <v>6228</v>
      </c>
      <c r="D1888" s="222" t="s">
        <v>1942</v>
      </c>
    </row>
    <row r="1889" spans="1:4" x14ac:dyDescent="0.25">
      <c r="A1889" s="222" t="s">
        <v>6227</v>
      </c>
      <c r="B1889" s="222">
        <v>511391</v>
      </c>
      <c r="C1889" s="222" t="s">
        <v>2052</v>
      </c>
      <c r="D1889" s="222" t="s">
        <v>1321</v>
      </c>
    </row>
    <row r="1890" spans="1:4" x14ac:dyDescent="0.25">
      <c r="A1890" s="222" t="s">
        <v>6226</v>
      </c>
      <c r="B1890" s="222">
        <v>530259</v>
      </c>
      <c r="C1890" s="222" t="s">
        <v>2052</v>
      </c>
      <c r="D1890" s="222" t="s">
        <v>2656</v>
      </c>
    </row>
    <row r="1891" spans="1:4" x14ac:dyDescent="0.25">
      <c r="A1891" s="222" t="s">
        <v>6225</v>
      </c>
      <c r="B1891" s="222">
        <v>539692</v>
      </c>
      <c r="C1891" s="222" t="s">
        <v>2052</v>
      </c>
      <c r="D1891" s="222" t="s">
        <v>1321</v>
      </c>
    </row>
    <row r="1892" spans="1:4" x14ac:dyDescent="0.25">
      <c r="A1892" s="222" t="s">
        <v>6224</v>
      </c>
      <c r="B1892" s="222">
        <v>539448</v>
      </c>
      <c r="C1892" s="222" t="s">
        <v>6223</v>
      </c>
      <c r="D1892" s="222" t="s">
        <v>2972</v>
      </c>
    </row>
    <row r="1893" spans="1:4" x14ac:dyDescent="0.25">
      <c r="A1893" s="222" t="s">
        <v>6222</v>
      </c>
      <c r="B1893" s="222">
        <v>526512</v>
      </c>
      <c r="C1893" s="222" t="s">
        <v>2052</v>
      </c>
      <c r="D1893" s="222" t="s">
        <v>3699</v>
      </c>
    </row>
    <row r="1894" spans="1:4" x14ac:dyDescent="0.25">
      <c r="A1894" s="222" t="s">
        <v>6221</v>
      </c>
      <c r="B1894" s="222">
        <v>505737</v>
      </c>
      <c r="C1894" s="222" t="s">
        <v>2052</v>
      </c>
      <c r="D1894" s="222" t="s">
        <v>832</v>
      </c>
    </row>
    <row r="1895" spans="1:4" x14ac:dyDescent="0.25">
      <c r="A1895" s="222" t="s">
        <v>6220</v>
      </c>
      <c r="B1895" s="222">
        <v>505737</v>
      </c>
      <c r="C1895" s="222" t="s">
        <v>2052</v>
      </c>
      <c r="D1895" s="222" t="s">
        <v>832</v>
      </c>
    </row>
    <row r="1896" spans="1:4" x14ac:dyDescent="0.25">
      <c r="A1896" s="222" t="s">
        <v>6219</v>
      </c>
      <c r="B1896" s="222" t="s">
        <v>2052</v>
      </c>
      <c r="C1896" s="222" t="s">
        <v>6218</v>
      </c>
      <c r="D1896" s="222" t="s">
        <v>2197</v>
      </c>
    </row>
    <row r="1897" spans="1:4" x14ac:dyDescent="0.25">
      <c r="A1897" s="222" t="s">
        <v>6217</v>
      </c>
      <c r="B1897" s="222">
        <v>509709</v>
      </c>
      <c r="C1897" s="222" t="s">
        <v>2052</v>
      </c>
      <c r="D1897" s="222" t="s">
        <v>1251</v>
      </c>
    </row>
    <row r="1898" spans="1:4" x14ac:dyDescent="0.25">
      <c r="A1898" s="222" t="s">
        <v>6216</v>
      </c>
      <c r="B1898" s="222">
        <v>517044</v>
      </c>
      <c r="C1898" s="222" t="s">
        <v>2052</v>
      </c>
      <c r="D1898" s="222" t="s">
        <v>911</v>
      </c>
    </row>
    <row r="1899" spans="1:4" x14ac:dyDescent="0.25">
      <c r="A1899" s="222" t="s">
        <v>6215</v>
      </c>
      <c r="B1899" s="222">
        <v>530781</v>
      </c>
      <c r="C1899" s="222" t="s">
        <v>2052</v>
      </c>
      <c r="D1899" s="222" t="s">
        <v>2520</v>
      </c>
    </row>
    <row r="1900" spans="1:4" x14ac:dyDescent="0.25">
      <c r="A1900" s="222" t="s">
        <v>6214</v>
      </c>
      <c r="B1900" s="222">
        <v>502330</v>
      </c>
      <c r="C1900" s="222" t="s">
        <v>6213</v>
      </c>
      <c r="D1900" s="222" t="s">
        <v>1972</v>
      </c>
    </row>
    <row r="1901" spans="1:4" x14ac:dyDescent="0.25">
      <c r="A1901" s="222" t="s">
        <v>6212</v>
      </c>
      <c r="B1901" s="222">
        <v>500213</v>
      </c>
      <c r="C1901" s="222" t="s">
        <v>2052</v>
      </c>
      <c r="D1901" s="222" t="s">
        <v>1492</v>
      </c>
    </row>
    <row r="1902" spans="1:4" x14ac:dyDescent="0.25">
      <c r="A1902" s="222" t="s">
        <v>6211</v>
      </c>
      <c r="B1902" s="222">
        <v>532072</v>
      </c>
      <c r="C1902" s="222" t="s">
        <v>2052</v>
      </c>
      <c r="D1902" s="222" t="s">
        <v>2264</v>
      </c>
    </row>
    <row r="1903" spans="1:4" x14ac:dyDescent="0.25">
      <c r="A1903" s="222" t="s">
        <v>6210</v>
      </c>
      <c r="B1903" s="222">
        <v>533181</v>
      </c>
      <c r="C1903" s="222" t="s">
        <v>6209</v>
      </c>
      <c r="D1903" s="222" t="s">
        <v>4767</v>
      </c>
    </row>
    <row r="1904" spans="1:4" x14ac:dyDescent="0.25">
      <c r="A1904" s="222" t="s">
        <v>6208</v>
      </c>
      <c r="B1904" s="222">
        <v>533506</v>
      </c>
      <c r="C1904" s="222" t="s">
        <v>6207</v>
      </c>
      <c r="D1904" s="222" t="s">
        <v>1262</v>
      </c>
    </row>
    <row r="1905" spans="1:4" x14ac:dyDescent="0.25">
      <c r="A1905" s="222" t="s">
        <v>6206</v>
      </c>
      <c r="B1905" s="222">
        <v>533172</v>
      </c>
      <c r="C1905" s="222" t="s">
        <v>6205</v>
      </c>
      <c r="D1905" s="222" t="s">
        <v>1262</v>
      </c>
    </row>
    <row r="1906" spans="1:4" x14ac:dyDescent="0.25">
      <c r="A1906" s="222" t="s">
        <v>6204</v>
      </c>
      <c r="B1906" s="222">
        <v>504786</v>
      </c>
      <c r="C1906" s="222" t="s">
        <v>2052</v>
      </c>
      <c r="D1906" s="222" t="s">
        <v>1313</v>
      </c>
    </row>
    <row r="1907" spans="1:4" x14ac:dyDescent="0.25">
      <c r="A1907" s="222" t="s">
        <v>6203</v>
      </c>
      <c r="B1907" s="222">
        <v>523844</v>
      </c>
      <c r="C1907" s="222" t="s">
        <v>2052</v>
      </c>
      <c r="D1907" s="222" t="s">
        <v>1547</v>
      </c>
    </row>
    <row r="1908" spans="1:4" x14ac:dyDescent="0.25">
      <c r="A1908" s="222" t="s">
        <v>6202</v>
      </c>
      <c r="B1908" s="222">
        <v>523752</v>
      </c>
      <c r="C1908" s="222" t="s">
        <v>2052</v>
      </c>
      <c r="D1908" s="222" t="s">
        <v>832</v>
      </c>
    </row>
    <row r="1909" spans="1:4" x14ac:dyDescent="0.25">
      <c r="A1909" s="222" t="s">
        <v>6201</v>
      </c>
      <c r="B1909" s="222">
        <v>524164</v>
      </c>
      <c r="C1909" s="222" t="s">
        <v>6200</v>
      </c>
      <c r="D1909" s="222" t="s">
        <v>789</v>
      </c>
    </row>
    <row r="1910" spans="1:4" x14ac:dyDescent="0.25">
      <c r="A1910" s="222" t="s">
        <v>6199</v>
      </c>
      <c r="B1910" s="222">
        <v>500214</v>
      </c>
      <c r="C1910" s="222" t="s">
        <v>2052</v>
      </c>
      <c r="D1910" s="222" t="s">
        <v>832</v>
      </c>
    </row>
    <row r="1911" spans="1:4" x14ac:dyDescent="0.25">
      <c r="A1911" s="222" t="s">
        <v>6198</v>
      </c>
      <c r="B1911" s="222">
        <v>500214</v>
      </c>
      <c r="C1911" s="222" t="s">
        <v>2052</v>
      </c>
      <c r="D1911" s="222" t="s">
        <v>832</v>
      </c>
    </row>
    <row r="1912" spans="1:4" x14ac:dyDescent="0.25">
      <c r="A1912" s="222" t="s">
        <v>6197</v>
      </c>
      <c r="B1912" s="222">
        <v>523638</v>
      </c>
      <c r="C1912" s="222" t="s">
        <v>2052</v>
      </c>
      <c r="D1912" s="222" t="s">
        <v>1306</v>
      </c>
    </row>
    <row r="1913" spans="1:4" x14ac:dyDescent="0.25">
      <c r="A1913" s="222" t="s">
        <v>6196</v>
      </c>
      <c r="B1913" s="222">
        <v>524494</v>
      </c>
      <c r="C1913" s="222" t="s">
        <v>6195</v>
      </c>
      <c r="D1913" s="222" t="s">
        <v>789</v>
      </c>
    </row>
    <row r="1914" spans="1:4" x14ac:dyDescent="0.25">
      <c r="A1914" s="222" t="s">
        <v>6194</v>
      </c>
      <c r="B1914" s="222">
        <v>512405</v>
      </c>
      <c r="C1914" s="222" t="s">
        <v>2052</v>
      </c>
      <c r="D1914" s="222" t="s">
        <v>1278</v>
      </c>
    </row>
    <row r="1915" spans="1:4" x14ac:dyDescent="0.25">
      <c r="A1915" s="222" t="s">
        <v>6193</v>
      </c>
      <c r="B1915" s="222">
        <v>512405</v>
      </c>
      <c r="C1915" s="222" t="s">
        <v>2052</v>
      </c>
      <c r="D1915" s="222" t="s">
        <v>1278</v>
      </c>
    </row>
    <row r="1916" spans="1:4" x14ac:dyDescent="0.25">
      <c r="A1916" s="222" t="s">
        <v>6192</v>
      </c>
      <c r="B1916" s="222">
        <v>532947</v>
      </c>
      <c r="C1916" s="222" t="s">
        <v>6191</v>
      </c>
      <c r="D1916" s="222" t="s">
        <v>3887</v>
      </c>
    </row>
    <row r="1917" spans="1:4" x14ac:dyDescent="0.25">
      <c r="A1917" s="222" t="s">
        <v>6190</v>
      </c>
      <c r="B1917" s="222">
        <v>540526</v>
      </c>
      <c r="C1917" s="222" t="s">
        <v>6189</v>
      </c>
      <c r="D1917" s="222" t="s">
        <v>2108</v>
      </c>
    </row>
    <row r="1918" spans="1:4" x14ac:dyDescent="0.25">
      <c r="A1918" s="222" t="s">
        <v>6188</v>
      </c>
      <c r="B1918" s="222">
        <v>541956</v>
      </c>
      <c r="C1918" s="222" t="s">
        <v>6187</v>
      </c>
      <c r="D1918" s="222" t="s">
        <v>1248</v>
      </c>
    </row>
    <row r="1919" spans="1:4" x14ac:dyDescent="0.25">
      <c r="A1919" s="222" t="s">
        <v>6186</v>
      </c>
      <c r="B1919" s="222">
        <v>540735</v>
      </c>
      <c r="C1919" s="222" t="s">
        <v>2052</v>
      </c>
      <c r="D1919" s="222" t="s">
        <v>1942</v>
      </c>
    </row>
    <row r="1920" spans="1:4" x14ac:dyDescent="0.25">
      <c r="A1920" s="222" t="s">
        <v>6185</v>
      </c>
      <c r="B1920" s="222" t="s">
        <v>2052</v>
      </c>
      <c r="C1920" s="222" t="s">
        <v>6184</v>
      </c>
      <c r="D1920" s="222" t="s">
        <v>2050</v>
      </c>
    </row>
    <row r="1921" spans="1:4" x14ac:dyDescent="0.25">
      <c r="A1921" s="222" t="s">
        <v>6183</v>
      </c>
      <c r="B1921" s="222">
        <v>531337</v>
      </c>
      <c r="C1921" s="222" t="s">
        <v>2052</v>
      </c>
      <c r="D1921" s="222" t="s">
        <v>1262</v>
      </c>
    </row>
    <row r="1922" spans="1:4" x14ac:dyDescent="0.25">
      <c r="A1922" s="222" t="s">
        <v>6182</v>
      </c>
      <c r="B1922" s="222">
        <v>526859</v>
      </c>
      <c r="C1922" s="222" t="s">
        <v>2052</v>
      </c>
      <c r="D1922" s="222" t="s">
        <v>1321</v>
      </c>
    </row>
    <row r="1923" spans="1:4" x14ac:dyDescent="0.25">
      <c r="A1923" s="222" t="s">
        <v>6181</v>
      </c>
      <c r="B1923" s="222">
        <v>533033</v>
      </c>
      <c r="C1923" s="222" t="s">
        <v>2052</v>
      </c>
      <c r="D1923" s="222" t="s">
        <v>832</v>
      </c>
    </row>
    <row r="1924" spans="1:4" x14ac:dyDescent="0.25">
      <c r="A1924" s="222" t="s">
        <v>6180</v>
      </c>
      <c r="B1924" s="222">
        <v>540134</v>
      </c>
      <c r="C1924" s="222" t="s">
        <v>2052</v>
      </c>
      <c r="D1924" s="222" t="s">
        <v>1248</v>
      </c>
    </row>
    <row r="1925" spans="1:4" x14ac:dyDescent="0.25">
      <c r="A1925" s="222" t="s">
        <v>6179</v>
      </c>
      <c r="B1925" s="222">
        <v>531109</v>
      </c>
      <c r="C1925" s="222" t="s">
        <v>2052</v>
      </c>
      <c r="D1925" s="222" t="s">
        <v>722</v>
      </c>
    </row>
    <row r="1926" spans="1:4" x14ac:dyDescent="0.25">
      <c r="A1926" s="222" t="s">
        <v>6178</v>
      </c>
      <c r="B1926" s="222">
        <v>524400</v>
      </c>
      <c r="C1926" s="222" t="s">
        <v>2052</v>
      </c>
      <c r="D1926" s="222" t="s">
        <v>789</v>
      </c>
    </row>
    <row r="1927" spans="1:4" x14ac:dyDescent="0.25">
      <c r="A1927" s="222" t="s">
        <v>6177</v>
      </c>
      <c r="B1927" s="222">
        <v>506161</v>
      </c>
      <c r="C1927" s="222" t="s">
        <v>2052</v>
      </c>
      <c r="D1927" s="222" t="s">
        <v>1321</v>
      </c>
    </row>
    <row r="1928" spans="1:4" x14ac:dyDescent="0.25">
      <c r="A1928" s="222" t="s">
        <v>6176</v>
      </c>
      <c r="B1928" s="222">
        <v>511609</v>
      </c>
      <c r="C1928" s="222" t="s">
        <v>2052</v>
      </c>
      <c r="D1928" s="222" t="s">
        <v>1321</v>
      </c>
    </row>
    <row r="1929" spans="1:4" x14ac:dyDescent="0.25">
      <c r="A1929" s="222" t="s">
        <v>6175</v>
      </c>
      <c r="B1929" s="222">
        <v>532479</v>
      </c>
      <c r="C1929" s="222" t="s">
        <v>6174</v>
      </c>
      <c r="D1929" s="222" t="s">
        <v>2167</v>
      </c>
    </row>
    <row r="1930" spans="1:4" x14ac:dyDescent="0.25">
      <c r="A1930" s="222" t="s">
        <v>6173</v>
      </c>
      <c r="B1930" s="222">
        <v>508807</v>
      </c>
      <c r="C1930" s="222" t="s">
        <v>2052</v>
      </c>
      <c r="D1930" s="222" t="s">
        <v>1306</v>
      </c>
    </row>
    <row r="1931" spans="1:4" x14ac:dyDescent="0.25">
      <c r="A1931" s="222" t="s">
        <v>6172</v>
      </c>
      <c r="B1931" s="222">
        <v>524622</v>
      </c>
      <c r="C1931" s="222" t="s">
        <v>2052</v>
      </c>
      <c r="D1931" s="222" t="s">
        <v>4767</v>
      </c>
    </row>
    <row r="1932" spans="1:4" x14ac:dyDescent="0.25">
      <c r="A1932" s="222" t="s">
        <v>6171</v>
      </c>
      <c r="B1932" s="222">
        <v>500875</v>
      </c>
      <c r="C1932" s="222" t="s">
        <v>6170</v>
      </c>
      <c r="D1932" s="222" t="s">
        <v>2227</v>
      </c>
    </row>
    <row r="1933" spans="1:4" x14ac:dyDescent="0.25">
      <c r="A1933" s="222" t="s">
        <v>6169</v>
      </c>
      <c r="B1933" s="222">
        <v>509496</v>
      </c>
      <c r="C1933" s="222" t="s">
        <v>6167</v>
      </c>
      <c r="D1933" s="222" t="s">
        <v>1248</v>
      </c>
    </row>
    <row r="1934" spans="1:4" x14ac:dyDescent="0.25">
      <c r="A1934" s="222" t="s">
        <v>6168</v>
      </c>
      <c r="B1934" s="222">
        <v>509496</v>
      </c>
      <c r="C1934" s="222" t="s">
        <v>6167</v>
      </c>
      <c r="D1934" s="222" t="s">
        <v>1248</v>
      </c>
    </row>
    <row r="1935" spans="1:4" x14ac:dyDescent="0.25">
      <c r="A1935" s="222" t="s">
        <v>6166</v>
      </c>
      <c r="B1935" s="222">
        <v>523610</v>
      </c>
      <c r="C1935" s="222" t="s">
        <v>6165</v>
      </c>
      <c r="D1935" s="222" t="s">
        <v>2114</v>
      </c>
    </row>
    <row r="1936" spans="1:4" x14ac:dyDescent="0.25">
      <c r="A1936" s="222" t="s">
        <v>6164</v>
      </c>
      <c r="B1936" s="222">
        <v>522183</v>
      </c>
      <c r="C1936" s="222" t="s">
        <v>2052</v>
      </c>
      <c r="D1936" s="222" t="s">
        <v>832</v>
      </c>
    </row>
    <row r="1937" spans="1:4" x14ac:dyDescent="0.25">
      <c r="A1937" s="222" t="s">
        <v>6163</v>
      </c>
      <c r="B1937" s="222">
        <v>507580</v>
      </c>
      <c r="C1937" s="222" t="s">
        <v>6162</v>
      </c>
      <c r="D1937" s="222" t="s">
        <v>998</v>
      </c>
    </row>
    <row r="1938" spans="1:4" x14ac:dyDescent="0.25">
      <c r="A1938" s="222" t="s">
        <v>6161</v>
      </c>
      <c r="B1938" s="222">
        <v>530773</v>
      </c>
      <c r="C1938" s="222" t="s">
        <v>6160</v>
      </c>
      <c r="D1938" s="222" t="s">
        <v>1248</v>
      </c>
    </row>
    <row r="1939" spans="1:4" x14ac:dyDescent="0.25">
      <c r="A1939" s="222" t="s">
        <v>6159</v>
      </c>
      <c r="B1939" s="222">
        <v>522245</v>
      </c>
      <c r="C1939" s="222" t="s">
        <v>2052</v>
      </c>
      <c r="D1939" s="222" t="s">
        <v>1395</v>
      </c>
    </row>
    <row r="1940" spans="1:4" x14ac:dyDescent="0.25">
      <c r="A1940" s="222" t="s">
        <v>6158</v>
      </c>
      <c r="B1940" s="222">
        <v>532341</v>
      </c>
      <c r="C1940" s="222" t="s">
        <v>6157</v>
      </c>
      <c r="D1940" s="222" t="s">
        <v>1265</v>
      </c>
    </row>
    <row r="1941" spans="1:4" x14ac:dyDescent="0.25">
      <c r="A1941" s="222" t="s">
        <v>6156</v>
      </c>
      <c r="B1941" s="222">
        <v>538539</v>
      </c>
      <c r="C1941" s="222" t="s">
        <v>2052</v>
      </c>
      <c r="D1941" s="222" t="s">
        <v>2108</v>
      </c>
    </row>
    <row r="1942" spans="1:4" x14ac:dyDescent="0.25">
      <c r="A1942" s="222" t="s">
        <v>6155</v>
      </c>
      <c r="B1942" s="222">
        <v>530049</v>
      </c>
      <c r="C1942" s="222" t="s">
        <v>2052</v>
      </c>
      <c r="D1942" s="222" t="s">
        <v>1237</v>
      </c>
    </row>
    <row r="1943" spans="1:4" x14ac:dyDescent="0.25">
      <c r="A1943" s="222" t="s">
        <v>6154</v>
      </c>
      <c r="B1943" s="222">
        <v>523062</v>
      </c>
      <c r="C1943" s="222" t="s">
        <v>2052</v>
      </c>
      <c r="D1943" s="222" t="s">
        <v>1321</v>
      </c>
    </row>
    <row r="1944" spans="1:4" x14ac:dyDescent="0.25">
      <c r="A1944" s="222" t="s">
        <v>6153</v>
      </c>
      <c r="B1944" s="222">
        <v>532940</v>
      </c>
      <c r="C1944" s="222" t="s">
        <v>6152</v>
      </c>
      <c r="D1944" s="222" t="s">
        <v>1248</v>
      </c>
    </row>
    <row r="1945" spans="1:4" x14ac:dyDescent="0.25">
      <c r="A1945" s="222" t="s">
        <v>6151</v>
      </c>
      <c r="B1945" s="222">
        <v>506522</v>
      </c>
      <c r="C1945" s="222" t="s">
        <v>2052</v>
      </c>
      <c r="D1945" s="222" t="s">
        <v>1542</v>
      </c>
    </row>
    <row r="1946" spans="1:4" x14ac:dyDescent="0.25">
      <c r="A1946" s="222" t="s">
        <v>6150</v>
      </c>
      <c r="B1946" s="222">
        <v>506522</v>
      </c>
      <c r="C1946" s="222" t="s">
        <v>2052</v>
      </c>
      <c r="D1946" s="222" t="s">
        <v>1542</v>
      </c>
    </row>
    <row r="1947" spans="1:4" x14ac:dyDescent="0.25">
      <c r="A1947" s="222" t="s">
        <v>6149</v>
      </c>
      <c r="B1947" s="222">
        <v>530915</v>
      </c>
      <c r="C1947" s="222" t="s">
        <v>2052</v>
      </c>
      <c r="D1947" s="222" t="s">
        <v>1963</v>
      </c>
    </row>
    <row r="1948" spans="1:4" x14ac:dyDescent="0.25">
      <c r="A1948" s="222" t="s">
        <v>6148</v>
      </c>
      <c r="B1948" s="222">
        <v>538422</v>
      </c>
      <c r="C1948" s="222" t="s">
        <v>2052</v>
      </c>
      <c r="D1948" s="222" t="s">
        <v>2108</v>
      </c>
    </row>
    <row r="1949" spans="1:4" x14ac:dyDescent="0.25">
      <c r="A1949" s="222" t="s">
        <v>6147</v>
      </c>
      <c r="B1949" s="222">
        <v>530711</v>
      </c>
      <c r="C1949" s="222" t="s">
        <v>2052</v>
      </c>
      <c r="D1949" s="222" t="s">
        <v>1306</v>
      </c>
    </row>
    <row r="1950" spans="1:4" x14ac:dyDescent="0.25">
      <c r="A1950" s="222" t="s">
        <v>6146</v>
      </c>
      <c r="B1950" s="222">
        <v>507155</v>
      </c>
      <c r="C1950" s="222" t="s">
        <v>2052</v>
      </c>
      <c r="D1950" s="222" t="s">
        <v>2146</v>
      </c>
    </row>
    <row r="1951" spans="1:4" x14ac:dyDescent="0.25">
      <c r="A1951" s="222" t="s">
        <v>6145</v>
      </c>
      <c r="B1951" s="222">
        <v>532825</v>
      </c>
      <c r="C1951" s="222" t="s">
        <v>2052</v>
      </c>
      <c r="D1951" s="222" t="s">
        <v>1237</v>
      </c>
    </row>
    <row r="1952" spans="1:4" x14ac:dyDescent="0.25">
      <c r="A1952" s="222" t="s">
        <v>6144</v>
      </c>
      <c r="B1952" s="222">
        <v>532705</v>
      </c>
      <c r="C1952" s="222" t="s">
        <v>6143</v>
      </c>
      <c r="D1952" s="222" t="s">
        <v>2784</v>
      </c>
    </row>
    <row r="1953" spans="1:4" x14ac:dyDescent="0.25">
      <c r="A1953" s="222" t="s">
        <v>6142</v>
      </c>
      <c r="B1953" s="222">
        <v>520139</v>
      </c>
      <c r="C1953" s="222" t="s">
        <v>2052</v>
      </c>
      <c r="D1953" s="222" t="s">
        <v>2972</v>
      </c>
    </row>
    <row r="1954" spans="1:4" x14ac:dyDescent="0.25">
      <c r="A1954" s="222" t="s">
        <v>6141</v>
      </c>
      <c r="B1954" s="222">
        <v>530601</v>
      </c>
      <c r="C1954" s="222" t="s">
        <v>2052</v>
      </c>
      <c r="D1954" s="222" t="s">
        <v>1321</v>
      </c>
    </row>
    <row r="1955" spans="1:4" x14ac:dyDescent="0.25">
      <c r="A1955" s="222" t="s">
        <v>6140</v>
      </c>
      <c r="B1955" s="222">
        <v>507789</v>
      </c>
      <c r="C1955" s="222" t="s">
        <v>6139</v>
      </c>
      <c r="D1955" s="222" t="s">
        <v>789</v>
      </c>
    </row>
    <row r="1956" spans="1:4" x14ac:dyDescent="0.25">
      <c r="A1956" s="222" t="s">
        <v>6138</v>
      </c>
      <c r="B1956" s="222">
        <v>532976</v>
      </c>
      <c r="C1956" s="222" t="s">
        <v>6137</v>
      </c>
      <c r="D1956" s="222" t="s">
        <v>2167</v>
      </c>
    </row>
    <row r="1957" spans="1:4" x14ac:dyDescent="0.25">
      <c r="A1957" s="222" t="s">
        <v>6136</v>
      </c>
      <c r="B1957" s="222">
        <v>512237</v>
      </c>
      <c r="C1957" s="222" t="s">
        <v>6135</v>
      </c>
      <c r="D1957" s="222" t="s">
        <v>2167</v>
      </c>
    </row>
    <row r="1958" spans="1:4" x14ac:dyDescent="0.25">
      <c r="A1958" s="222" t="s">
        <v>6134</v>
      </c>
      <c r="B1958" s="222">
        <v>523467</v>
      </c>
      <c r="C1958" s="222" t="s">
        <v>2052</v>
      </c>
      <c r="D1958" s="222" t="s">
        <v>2357</v>
      </c>
    </row>
    <row r="1959" spans="1:4" x14ac:dyDescent="0.25">
      <c r="A1959" s="222" t="s">
        <v>6133</v>
      </c>
      <c r="B1959" s="222">
        <v>531339</v>
      </c>
      <c r="C1959" s="222" t="s">
        <v>6132</v>
      </c>
      <c r="D1959" s="222" t="s">
        <v>1248</v>
      </c>
    </row>
    <row r="1960" spans="1:4" x14ac:dyDescent="0.25">
      <c r="A1960" s="222" t="s">
        <v>6131</v>
      </c>
      <c r="B1960" s="222">
        <v>514312</v>
      </c>
      <c r="C1960" s="222" t="s">
        <v>2052</v>
      </c>
      <c r="D1960" s="222" t="s">
        <v>1237</v>
      </c>
    </row>
    <row r="1961" spans="1:4" x14ac:dyDescent="0.25">
      <c r="A1961" s="222" t="s">
        <v>6129</v>
      </c>
      <c r="B1961" s="222">
        <v>500219</v>
      </c>
      <c r="C1961" s="222" t="s">
        <v>6130</v>
      </c>
      <c r="D1961" s="222" t="s">
        <v>1251</v>
      </c>
    </row>
    <row r="1962" spans="1:4" x14ac:dyDescent="0.25">
      <c r="A1962" s="222" t="s">
        <v>6129</v>
      </c>
      <c r="B1962" s="222">
        <v>570004</v>
      </c>
      <c r="C1962" s="222" t="s">
        <v>6128</v>
      </c>
      <c r="D1962" s="222" t="s">
        <v>1251</v>
      </c>
    </row>
    <row r="1963" spans="1:4" x14ac:dyDescent="0.25">
      <c r="A1963" s="222" t="s">
        <v>6127</v>
      </c>
      <c r="B1963" s="222">
        <v>539119</v>
      </c>
      <c r="C1963" s="222" t="s">
        <v>2052</v>
      </c>
      <c r="D1963" s="222" t="s">
        <v>2357</v>
      </c>
    </row>
    <row r="1964" spans="1:4" x14ac:dyDescent="0.25">
      <c r="A1964" s="222" t="s">
        <v>6126</v>
      </c>
      <c r="B1964" s="222">
        <v>532033</v>
      </c>
      <c r="C1964" s="222" t="s">
        <v>6125</v>
      </c>
      <c r="D1964" s="222" t="s">
        <v>2079</v>
      </c>
    </row>
    <row r="1965" spans="1:4" x14ac:dyDescent="0.25">
      <c r="A1965" s="222" t="s">
        <v>6124</v>
      </c>
      <c r="B1965" s="222">
        <v>526865</v>
      </c>
      <c r="C1965" s="222" t="s">
        <v>2052</v>
      </c>
      <c r="D1965" s="222" t="s">
        <v>1529</v>
      </c>
    </row>
    <row r="1966" spans="1:4" x14ac:dyDescent="0.25">
      <c r="A1966" s="222" t="s">
        <v>6123</v>
      </c>
      <c r="B1966" s="222">
        <v>526865</v>
      </c>
      <c r="C1966" s="222" t="s">
        <v>2052</v>
      </c>
      <c r="D1966" s="222" t="s">
        <v>1529</v>
      </c>
    </row>
    <row r="1967" spans="1:4" x14ac:dyDescent="0.25">
      <c r="A1967" s="222" t="s">
        <v>6122</v>
      </c>
      <c r="B1967" s="222">
        <v>505212</v>
      </c>
      <c r="C1967" s="222" t="s">
        <v>2052</v>
      </c>
      <c r="D1967" s="222" t="s">
        <v>1306</v>
      </c>
    </row>
    <row r="1968" spans="1:4" x14ac:dyDescent="0.25">
      <c r="A1968" s="222" t="s">
        <v>6121</v>
      </c>
      <c r="B1968" s="222">
        <v>505840</v>
      </c>
      <c r="C1968" s="222" t="s">
        <v>2052</v>
      </c>
      <c r="D1968" s="222" t="s">
        <v>802</v>
      </c>
    </row>
    <row r="1969" spans="1:4" x14ac:dyDescent="0.25">
      <c r="A1969" s="222" t="s">
        <v>6120</v>
      </c>
      <c r="B1969" s="222">
        <v>532532</v>
      </c>
      <c r="C1969" s="222" t="s">
        <v>6119</v>
      </c>
      <c r="D1969" s="222" t="s">
        <v>1248</v>
      </c>
    </row>
    <row r="1970" spans="1:4" x14ac:dyDescent="0.25">
      <c r="A1970" s="222" t="s">
        <v>6118</v>
      </c>
      <c r="B1970" s="222">
        <v>532627</v>
      </c>
      <c r="C1970" s="222" t="s">
        <v>6117</v>
      </c>
      <c r="D1970" s="222" t="s">
        <v>2380</v>
      </c>
    </row>
    <row r="1971" spans="1:4" x14ac:dyDescent="0.25">
      <c r="A1971" s="222" t="s">
        <v>6116</v>
      </c>
      <c r="B1971" s="222">
        <v>780001</v>
      </c>
      <c r="C1971" s="222" t="s">
        <v>2052</v>
      </c>
      <c r="D1971" s="222" t="s">
        <v>2197</v>
      </c>
    </row>
    <row r="1972" spans="1:4" x14ac:dyDescent="0.25">
      <c r="A1972" s="222" t="s">
        <v>6115</v>
      </c>
      <c r="B1972" s="222" t="s">
        <v>2052</v>
      </c>
      <c r="C1972" s="222" t="s">
        <v>6114</v>
      </c>
      <c r="D1972" s="222" t="s">
        <v>2050</v>
      </c>
    </row>
    <row r="1973" spans="1:4" x14ac:dyDescent="0.25">
      <c r="A1973" s="222" t="s">
        <v>6113</v>
      </c>
      <c r="B1973" s="222" t="s">
        <v>2052</v>
      </c>
      <c r="C1973" s="222" t="s">
        <v>6111</v>
      </c>
      <c r="D1973" s="222" t="s">
        <v>2050</v>
      </c>
    </row>
    <row r="1974" spans="1:4" x14ac:dyDescent="0.25">
      <c r="A1974" s="222" t="s">
        <v>6112</v>
      </c>
      <c r="B1974" s="222" t="s">
        <v>2052</v>
      </c>
      <c r="C1974" s="222" t="s">
        <v>6111</v>
      </c>
      <c r="D1974" s="222" t="s">
        <v>2050</v>
      </c>
    </row>
    <row r="1975" spans="1:4" x14ac:dyDescent="0.25">
      <c r="A1975" s="222" t="s">
        <v>6110</v>
      </c>
      <c r="B1975" s="222">
        <v>538564</v>
      </c>
      <c r="C1975" s="222" t="s">
        <v>2052</v>
      </c>
      <c r="D1975" s="222" t="s">
        <v>1400</v>
      </c>
    </row>
    <row r="1976" spans="1:4" x14ac:dyDescent="0.25">
      <c r="A1976" s="222" t="s">
        <v>6109</v>
      </c>
      <c r="B1976" s="222">
        <v>520051</v>
      </c>
      <c r="C1976" s="222" t="s">
        <v>6108</v>
      </c>
      <c r="D1976" s="222" t="s">
        <v>1306</v>
      </c>
    </row>
    <row r="1977" spans="1:4" x14ac:dyDescent="0.25">
      <c r="A1977" s="222" t="s">
        <v>6107</v>
      </c>
      <c r="B1977" s="222">
        <v>502901</v>
      </c>
      <c r="C1977" s="222" t="s">
        <v>2052</v>
      </c>
      <c r="D1977" s="222" t="s">
        <v>1237</v>
      </c>
    </row>
    <row r="1978" spans="1:4" x14ac:dyDescent="0.25">
      <c r="A1978" s="222" t="s">
        <v>6106</v>
      </c>
      <c r="B1978" s="222">
        <v>500220</v>
      </c>
      <c r="C1978" s="222" t="s">
        <v>2052</v>
      </c>
      <c r="D1978" s="222" t="s">
        <v>1237</v>
      </c>
    </row>
    <row r="1979" spans="1:4" x14ac:dyDescent="0.25">
      <c r="A1979" s="222" t="s">
        <v>6105</v>
      </c>
      <c r="B1979" s="222">
        <v>540394</v>
      </c>
      <c r="C1979" s="222" t="s">
        <v>2052</v>
      </c>
      <c r="D1979" s="222" t="s">
        <v>1529</v>
      </c>
    </row>
    <row r="1980" spans="1:4" x14ac:dyDescent="0.25">
      <c r="A1980" s="222" t="s">
        <v>6104</v>
      </c>
      <c r="B1980" s="222" t="s">
        <v>2052</v>
      </c>
      <c r="C1980" s="222" t="s">
        <v>6103</v>
      </c>
      <c r="D1980" s="222" t="s">
        <v>2050</v>
      </c>
    </row>
    <row r="1981" spans="1:4" x14ac:dyDescent="0.25">
      <c r="A1981" s="222" t="s">
        <v>6102</v>
      </c>
      <c r="B1981" s="222">
        <v>514318</v>
      </c>
      <c r="C1981" s="222" t="s">
        <v>2052</v>
      </c>
      <c r="D1981" s="222" t="s">
        <v>1237</v>
      </c>
    </row>
    <row r="1982" spans="1:4" x14ac:dyDescent="0.25">
      <c r="A1982" s="222" t="s">
        <v>6101</v>
      </c>
      <c r="B1982" s="222">
        <v>526001</v>
      </c>
      <c r="C1982" s="222" t="s">
        <v>2052</v>
      </c>
      <c r="D1982" s="222" t="s">
        <v>1447</v>
      </c>
    </row>
    <row r="1983" spans="1:4" x14ac:dyDescent="0.25">
      <c r="A1983" s="222" t="s">
        <v>6100</v>
      </c>
      <c r="B1983" s="222">
        <v>520066</v>
      </c>
      <c r="C1983" s="222" t="s">
        <v>6099</v>
      </c>
      <c r="D1983" s="222" t="s">
        <v>1306</v>
      </c>
    </row>
    <row r="1984" spans="1:4" x14ac:dyDescent="0.25">
      <c r="A1984" s="222" t="s">
        <v>6098</v>
      </c>
      <c r="B1984" s="222">
        <v>509715</v>
      </c>
      <c r="C1984" s="222" t="s">
        <v>2052</v>
      </c>
      <c r="D1984" s="222" t="s">
        <v>1400</v>
      </c>
    </row>
    <row r="1985" spans="1:4" x14ac:dyDescent="0.25">
      <c r="A1985" s="222" t="s">
        <v>6097</v>
      </c>
      <c r="B1985" s="222">
        <v>513252</v>
      </c>
      <c r="C1985" s="222" t="s">
        <v>2052</v>
      </c>
      <c r="D1985" s="222" t="s">
        <v>1306</v>
      </c>
    </row>
    <row r="1986" spans="1:4" x14ac:dyDescent="0.25">
      <c r="A1986" s="222" t="s">
        <v>6096</v>
      </c>
      <c r="B1986" s="222">
        <v>524330</v>
      </c>
      <c r="C1986" s="222" t="s">
        <v>6095</v>
      </c>
      <c r="D1986" s="222" t="s">
        <v>722</v>
      </c>
    </row>
    <row r="1987" spans="1:4" x14ac:dyDescent="0.25">
      <c r="A1987" s="222" t="s">
        <v>6094</v>
      </c>
      <c r="B1987" s="222">
        <v>522285</v>
      </c>
      <c r="C1987" s="222" t="s">
        <v>6093</v>
      </c>
      <c r="D1987" s="222" t="s">
        <v>2167</v>
      </c>
    </row>
    <row r="1988" spans="1:4" x14ac:dyDescent="0.25">
      <c r="A1988" s="222" t="s">
        <v>6092</v>
      </c>
      <c r="B1988" s="222">
        <v>539005</v>
      </c>
      <c r="C1988" s="222" t="s">
        <v>2052</v>
      </c>
      <c r="D1988" s="222" t="s">
        <v>2068</v>
      </c>
    </row>
    <row r="1989" spans="1:4" x14ac:dyDescent="0.25">
      <c r="A1989" s="222" t="s">
        <v>6091</v>
      </c>
      <c r="B1989" s="222">
        <v>531323</v>
      </c>
      <c r="C1989" s="222" t="s">
        <v>2052</v>
      </c>
      <c r="D1989" s="222" t="s">
        <v>1237</v>
      </c>
    </row>
    <row r="1990" spans="1:4" x14ac:dyDescent="0.25">
      <c r="A1990" s="222" t="s">
        <v>6090</v>
      </c>
      <c r="B1990" s="222">
        <v>512233</v>
      </c>
      <c r="C1990" s="222" t="s">
        <v>2052</v>
      </c>
      <c r="D1990" s="222" t="s">
        <v>1237</v>
      </c>
    </row>
    <row r="1991" spans="1:4" x14ac:dyDescent="0.25">
      <c r="A1991" s="222" t="s">
        <v>6089</v>
      </c>
      <c r="B1991" s="222">
        <v>500306</v>
      </c>
      <c r="C1991" s="222" t="s">
        <v>2052</v>
      </c>
      <c r="D1991" s="222" t="s">
        <v>1321</v>
      </c>
    </row>
    <row r="1992" spans="1:4" x14ac:dyDescent="0.25">
      <c r="A1992" s="222" t="s">
        <v>6088</v>
      </c>
      <c r="B1992" s="222">
        <v>533207</v>
      </c>
      <c r="C1992" s="222" t="s">
        <v>6087</v>
      </c>
      <c r="D1992" s="222" t="s">
        <v>3887</v>
      </c>
    </row>
    <row r="1993" spans="1:4" x14ac:dyDescent="0.25">
      <c r="A1993" s="222" t="s">
        <v>6086</v>
      </c>
      <c r="B1993" s="222">
        <v>506520</v>
      </c>
      <c r="C1993" s="222" t="s">
        <v>2052</v>
      </c>
      <c r="D1993" s="222" t="s">
        <v>998</v>
      </c>
    </row>
    <row r="1994" spans="1:4" x14ac:dyDescent="0.25">
      <c r="A1994" s="222" t="s">
        <v>6085</v>
      </c>
      <c r="B1994" s="222" t="s">
        <v>2052</v>
      </c>
      <c r="C1994" s="222" t="s">
        <v>6084</v>
      </c>
      <c r="D1994" s="222" t="s">
        <v>2197</v>
      </c>
    </row>
    <row r="1995" spans="1:4" x14ac:dyDescent="0.25">
      <c r="A1995" s="222" t="s">
        <v>6083</v>
      </c>
      <c r="B1995" s="222">
        <v>506910</v>
      </c>
      <c r="C1995" s="222" t="s">
        <v>2052</v>
      </c>
      <c r="D1995" s="222" t="s">
        <v>722</v>
      </c>
    </row>
    <row r="1996" spans="1:4" x14ac:dyDescent="0.25">
      <c r="A1996" s="222" t="s">
        <v>6082</v>
      </c>
      <c r="B1996" s="222">
        <v>506910</v>
      </c>
      <c r="C1996" s="222" t="s">
        <v>2052</v>
      </c>
      <c r="D1996" s="222" t="s">
        <v>722</v>
      </c>
    </row>
    <row r="1997" spans="1:4" x14ac:dyDescent="0.25">
      <c r="A1997" s="222" t="s">
        <v>6081</v>
      </c>
      <c r="B1997" s="222">
        <v>506943</v>
      </c>
      <c r="C1997" s="222" t="s">
        <v>6080</v>
      </c>
      <c r="D1997" s="222" t="s">
        <v>789</v>
      </c>
    </row>
    <row r="1998" spans="1:4" x14ac:dyDescent="0.25">
      <c r="A1998" s="222" t="s">
        <v>6079</v>
      </c>
      <c r="B1998" s="222">
        <v>514034</v>
      </c>
      <c r="C1998" s="222" t="s">
        <v>6078</v>
      </c>
      <c r="D1998" s="222" t="s">
        <v>2299</v>
      </c>
    </row>
    <row r="1999" spans="1:4" x14ac:dyDescent="0.25">
      <c r="A1999" s="222" t="s">
        <v>6077</v>
      </c>
      <c r="B1999" s="222">
        <v>532605</v>
      </c>
      <c r="C1999" s="222" t="s">
        <v>6076</v>
      </c>
      <c r="D1999" s="222" t="s">
        <v>1306</v>
      </c>
    </row>
    <row r="2000" spans="1:4" x14ac:dyDescent="0.25">
      <c r="A2000" s="222" t="s">
        <v>6075</v>
      </c>
      <c r="B2000" s="222">
        <v>500223</v>
      </c>
      <c r="C2000" s="222" t="s">
        <v>2052</v>
      </c>
      <c r="D2000" s="222" t="s">
        <v>1237</v>
      </c>
    </row>
    <row r="2001" spans="1:4" x14ac:dyDescent="0.25">
      <c r="A2001" s="222" t="s">
        <v>6074</v>
      </c>
      <c r="B2001" s="222">
        <v>524592</v>
      </c>
      <c r="C2001" s="222" t="s">
        <v>2052</v>
      </c>
      <c r="D2001" s="222" t="s">
        <v>722</v>
      </c>
    </row>
    <row r="2002" spans="1:4" x14ac:dyDescent="0.25">
      <c r="A2002" s="222" t="s">
        <v>6073</v>
      </c>
      <c r="B2002" s="222">
        <v>538837</v>
      </c>
      <c r="C2002" s="222" t="s">
        <v>2052</v>
      </c>
      <c r="D2002" s="222" t="s">
        <v>1278</v>
      </c>
    </row>
    <row r="2003" spans="1:4" x14ac:dyDescent="0.25">
      <c r="A2003" s="222" t="s">
        <v>6072</v>
      </c>
      <c r="B2003" s="222">
        <v>524731</v>
      </c>
      <c r="C2003" s="222" t="s">
        <v>2052</v>
      </c>
      <c r="D2003" s="222" t="s">
        <v>789</v>
      </c>
    </row>
    <row r="2004" spans="1:4" x14ac:dyDescent="0.25">
      <c r="A2004" s="222" t="s">
        <v>6071</v>
      </c>
      <c r="B2004" s="222">
        <v>532617</v>
      </c>
      <c r="C2004" s="222" t="s">
        <v>6069</v>
      </c>
      <c r="D2004" s="222" t="s">
        <v>2972</v>
      </c>
    </row>
    <row r="2005" spans="1:4" x14ac:dyDescent="0.25">
      <c r="A2005" s="222" t="s">
        <v>6070</v>
      </c>
      <c r="B2005" s="222">
        <v>532617</v>
      </c>
      <c r="C2005" s="222" t="s">
        <v>6069</v>
      </c>
      <c r="D2005" s="222" t="s">
        <v>2972</v>
      </c>
    </row>
    <row r="2006" spans="1:4" x14ac:dyDescent="0.25">
      <c r="A2006" s="222" t="s">
        <v>6068</v>
      </c>
      <c r="B2006" s="222" t="s">
        <v>2052</v>
      </c>
      <c r="C2006" s="222" t="s">
        <v>890</v>
      </c>
      <c r="D2006" s="222" t="s">
        <v>2050</v>
      </c>
    </row>
    <row r="2007" spans="1:4" x14ac:dyDescent="0.25">
      <c r="A2007" s="222" t="s">
        <v>6067</v>
      </c>
      <c r="B2007" s="222">
        <v>538794</v>
      </c>
      <c r="C2007" s="222" t="s">
        <v>2052</v>
      </c>
      <c r="D2007" s="222" t="s">
        <v>1243</v>
      </c>
    </row>
    <row r="2008" spans="1:4" x14ac:dyDescent="0.25">
      <c r="A2008" s="222" t="s">
        <v>6066</v>
      </c>
      <c r="B2008" s="222" t="s">
        <v>2052</v>
      </c>
      <c r="C2008" s="222" t="s">
        <v>6065</v>
      </c>
      <c r="D2008" s="222" t="s">
        <v>2050</v>
      </c>
    </row>
    <row r="2009" spans="1:4" x14ac:dyDescent="0.25">
      <c r="A2009" s="222" t="s">
        <v>6064</v>
      </c>
      <c r="B2009" s="222">
        <v>517063</v>
      </c>
      <c r="C2009" s="222" t="s">
        <v>2052</v>
      </c>
      <c r="D2009" s="222" t="s">
        <v>4885</v>
      </c>
    </row>
    <row r="2010" spans="1:4" x14ac:dyDescent="0.25">
      <c r="A2010" s="222" t="s">
        <v>6063</v>
      </c>
      <c r="B2010" s="222">
        <v>540850</v>
      </c>
      <c r="C2010" s="222" t="s">
        <v>2052</v>
      </c>
      <c r="D2010" s="222" t="s">
        <v>1161</v>
      </c>
    </row>
    <row r="2011" spans="1:4" x14ac:dyDescent="0.25">
      <c r="A2011" s="222" t="s">
        <v>6062</v>
      </c>
      <c r="B2011" s="222">
        <v>531550</v>
      </c>
      <c r="C2011" s="222" t="s">
        <v>2052</v>
      </c>
      <c r="D2011" s="222" t="s">
        <v>1262</v>
      </c>
    </row>
    <row r="2012" spans="1:4" x14ac:dyDescent="0.25">
      <c r="A2012" s="222" t="s">
        <v>6061</v>
      </c>
      <c r="B2012" s="222">
        <v>532771</v>
      </c>
      <c r="C2012" s="222" t="s">
        <v>6060</v>
      </c>
      <c r="D2012" s="222" t="s">
        <v>1542</v>
      </c>
    </row>
    <row r="2013" spans="1:4" x14ac:dyDescent="0.25">
      <c r="A2013" s="222" t="s">
        <v>6059</v>
      </c>
      <c r="B2013" s="222">
        <v>540651</v>
      </c>
      <c r="C2013" s="222" t="s">
        <v>2052</v>
      </c>
      <c r="D2013" s="222" t="s">
        <v>1275</v>
      </c>
    </row>
    <row r="2014" spans="1:4" x14ac:dyDescent="0.25">
      <c r="A2014" s="222" t="s">
        <v>6058</v>
      </c>
      <c r="B2014" s="222">
        <v>780019</v>
      </c>
      <c r="C2014" s="222" t="s">
        <v>2052</v>
      </c>
      <c r="D2014" s="222" t="s">
        <v>2197</v>
      </c>
    </row>
    <row r="2015" spans="1:4" x14ac:dyDescent="0.25">
      <c r="A2015" s="222" t="s">
        <v>6057</v>
      </c>
      <c r="B2015" s="222">
        <v>511618</v>
      </c>
      <c r="C2015" s="222" t="s">
        <v>6056</v>
      </c>
      <c r="D2015" s="222" t="s">
        <v>1529</v>
      </c>
    </row>
    <row r="2016" spans="1:4" x14ac:dyDescent="0.25">
      <c r="A2016" s="222" t="s">
        <v>6055</v>
      </c>
      <c r="B2016" s="222">
        <v>542653</v>
      </c>
      <c r="C2016" s="222" t="s">
        <v>6054</v>
      </c>
      <c r="D2016" s="222" t="s">
        <v>2536</v>
      </c>
    </row>
    <row r="2017" spans="1:4" x14ac:dyDescent="0.25">
      <c r="A2017" s="222" t="s">
        <v>6053</v>
      </c>
      <c r="B2017" s="222">
        <v>530405</v>
      </c>
      <c r="C2017" s="222" t="s">
        <v>2052</v>
      </c>
      <c r="D2017" s="222" t="s">
        <v>1262</v>
      </c>
    </row>
    <row r="2018" spans="1:4" x14ac:dyDescent="0.25">
      <c r="A2018" s="222" t="s">
        <v>6052</v>
      </c>
      <c r="B2018" s="222">
        <v>533103</v>
      </c>
      <c r="C2018" s="222" t="s">
        <v>6051</v>
      </c>
      <c r="D2018" s="222" t="s">
        <v>1237</v>
      </c>
    </row>
    <row r="2019" spans="1:4" x14ac:dyDescent="0.25">
      <c r="A2019" s="222" t="s">
        <v>6050</v>
      </c>
      <c r="B2019" s="222">
        <v>511034</v>
      </c>
      <c r="C2019" s="222" t="s">
        <v>6049</v>
      </c>
      <c r="D2019" s="222" t="s">
        <v>3699</v>
      </c>
    </row>
    <row r="2020" spans="1:4" x14ac:dyDescent="0.25">
      <c r="A2020" s="222" t="s">
        <v>6048</v>
      </c>
      <c r="B2020" s="222">
        <v>507981</v>
      </c>
      <c r="C2020" s="222" t="s">
        <v>2052</v>
      </c>
      <c r="D2020" s="222" t="s">
        <v>2128</v>
      </c>
    </row>
    <row r="2021" spans="1:4" x14ac:dyDescent="0.25">
      <c r="A2021" s="222" t="s">
        <v>6047</v>
      </c>
      <c r="B2021" s="222">
        <v>539947</v>
      </c>
      <c r="C2021" s="222" t="s">
        <v>2052</v>
      </c>
      <c r="D2021" s="222" t="s">
        <v>2108</v>
      </c>
    </row>
    <row r="2022" spans="1:4" x14ac:dyDescent="0.25">
      <c r="A2022" s="222" t="s">
        <v>6046</v>
      </c>
      <c r="B2022" s="222">
        <v>532624</v>
      </c>
      <c r="C2022" s="222" t="s">
        <v>6045</v>
      </c>
      <c r="D2022" s="222" t="s">
        <v>1407</v>
      </c>
    </row>
    <row r="2023" spans="1:4" x14ac:dyDescent="0.25">
      <c r="A2023" s="222" t="s">
        <v>6044</v>
      </c>
      <c r="B2023" s="222">
        <v>500227</v>
      </c>
      <c r="C2023" s="222" t="s">
        <v>6043</v>
      </c>
      <c r="D2023" s="222" t="s">
        <v>998</v>
      </c>
    </row>
    <row r="2024" spans="1:4" x14ac:dyDescent="0.25">
      <c r="A2024" s="222" t="s">
        <v>6042</v>
      </c>
      <c r="B2024" s="222">
        <v>536773</v>
      </c>
      <c r="C2024" s="222" t="s">
        <v>6041</v>
      </c>
      <c r="D2024" s="222" t="s">
        <v>1262</v>
      </c>
    </row>
    <row r="2025" spans="1:4" x14ac:dyDescent="0.25">
      <c r="A2025" s="222" t="s">
        <v>6040</v>
      </c>
      <c r="B2025" s="222">
        <v>500378</v>
      </c>
      <c r="C2025" s="222" t="s">
        <v>6039</v>
      </c>
      <c r="D2025" s="222" t="s">
        <v>1248</v>
      </c>
    </row>
    <row r="2026" spans="1:4" x14ac:dyDescent="0.25">
      <c r="A2026" s="222" t="s">
        <v>6038</v>
      </c>
      <c r="B2026" s="222">
        <v>539597</v>
      </c>
      <c r="C2026" s="222" t="s">
        <v>6037</v>
      </c>
      <c r="D2026" s="222" t="s">
        <v>740</v>
      </c>
    </row>
    <row r="2027" spans="1:4" x14ac:dyDescent="0.25">
      <c r="A2027" s="222" t="s">
        <v>6036</v>
      </c>
      <c r="B2027" s="222">
        <v>532508</v>
      </c>
      <c r="C2027" s="222" t="s">
        <v>6035</v>
      </c>
      <c r="D2027" s="222" t="s">
        <v>2167</v>
      </c>
    </row>
    <row r="2028" spans="1:4" x14ac:dyDescent="0.25">
      <c r="A2028" s="222" t="s">
        <v>6034</v>
      </c>
      <c r="B2028" s="222">
        <v>532286</v>
      </c>
      <c r="C2028" s="222" t="s">
        <v>6033</v>
      </c>
      <c r="D2028" s="222" t="s">
        <v>2167</v>
      </c>
    </row>
    <row r="2029" spans="1:4" x14ac:dyDescent="0.25">
      <c r="A2029" s="222" t="s">
        <v>6032</v>
      </c>
      <c r="B2029" s="222">
        <v>531543</v>
      </c>
      <c r="C2029" s="222" t="s">
        <v>6031</v>
      </c>
      <c r="D2029" s="222" t="s">
        <v>1237</v>
      </c>
    </row>
    <row r="2030" spans="1:4" x14ac:dyDescent="0.25">
      <c r="A2030" s="222" t="s">
        <v>6030</v>
      </c>
      <c r="B2030" s="222">
        <v>540311</v>
      </c>
      <c r="C2030" s="222" t="s">
        <v>6029</v>
      </c>
      <c r="D2030" s="222" t="s">
        <v>1292</v>
      </c>
    </row>
    <row r="2031" spans="1:4" x14ac:dyDescent="0.25">
      <c r="A2031" s="222" t="s">
        <v>6028</v>
      </c>
      <c r="B2031" s="222">
        <v>539225</v>
      </c>
      <c r="C2031" s="222" t="s">
        <v>2052</v>
      </c>
      <c r="D2031" s="222" t="s">
        <v>2445</v>
      </c>
    </row>
    <row r="2032" spans="1:4" x14ac:dyDescent="0.25">
      <c r="A2032" s="222" t="s">
        <v>6027</v>
      </c>
      <c r="B2032" s="222">
        <v>536493</v>
      </c>
      <c r="C2032" s="222" t="s">
        <v>2052</v>
      </c>
      <c r="D2032" s="222" t="s">
        <v>731</v>
      </c>
    </row>
    <row r="2033" spans="1:4" x14ac:dyDescent="0.25">
      <c r="A2033" s="222" t="s">
        <v>6026</v>
      </c>
      <c r="B2033" s="222">
        <v>532644</v>
      </c>
      <c r="C2033" s="222" t="s">
        <v>6025</v>
      </c>
      <c r="D2033" s="222" t="s">
        <v>1004</v>
      </c>
    </row>
    <row r="2034" spans="1:4" x14ac:dyDescent="0.25">
      <c r="A2034" s="222" t="s">
        <v>6024</v>
      </c>
      <c r="B2034" s="222">
        <v>500380</v>
      </c>
      <c r="C2034" s="222" t="s">
        <v>6023</v>
      </c>
      <c r="D2034" s="222" t="s">
        <v>1004</v>
      </c>
    </row>
    <row r="2035" spans="1:4" x14ac:dyDescent="0.25">
      <c r="A2035" s="222" t="s">
        <v>6022</v>
      </c>
      <c r="B2035" s="222">
        <v>532162</v>
      </c>
      <c r="C2035" s="222" t="s">
        <v>6021</v>
      </c>
      <c r="D2035" s="222" t="s">
        <v>1972</v>
      </c>
    </row>
    <row r="2036" spans="1:4" x14ac:dyDescent="0.25">
      <c r="A2036" s="222" t="s">
        <v>6020</v>
      </c>
      <c r="B2036" s="222">
        <v>530007</v>
      </c>
      <c r="C2036" s="222" t="s">
        <v>6019</v>
      </c>
      <c r="D2036" s="222" t="s">
        <v>1410</v>
      </c>
    </row>
    <row r="2037" spans="1:4" x14ac:dyDescent="0.25">
      <c r="A2037" s="222" t="s">
        <v>6018</v>
      </c>
      <c r="B2037" s="222">
        <v>538765</v>
      </c>
      <c r="C2037" s="222" t="s">
        <v>2052</v>
      </c>
      <c r="D2037" s="222" t="s">
        <v>4767</v>
      </c>
    </row>
    <row r="2038" spans="1:4" x14ac:dyDescent="0.25">
      <c r="A2038" s="222" t="s">
        <v>6017</v>
      </c>
      <c r="B2038" s="222">
        <v>523405</v>
      </c>
      <c r="C2038" s="222" t="s">
        <v>6016</v>
      </c>
      <c r="D2038" s="222" t="s">
        <v>1289</v>
      </c>
    </row>
    <row r="2039" spans="1:4" x14ac:dyDescent="0.25">
      <c r="A2039" s="222" t="s">
        <v>6015</v>
      </c>
      <c r="B2039" s="222">
        <v>522263</v>
      </c>
      <c r="C2039" s="222" t="s">
        <v>6013</v>
      </c>
      <c r="D2039" s="222" t="s">
        <v>1248</v>
      </c>
    </row>
    <row r="2040" spans="1:4" x14ac:dyDescent="0.25">
      <c r="A2040" s="222" t="s">
        <v>6014</v>
      </c>
      <c r="B2040" s="222">
        <v>522263</v>
      </c>
      <c r="C2040" s="222" t="s">
        <v>6013</v>
      </c>
      <c r="D2040" s="222" t="s">
        <v>1248</v>
      </c>
    </row>
    <row r="2041" spans="1:4" x14ac:dyDescent="0.25">
      <c r="A2041" s="222" t="s">
        <v>6012</v>
      </c>
      <c r="B2041" s="222">
        <v>511092</v>
      </c>
      <c r="C2041" s="222" t="s">
        <v>2052</v>
      </c>
      <c r="D2041" s="222" t="s">
        <v>2264</v>
      </c>
    </row>
    <row r="2042" spans="1:4" x14ac:dyDescent="0.25">
      <c r="A2042" s="222" t="s">
        <v>6011</v>
      </c>
      <c r="B2042" s="222">
        <v>523712</v>
      </c>
      <c r="C2042" s="222" t="s">
        <v>2052</v>
      </c>
      <c r="D2042" s="222" t="s">
        <v>1251</v>
      </c>
    </row>
    <row r="2043" spans="1:4" x14ac:dyDescent="0.25">
      <c r="A2043" s="222" t="s">
        <v>6010</v>
      </c>
      <c r="B2043" s="222">
        <v>513691</v>
      </c>
      <c r="C2043" s="222" t="s">
        <v>6009</v>
      </c>
      <c r="D2043" s="222" t="s">
        <v>1306</v>
      </c>
    </row>
    <row r="2044" spans="1:4" x14ac:dyDescent="0.25">
      <c r="A2044" s="222" t="s">
        <v>6008</v>
      </c>
      <c r="B2044" s="222" t="s">
        <v>2052</v>
      </c>
      <c r="C2044" s="222" t="s">
        <v>6007</v>
      </c>
      <c r="D2044" s="222" t="s">
        <v>2197</v>
      </c>
    </row>
    <row r="2045" spans="1:4" x14ac:dyDescent="0.25">
      <c r="A2045" s="222" t="s">
        <v>6006</v>
      </c>
      <c r="B2045" s="222">
        <v>523398</v>
      </c>
      <c r="C2045" s="222" t="s">
        <v>6004</v>
      </c>
      <c r="D2045" s="222" t="s">
        <v>950</v>
      </c>
    </row>
    <row r="2046" spans="1:4" x14ac:dyDescent="0.25">
      <c r="A2046" s="222" t="s">
        <v>6005</v>
      </c>
      <c r="B2046" s="222">
        <v>523398</v>
      </c>
      <c r="C2046" s="222" t="s">
        <v>6004</v>
      </c>
      <c r="D2046" s="222" t="s">
        <v>950</v>
      </c>
    </row>
    <row r="2047" spans="1:4" x14ac:dyDescent="0.25">
      <c r="A2047" s="222" t="s">
        <v>6003</v>
      </c>
      <c r="B2047" s="222">
        <v>531861</v>
      </c>
      <c r="C2047" s="222" t="s">
        <v>2052</v>
      </c>
      <c r="D2047" s="222" t="s">
        <v>1262</v>
      </c>
    </row>
    <row r="2048" spans="1:4" x14ac:dyDescent="0.25">
      <c r="A2048" s="222" t="s">
        <v>6002</v>
      </c>
      <c r="B2048" s="222">
        <v>534659</v>
      </c>
      <c r="C2048" s="222" t="s">
        <v>2052</v>
      </c>
      <c r="D2048" s="222" t="s">
        <v>1265</v>
      </c>
    </row>
    <row r="2049" spans="1:4" x14ac:dyDescent="0.25">
      <c r="A2049" s="222" t="s">
        <v>6001</v>
      </c>
      <c r="B2049" s="222">
        <v>542446</v>
      </c>
      <c r="C2049" s="222" t="s">
        <v>6000</v>
      </c>
      <c r="D2049" s="222" t="s">
        <v>911</v>
      </c>
    </row>
    <row r="2050" spans="1:4" x14ac:dyDescent="0.25">
      <c r="A2050" s="222" t="s">
        <v>5999</v>
      </c>
      <c r="B2050" s="222">
        <v>538092</v>
      </c>
      <c r="C2050" s="222" t="s">
        <v>2052</v>
      </c>
      <c r="D2050" s="222" t="s">
        <v>1400</v>
      </c>
    </row>
    <row r="2051" spans="1:4" x14ac:dyDescent="0.25">
      <c r="A2051" s="222" t="s">
        <v>5998</v>
      </c>
      <c r="B2051" s="222">
        <v>505750</v>
      </c>
      <c r="C2051" s="222" t="s">
        <v>2052</v>
      </c>
      <c r="D2051" s="222" t="s">
        <v>832</v>
      </c>
    </row>
    <row r="2052" spans="1:4" x14ac:dyDescent="0.25">
      <c r="A2052" s="222" t="s">
        <v>5997</v>
      </c>
      <c r="B2052" s="222">
        <v>508929</v>
      </c>
      <c r="C2052" s="222" t="s">
        <v>2052</v>
      </c>
      <c r="D2052" s="222" t="s">
        <v>1243</v>
      </c>
    </row>
    <row r="2053" spans="1:4" x14ac:dyDescent="0.25">
      <c r="A2053" s="222" t="s">
        <v>5996</v>
      </c>
      <c r="B2053" s="222">
        <v>530985</v>
      </c>
      <c r="C2053" s="222" t="s">
        <v>2052</v>
      </c>
      <c r="D2053" s="222" t="s">
        <v>1321</v>
      </c>
    </row>
    <row r="2054" spans="1:4" x14ac:dyDescent="0.25">
      <c r="A2054" s="222" t="s">
        <v>5995</v>
      </c>
      <c r="B2054" s="222">
        <v>506016</v>
      </c>
      <c r="C2054" s="222" t="s">
        <v>2052</v>
      </c>
      <c r="D2054" s="222" t="s">
        <v>1248</v>
      </c>
    </row>
    <row r="2055" spans="1:4" x14ac:dyDescent="0.25">
      <c r="A2055" s="222" t="s">
        <v>5994</v>
      </c>
      <c r="B2055" s="222">
        <v>504080</v>
      </c>
      <c r="C2055" s="222" t="s">
        <v>2052</v>
      </c>
      <c r="D2055" s="222" t="s">
        <v>1275</v>
      </c>
    </row>
    <row r="2056" spans="1:4" x14ac:dyDescent="0.25">
      <c r="A2056" s="222" t="s">
        <v>5993</v>
      </c>
      <c r="B2056" s="222">
        <v>533148</v>
      </c>
      <c r="C2056" s="222" t="s">
        <v>5992</v>
      </c>
      <c r="D2056" s="222" t="s">
        <v>2380</v>
      </c>
    </row>
    <row r="2057" spans="1:4" x14ac:dyDescent="0.25">
      <c r="A2057" s="222" t="s">
        <v>5991</v>
      </c>
      <c r="B2057" s="222">
        <v>532642</v>
      </c>
      <c r="C2057" s="222" t="s">
        <v>5990</v>
      </c>
      <c r="D2057" s="222" t="s">
        <v>1289</v>
      </c>
    </row>
    <row r="2058" spans="1:4" x14ac:dyDescent="0.25">
      <c r="A2058" s="222" t="s">
        <v>5989</v>
      </c>
      <c r="B2058" s="222">
        <v>500228</v>
      </c>
      <c r="C2058" s="222" t="s">
        <v>5988</v>
      </c>
      <c r="D2058" s="222" t="s">
        <v>2167</v>
      </c>
    </row>
    <row r="2059" spans="1:4" x14ac:dyDescent="0.25">
      <c r="A2059" s="222" t="s">
        <v>5987</v>
      </c>
      <c r="B2059" s="222">
        <v>520057</v>
      </c>
      <c r="C2059" s="222" t="s">
        <v>5986</v>
      </c>
      <c r="D2059" s="222" t="s">
        <v>1306</v>
      </c>
    </row>
    <row r="2060" spans="1:4" x14ac:dyDescent="0.25">
      <c r="A2060" s="222" t="s">
        <v>5985</v>
      </c>
      <c r="B2060" s="222">
        <v>520057</v>
      </c>
      <c r="C2060" s="222" t="s">
        <v>5984</v>
      </c>
      <c r="D2060" s="222" t="s">
        <v>1306</v>
      </c>
    </row>
    <row r="2061" spans="1:4" x14ac:dyDescent="0.25">
      <c r="A2061" s="222" t="s">
        <v>5983</v>
      </c>
      <c r="B2061" s="222">
        <v>534600</v>
      </c>
      <c r="C2061" s="222" t="s">
        <v>2052</v>
      </c>
      <c r="D2061" s="222" t="s">
        <v>740</v>
      </c>
    </row>
    <row r="2062" spans="1:4" x14ac:dyDescent="0.25">
      <c r="A2062" s="222" t="s">
        <v>5982</v>
      </c>
      <c r="B2062" s="222">
        <v>533155</v>
      </c>
      <c r="C2062" s="222" t="s">
        <v>5981</v>
      </c>
      <c r="D2062" s="222" t="s">
        <v>924</v>
      </c>
    </row>
    <row r="2063" spans="1:4" x14ac:dyDescent="0.25">
      <c r="A2063" s="222" t="s">
        <v>5980</v>
      </c>
      <c r="B2063" s="222">
        <v>533320</v>
      </c>
      <c r="C2063" s="222" t="s">
        <v>5979</v>
      </c>
      <c r="D2063" s="222" t="s">
        <v>1324</v>
      </c>
    </row>
    <row r="2064" spans="1:4" x14ac:dyDescent="0.25">
      <c r="A2064" s="222" t="s">
        <v>5978</v>
      </c>
      <c r="B2064" s="222">
        <v>530019</v>
      </c>
      <c r="C2064" s="222" t="s">
        <v>5977</v>
      </c>
      <c r="D2064" s="222" t="s">
        <v>789</v>
      </c>
    </row>
    <row r="2065" spans="1:4" x14ac:dyDescent="0.25">
      <c r="A2065" s="222" t="s">
        <v>5976</v>
      </c>
      <c r="B2065" s="222" t="s">
        <v>2052</v>
      </c>
      <c r="C2065" s="222" t="s">
        <v>5975</v>
      </c>
      <c r="D2065" s="222" t="s">
        <v>2197</v>
      </c>
    </row>
    <row r="2066" spans="1:4" x14ac:dyDescent="0.25">
      <c r="A2066" s="222" t="s">
        <v>5974</v>
      </c>
      <c r="B2066" s="222">
        <v>516078</v>
      </c>
      <c r="C2066" s="222" t="s">
        <v>2052</v>
      </c>
      <c r="D2066" s="222" t="s">
        <v>1447</v>
      </c>
    </row>
    <row r="2067" spans="1:4" x14ac:dyDescent="0.25">
      <c r="A2067" s="222" t="s">
        <v>5973</v>
      </c>
      <c r="B2067" s="222">
        <v>511060</v>
      </c>
      <c r="C2067" s="222" t="s">
        <v>2052</v>
      </c>
      <c r="D2067" s="222" t="s">
        <v>2068</v>
      </c>
    </row>
    <row r="2068" spans="1:4" x14ac:dyDescent="0.25">
      <c r="A2068" s="222" t="s">
        <v>5972</v>
      </c>
      <c r="B2068" s="222">
        <v>539216</v>
      </c>
      <c r="C2068" s="222" t="s">
        <v>2052</v>
      </c>
      <c r="D2068" s="222" t="s">
        <v>1237</v>
      </c>
    </row>
    <row r="2069" spans="1:4" x14ac:dyDescent="0.25">
      <c r="A2069" s="222" t="s">
        <v>5971</v>
      </c>
      <c r="B2069" s="222">
        <v>507987</v>
      </c>
      <c r="C2069" s="222" t="s">
        <v>2052</v>
      </c>
      <c r="D2069" s="222" t="s">
        <v>1321</v>
      </c>
    </row>
    <row r="2070" spans="1:4" x14ac:dyDescent="0.25">
      <c r="A2070" s="222" t="s">
        <v>5970</v>
      </c>
      <c r="B2070" s="222">
        <v>534623</v>
      </c>
      <c r="C2070" s="222" t="s">
        <v>2052</v>
      </c>
      <c r="D2070" s="222" t="s">
        <v>4767</v>
      </c>
    </row>
    <row r="2071" spans="1:4" x14ac:dyDescent="0.25">
      <c r="A2071" s="222" t="s">
        <v>5969</v>
      </c>
      <c r="B2071" s="222">
        <v>535648</v>
      </c>
      <c r="C2071" s="222" t="s">
        <v>5968</v>
      </c>
      <c r="D2071" s="222" t="s">
        <v>2784</v>
      </c>
    </row>
    <row r="2072" spans="1:4" x14ac:dyDescent="0.25">
      <c r="A2072" s="222" t="s">
        <v>5967</v>
      </c>
      <c r="B2072" s="222">
        <v>531035</v>
      </c>
      <c r="C2072" s="222" t="s">
        <v>2052</v>
      </c>
      <c r="D2072" s="222" t="s">
        <v>2582</v>
      </c>
    </row>
    <row r="2073" spans="1:4" x14ac:dyDescent="0.25">
      <c r="A2073" s="222" t="s">
        <v>5966</v>
      </c>
      <c r="B2073" s="222">
        <v>519248</v>
      </c>
      <c r="C2073" s="222" t="s">
        <v>5965</v>
      </c>
      <c r="D2073" s="222" t="s">
        <v>1963</v>
      </c>
    </row>
    <row r="2074" spans="1:4" x14ac:dyDescent="0.25">
      <c r="A2074" s="222" t="s">
        <v>5964</v>
      </c>
      <c r="B2074" s="222">
        <v>542544</v>
      </c>
      <c r="C2074" s="222" t="s">
        <v>5963</v>
      </c>
      <c r="D2074" s="222" t="s">
        <v>1262</v>
      </c>
    </row>
    <row r="2075" spans="1:4" x14ac:dyDescent="0.25">
      <c r="A2075" s="222" t="s">
        <v>5962</v>
      </c>
      <c r="B2075" s="222">
        <v>532926</v>
      </c>
      <c r="C2075" s="222" t="s">
        <v>5961</v>
      </c>
      <c r="D2075" s="222" t="s">
        <v>1184</v>
      </c>
    </row>
    <row r="2076" spans="1:4" x14ac:dyDescent="0.25">
      <c r="A2076" s="222" t="s">
        <v>5960</v>
      </c>
      <c r="B2076" s="222">
        <v>504076</v>
      </c>
      <c r="C2076" s="222" t="s">
        <v>2052</v>
      </c>
      <c r="D2076" s="222" t="s">
        <v>1066</v>
      </c>
    </row>
    <row r="2077" spans="1:4" x14ac:dyDescent="0.25">
      <c r="A2077" s="222" t="s">
        <v>5959</v>
      </c>
      <c r="B2077" s="222">
        <v>514448</v>
      </c>
      <c r="C2077" s="222" t="s">
        <v>2052</v>
      </c>
      <c r="D2077" s="222" t="s">
        <v>722</v>
      </c>
    </row>
    <row r="2078" spans="1:4" x14ac:dyDescent="0.25">
      <c r="A2078" s="222" t="s">
        <v>5958</v>
      </c>
      <c r="B2078" s="222">
        <v>513250</v>
      </c>
      <c r="C2078" s="222" t="s">
        <v>5957</v>
      </c>
      <c r="D2078" s="222" t="s">
        <v>1066</v>
      </c>
    </row>
    <row r="2079" spans="1:4" x14ac:dyDescent="0.25">
      <c r="A2079" s="222" t="s">
        <v>5956</v>
      </c>
      <c r="B2079" s="222">
        <v>539246</v>
      </c>
      <c r="C2079" s="222" t="s">
        <v>2052</v>
      </c>
      <c r="D2079" s="222" t="s">
        <v>1529</v>
      </c>
    </row>
    <row r="2080" spans="1:4" x14ac:dyDescent="0.25">
      <c r="A2080" s="222" t="s">
        <v>5955</v>
      </c>
      <c r="B2080" s="222">
        <v>532673</v>
      </c>
      <c r="C2080" s="222" t="s">
        <v>5954</v>
      </c>
      <c r="D2080" s="222" t="s">
        <v>1124</v>
      </c>
    </row>
    <row r="2081" spans="1:4" x14ac:dyDescent="0.25">
      <c r="A2081" s="222" t="s">
        <v>5953</v>
      </c>
      <c r="B2081" s="222">
        <v>539686</v>
      </c>
      <c r="C2081" s="222" t="s">
        <v>2052</v>
      </c>
      <c r="D2081" s="222" t="s">
        <v>2380</v>
      </c>
    </row>
    <row r="2082" spans="1:4" x14ac:dyDescent="0.25">
      <c r="A2082" s="222" t="s">
        <v>5952</v>
      </c>
      <c r="B2082" s="222">
        <v>532889</v>
      </c>
      <c r="C2082" s="222" t="s">
        <v>5951</v>
      </c>
      <c r="D2082" s="222" t="s">
        <v>1237</v>
      </c>
    </row>
    <row r="2083" spans="1:4" x14ac:dyDescent="0.25">
      <c r="A2083" s="222" t="s">
        <v>5950</v>
      </c>
      <c r="B2083" s="222">
        <v>511728</v>
      </c>
      <c r="C2083" s="222" t="s">
        <v>2052</v>
      </c>
      <c r="D2083" s="222" t="s">
        <v>1321</v>
      </c>
    </row>
    <row r="2084" spans="1:4" x14ac:dyDescent="0.25">
      <c r="A2084" s="222" t="s">
        <v>5949</v>
      </c>
      <c r="B2084" s="222">
        <v>514360</v>
      </c>
      <c r="C2084" s="222" t="s">
        <v>2052</v>
      </c>
      <c r="D2084" s="222" t="s">
        <v>1248</v>
      </c>
    </row>
    <row r="2085" spans="1:4" x14ac:dyDescent="0.25">
      <c r="A2085" s="222" t="s">
        <v>5948</v>
      </c>
      <c r="B2085" s="222">
        <v>542323</v>
      </c>
      <c r="C2085" s="222" t="s">
        <v>5947</v>
      </c>
      <c r="D2085" s="222" t="s">
        <v>2380</v>
      </c>
    </row>
    <row r="2086" spans="1:4" x14ac:dyDescent="0.25">
      <c r="A2086" s="222" t="s">
        <v>5946</v>
      </c>
      <c r="B2086" s="222">
        <v>540756</v>
      </c>
      <c r="C2086" s="222" t="s">
        <v>2052</v>
      </c>
      <c r="D2086" s="222" t="s">
        <v>2870</v>
      </c>
    </row>
    <row r="2087" spans="1:4" x14ac:dyDescent="0.25">
      <c r="A2087" s="222" t="s">
        <v>5945</v>
      </c>
      <c r="B2087" s="222">
        <v>539393</v>
      </c>
      <c r="C2087" s="222" t="s">
        <v>2052</v>
      </c>
      <c r="D2087" s="222" t="s">
        <v>5944</v>
      </c>
    </row>
    <row r="2088" spans="1:4" x14ac:dyDescent="0.25">
      <c r="A2088" s="222" t="s">
        <v>5943</v>
      </c>
      <c r="B2088" s="222">
        <v>524322</v>
      </c>
      <c r="C2088" s="222" t="s">
        <v>2052</v>
      </c>
      <c r="D2088" s="222" t="s">
        <v>789</v>
      </c>
    </row>
    <row r="2089" spans="1:4" x14ac:dyDescent="0.25">
      <c r="A2089" s="222" t="s">
        <v>5942</v>
      </c>
      <c r="B2089" s="222">
        <v>524109</v>
      </c>
      <c r="C2089" s="222" t="s">
        <v>5941</v>
      </c>
      <c r="D2089" s="222" t="s">
        <v>832</v>
      </c>
    </row>
    <row r="2090" spans="1:4" x14ac:dyDescent="0.25">
      <c r="A2090" s="222" t="s">
        <v>5940</v>
      </c>
      <c r="B2090" s="222">
        <v>524675</v>
      </c>
      <c r="C2090" s="222" t="s">
        <v>2052</v>
      </c>
      <c r="D2090" s="222" t="s">
        <v>1529</v>
      </c>
    </row>
    <row r="2091" spans="1:4" x14ac:dyDescent="0.25">
      <c r="A2091" s="222" t="s">
        <v>5939</v>
      </c>
      <c r="B2091" s="222">
        <v>531778</v>
      </c>
      <c r="C2091" s="222" t="s">
        <v>2052</v>
      </c>
      <c r="D2091" s="222" t="s">
        <v>2796</v>
      </c>
    </row>
    <row r="2092" spans="1:4" x14ac:dyDescent="0.25">
      <c r="A2092" s="222" t="s">
        <v>5938</v>
      </c>
      <c r="B2092" s="222">
        <v>504840</v>
      </c>
      <c r="C2092" s="222" t="s">
        <v>2052</v>
      </c>
      <c r="D2092" s="222" t="s">
        <v>1447</v>
      </c>
    </row>
    <row r="2093" spans="1:4" x14ac:dyDescent="0.25">
      <c r="A2093" s="222" t="s">
        <v>5937</v>
      </c>
      <c r="B2093" s="222">
        <v>531780</v>
      </c>
      <c r="C2093" s="222" t="s">
        <v>2052</v>
      </c>
      <c r="D2093" s="222" t="s">
        <v>1529</v>
      </c>
    </row>
    <row r="2094" spans="1:4" x14ac:dyDescent="0.25">
      <c r="A2094" s="222" t="s">
        <v>5936</v>
      </c>
      <c r="B2094" s="222">
        <v>500233</v>
      </c>
      <c r="C2094" s="222" t="s">
        <v>5935</v>
      </c>
      <c r="D2094" s="222" t="s">
        <v>2714</v>
      </c>
    </row>
    <row r="2095" spans="1:4" x14ac:dyDescent="0.25">
      <c r="A2095" s="222" t="s">
        <v>5934</v>
      </c>
      <c r="B2095" s="222">
        <v>500234</v>
      </c>
      <c r="C2095" s="222" t="s">
        <v>5933</v>
      </c>
      <c r="D2095" s="222" t="s">
        <v>1004</v>
      </c>
    </row>
    <row r="2096" spans="1:4" x14ac:dyDescent="0.25">
      <c r="A2096" s="222" t="s">
        <v>5932</v>
      </c>
      <c r="B2096" s="222">
        <v>521054</v>
      </c>
      <c r="C2096" s="222" t="s">
        <v>2052</v>
      </c>
      <c r="D2096" s="222" t="s">
        <v>1237</v>
      </c>
    </row>
    <row r="2097" spans="1:4" x14ac:dyDescent="0.25">
      <c r="A2097" s="222" t="s">
        <v>5931</v>
      </c>
      <c r="B2097" s="222">
        <v>530201</v>
      </c>
      <c r="C2097" s="222" t="s">
        <v>2052</v>
      </c>
      <c r="D2097" s="222" t="s">
        <v>1237</v>
      </c>
    </row>
    <row r="2098" spans="1:4" x14ac:dyDescent="0.25">
      <c r="A2098" s="222" t="s">
        <v>5930</v>
      </c>
      <c r="B2098" s="222">
        <v>539014</v>
      </c>
      <c r="C2098" s="222" t="s">
        <v>2052</v>
      </c>
      <c r="D2098" s="222" t="s">
        <v>1529</v>
      </c>
    </row>
    <row r="2099" spans="1:4" x14ac:dyDescent="0.25">
      <c r="A2099" s="222" t="s">
        <v>5929</v>
      </c>
      <c r="B2099" s="222">
        <v>522287</v>
      </c>
      <c r="C2099" s="222" t="s">
        <v>5928</v>
      </c>
      <c r="D2099" s="222" t="s">
        <v>1066</v>
      </c>
    </row>
    <row r="2100" spans="1:4" x14ac:dyDescent="0.25">
      <c r="A2100" s="222" t="s">
        <v>5927</v>
      </c>
      <c r="B2100" s="222" t="s">
        <v>2052</v>
      </c>
      <c r="C2100" s="222" t="s">
        <v>5926</v>
      </c>
      <c r="D2100" s="222" t="s">
        <v>2197</v>
      </c>
    </row>
    <row r="2101" spans="1:4" x14ac:dyDescent="0.25">
      <c r="A2101" s="222" t="s">
        <v>5925</v>
      </c>
      <c r="B2101" s="222">
        <v>513509</v>
      </c>
      <c r="C2101" s="222" t="s">
        <v>5924</v>
      </c>
      <c r="D2101" s="222" t="s">
        <v>1306</v>
      </c>
    </row>
    <row r="2102" spans="1:4" x14ac:dyDescent="0.25">
      <c r="A2102" s="222" t="s">
        <v>5923</v>
      </c>
      <c r="B2102" s="222">
        <v>533302</v>
      </c>
      <c r="C2102" s="222" t="s">
        <v>5922</v>
      </c>
      <c r="D2102" s="222" t="s">
        <v>2108</v>
      </c>
    </row>
    <row r="2103" spans="1:4" x14ac:dyDescent="0.25">
      <c r="A2103" s="222" t="s">
        <v>5921</v>
      </c>
      <c r="B2103" s="222">
        <v>500235</v>
      </c>
      <c r="C2103" s="222" t="s">
        <v>5920</v>
      </c>
      <c r="D2103" s="222" t="s">
        <v>2167</v>
      </c>
    </row>
    <row r="2104" spans="1:4" x14ac:dyDescent="0.25">
      <c r="A2104" s="222" t="s">
        <v>5919</v>
      </c>
      <c r="B2104" s="222">
        <v>532468</v>
      </c>
      <c r="C2104" s="222" t="s">
        <v>2052</v>
      </c>
      <c r="D2104" s="222" t="s">
        <v>1289</v>
      </c>
    </row>
    <row r="2105" spans="1:4" x14ac:dyDescent="0.25">
      <c r="A2105" s="222" t="s">
        <v>5918</v>
      </c>
      <c r="B2105" s="222">
        <v>514322</v>
      </c>
      <c r="C2105" s="222" t="s">
        <v>2052</v>
      </c>
      <c r="D2105" s="222" t="s">
        <v>1237</v>
      </c>
    </row>
    <row r="2106" spans="1:4" x14ac:dyDescent="0.25">
      <c r="A2106" s="222" t="s">
        <v>5917</v>
      </c>
      <c r="B2106" s="222">
        <v>511131</v>
      </c>
      <c r="C2106" s="222" t="s">
        <v>2052</v>
      </c>
      <c r="D2106" s="222" t="s">
        <v>1243</v>
      </c>
    </row>
    <row r="2107" spans="1:4" x14ac:dyDescent="0.25">
      <c r="A2107" s="222" t="s">
        <v>5916</v>
      </c>
      <c r="B2107" s="222">
        <v>526668</v>
      </c>
      <c r="C2107" s="222" t="s">
        <v>5915</v>
      </c>
      <c r="D2107" s="222" t="s">
        <v>2128</v>
      </c>
    </row>
    <row r="2108" spans="1:4" x14ac:dyDescent="0.25">
      <c r="A2108" s="222" t="s">
        <v>5914</v>
      </c>
      <c r="B2108" s="222">
        <v>532741</v>
      </c>
      <c r="C2108" s="222" t="s">
        <v>5913</v>
      </c>
      <c r="D2108" s="222" t="s">
        <v>2167</v>
      </c>
    </row>
    <row r="2109" spans="1:4" x14ac:dyDescent="0.25">
      <c r="A2109" s="222" t="s">
        <v>5912</v>
      </c>
      <c r="B2109" s="222">
        <v>524604</v>
      </c>
      <c r="C2109" s="222" t="s">
        <v>2052</v>
      </c>
      <c r="D2109" s="222" t="s">
        <v>789</v>
      </c>
    </row>
    <row r="2110" spans="1:4" x14ac:dyDescent="0.25">
      <c r="A2110" s="222" t="s">
        <v>5911</v>
      </c>
      <c r="B2110" s="222">
        <v>780003</v>
      </c>
      <c r="C2110" s="222" t="s">
        <v>2052</v>
      </c>
      <c r="D2110" s="222" t="s">
        <v>2197</v>
      </c>
    </row>
    <row r="2111" spans="1:4" x14ac:dyDescent="0.25">
      <c r="A2111" s="222" t="s">
        <v>5910</v>
      </c>
      <c r="B2111" s="222">
        <v>506184</v>
      </c>
      <c r="C2111" s="222" t="s">
        <v>5909</v>
      </c>
      <c r="D2111" s="222" t="s">
        <v>1364</v>
      </c>
    </row>
    <row r="2112" spans="1:4" x14ac:dyDescent="0.25">
      <c r="A2112" s="222" t="s">
        <v>5908</v>
      </c>
      <c r="B2112" s="222">
        <v>538896</v>
      </c>
      <c r="C2112" s="222" t="s">
        <v>2052</v>
      </c>
      <c r="D2112" s="222" t="s">
        <v>998</v>
      </c>
    </row>
    <row r="2113" spans="1:4" x14ac:dyDescent="0.25">
      <c r="A2113" s="222" t="s">
        <v>5907</v>
      </c>
      <c r="B2113" s="222">
        <v>541005</v>
      </c>
      <c r="C2113" s="222" t="s">
        <v>2052</v>
      </c>
      <c r="D2113" s="222" t="s">
        <v>1400</v>
      </c>
    </row>
    <row r="2114" spans="1:4" x14ac:dyDescent="0.25">
      <c r="A2114" s="222" t="s">
        <v>5906</v>
      </c>
      <c r="B2114" s="222">
        <v>521242</v>
      </c>
      <c r="C2114" s="222" t="s">
        <v>2052</v>
      </c>
      <c r="D2114" s="222" t="s">
        <v>1237</v>
      </c>
    </row>
    <row r="2115" spans="1:4" x14ac:dyDescent="0.25">
      <c r="A2115" s="222" t="s">
        <v>5905</v>
      </c>
      <c r="B2115" s="222">
        <v>500236</v>
      </c>
      <c r="C2115" s="222" t="s">
        <v>5904</v>
      </c>
      <c r="D2115" s="222" t="s">
        <v>2156</v>
      </c>
    </row>
    <row r="2116" spans="1:4" x14ac:dyDescent="0.25">
      <c r="A2116" s="222" t="s">
        <v>5903</v>
      </c>
      <c r="B2116" s="222">
        <v>513456</v>
      </c>
      <c r="C2116" s="222" t="s">
        <v>2052</v>
      </c>
      <c r="D2116" s="222" t="s">
        <v>740</v>
      </c>
    </row>
    <row r="2117" spans="1:4" x14ac:dyDescent="0.25">
      <c r="A2117" s="222" t="s">
        <v>5902</v>
      </c>
      <c r="B2117" s="222">
        <v>506525</v>
      </c>
      <c r="C2117" s="222" t="s">
        <v>5901</v>
      </c>
      <c r="D2117" s="222" t="s">
        <v>998</v>
      </c>
    </row>
    <row r="2118" spans="1:4" x14ac:dyDescent="0.25">
      <c r="A2118" s="222" t="s">
        <v>5900</v>
      </c>
      <c r="B2118" s="222">
        <v>507779</v>
      </c>
      <c r="C2118" s="222" t="s">
        <v>2052</v>
      </c>
      <c r="D2118" s="222" t="s">
        <v>1447</v>
      </c>
    </row>
    <row r="2119" spans="1:4" x14ac:dyDescent="0.25">
      <c r="A2119" s="222" t="s">
        <v>5899</v>
      </c>
      <c r="B2119" s="222">
        <v>500165</v>
      </c>
      <c r="C2119" s="222" t="s">
        <v>5898</v>
      </c>
      <c r="D2119" s="222" t="s">
        <v>2714</v>
      </c>
    </row>
    <row r="2120" spans="1:4" x14ac:dyDescent="0.25">
      <c r="A2120" s="222" t="s">
        <v>5897</v>
      </c>
      <c r="B2120" s="222">
        <v>540515</v>
      </c>
      <c r="C2120" s="222" t="s">
        <v>2052</v>
      </c>
      <c r="D2120" s="222" t="s">
        <v>1262</v>
      </c>
    </row>
    <row r="2121" spans="1:4" x14ac:dyDescent="0.25">
      <c r="A2121" s="222" t="s">
        <v>5896</v>
      </c>
      <c r="B2121" s="222">
        <v>512399</v>
      </c>
      <c r="C2121" s="222" t="s">
        <v>2052</v>
      </c>
      <c r="D2121" s="222" t="s">
        <v>1262</v>
      </c>
    </row>
    <row r="2122" spans="1:4" x14ac:dyDescent="0.25">
      <c r="A2122" s="222" t="s">
        <v>5895</v>
      </c>
      <c r="B2122" s="222">
        <v>512036</v>
      </c>
      <c r="C2122" s="222" t="s">
        <v>2052</v>
      </c>
      <c r="D2122" s="222" t="s">
        <v>1237</v>
      </c>
    </row>
    <row r="2123" spans="1:4" x14ac:dyDescent="0.25">
      <c r="A2123" s="222" t="s">
        <v>5894</v>
      </c>
      <c r="B2123" s="222">
        <v>539679</v>
      </c>
      <c r="C2123" s="222" t="s">
        <v>2052</v>
      </c>
      <c r="D2123" s="222" t="s">
        <v>1321</v>
      </c>
    </row>
    <row r="2124" spans="1:4" x14ac:dyDescent="0.25">
      <c r="A2124" s="222" t="s">
        <v>5893</v>
      </c>
      <c r="B2124" s="222" t="s">
        <v>2052</v>
      </c>
      <c r="C2124" s="222" t="s">
        <v>5892</v>
      </c>
      <c r="D2124" s="222" t="s">
        <v>2050</v>
      </c>
    </row>
    <row r="2125" spans="1:4" x14ac:dyDescent="0.25">
      <c r="A2125" s="222" t="s">
        <v>5891</v>
      </c>
      <c r="B2125" s="222">
        <v>526115</v>
      </c>
      <c r="C2125" s="222" t="s">
        <v>2052</v>
      </c>
      <c r="D2125" s="222" t="s">
        <v>1364</v>
      </c>
    </row>
    <row r="2126" spans="1:4" x14ac:dyDescent="0.25">
      <c r="A2126" s="222" t="s">
        <v>5890</v>
      </c>
      <c r="B2126" s="222">
        <v>541161</v>
      </c>
      <c r="C2126" s="222" t="s">
        <v>5889</v>
      </c>
      <c r="D2126" s="222" t="s">
        <v>1243</v>
      </c>
    </row>
    <row r="2127" spans="1:4" x14ac:dyDescent="0.25">
      <c r="A2127" s="222" t="s">
        <v>5888</v>
      </c>
      <c r="B2127" s="222">
        <v>533451</v>
      </c>
      <c r="C2127" s="222" t="s">
        <v>5887</v>
      </c>
      <c r="D2127" s="222" t="s">
        <v>2380</v>
      </c>
    </row>
    <row r="2128" spans="1:4" x14ac:dyDescent="0.25">
      <c r="A2128" s="222" t="s">
        <v>5886</v>
      </c>
      <c r="B2128" s="222">
        <v>538928</v>
      </c>
      <c r="C2128" s="222" t="s">
        <v>2052</v>
      </c>
      <c r="D2128" s="222" t="s">
        <v>1321</v>
      </c>
    </row>
    <row r="2129" spans="1:4" x14ac:dyDescent="0.25">
      <c r="A2129" s="222" t="s">
        <v>5885</v>
      </c>
      <c r="B2129" s="222">
        <v>537784</v>
      </c>
      <c r="C2129" s="222" t="s">
        <v>2052</v>
      </c>
      <c r="D2129" s="222" t="s">
        <v>2068</v>
      </c>
    </row>
    <row r="2130" spans="1:4" x14ac:dyDescent="0.25">
      <c r="A2130" s="222" t="s">
        <v>5884</v>
      </c>
      <c r="B2130" s="222">
        <v>590003</v>
      </c>
      <c r="C2130" s="222" t="s">
        <v>5883</v>
      </c>
      <c r="D2130" s="222" t="s">
        <v>1240</v>
      </c>
    </row>
    <row r="2131" spans="1:4" x14ac:dyDescent="0.25">
      <c r="A2131" s="222" t="s">
        <v>5882</v>
      </c>
      <c r="B2131" s="222">
        <v>531687</v>
      </c>
      <c r="C2131" s="222" t="s">
        <v>5881</v>
      </c>
      <c r="D2131" s="222" t="s">
        <v>731</v>
      </c>
    </row>
    <row r="2132" spans="1:4" x14ac:dyDescent="0.25">
      <c r="A2132" s="222" t="s">
        <v>5880</v>
      </c>
      <c r="B2132" s="222">
        <v>539533</v>
      </c>
      <c r="C2132" s="222" t="s">
        <v>2052</v>
      </c>
      <c r="D2132" s="222" t="s">
        <v>1262</v>
      </c>
    </row>
    <row r="2133" spans="1:4" x14ac:dyDescent="0.25">
      <c r="A2133" s="222" t="s">
        <v>5879</v>
      </c>
      <c r="B2133" s="222">
        <v>502933</v>
      </c>
      <c r="C2133" s="222" t="s">
        <v>2052</v>
      </c>
      <c r="D2133" s="222" t="s">
        <v>1237</v>
      </c>
    </row>
    <row r="2134" spans="1:4" x14ac:dyDescent="0.25">
      <c r="A2134" s="222" t="s">
        <v>5878</v>
      </c>
      <c r="B2134" s="222">
        <v>532925</v>
      </c>
      <c r="C2134" s="222" t="s">
        <v>5877</v>
      </c>
      <c r="D2134" s="222" t="s">
        <v>1248</v>
      </c>
    </row>
    <row r="2135" spans="1:4" x14ac:dyDescent="0.25">
      <c r="A2135" s="222" t="s">
        <v>5876</v>
      </c>
      <c r="B2135" s="222">
        <v>532899</v>
      </c>
      <c r="C2135" s="222" t="s">
        <v>5875</v>
      </c>
      <c r="D2135" s="222" t="s">
        <v>731</v>
      </c>
    </row>
    <row r="2136" spans="1:4" x14ac:dyDescent="0.25">
      <c r="A2136" s="222" t="s">
        <v>5874</v>
      </c>
      <c r="B2136" s="222">
        <v>524444</v>
      </c>
      <c r="C2136" s="222" t="s">
        <v>2052</v>
      </c>
      <c r="D2136" s="222" t="s">
        <v>1963</v>
      </c>
    </row>
    <row r="2137" spans="1:4" x14ac:dyDescent="0.25">
      <c r="A2137" s="222" t="s">
        <v>5873</v>
      </c>
      <c r="B2137" s="222">
        <v>535136</v>
      </c>
      <c r="C2137" s="222" t="s">
        <v>2052</v>
      </c>
      <c r="D2137" s="222" t="s">
        <v>1237</v>
      </c>
    </row>
    <row r="2138" spans="1:4" x14ac:dyDescent="0.25">
      <c r="A2138" s="222" t="s">
        <v>5872</v>
      </c>
      <c r="B2138" s="222">
        <v>590041</v>
      </c>
      <c r="C2138" s="222" t="s">
        <v>5871</v>
      </c>
      <c r="D2138" s="222" t="s">
        <v>2114</v>
      </c>
    </row>
    <row r="2139" spans="1:4" x14ac:dyDescent="0.25">
      <c r="A2139" s="222" t="s">
        <v>5870</v>
      </c>
      <c r="B2139" s="222">
        <v>530255</v>
      </c>
      <c r="C2139" s="222" t="s">
        <v>2052</v>
      </c>
      <c r="D2139" s="222" t="s">
        <v>1972</v>
      </c>
    </row>
    <row r="2140" spans="1:4" x14ac:dyDescent="0.25">
      <c r="A2140" s="222" t="s">
        <v>5869</v>
      </c>
      <c r="B2140" s="222">
        <v>539276</v>
      </c>
      <c r="C2140" s="222" t="s">
        <v>5868</v>
      </c>
      <c r="D2140" s="222" t="s">
        <v>2870</v>
      </c>
    </row>
    <row r="2141" spans="1:4" x14ac:dyDescent="0.25">
      <c r="A2141" s="222" t="s">
        <v>5867</v>
      </c>
      <c r="B2141" s="222">
        <v>504084</v>
      </c>
      <c r="C2141" s="222" t="s">
        <v>2052</v>
      </c>
      <c r="D2141" s="222" t="s">
        <v>1275</v>
      </c>
    </row>
    <row r="2142" spans="1:4" x14ac:dyDescent="0.25">
      <c r="A2142" s="222" t="s">
        <v>5866</v>
      </c>
      <c r="B2142" s="222">
        <v>539562</v>
      </c>
      <c r="C2142" s="222" t="s">
        <v>2052</v>
      </c>
      <c r="D2142" s="222" t="s">
        <v>1262</v>
      </c>
    </row>
    <row r="2143" spans="1:4" x14ac:dyDescent="0.25">
      <c r="A2143" s="222" t="s">
        <v>5865</v>
      </c>
      <c r="B2143" s="222">
        <v>530357</v>
      </c>
      <c r="C2143" s="222" t="s">
        <v>2052</v>
      </c>
      <c r="D2143" s="222" t="s">
        <v>1262</v>
      </c>
    </row>
    <row r="2144" spans="1:4" x14ac:dyDescent="0.25">
      <c r="A2144" s="222" t="s">
        <v>5864</v>
      </c>
      <c r="B2144" s="222">
        <v>530357</v>
      </c>
      <c r="C2144" s="222" t="s">
        <v>2052</v>
      </c>
      <c r="D2144" s="222" t="s">
        <v>1262</v>
      </c>
    </row>
    <row r="2145" spans="1:4" x14ac:dyDescent="0.25">
      <c r="A2145" s="222" t="s">
        <v>5863</v>
      </c>
      <c r="B2145" s="222">
        <v>526067</v>
      </c>
      <c r="C2145" s="222" t="s">
        <v>2052</v>
      </c>
      <c r="D2145" s="222" t="s">
        <v>1447</v>
      </c>
    </row>
    <row r="2146" spans="1:4" x14ac:dyDescent="0.25">
      <c r="A2146" s="222" t="s">
        <v>5862</v>
      </c>
      <c r="B2146" s="222">
        <v>531784</v>
      </c>
      <c r="C2146" s="222" t="s">
        <v>2052</v>
      </c>
      <c r="D2146" s="222" t="s">
        <v>1248</v>
      </c>
    </row>
    <row r="2147" spans="1:4" x14ac:dyDescent="0.25">
      <c r="A2147" s="222" t="s">
        <v>5861</v>
      </c>
      <c r="B2147" s="222">
        <v>590066</v>
      </c>
      <c r="C2147" s="222" t="s">
        <v>5860</v>
      </c>
      <c r="D2147" s="222" t="s">
        <v>1004</v>
      </c>
    </row>
    <row r="2148" spans="1:4" x14ac:dyDescent="0.25">
      <c r="A2148" s="222" t="s">
        <v>5859</v>
      </c>
      <c r="B2148" s="222">
        <v>533192</v>
      </c>
      <c r="C2148" s="222" t="s">
        <v>5858</v>
      </c>
      <c r="D2148" s="222" t="s">
        <v>1124</v>
      </c>
    </row>
    <row r="2149" spans="1:4" x14ac:dyDescent="0.25">
      <c r="A2149" s="222" t="s">
        <v>5857</v>
      </c>
      <c r="B2149" s="222">
        <v>540385</v>
      </c>
      <c r="C2149" s="222" t="s">
        <v>2052</v>
      </c>
      <c r="D2149" s="222" t="s">
        <v>1262</v>
      </c>
    </row>
    <row r="2150" spans="1:4" x14ac:dyDescent="0.25">
      <c r="A2150" s="222" t="s">
        <v>5856</v>
      </c>
      <c r="B2150" s="222">
        <v>532054</v>
      </c>
      <c r="C2150" s="222" t="s">
        <v>5855</v>
      </c>
      <c r="D2150" s="222" t="s">
        <v>1364</v>
      </c>
    </row>
    <row r="2151" spans="1:4" x14ac:dyDescent="0.25">
      <c r="A2151" s="222" t="s">
        <v>5854</v>
      </c>
      <c r="B2151" s="222">
        <v>532714</v>
      </c>
      <c r="C2151" s="222" t="s">
        <v>5853</v>
      </c>
      <c r="D2151" s="222" t="s">
        <v>1066</v>
      </c>
    </row>
    <row r="2152" spans="1:4" x14ac:dyDescent="0.25">
      <c r="A2152" s="222" t="s">
        <v>5852</v>
      </c>
      <c r="B2152" s="222">
        <v>508993</v>
      </c>
      <c r="C2152" s="222" t="s">
        <v>2052</v>
      </c>
      <c r="D2152" s="222" t="s">
        <v>1243</v>
      </c>
    </row>
    <row r="2153" spans="1:4" x14ac:dyDescent="0.25">
      <c r="A2153" s="222" t="s">
        <v>5851</v>
      </c>
      <c r="B2153" s="222">
        <v>518011</v>
      </c>
      <c r="C2153" s="222" t="s">
        <v>2052</v>
      </c>
      <c r="D2153" s="222" t="s">
        <v>1004</v>
      </c>
    </row>
    <row r="2154" spans="1:4" x14ac:dyDescent="0.25">
      <c r="A2154" s="222" t="s">
        <v>5850</v>
      </c>
      <c r="B2154" s="222" t="s">
        <v>2052</v>
      </c>
      <c r="C2154" s="222" t="s">
        <v>5849</v>
      </c>
      <c r="D2154" s="222" t="s">
        <v>2050</v>
      </c>
    </row>
    <row r="2155" spans="1:4" x14ac:dyDescent="0.25">
      <c r="A2155" s="222" t="s">
        <v>5848</v>
      </c>
      <c r="B2155" s="222">
        <v>517569</v>
      </c>
      <c r="C2155" s="222" t="s">
        <v>5847</v>
      </c>
      <c r="D2155" s="222" t="s">
        <v>1275</v>
      </c>
    </row>
    <row r="2156" spans="1:4" x14ac:dyDescent="0.25">
      <c r="A2156" s="222" t="s">
        <v>5846</v>
      </c>
      <c r="B2156" s="222">
        <v>519602</v>
      </c>
      <c r="C2156" s="222" t="s">
        <v>5845</v>
      </c>
      <c r="D2156" s="222" t="s">
        <v>1942</v>
      </c>
    </row>
    <row r="2157" spans="1:4" x14ac:dyDescent="0.25">
      <c r="A2157" s="222" t="s">
        <v>5844</v>
      </c>
      <c r="B2157" s="222">
        <v>506528</v>
      </c>
      <c r="C2157" s="222" t="s">
        <v>2052</v>
      </c>
      <c r="D2157" s="222" t="s">
        <v>722</v>
      </c>
    </row>
    <row r="2158" spans="1:4" x14ac:dyDescent="0.25">
      <c r="A2158" s="222" t="s">
        <v>5843</v>
      </c>
      <c r="B2158" s="222">
        <v>531163</v>
      </c>
      <c r="C2158" s="222" t="s">
        <v>5842</v>
      </c>
      <c r="D2158" s="222" t="s">
        <v>722</v>
      </c>
    </row>
    <row r="2159" spans="1:4" x14ac:dyDescent="0.25">
      <c r="A2159" s="222" t="s">
        <v>5841</v>
      </c>
      <c r="B2159" s="222">
        <v>506530</v>
      </c>
      <c r="C2159" s="222" t="s">
        <v>2052</v>
      </c>
      <c r="D2159" s="222" t="s">
        <v>1447</v>
      </c>
    </row>
    <row r="2160" spans="1:4" x14ac:dyDescent="0.25">
      <c r="A2160" s="222" t="s">
        <v>5840</v>
      </c>
      <c r="B2160" s="222">
        <v>505890</v>
      </c>
      <c r="C2160" s="222" t="s">
        <v>2052</v>
      </c>
      <c r="D2160" s="222" t="s">
        <v>832</v>
      </c>
    </row>
    <row r="2161" spans="1:4" x14ac:dyDescent="0.25">
      <c r="A2161" s="222" t="s">
        <v>5839</v>
      </c>
      <c r="B2161" s="222">
        <v>505890</v>
      </c>
      <c r="C2161" s="222" t="s">
        <v>2052</v>
      </c>
      <c r="D2161" s="222" t="s">
        <v>832</v>
      </c>
    </row>
    <row r="2162" spans="1:4" x14ac:dyDescent="0.25">
      <c r="A2162" s="222" t="s">
        <v>5838</v>
      </c>
      <c r="B2162" s="222">
        <v>540953</v>
      </c>
      <c r="C2162" s="222" t="s">
        <v>2052</v>
      </c>
      <c r="D2162" s="222" t="s">
        <v>1364</v>
      </c>
    </row>
    <row r="2163" spans="1:4" x14ac:dyDescent="0.25">
      <c r="A2163" s="222" t="s">
        <v>5837</v>
      </c>
      <c r="B2163" s="222">
        <v>530163</v>
      </c>
      <c r="C2163" s="222" t="s">
        <v>2052</v>
      </c>
      <c r="D2163" s="222" t="s">
        <v>789</v>
      </c>
    </row>
    <row r="2164" spans="1:4" x14ac:dyDescent="0.25">
      <c r="A2164" s="222" t="s">
        <v>5836</v>
      </c>
      <c r="B2164" s="222">
        <v>532686</v>
      </c>
      <c r="C2164" s="222" t="s">
        <v>5834</v>
      </c>
      <c r="D2164" s="222" t="s">
        <v>1292</v>
      </c>
    </row>
    <row r="2165" spans="1:4" x14ac:dyDescent="0.25">
      <c r="A2165" s="222" t="s">
        <v>5835</v>
      </c>
      <c r="B2165" s="222">
        <v>532686</v>
      </c>
      <c r="C2165" s="222" t="s">
        <v>5834</v>
      </c>
      <c r="D2165" s="222" t="s">
        <v>1292</v>
      </c>
    </row>
    <row r="2166" spans="1:4" x14ac:dyDescent="0.25">
      <c r="A2166" s="222" t="s">
        <v>5833</v>
      </c>
      <c r="B2166" s="222">
        <v>507180</v>
      </c>
      <c r="C2166" s="222" t="s">
        <v>5832</v>
      </c>
      <c r="D2166" s="222" t="s">
        <v>1124</v>
      </c>
    </row>
    <row r="2167" spans="1:4" x14ac:dyDescent="0.25">
      <c r="A2167" s="222" t="s">
        <v>5831</v>
      </c>
      <c r="B2167" s="222">
        <v>524174</v>
      </c>
      <c r="C2167" s="222" t="s">
        <v>2052</v>
      </c>
      <c r="D2167" s="222" t="s">
        <v>998</v>
      </c>
    </row>
    <row r="2168" spans="1:4" x14ac:dyDescent="0.25">
      <c r="A2168" s="222" t="s">
        <v>5830</v>
      </c>
      <c r="B2168" s="222">
        <v>533289</v>
      </c>
      <c r="C2168" s="222" t="s">
        <v>5829</v>
      </c>
      <c r="D2168" s="222" t="s">
        <v>1329</v>
      </c>
    </row>
    <row r="2169" spans="1:4" x14ac:dyDescent="0.25">
      <c r="A2169" s="222" t="s">
        <v>5828</v>
      </c>
      <c r="B2169" s="222">
        <v>502937</v>
      </c>
      <c r="C2169" s="222" t="s">
        <v>5827</v>
      </c>
      <c r="D2169" s="222" t="s">
        <v>1318</v>
      </c>
    </row>
    <row r="2170" spans="1:4" x14ac:dyDescent="0.25">
      <c r="A2170" s="222" t="s">
        <v>5826</v>
      </c>
      <c r="B2170" s="222">
        <v>532732</v>
      </c>
      <c r="C2170" s="222" t="s">
        <v>5825</v>
      </c>
      <c r="D2170" s="222" t="s">
        <v>1364</v>
      </c>
    </row>
    <row r="2171" spans="1:4" x14ac:dyDescent="0.25">
      <c r="A2171" s="222" t="s">
        <v>5824</v>
      </c>
      <c r="B2171" s="222">
        <v>507948</v>
      </c>
      <c r="C2171" s="222" t="s">
        <v>2052</v>
      </c>
      <c r="D2171" s="222" t="s">
        <v>1321</v>
      </c>
    </row>
    <row r="2172" spans="1:4" x14ac:dyDescent="0.25">
      <c r="A2172" s="222" t="s">
        <v>5823</v>
      </c>
      <c r="B2172" s="222">
        <v>512597</v>
      </c>
      <c r="C2172" s="222" t="s">
        <v>5822</v>
      </c>
      <c r="D2172" s="222" t="s">
        <v>1321</v>
      </c>
    </row>
    <row r="2173" spans="1:4" x14ac:dyDescent="0.25">
      <c r="A2173" s="222" t="s">
        <v>5821</v>
      </c>
      <c r="B2173" s="222" t="s">
        <v>2052</v>
      </c>
      <c r="C2173" s="222" t="s">
        <v>5820</v>
      </c>
      <c r="D2173" s="222" t="s">
        <v>1321</v>
      </c>
    </row>
    <row r="2174" spans="1:4" x14ac:dyDescent="0.25">
      <c r="A2174" s="222" t="s">
        <v>5819</v>
      </c>
      <c r="B2174" s="222">
        <v>500239</v>
      </c>
      <c r="C2174" s="222" t="s">
        <v>2052</v>
      </c>
      <c r="D2174" s="222" t="s">
        <v>1237</v>
      </c>
    </row>
    <row r="2175" spans="1:4" x14ac:dyDescent="0.25">
      <c r="A2175" s="222" t="s">
        <v>5818</v>
      </c>
      <c r="B2175" s="222">
        <v>531609</v>
      </c>
      <c r="C2175" s="222" t="s">
        <v>2052</v>
      </c>
      <c r="D2175" s="222" t="s">
        <v>1447</v>
      </c>
    </row>
    <row r="2176" spans="1:4" x14ac:dyDescent="0.25">
      <c r="A2176" s="222" t="s">
        <v>5817</v>
      </c>
      <c r="B2176" s="222">
        <v>540775</v>
      </c>
      <c r="C2176" s="222" t="s">
        <v>5815</v>
      </c>
      <c r="D2176" s="222" t="s">
        <v>754</v>
      </c>
    </row>
    <row r="2177" spans="1:4" x14ac:dyDescent="0.25">
      <c r="A2177" s="222" t="s">
        <v>5816</v>
      </c>
      <c r="B2177" s="222">
        <v>540775</v>
      </c>
      <c r="C2177" s="222" t="s">
        <v>5815</v>
      </c>
      <c r="D2177" s="222" t="s">
        <v>754</v>
      </c>
    </row>
    <row r="2178" spans="1:4" x14ac:dyDescent="0.25">
      <c r="A2178" s="222" t="s">
        <v>5814</v>
      </c>
      <c r="B2178" s="222">
        <v>590068</v>
      </c>
      <c r="C2178" s="222" t="s">
        <v>5809</v>
      </c>
      <c r="D2178" s="222" t="s">
        <v>1529</v>
      </c>
    </row>
    <row r="2179" spans="1:4" x14ac:dyDescent="0.25">
      <c r="A2179" s="222" t="s">
        <v>5813</v>
      </c>
      <c r="B2179" s="222">
        <v>507794</v>
      </c>
      <c r="C2179" s="222" t="s">
        <v>2052</v>
      </c>
      <c r="D2179" s="222" t="s">
        <v>734</v>
      </c>
    </row>
    <row r="2180" spans="1:4" x14ac:dyDescent="0.25">
      <c r="A2180" s="222" t="s">
        <v>5812</v>
      </c>
      <c r="B2180" s="222">
        <v>504269</v>
      </c>
      <c r="C2180" s="222" t="s">
        <v>5811</v>
      </c>
      <c r="D2180" s="222" t="s">
        <v>802</v>
      </c>
    </row>
    <row r="2181" spans="1:4" x14ac:dyDescent="0.25">
      <c r="A2181" s="222" t="s">
        <v>5810</v>
      </c>
      <c r="B2181" s="222">
        <v>590068</v>
      </c>
      <c r="C2181" s="222" t="s">
        <v>5809</v>
      </c>
      <c r="D2181" s="222" t="s">
        <v>1529</v>
      </c>
    </row>
    <row r="2182" spans="1:4" x14ac:dyDescent="0.25">
      <c r="A2182" s="222" t="s">
        <v>5808</v>
      </c>
      <c r="B2182" s="222">
        <v>519064</v>
      </c>
      <c r="C2182" s="222" t="s">
        <v>2052</v>
      </c>
      <c r="D2182" s="222" t="s">
        <v>731</v>
      </c>
    </row>
    <row r="2183" spans="1:4" x14ac:dyDescent="0.25">
      <c r="A2183" s="222" t="s">
        <v>5807</v>
      </c>
      <c r="B2183" s="222">
        <v>531892</v>
      </c>
      <c r="C2183" s="222" t="s">
        <v>5806</v>
      </c>
      <c r="D2183" s="222" t="s">
        <v>1262</v>
      </c>
    </row>
    <row r="2184" spans="1:4" x14ac:dyDescent="0.25">
      <c r="A2184" s="222" t="s">
        <v>5805</v>
      </c>
      <c r="B2184" s="222">
        <v>506178</v>
      </c>
      <c r="C2184" s="222" t="s">
        <v>2052</v>
      </c>
      <c r="D2184" s="222" t="s">
        <v>1529</v>
      </c>
    </row>
    <row r="2185" spans="1:4" x14ac:dyDescent="0.25">
      <c r="A2185" s="222" t="s">
        <v>5804</v>
      </c>
      <c r="B2185" s="222">
        <v>521127</v>
      </c>
      <c r="C2185" s="222" t="s">
        <v>2052</v>
      </c>
      <c r="D2185" s="222" t="s">
        <v>1237</v>
      </c>
    </row>
    <row r="2186" spans="1:4" x14ac:dyDescent="0.25">
      <c r="A2186" s="222" t="s">
        <v>5803</v>
      </c>
      <c r="B2186" s="222">
        <v>539788</v>
      </c>
      <c r="C2186" s="222" t="s">
        <v>2052</v>
      </c>
      <c r="D2186" s="222" t="s">
        <v>1137</v>
      </c>
    </row>
    <row r="2187" spans="1:4" x14ac:dyDescent="0.25">
      <c r="A2187" s="222" t="s">
        <v>5802</v>
      </c>
      <c r="B2187" s="222">
        <v>507435</v>
      </c>
      <c r="C2187" s="222" t="s">
        <v>2052</v>
      </c>
      <c r="D2187" s="222" t="s">
        <v>2146</v>
      </c>
    </row>
    <row r="2188" spans="1:4" x14ac:dyDescent="0.25">
      <c r="A2188" s="222" t="s">
        <v>5801</v>
      </c>
      <c r="B2188" s="222">
        <v>507435</v>
      </c>
      <c r="C2188" s="222" t="s">
        <v>2052</v>
      </c>
      <c r="D2188" s="222" t="s">
        <v>2146</v>
      </c>
    </row>
    <row r="2189" spans="1:4" x14ac:dyDescent="0.25">
      <c r="A2189" s="222" t="s">
        <v>5800</v>
      </c>
      <c r="B2189" s="222">
        <v>535730</v>
      </c>
      <c r="C2189" s="222" t="s">
        <v>2052</v>
      </c>
      <c r="D2189" s="222" t="s">
        <v>1237</v>
      </c>
    </row>
    <row r="2190" spans="1:4" x14ac:dyDescent="0.25">
      <c r="A2190" s="222" t="s">
        <v>5799</v>
      </c>
      <c r="B2190" s="222">
        <v>531692</v>
      </c>
      <c r="C2190" s="222" t="s">
        <v>2052</v>
      </c>
      <c r="D2190" s="222" t="s">
        <v>2128</v>
      </c>
    </row>
    <row r="2191" spans="1:4" x14ac:dyDescent="0.25">
      <c r="A2191" s="222" t="s">
        <v>5798</v>
      </c>
      <c r="B2191" s="222">
        <v>513693</v>
      </c>
      <c r="C2191" s="222" t="s">
        <v>2052</v>
      </c>
      <c r="D2191" s="222" t="s">
        <v>2167</v>
      </c>
    </row>
    <row r="2192" spans="1:4" x14ac:dyDescent="0.25">
      <c r="A2192" s="222" t="s">
        <v>5797</v>
      </c>
      <c r="B2192" s="222">
        <v>540812</v>
      </c>
      <c r="C2192" s="222" t="s">
        <v>2052</v>
      </c>
      <c r="D2192" s="222" t="s">
        <v>1297</v>
      </c>
    </row>
    <row r="2193" spans="1:4" x14ac:dyDescent="0.25">
      <c r="A2193" s="222" t="s">
        <v>5796</v>
      </c>
      <c r="B2193" s="222">
        <v>507946</v>
      </c>
      <c r="C2193" s="222" t="s">
        <v>2052</v>
      </c>
      <c r="D2193" s="222" t="s">
        <v>1529</v>
      </c>
    </row>
    <row r="2194" spans="1:4" x14ac:dyDescent="0.25">
      <c r="A2194" s="222" t="s">
        <v>5795</v>
      </c>
      <c r="B2194" s="222">
        <v>507946</v>
      </c>
      <c r="C2194" s="222" t="s">
        <v>2052</v>
      </c>
      <c r="D2194" s="222" t="s">
        <v>1529</v>
      </c>
    </row>
    <row r="2195" spans="1:4" x14ac:dyDescent="0.25">
      <c r="A2195" s="222" t="s">
        <v>5794</v>
      </c>
      <c r="B2195" s="222">
        <v>535566</v>
      </c>
      <c r="C2195" s="222" t="s">
        <v>2052</v>
      </c>
      <c r="D2195" s="222" t="s">
        <v>1321</v>
      </c>
    </row>
    <row r="2196" spans="1:4" x14ac:dyDescent="0.25">
      <c r="A2196" s="222" t="s">
        <v>5793</v>
      </c>
      <c r="B2196" s="222">
        <v>524699</v>
      </c>
      <c r="C2196" s="222" t="s">
        <v>2052</v>
      </c>
      <c r="D2196" s="222" t="s">
        <v>998</v>
      </c>
    </row>
    <row r="2197" spans="1:4" x14ac:dyDescent="0.25">
      <c r="A2197" s="222" t="s">
        <v>5792</v>
      </c>
      <c r="B2197" s="222">
        <v>522101</v>
      </c>
      <c r="C2197" s="222" t="s">
        <v>2052</v>
      </c>
      <c r="D2197" s="222" t="s">
        <v>832</v>
      </c>
    </row>
    <row r="2198" spans="1:4" x14ac:dyDescent="0.25">
      <c r="A2198" s="222" t="s">
        <v>5791</v>
      </c>
      <c r="B2198" s="222">
        <v>523218</v>
      </c>
      <c r="C2198" s="222" t="s">
        <v>5790</v>
      </c>
      <c r="D2198" s="222" t="s">
        <v>2062</v>
      </c>
    </row>
    <row r="2199" spans="1:4" x14ac:dyDescent="0.25">
      <c r="A2199" s="222" t="s">
        <v>5789</v>
      </c>
      <c r="B2199" s="222">
        <v>524500</v>
      </c>
      <c r="C2199" s="222" t="s">
        <v>5787</v>
      </c>
      <c r="D2199" s="222" t="s">
        <v>789</v>
      </c>
    </row>
    <row r="2200" spans="1:4" x14ac:dyDescent="0.25">
      <c r="A2200" s="222" t="s">
        <v>5788</v>
      </c>
      <c r="B2200" s="222">
        <v>524500</v>
      </c>
      <c r="C2200" s="222" t="s">
        <v>5787</v>
      </c>
      <c r="D2200" s="222" t="s">
        <v>789</v>
      </c>
    </row>
    <row r="2201" spans="1:4" x14ac:dyDescent="0.25">
      <c r="A2201" s="222" t="s">
        <v>5786</v>
      </c>
      <c r="B2201" s="222">
        <v>532067</v>
      </c>
      <c r="C2201" s="222" t="s">
        <v>2052</v>
      </c>
      <c r="D2201" s="222" t="s">
        <v>1324</v>
      </c>
    </row>
    <row r="2202" spans="1:4" x14ac:dyDescent="0.25">
      <c r="A2202" s="222" t="s">
        <v>5785</v>
      </c>
      <c r="B2202" s="222">
        <v>532067</v>
      </c>
      <c r="C2202" s="222" t="s">
        <v>2052</v>
      </c>
      <c r="D2202" s="222" t="s">
        <v>1324</v>
      </c>
    </row>
    <row r="2203" spans="1:4" x14ac:dyDescent="0.25">
      <c r="A2203" s="222" t="s">
        <v>5784</v>
      </c>
      <c r="B2203" s="222">
        <v>530313</v>
      </c>
      <c r="C2203" s="222" t="s">
        <v>5783</v>
      </c>
      <c r="D2203" s="222" t="s">
        <v>789</v>
      </c>
    </row>
    <row r="2204" spans="1:4" x14ac:dyDescent="0.25">
      <c r="A2204" s="222" t="s">
        <v>5782</v>
      </c>
      <c r="B2204" s="222">
        <v>500240</v>
      </c>
      <c r="C2204" s="222" t="s">
        <v>2052</v>
      </c>
      <c r="D2204" s="222" t="s">
        <v>2582</v>
      </c>
    </row>
    <row r="2205" spans="1:4" x14ac:dyDescent="0.25">
      <c r="A2205" s="222" t="s">
        <v>5781</v>
      </c>
      <c r="B2205" s="222">
        <v>531274</v>
      </c>
      <c r="C2205" s="222" t="s">
        <v>2052</v>
      </c>
      <c r="D2205" s="222" t="s">
        <v>1321</v>
      </c>
    </row>
    <row r="2206" spans="1:4" x14ac:dyDescent="0.25">
      <c r="A2206" s="222" t="s">
        <v>5780</v>
      </c>
      <c r="B2206" s="222">
        <v>524019</v>
      </c>
      <c r="C2206" s="222" t="s">
        <v>5778</v>
      </c>
      <c r="D2206" s="222" t="s">
        <v>1251</v>
      </c>
    </row>
    <row r="2207" spans="1:4" x14ac:dyDescent="0.25">
      <c r="A2207" s="222" t="s">
        <v>5779</v>
      </c>
      <c r="B2207" s="222">
        <v>524019</v>
      </c>
      <c r="C2207" s="222" t="s">
        <v>5778</v>
      </c>
      <c r="D2207" s="222" t="s">
        <v>1251</v>
      </c>
    </row>
    <row r="2208" spans="1:4" x14ac:dyDescent="0.25">
      <c r="A2208" s="222" t="s">
        <v>5777</v>
      </c>
      <c r="B2208" s="222">
        <v>530215</v>
      </c>
      <c r="C2208" s="222" t="s">
        <v>2052</v>
      </c>
      <c r="D2208" s="222" t="s">
        <v>1243</v>
      </c>
    </row>
    <row r="2209" spans="1:4" x14ac:dyDescent="0.25">
      <c r="A2209" s="222" t="s">
        <v>5776</v>
      </c>
      <c r="B2209" s="222">
        <v>512329</v>
      </c>
      <c r="C2209" s="222" t="s">
        <v>2052</v>
      </c>
      <c r="D2209" s="222" t="s">
        <v>2068</v>
      </c>
    </row>
    <row r="2210" spans="1:4" x14ac:dyDescent="0.25">
      <c r="A2210" s="222" t="s">
        <v>5775</v>
      </c>
      <c r="B2210" s="222">
        <v>540680</v>
      </c>
      <c r="C2210" s="222" t="s">
        <v>5774</v>
      </c>
      <c r="D2210" s="222" t="s">
        <v>2167</v>
      </c>
    </row>
    <row r="2211" spans="1:4" x14ac:dyDescent="0.25">
      <c r="A2211" s="222" t="s">
        <v>5773</v>
      </c>
      <c r="B2211" s="222">
        <v>531413</v>
      </c>
      <c r="C2211" s="222" t="s">
        <v>2052</v>
      </c>
      <c r="D2211" s="222" t="s">
        <v>2542</v>
      </c>
    </row>
    <row r="2212" spans="1:4" x14ac:dyDescent="0.25">
      <c r="A2212" s="222" t="s">
        <v>5772</v>
      </c>
      <c r="B2212" s="222">
        <v>537750</v>
      </c>
      <c r="C2212" s="222" t="s">
        <v>2052</v>
      </c>
      <c r="D2212" s="222" t="s">
        <v>2108</v>
      </c>
    </row>
    <row r="2213" spans="1:4" x14ac:dyDescent="0.25">
      <c r="A2213" s="222" t="s">
        <v>5771</v>
      </c>
      <c r="B2213" s="222">
        <v>532967</v>
      </c>
      <c r="C2213" s="222" t="s">
        <v>5770</v>
      </c>
      <c r="D2213" s="222" t="s">
        <v>722</v>
      </c>
    </row>
    <row r="2214" spans="1:4" x14ac:dyDescent="0.25">
      <c r="A2214" s="222" t="s">
        <v>5769</v>
      </c>
      <c r="B2214" s="222">
        <v>500241</v>
      </c>
      <c r="C2214" s="222" t="s">
        <v>5768</v>
      </c>
      <c r="D2214" s="222" t="s">
        <v>832</v>
      </c>
    </row>
    <row r="2215" spans="1:4" x14ac:dyDescent="0.25">
      <c r="A2215" s="222" t="s">
        <v>5767</v>
      </c>
      <c r="B2215" s="222">
        <v>533193</v>
      </c>
      <c r="C2215" s="222" t="s">
        <v>5766</v>
      </c>
      <c r="D2215" s="222" t="s">
        <v>1275</v>
      </c>
    </row>
    <row r="2216" spans="1:4" x14ac:dyDescent="0.25">
      <c r="A2216" s="222" t="s">
        <v>5765</v>
      </c>
      <c r="B2216" s="222">
        <v>500245</v>
      </c>
      <c r="C2216" s="222" t="s">
        <v>2052</v>
      </c>
      <c r="D2216" s="222" t="s">
        <v>2167</v>
      </c>
    </row>
    <row r="2217" spans="1:4" x14ac:dyDescent="0.25">
      <c r="A2217" s="222" t="s">
        <v>5764</v>
      </c>
      <c r="B2217" s="222">
        <v>500243</v>
      </c>
      <c r="C2217" s="222" t="s">
        <v>5763</v>
      </c>
      <c r="D2217" s="222" t="s">
        <v>832</v>
      </c>
    </row>
    <row r="2218" spans="1:4" x14ac:dyDescent="0.25">
      <c r="A2218" s="222" t="s">
        <v>5762</v>
      </c>
      <c r="B2218" s="222">
        <v>533293</v>
      </c>
      <c r="C2218" s="222" t="s">
        <v>5761</v>
      </c>
      <c r="D2218" s="222" t="s">
        <v>1306</v>
      </c>
    </row>
    <row r="2219" spans="1:4" x14ac:dyDescent="0.25">
      <c r="A2219" s="222" t="s">
        <v>5760</v>
      </c>
      <c r="B2219" s="222">
        <v>505283</v>
      </c>
      <c r="C2219" s="222" t="s">
        <v>2052</v>
      </c>
      <c r="D2219" s="222" t="s">
        <v>832</v>
      </c>
    </row>
    <row r="2220" spans="1:4" x14ac:dyDescent="0.25">
      <c r="A2220" s="222" t="s">
        <v>5759</v>
      </c>
      <c r="B2220" s="222">
        <v>530145</v>
      </c>
      <c r="C2220" s="222" t="s">
        <v>2052</v>
      </c>
      <c r="D2220" s="222" t="s">
        <v>1251</v>
      </c>
    </row>
    <row r="2221" spans="1:4" x14ac:dyDescent="0.25">
      <c r="A2221" s="222" t="s">
        <v>5758</v>
      </c>
      <c r="B2221" s="222">
        <v>521248</v>
      </c>
      <c r="C2221" s="222" t="s">
        <v>5757</v>
      </c>
      <c r="D2221" s="222" t="s">
        <v>1364</v>
      </c>
    </row>
    <row r="2222" spans="1:4" x14ac:dyDescent="0.25">
      <c r="A2222" s="222" t="s">
        <v>5756</v>
      </c>
      <c r="B2222" s="222">
        <v>532304</v>
      </c>
      <c r="C2222" s="222" t="s">
        <v>2052</v>
      </c>
      <c r="D2222" s="222" t="s">
        <v>1262</v>
      </c>
    </row>
    <row r="2223" spans="1:4" x14ac:dyDescent="0.25">
      <c r="A2223" s="222" t="s">
        <v>5755</v>
      </c>
      <c r="B2223" s="222">
        <v>532304</v>
      </c>
      <c r="C2223" s="222" t="s">
        <v>2052</v>
      </c>
      <c r="D2223" s="222" t="s">
        <v>1262</v>
      </c>
    </row>
    <row r="2224" spans="1:4" x14ac:dyDescent="0.25">
      <c r="A2224" s="222" t="s">
        <v>5754</v>
      </c>
      <c r="B2224" s="222">
        <v>530235</v>
      </c>
      <c r="C2224" s="222" t="s">
        <v>2052</v>
      </c>
      <c r="D2224" s="222" t="s">
        <v>1321</v>
      </c>
    </row>
    <row r="2225" spans="1:4" x14ac:dyDescent="0.25">
      <c r="A2225" s="222" t="s">
        <v>5753</v>
      </c>
      <c r="B2225" s="222">
        <v>526409</v>
      </c>
      <c r="C2225" s="222" t="s">
        <v>2052</v>
      </c>
      <c r="D2225" s="222" t="s">
        <v>1251</v>
      </c>
    </row>
    <row r="2226" spans="1:4" x14ac:dyDescent="0.25">
      <c r="A2226" s="222" t="s">
        <v>5752</v>
      </c>
      <c r="B2226" s="222">
        <v>526409</v>
      </c>
      <c r="C2226" s="222" t="s">
        <v>2052</v>
      </c>
      <c r="D2226" s="222" t="s">
        <v>1251</v>
      </c>
    </row>
    <row r="2227" spans="1:4" x14ac:dyDescent="0.25">
      <c r="A2227" s="222" t="s">
        <v>5751</v>
      </c>
      <c r="B2227" s="222">
        <v>523652</v>
      </c>
      <c r="C2227" s="222" t="s">
        <v>2052</v>
      </c>
      <c r="D2227" s="222" t="s">
        <v>1251</v>
      </c>
    </row>
    <row r="2228" spans="1:4" x14ac:dyDescent="0.25">
      <c r="A2228" s="222" t="s">
        <v>5750</v>
      </c>
      <c r="B2228" s="222">
        <v>521238</v>
      </c>
      <c r="C2228" s="222" t="s">
        <v>2052</v>
      </c>
      <c r="D2228" s="222" t="s">
        <v>1997</v>
      </c>
    </row>
    <row r="2229" spans="1:4" x14ac:dyDescent="0.25">
      <c r="A2229" s="222" t="s">
        <v>5749</v>
      </c>
      <c r="B2229" s="222" t="s">
        <v>2052</v>
      </c>
      <c r="C2229" s="222" t="s">
        <v>5748</v>
      </c>
      <c r="D2229" s="222" t="s">
        <v>2050</v>
      </c>
    </row>
    <row r="2230" spans="1:4" x14ac:dyDescent="0.25">
      <c r="A2230" s="222" t="s">
        <v>5747</v>
      </c>
      <c r="B2230" s="222">
        <v>530771</v>
      </c>
      <c r="C2230" s="222" t="s">
        <v>2052</v>
      </c>
      <c r="D2230" s="222" t="s">
        <v>1321</v>
      </c>
    </row>
    <row r="2231" spans="1:4" x14ac:dyDescent="0.25">
      <c r="A2231" s="222" t="s">
        <v>5746</v>
      </c>
      <c r="B2231" s="222">
        <v>514221</v>
      </c>
      <c r="C2231" s="222" t="s">
        <v>2052</v>
      </c>
      <c r="D2231" s="222" t="s">
        <v>1237</v>
      </c>
    </row>
    <row r="2232" spans="1:4" x14ac:dyDescent="0.25">
      <c r="A2232" s="222" t="s">
        <v>5745</v>
      </c>
      <c r="B2232" s="222">
        <v>517170</v>
      </c>
      <c r="C2232" s="222" t="s">
        <v>5744</v>
      </c>
      <c r="D2232" s="222" t="s">
        <v>1275</v>
      </c>
    </row>
    <row r="2233" spans="1:4" x14ac:dyDescent="0.25">
      <c r="A2233" s="222" t="s">
        <v>5743</v>
      </c>
      <c r="B2233" s="222">
        <v>524520</v>
      </c>
      <c r="C2233" s="222" t="s">
        <v>2052</v>
      </c>
      <c r="D2233" s="222" t="s">
        <v>1425</v>
      </c>
    </row>
    <row r="2234" spans="1:4" x14ac:dyDescent="0.25">
      <c r="A2234" s="222" t="s">
        <v>5742</v>
      </c>
      <c r="B2234" s="222">
        <v>524520</v>
      </c>
      <c r="C2234" s="222" t="s">
        <v>2052</v>
      </c>
      <c r="D2234" s="222" t="s">
        <v>1425</v>
      </c>
    </row>
    <row r="2235" spans="1:4" x14ac:dyDescent="0.25">
      <c r="A2235" s="222" t="s">
        <v>5741</v>
      </c>
      <c r="B2235" s="222">
        <v>531578</v>
      </c>
      <c r="C2235" s="222" t="s">
        <v>2052</v>
      </c>
      <c r="D2235" s="222" t="s">
        <v>1243</v>
      </c>
    </row>
    <row r="2236" spans="1:4" x14ac:dyDescent="0.25">
      <c r="A2236" s="222" t="s">
        <v>5740</v>
      </c>
      <c r="B2236" s="222">
        <v>519415</v>
      </c>
      <c r="C2236" s="222" t="s">
        <v>2052</v>
      </c>
      <c r="D2236" s="222" t="s">
        <v>1161</v>
      </c>
    </row>
    <row r="2237" spans="1:4" x14ac:dyDescent="0.25">
      <c r="A2237" s="222" t="s">
        <v>5739</v>
      </c>
      <c r="B2237" s="222">
        <v>540468</v>
      </c>
      <c r="C2237" s="222" t="s">
        <v>2052</v>
      </c>
      <c r="D2237" s="222" t="s">
        <v>3560</v>
      </c>
    </row>
    <row r="2238" spans="1:4" x14ac:dyDescent="0.25">
      <c r="A2238" s="222" t="s">
        <v>5738</v>
      </c>
      <c r="B2238" s="222">
        <v>532942</v>
      </c>
      <c r="C2238" s="222" t="s">
        <v>5737</v>
      </c>
      <c r="D2238" s="222" t="s">
        <v>1248</v>
      </c>
    </row>
    <row r="2239" spans="1:4" x14ac:dyDescent="0.25">
      <c r="A2239" s="222" t="s">
        <v>5736</v>
      </c>
      <c r="B2239" s="222">
        <v>512559</v>
      </c>
      <c r="C2239" s="222" t="s">
        <v>5735</v>
      </c>
      <c r="D2239" s="222" t="s">
        <v>731</v>
      </c>
    </row>
    <row r="2240" spans="1:4" x14ac:dyDescent="0.25">
      <c r="A2240" s="222" t="s">
        <v>5734</v>
      </c>
      <c r="B2240" s="222">
        <v>523207</v>
      </c>
      <c r="C2240" s="222" t="s">
        <v>5733</v>
      </c>
      <c r="D2240" s="222" t="s">
        <v>2696</v>
      </c>
    </row>
    <row r="2241" spans="1:4" x14ac:dyDescent="0.25">
      <c r="A2241" s="222" t="s">
        <v>5732</v>
      </c>
      <c r="B2241" s="222">
        <v>532924</v>
      </c>
      <c r="C2241" s="222" t="s">
        <v>5731</v>
      </c>
      <c r="D2241" s="222" t="s">
        <v>1243</v>
      </c>
    </row>
    <row r="2242" spans="1:4" x14ac:dyDescent="0.25">
      <c r="A2242" s="222" t="s">
        <v>5730</v>
      </c>
      <c r="B2242" s="222">
        <v>539910</v>
      </c>
      <c r="C2242" s="222" t="s">
        <v>2052</v>
      </c>
      <c r="D2242" s="222" t="s">
        <v>2264</v>
      </c>
    </row>
    <row r="2243" spans="1:4" x14ac:dyDescent="0.25">
      <c r="A2243" s="222" t="s">
        <v>5729</v>
      </c>
      <c r="B2243" s="222">
        <v>514128</v>
      </c>
      <c r="C2243" s="222" t="s">
        <v>2052</v>
      </c>
      <c r="D2243" s="222" t="s">
        <v>1237</v>
      </c>
    </row>
    <row r="2244" spans="1:4" x14ac:dyDescent="0.25">
      <c r="A2244" s="222" t="s">
        <v>5728</v>
      </c>
      <c r="B2244" s="222">
        <v>524280</v>
      </c>
      <c r="C2244" s="222" t="s">
        <v>5727</v>
      </c>
      <c r="D2244" s="222" t="s">
        <v>789</v>
      </c>
    </row>
    <row r="2245" spans="1:4" x14ac:dyDescent="0.25">
      <c r="A2245" s="222" t="s">
        <v>5726</v>
      </c>
      <c r="B2245" s="222">
        <v>500247</v>
      </c>
      <c r="C2245" s="222" t="s">
        <v>5725</v>
      </c>
      <c r="D2245" s="222" t="s">
        <v>1240</v>
      </c>
    </row>
    <row r="2246" spans="1:4" x14ac:dyDescent="0.25">
      <c r="A2246" s="222" t="s">
        <v>5724</v>
      </c>
      <c r="B2246" s="222">
        <v>590097</v>
      </c>
      <c r="C2246" s="222" t="s">
        <v>5723</v>
      </c>
      <c r="D2246" s="222" t="s">
        <v>1262</v>
      </c>
    </row>
    <row r="2247" spans="1:4" x14ac:dyDescent="0.25">
      <c r="A2247" s="222" t="s">
        <v>5722</v>
      </c>
      <c r="B2247" s="222">
        <v>590107</v>
      </c>
      <c r="C2247" s="222" t="s">
        <v>5721</v>
      </c>
      <c r="D2247" s="222" t="s">
        <v>1262</v>
      </c>
    </row>
    <row r="2248" spans="1:4" x14ac:dyDescent="0.25">
      <c r="A2248" s="222" t="s">
        <v>5720</v>
      </c>
      <c r="B2248" s="222">
        <v>532985</v>
      </c>
      <c r="C2248" s="222" t="s">
        <v>5719</v>
      </c>
      <c r="D2248" s="222" t="s">
        <v>1262</v>
      </c>
    </row>
    <row r="2249" spans="1:4" x14ac:dyDescent="0.25">
      <c r="A2249" s="222" t="s">
        <v>5718</v>
      </c>
      <c r="B2249" s="222">
        <v>507474</v>
      </c>
      <c r="C2249" s="222" t="s">
        <v>2052</v>
      </c>
      <c r="D2249" s="222" t="s">
        <v>1083</v>
      </c>
    </row>
    <row r="2250" spans="1:4" x14ac:dyDescent="0.25">
      <c r="A2250" s="222" t="s">
        <v>5717</v>
      </c>
      <c r="B2250" s="222" t="s">
        <v>2052</v>
      </c>
      <c r="C2250" s="222" t="s">
        <v>5716</v>
      </c>
      <c r="D2250" s="222" t="s">
        <v>2197</v>
      </c>
    </row>
    <row r="2251" spans="1:4" x14ac:dyDescent="0.25">
      <c r="A2251" s="222" t="s">
        <v>5715</v>
      </c>
      <c r="B2251" s="222">
        <v>530299</v>
      </c>
      <c r="C2251" s="222" t="s">
        <v>5714</v>
      </c>
      <c r="D2251" s="222" t="s">
        <v>1529</v>
      </c>
    </row>
    <row r="2252" spans="1:4" x14ac:dyDescent="0.25">
      <c r="A2252" s="222" t="s">
        <v>5713</v>
      </c>
      <c r="B2252" s="222" t="s">
        <v>2052</v>
      </c>
      <c r="C2252" s="222" t="s">
        <v>5712</v>
      </c>
      <c r="D2252" s="222" t="s">
        <v>2197</v>
      </c>
    </row>
    <row r="2253" spans="1:4" x14ac:dyDescent="0.25">
      <c r="A2253" s="222" t="s">
        <v>5711</v>
      </c>
      <c r="B2253" s="222">
        <v>511138</v>
      </c>
      <c r="C2253" s="222" t="s">
        <v>2052</v>
      </c>
      <c r="D2253" s="222" t="s">
        <v>1321</v>
      </c>
    </row>
    <row r="2254" spans="1:4" x14ac:dyDescent="0.25">
      <c r="A2254" s="222" t="s">
        <v>5710</v>
      </c>
      <c r="B2254" s="222">
        <v>539599</v>
      </c>
      <c r="C2254" s="222" t="s">
        <v>2052</v>
      </c>
      <c r="D2254" s="222" t="s">
        <v>1137</v>
      </c>
    </row>
    <row r="2255" spans="1:4" x14ac:dyDescent="0.25">
      <c r="A2255" s="222" t="s">
        <v>5709</v>
      </c>
      <c r="B2255" s="222">
        <v>523323</v>
      </c>
      <c r="C2255" s="222" t="s">
        <v>2052</v>
      </c>
      <c r="D2255" s="222" t="s">
        <v>1425</v>
      </c>
    </row>
    <row r="2256" spans="1:4" x14ac:dyDescent="0.25">
      <c r="A2256" s="222" t="s">
        <v>5708</v>
      </c>
      <c r="B2256" s="222">
        <v>505585</v>
      </c>
      <c r="C2256" s="222" t="s">
        <v>2052</v>
      </c>
      <c r="D2256" s="222" t="s">
        <v>2068</v>
      </c>
    </row>
    <row r="2257" spans="1:4" x14ac:dyDescent="0.25">
      <c r="A2257" s="222" t="s">
        <v>5707</v>
      </c>
      <c r="B2257" s="222">
        <v>507598</v>
      </c>
      <c r="C2257" s="222" t="s">
        <v>2052</v>
      </c>
      <c r="D2257" s="222" t="s">
        <v>1083</v>
      </c>
    </row>
    <row r="2258" spans="1:4" x14ac:dyDescent="0.25">
      <c r="A2258" s="222" t="s">
        <v>5706</v>
      </c>
      <c r="B2258" s="222">
        <v>532400</v>
      </c>
      <c r="C2258" s="222" t="s">
        <v>5705</v>
      </c>
      <c r="D2258" s="222" t="s">
        <v>1265</v>
      </c>
    </row>
    <row r="2259" spans="1:4" x14ac:dyDescent="0.25">
      <c r="A2259" s="222" t="s">
        <v>5704</v>
      </c>
      <c r="B2259" s="222">
        <v>542651</v>
      </c>
      <c r="C2259" s="222" t="s">
        <v>5703</v>
      </c>
      <c r="D2259" s="222" t="s">
        <v>4027</v>
      </c>
    </row>
    <row r="2260" spans="1:4" x14ac:dyDescent="0.25">
      <c r="A2260" s="222" t="s">
        <v>5702</v>
      </c>
      <c r="B2260" s="222">
        <v>542459</v>
      </c>
      <c r="C2260" s="222" t="s">
        <v>5701</v>
      </c>
      <c r="D2260" s="222" t="s">
        <v>4027</v>
      </c>
    </row>
    <row r="2261" spans="1:4" x14ac:dyDescent="0.25">
      <c r="A2261" s="222" t="s">
        <v>5700</v>
      </c>
      <c r="B2261" s="222">
        <v>501261</v>
      </c>
      <c r="C2261" s="222" t="s">
        <v>2052</v>
      </c>
      <c r="D2261" s="222" t="s">
        <v>1262</v>
      </c>
    </row>
    <row r="2262" spans="1:4" x14ac:dyDescent="0.25">
      <c r="A2262" s="222" t="s">
        <v>5699</v>
      </c>
      <c r="B2262" s="222">
        <v>530813</v>
      </c>
      <c r="C2262" s="222" t="s">
        <v>5698</v>
      </c>
      <c r="D2262" s="222" t="s">
        <v>1161</v>
      </c>
    </row>
    <row r="2263" spans="1:4" x14ac:dyDescent="0.25">
      <c r="A2263" s="222" t="s">
        <v>5697</v>
      </c>
      <c r="B2263" s="222">
        <v>524518</v>
      </c>
      <c r="C2263" s="222" t="s">
        <v>5696</v>
      </c>
      <c r="D2263" s="222" t="s">
        <v>789</v>
      </c>
    </row>
    <row r="2264" spans="1:4" x14ac:dyDescent="0.25">
      <c r="A2264" s="222" t="s">
        <v>5695</v>
      </c>
      <c r="B2264" s="222">
        <v>530139</v>
      </c>
      <c r="C2264" s="222" t="s">
        <v>2052</v>
      </c>
      <c r="D2264" s="222" t="s">
        <v>1321</v>
      </c>
    </row>
    <row r="2265" spans="1:4" x14ac:dyDescent="0.25">
      <c r="A2265" s="222" t="s">
        <v>5694</v>
      </c>
      <c r="B2265" s="222">
        <v>531328</v>
      </c>
      <c r="C2265" s="222" t="s">
        <v>2052</v>
      </c>
      <c r="D2265" s="222" t="s">
        <v>3560</v>
      </c>
    </row>
    <row r="2266" spans="1:4" x14ac:dyDescent="0.25">
      <c r="A2266" s="222" t="s">
        <v>5693</v>
      </c>
      <c r="B2266" s="222">
        <v>533482</v>
      </c>
      <c r="C2266" s="222" t="s">
        <v>5692</v>
      </c>
      <c r="D2266" s="222" t="s">
        <v>1248</v>
      </c>
    </row>
    <row r="2267" spans="1:4" x14ac:dyDescent="0.25">
      <c r="A2267" s="222" t="s">
        <v>5691</v>
      </c>
      <c r="B2267" s="222" t="s">
        <v>2052</v>
      </c>
      <c r="C2267" s="222" t="s">
        <v>5690</v>
      </c>
      <c r="D2267" s="222" t="s">
        <v>2050</v>
      </c>
    </row>
    <row r="2268" spans="1:4" x14ac:dyDescent="0.25">
      <c r="A2268" s="222" t="s">
        <v>5689</v>
      </c>
      <c r="B2268" s="222">
        <v>539384</v>
      </c>
      <c r="C2268" s="222" t="s">
        <v>2052</v>
      </c>
      <c r="D2268" s="222" t="s">
        <v>1321</v>
      </c>
    </row>
    <row r="2269" spans="1:4" x14ac:dyDescent="0.25">
      <c r="A2269" s="222" t="s">
        <v>5688</v>
      </c>
      <c r="B2269" s="222">
        <v>504392</v>
      </c>
      <c r="C2269" s="222" t="s">
        <v>2052</v>
      </c>
      <c r="D2269" s="222" t="s">
        <v>1262</v>
      </c>
    </row>
    <row r="2270" spans="1:4" x14ac:dyDescent="0.25">
      <c r="A2270" s="222" t="s">
        <v>5687</v>
      </c>
      <c r="B2270" s="222">
        <v>526423</v>
      </c>
      <c r="C2270" s="222" t="s">
        <v>2052</v>
      </c>
      <c r="D2270" s="222" t="s">
        <v>1251</v>
      </c>
    </row>
    <row r="2271" spans="1:4" x14ac:dyDescent="0.25">
      <c r="A2271" s="222" t="s">
        <v>5686</v>
      </c>
      <c r="B2271" s="222">
        <v>526423</v>
      </c>
      <c r="C2271" s="222" t="s">
        <v>2052</v>
      </c>
      <c r="D2271" s="222" t="s">
        <v>1251</v>
      </c>
    </row>
    <row r="2272" spans="1:4" x14ac:dyDescent="0.25">
      <c r="A2272" s="222" t="s">
        <v>5685</v>
      </c>
      <c r="B2272" s="222">
        <v>533210</v>
      </c>
      <c r="C2272" s="222" t="s">
        <v>2052</v>
      </c>
      <c r="D2272" s="222" t="s">
        <v>1963</v>
      </c>
    </row>
    <row r="2273" spans="1:4" x14ac:dyDescent="0.25">
      <c r="A2273" s="222" t="s">
        <v>5684</v>
      </c>
      <c r="B2273" s="222" t="s">
        <v>2052</v>
      </c>
      <c r="C2273" s="222" t="s">
        <v>5683</v>
      </c>
      <c r="D2273" s="222" t="s">
        <v>2050</v>
      </c>
    </row>
    <row r="2274" spans="1:4" x14ac:dyDescent="0.25">
      <c r="A2274" s="222" t="s">
        <v>5682</v>
      </c>
      <c r="B2274" s="222">
        <v>523550</v>
      </c>
      <c r="C2274" s="222" t="s">
        <v>2052</v>
      </c>
      <c r="D2274" s="222" t="s">
        <v>1318</v>
      </c>
    </row>
    <row r="2275" spans="1:4" x14ac:dyDescent="0.25">
      <c r="A2275" s="222" t="s">
        <v>5681</v>
      </c>
      <c r="B2275" s="222">
        <v>500249</v>
      </c>
      <c r="C2275" s="222" t="s">
        <v>5680</v>
      </c>
      <c r="D2275" s="222" t="s">
        <v>832</v>
      </c>
    </row>
    <row r="2276" spans="1:4" x14ac:dyDescent="0.25">
      <c r="A2276" s="222" t="s">
        <v>5679</v>
      </c>
      <c r="B2276" s="222">
        <v>519421</v>
      </c>
      <c r="C2276" s="222" t="s">
        <v>2052</v>
      </c>
      <c r="D2276" s="222" t="s">
        <v>1161</v>
      </c>
    </row>
    <row r="2277" spans="1:4" x14ac:dyDescent="0.25">
      <c r="A2277" s="222" t="s">
        <v>5678</v>
      </c>
      <c r="B2277" s="222" t="s">
        <v>2052</v>
      </c>
      <c r="C2277" s="222" t="s">
        <v>5677</v>
      </c>
      <c r="D2277" s="222" t="s">
        <v>2050</v>
      </c>
    </row>
    <row r="2278" spans="1:4" x14ac:dyDescent="0.25">
      <c r="A2278" s="222" t="s">
        <v>5676</v>
      </c>
      <c r="B2278" s="222">
        <v>503626</v>
      </c>
      <c r="C2278" s="222" t="s">
        <v>2052</v>
      </c>
      <c r="D2278" s="222" t="s">
        <v>1262</v>
      </c>
    </row>
    <row r="2279" spans="1:4" x14ac:dyDescent="0.25">
      <c r="A2279" s="222" t="s">
        <v>5675</v>
      </c>
      <c r="B2279" s="222">
        <v>532997</v>
      </c>
      <c r="C2279" s="222" t="s">
        <v>5674</v>
      </c>
      <c r="D2279" s="222" t="s">
        <v>2380</v>
      </c>
    </row>
    <row r="2280" spans="1:4" x14ac:dyDescent="0.25">
      <c r="A2280" s="222" t="s">
        <v>5673</v>
      </c>
      <c r="B2280" s="222">
        <v>530149</v>
      </c>
      <c r="C2280" s="222" t="s">
        <v>2052</v>
      </c>
      <c r="D2280" s="222" t="s">
        <v>1237</v>
      </c>
    </row>
    <row r="2281" spans="1:4" x14ac:dyDescent="0.25">
      <c r="A2281" s="222" t="s">
        <v>5672</v>
      </c>
      <c r="B2281" s="222">
        <v>532081</v>
      </c>
      <c r="C2281" s="222" t="s">
        <v>5671</v>
      </c>
      <c r="D2281" s="222" t="s">
        <v>2264</v>
      </c>
    </row>
    <row r="2282" spans="1:4" x14ac:dyDescent="0.25">
      <c r="A2282" s="222" t="s">
        <v>5670</v>
      </c>
      <c r="B2282" s="222">
        <v>532937</v>
      </c>
      <c r="C2282" s="222" t="s">
        <v>2052</v>
      </c>
      <c r="D2282" s="222" t="s">
        <v>1972</v>
      </c>
    </row>
    <row r="2283" spans="1:4" x14ac:dyDescent="0.25">
      <c r="A2283" s="222" t="s">
        <v>5669</v>
      </c>
      <c r="B2283" s="222">
        <v>539408</v>
      </c>
      <c r="C2283" s="222" t="s">
        <v>2052</v>
      </c>
      <c r="D2283" s="222" t="s">
        <v>1321</v>
      </c>
    </row>
    <row r="2284" spans="1:4" x14ac:dyDescent="0.25">
      <c r="A2284" s="222" t="s">
        <v>5668</v>
      </c>
      <c r="B2284" s="222">
        <v>505299</v>
      </c>
      <c r="C2284" s="222" t="s">
        <v>2052</v>
      </c>
      <c r="D2284" s="222" t="s">
        <v>832</v>
      </c>
    </row>
    <row r="2285" spans="1:4" x14ac:dyDescent="0.25">
      <c r="A2285" s="222" t="s">
        <v>5667</v>
      </c>
      <c r="B2285" s="222">
        <v>513703</v>
      </c>
      <c r="C2285" s="222" t="s">
        <v>2052</v>
      </c>
      <c r="D2285" s="222" t="s">
        <v>1237</v>
      </c>
    </row>
    <row r="2286" spans="1:4" x14ac:dyDescent="0.25">
      <c r="A2286" s="222" t="s">
        <v>5666</v>
      </c>
      <c r="B2286" s="222">
        <v>523594</v>
      </c>
      <c r="C2286" s="222" t="s">
        <v>2052</v>
      </c>
      <c r="D2286" s="222" t="s">
        <v>1251</v>
      </c>
    </row>
    <row r="2287" spans="1:4" x14ac:dyDescent="0.25">
      <c r="A2287" s="222" t="s">
        <v>5665</v>
      </c>
      <c r="B2287" s="222">
        <v>511048</v>
      </c>
      <c r="C2287" s="222" t="s">
        <v>2052</v>
      </c>
      <c r="D2287" s="222" t="s">
        <v>1529</v>
      </c>
    </row>
    <row r="2288" spans="1:4" x14ac:dyDescent="0.25">
      <c r="A2288" s="222" t="s">
        <v>5664</v>
      </c>
      <c r="B2288" s="222">
        <v>514240</v>
      </c>
      <c r="C2288" s="222" t="s">
        <v>2052</v>
      </c>
      <c r="D2288" s="222" t="s">
        <v>1237</v>
      </c>
    </row>
    <row r="2289" spans="1:4" x14ac:dyDescent="0.25">
      <c r="A2289" s="222" t="s">
        <v>5663</v>
      </c>
      <c r="B2289" s="222">
        <v>536170</v>
      </c>
      <c r="C2289" s="222" t="s">
        <v>2052</v>
      </c>
      <c r="D2289" s="222" t="s">
        <v>1529</v>
      </c>
    </row>
    <row r="2290" spans="1:4" x14ac:dyDescent="0.25">
      <c r="A2290" s="222" t="s">
        <v>5662</v>
      </c>
      <c r="B2290" s="222">
        <v>530421</v>
      </c>
      <c r="C2290" s="222" t="s">
        <v>2052</v>
      </c>
      <c r="D2290" s="222" t="s">
        <v>998</v>
      </c>
    </row>
    <row r="2291" spans="1:4" x14ac:dyDescent="0.25">
      <c r="A2291" s="222" t="s">
        <v>5661</v>
      </c>
      <c r="B2291" s="222">
        <v>531206</v>
      </c>
      <c r="C2291" s="222" t="s">
        <v>2052</v>
      </c>
      <c r="D2291" s="222" t="s">
        <v>1321</v>
      </c>
    </row>
    <row r="2292" spans="1:4" x14ac:dyDescent="0.25">
      <c r="A2292" s="222" t="s">
        <v>5660</v>
      </c>
      <c r="B2292" s="222">
        <v>531882</v>
      </c>
      <c r="C2292" s="222" t="s">
        <v>5659</v>
      </c>
      <c r="D2292" s="222" t="s">
        <v>1161</v>
      </c>
    </row>
    <row r="2293" spans="1:4" x14ac:dyDescent="0.25">
      <c r="A2293" s="222" t="s">
        <v>5658</v>
      </c>
      <c r="B2293" s="222">
        <v>539997</v>
      </c>
      <c r="C2293" s="222" t="s">
        <v>2052</v>
      </c>
      <c r="D2293" s="222" t="s">
        <v>789</v>
      </c>
    </row>
    <row r="2294" spans="1:4" x14ac:dyDescent="0.25">
      <c r="A2294" s="222" t="s">
        <v>5657</v>
      </c>
      <c r="B2294" s="222">
        <v>537669</v>
      </c>
      <c r="C2294" s="222" t="s">
        <v>2052</v>
      </c>
      <c r="D2294" s="222" t="s">
        <v>2450</v>
      </c>
    </row>
    <row r="2295" spans="1:4" x14ac:dyDescent="0.25">
      <c r="A2295" s="222" t="s">
        <v>5656</v>
      </c>
      <c r="B2295" s="222">
        <v>533519</v>
      </c>
      <c r="C2295" s="222" t="s">
        <v>5655</v>
      </c>
      <c r="D2295" s="222" t="s">
        <v>1289</v>
      </c>
    </row>
    <row r="2296" spans="1:4" x14ac:dyDescent="0.25">
      <c r="A2296" s="222" t="s">
        <v>5654</v>
      </c>
      <c r="B2296" s="222">
        <v>540115</v>
      </c>
      <c r="C2296" s="222" t="s">
        <v>5653</v>
      </c>
      <c r="D2296" s="222" t="s">
        <v>1278</v>
      </c>
    </row>
    <row r="2297" spans="1:4" x14ac:dyDescent="0.25">
      <c r="A2297" s="222" t="s">
        <v>5652</v>
      </c>
      <c r="B2297" s="222">
        <v>526947</v>
      </c>
      <c r="C2297" s="222" t="s">
        <v>5651</v>
      </c>
      <c r="D2297" s="222" t="s">
        <v>822</v>
      </c>
    </row>
    <row r="2298" spans="1:4" x14ac:dyDescent="0.25">
      <c r="A2298" s="222" t="s">
        <v>5650</v>
      </c>
      <c r="B2298" s="222">
        <v>505693</v>
      </c>
      <c r="C2298" s="222" t="s">
        <v>5649</v>
      </c>
      <c r="D2298" s="222" t="s">
        <v>1395</v>
      </c>
    </row>
    <row r="2299" spans="1:4" x14ac:dyDescent="0.25">
      <c r="A2299" s="222" t="s">
        <v>5648</v>
      </c>
      <c r="B2299" s="222">
        <v>524202</v>
      </c>
      <c r="C2299" s="222" t="s">
        <v>2052</v>
      </c>
      <c r="D2299" s="222" t="s">
        <v>1083</v>
      </c>
    </row>
    <row r="2300" spans="1:4" x14ac:dyDescent="0.25">
      <c r="A2300" s="222" t="s">
        <v>5647</v>
      </c>
      <c r="B2300" s="222">
        <v>524202</v>
      </c>
      <c r="C2300" s="222" t="s">
        <v>2052</v>
      </c>
      <c r="D2300" s="222" t="s">
        <v>1083</v>
      </c>
    </row>
    <row r="2301" spans="1:4" x14ac:dyDescent="0.25">
      <c r="A2301" s="222" t="s">
        <v>5646</v>
      </c>
      <c r="B2301" s="222">
        <v>540026</v>
      </c>
      <c r="C2301" s="222" t="s">
        <v>2052</v>
      </c>
      <c r="D2301" s="222" t="s">
        <v>1243</v>
      </c>
    </row>
    <row r="2302" spans="1:4" x14ac:dyDescent="0.25">
      <c r="A2302" s="222" t="s">
        <v>5645</v>
      </c>
      <c r="B2302" s="222">
        <v>530577</v>
      </c>
      <c r="C2302" s="222" t="s">
        <v>2052</v>
      </c>
      <c r="D2302" s="222" t="s">
        <v>1321</v>
      </c>
    </row>
    <row r="2303" spans="1:4" x14ac:dyDescent="0.25">
      <c r="A2303" s="222" t="s">
        <v>5644</v>
      </c>
      <c r="B2303" s="222">
        <v>524522</v>
      </c>
      <c r="C2303" s="222" t="s">
        <v>2052</v>
      </c>
      <c r="D2303" s="222" t="s">
        <v>998</v>
      </c>
    </row>
    <row r="2304" spans="1:4" x14ac:dyDescent="0.25">
      <c r="A2304" s="222" t="s">
        <v>5643</v>
      </c>
      <c r="B2304" s="222" t="s">
        <v>2052</v>
      </c>
      <c r="C2304" s="222" t="s">
        <v>5642</v>
      </c>
      <c r="D2304" s="222" t="s">
        <v>2050</v>
      </c>
    </row>
    <row r="2305" spans="1:4" x14ac:dyDescent="0.25">
      <c r="A2305" s="222" t="s">
        <v>5641</v>
      </c>
      <c r="B2305" s="222">
        <v>531842</v>
      </c>
      <c r="C2305" s="222" t="s">
        <v>2052</v>
      </c>
      <c r="D2305" s="222" t="s">
        <v>1529</v>
      </c>
    </row>
    <row r="2306" spans="1:4" x14ac:dyDescent="0.25">
      <c r="A2306" s="222" t="s">
        <v>5640</v>
      </c>
      <c r="B2306" s="222">
        <v>535387</v>
      </c>
      <c r="C2306" s="222" t="s">
        <v>2052</v>
      </c>
      <c r="D2306" s="222" t="s">
        <v>1237</v>
      </c>
    </row>
    <row r="2307" spans="1:4" x14ac:dyDescent="0.25">
      <c r="A2307" s="222" t="s">
        <v>5639</v>
      </c>
      <c r="B2307" s="222">
        <v>535387</v>
      </c>
      <c r="C2307" s="222" t="s">
        <v>2052</v>
      </c>
      <c r="D2307" s="222" t="s">
        <v>1237</v>
      </c>
    </row>
    <row r="2308" spans="1:4" x14ac:dyDescent="0.25">
      <c r="A2308" s="222" t="s">
        <v>5638</v>
      </c>
      <c r="B2308" s="222">
        <v>505302</v>
      </c>
      <c r="C2308" s="222" t="s">
        <v>2052</v>
      </c>
      <c r="D2308" s="222" t="s">
        <v>832</v>
      </c>
    </row>
    <row r="2309" spans="1:4" x14ac:dyDescent="0.25">
      <c r="A2309" s="222" t="s">
        <v>5637</v>
      </c>
      <c r="B2309" s="222">
        <v>504258</v>
      </c>
      <c r="C2309" s="222" t="s">
        <v>2052</v>
      </c>
      <c r="D2309" s="222" t="s">
        <v>1275</v>
      </c>
    </row>
    <row r="2310" spans="1:4" x14ac:dyDescent="0.25">
      <c r="A2310" s="222" t="s">
        <v>5636</v>
      </c>
      <c r="B2310" s="222" t="s">
        <v>2052</v>
      </c>
      <c r="C2310" s="222" t="s">
        <v>5635</v>
      </c>
      <c r="D2310" s="222" t="s">
        <v>2197</v>
      </c>
    </row>
    <row r="2311" spans="1:4" x14ac:dyDescent="0.25">
      <c r="A2311" s="222" t="s">
        <v>5634</v>
      </c>
      <c r="B2311" s="222">
        <v>500252</v>
      </c>
      <c r="C2311" s="222" t="s">
        <v>5633</v>
      </c>
      <c r="D2311" s="222" t="s">
        <v>832</v>
      </c>
    </row>
    <row r="2312" spans="1:4" x14ac:dyDescent="0.25">
      <c r="A2312" s="222" t="s">
        <v>5632</v>
      </c>
      <c r="B2312" s="222">
        <v>502958</v>
      </c>
      <c r="C2312" s="222" t="s">
        <v>2052</v>
      </c>
      <c r="D2312" s="222" t="s">
        <v>1237</v>
      </c>
    </row>
    <row r="2313" spans="1:4" x14ac:dyDescent="0.25">
      <c r="A2313" s="222" t="s">
        <v>5631</v>
      </c>
      <c r="B2313" s="222">
        <v>506079</v>
      </c>
      <c r="C2313" s="222" t="s">
        <v>5630</v>
      </c>
      <c r="D2313" s="222" t="s">
        <v>740</v>
      </c>
    </row>
    <row r="2314" spans="1:4" x14ac:dyDescent="0.25">
      <c r="A2314" s="222" t="s">
        <v>5629</v>
      </c>
      <c r="B2314" s="222">
        <v>534690</v>
      </c>
      <c r="C2314" s="222" t="s">
        <v>5628</v>
      </c>
      <c r="D2314" s="222" t="s">
        <v>1240</v>
      </c>
    </row>
    <row r="2315" spans="1:4" x14ac:dyDescent="0.25">
      <c r="A2315" s="222" t="s">
        <v>5627</v>
      </c>
      <c r="B2315" s="222">
        <v>590075</v>
      </c>
      <c r="C2315" s="222" t="s">
        <v>5626</v>
      </c>
      <c r="D2315" s="222" t="s">
        <v>1237</v>
      </c>
    </row>
    <row r="2316" spans="1:4" x14ac:dyDescent="0.25">
      <c r="A2316" s="222" t="s">
        <v>5625</v>
      </c>
      <c r="B2316" s="222">
        <v>539841</v>
      </c>
      <c r="C2316" s="222" t="s">
        <v>2052</v>
      </c>
      <c r="D2316" s="222" t="s">
        <v>1329</v>
      </c>
    </row>
    <row r="2317" spans="1:4" x14ac:dyDescent="0.25">
      <c r="A2317" s="222" t="s">
        <v>5624</v>
      </c>
      <c r="B2317" s="222">
        <v>509048</v>
      </c>
      <c r="C2317" s="222" t="s">
        <v>2052</v>
      </c>
      <c r="D2317" s="222" t="s">
        <v>1243</v>
      </c>
    </row>
    <row r="2318" spans="1:4" x14ac:dyDescent="0.25">
      <c r="A2318" s="222" t="s">
        <v>5623</v>
      </c>
      <c r="B2318" s="222">
        <v>532275</v>
      </c>
      <c r="C2318" s="222" t="s">
        <v>2052</v>
      </c>
      <c r="D2318" s="222" t="s">
        <v>1321</v>
      </c>
    </row>
    <row r="2319" spans="1:4" x14ac:dyDescent="0.25">
      <c r="A2319" s="222" t="s">
        <v>5622</v>
      </c>
      <c r="B2319" s="222">
        <v>533012</v>
      </c>
      <c r="C2319" s="222" t="s">
        <v>5621</v>
      </c>
      <c r="D2319" s="222" t="s">
        <v>1243</v>
      </c>
    </row>
    <row r="2320" spans="1:4" x14ac:dyDescent="0.25">
      <c r="A2320" s="222" t="s">
        <v>5620</v>
      </c>
      <c r="B2320" s="222">
        <v>540005</v>
      </c>
      <c r="C2320" s="222" t="s">
        <v>5619</v>
      </c>
      <c r="D2320" s="222" t="s">
        <v>1265</v>
      </c>
    </row>
    <row r="2321" spans="1:4" x14ac:dyDescent="0.25">
      <c r="A2321" s="222" t="s">
        <v>5618</v>
      </c>
      <c r="B2321" s="222">
        <v>500510</v>
      </c>
      <c r="C2321" s="222" t="s">
        <v>5617</v>
      </c>
      <c r="D2321" s="222" t="s">
        <v>1248</v>
      </c>
    </row>
    <row r="2322" spans="1:4" x14ac:dyDescent="0.25">
      <c r="A2322" s="222" t="s">
        <v>5616</v>
      </c>
      <c r="B2322" s="222">
        <v>540702</v>
      </c>
      <c r="C2322" s="222" t="s">
        <v>5615</v>
      </c>
      <c r="D2322" s="222" t="s">
        <v>1425</v>
      </c>
    </row>
    <row r="2323" spans="1:4" x14ac:dyDescent="0.25">
      <c r="A2323" s="222" t="s">
        <v>5614</v>
      </c>
      <c r="B2323" s="222">
        <v>531164</v>
      </c>
      <c r="C2323" s="222" t="s">
        <v>2052</v>
      </c>
      <c r="D2323" s="222" t="s">
        <v>1364</v>
      </c>
    </row>
    <row r="2324" spans="1:4" x14ac:dyDescent="0.25">
      <c r="A2324" s="222" t="s">
        <v>5613</v>
      </c>
      <c r="B2324" s="222">
        <v>539909</v>
      </c>
      <c r="C2324" s="222" t="s">
        <v>2052</v>
      </c>
      <c r="D2324" s="222" t="s">
        <v>1321</v>
      </c>
    </row>
    <row r="2325" spans="1:4" x14ac:dyDescent="0.25">
      <c r="A2325" s="222" t="s">
        <v>5612</v>
      </c>
      <c r="B2325" s="222" t="s">
        <v>2052</v>
      </c>
      <c r="C2325" s="222" t="s">
        <v>5611</v>
      </c>
      <c r="D2325" s="222" t="s">
        <v>2050</v>
      </c>
    </row>
    <row r="2326" spans="1:4" x14ac:dyDescent="0.25">
      <c r="A2326" s="222" t="s">
        <v>5610</v>
      </c>
      <c r="B2326" s="222">
        <v>540222</v>
      </c>
      <c r="C2326" s="222" t="s">
        <v>5609</v>
      </c>
      <c r="D2326" s="222" t="s">
        <v>789</v>
      </c>
    </row>
    <row r="2327" spans="1:4" x14ac:dyDescent="0.25">
      <c r="A2327" s="222" t="s">
        <v>5608</v>
      </c>
      <c r="B2327" s="222">
        <v>532829</v>
      </c>
      <c r="C2327" s="222" t="s">
        <v>2052</v>
      </c>
      <c r="D2327" s="222" t="s">
        <v>754</v>
      </c>
    </row>
    <row r="2328" spans="1:4" x14ac:dyDescent="0.25">
      <c r="A2328" s="222" t="s">
        <v>5607</v>
      </c>
      <c r="B2328" s="222" t="s">
        <v>2052</v>
      </c>
      <c r="C2328" s="222" t="s">
        <v>5606</v>
      </c>
      <c r="D2328" s="222" t="s">
        <v>2050</v>
      </c>
    </row>
    <row r="2329" spans="1:4" x14ac:dyDescent="0.25">
      <c r="A2329" s="222" t="s">
        <v>5605</v>
      </c>
      <c r="B2329" s="222">
        <v>531288</v>
      </c>
      <c r="C2329" s="222" t="s">
        <v>2052</v>
      </c>
      <c r="D2329" s="222" t="s">
        <v>1321</v>
      </c>
    </row>
    <row r="2330" spans="1:4" x14ac:dyDescent="0.25">
      <c r="A2330" s="222" t="s">
        <v>5604</v>
      </c>
      <c r="B2330" s="222">
        <v>540360</v>
      </c>
      <c r="C2330" s="222" t="s">
        <v>2052</v>
      </c>
      <c r="D2330" s="222" t="s">
        <v>1262</v>
      </c>
    </row>
    <row r="2331" spans="1:4" x14ac:dyDescent="0.25">
      <c r="A2331" s="222" t="s">
        <v>5603</v>
      </c>
      <c r="B2331" s="222">
        <v>508306</v>
      </c>
      <c r="C2331" s="222" t="s">
        <v>2052</v>
      </c>
      <c r="D2331" s="222" t="s">
        <v>1400</v>
      </c>
    </row>
    <row r="2332" spans="1:4" x14ac:dyDescent="0.25">
      <c r="A2332" s="222" t="s">
        <v>5602</v>
      </c>
      <c r="B2332" s="222">
        <v>517415</v>
      </c>
      <c r="C2332" s="222" t="s">
        <v>2052</v>
      </c>
      <c r="D2332" s="222" t="s">
        <v>2120</v>
      </c>
    </row>
    <row r="2333" spans="1:4" x14ac:dyDescent="0.25">
      <c r="A2333" s="222" t="s">
        <v>5601</v>
      </c>
      <c r="B2333" s="222">
        <v>517518</v>
      </c>
      <c r="C2333" s="222" t="s">
        <v>5600</v>
      </c>
      <c r="D2333" s="222" t="s">
        <v>832</v>
      </c>
    </row>
    <row r="2334" spans="1:4" x14ac:dyDescent="0.25">
      <c r="A2334" s="222" t="s">
        <v>5599</v>
      </c>
      <c r="B2334" s="222">
        <v>509046</v>
      </c>
      <c r="C2334" s="222" t="s">
        <v>2052</v>
      </c>
      <c r="D2334" s="222" t="s">
        <v>2068</v>
      </c>
    </row>
    <row r="2335" spans="1:4" x14ac:dyDescent="0.25">
      <c r="A2335" s="222" t="s">
        <v>5598</v>
      </c>
      <c r="B2335" s="222">
        <v>780021</v>
      </c>
      <c r="C2335" s="222" t="s">
        <v>2052</v>
      </c>
      <c r="D2335" s="222" t="s">
        <v>2197</v>
      </c>
    </row>
    <row r="2336" spans="1:4" x14ac:dyDescent="0.25">
      <c r="A2336" s="222" t="s">
        <v>5597</v>
      </c>
      <c r="B2336" s="222">
        <v>541233</v>
      </c>
      <c r="C2336" s="222" t="s">
        <v>5596</v>
      </c>
      <c r="D2336" s="222" t="s">
        <v>2128</v>
      </c>
    </row>
    <row r="2337" spans="1:4" x14ac:dyDescent="0.25">
      <c r="A2337" s="222" t="s">
        <v>5595</v>
      </c>
      <c r="B2337" s="222">
        <v>533602</v>
      </c>
      <c r="C2337" s="222" t="s">
        <v>2052</v>
      </c>
      <c r="D2337" s="222" t="s">
        <v>2108</v>
      </c>
    </row>
    <row r="2338" spans="1:4" x14ac:dyDescent="0.25">
      <c r="A2338" s="222" t="s">
        <v>5594</v>
      </c>
      <c r="B2338" s="222">
        <v>541196</v>
      </c>
      <c r="C2338" s="222" t="s">
        <v>2052</v>
      </c>
      <c r="D2338" s="222" t="s">
        <v>911</v>
      </c>
    </row>
    <row r="2339" spans="1:4" x14ac:dyDescent="0.25">
      <c r="A2339" s="222" t="s">
        <v>5593</v>
      </c>
      <c r="B2339" s="222" t="s">
        <v>2052</v>
      </c>
      <c r="C2339" s="222" t="s">
        <v>5591</v>
      </c>
      <c r="D2339" s="222" t="s">
        <v>2050</v>
      </c>
    </row>
    <row r="2340" spans="1:4" x14ac:dyDescent="0.25">
      <c r="A2340" s="222" t="s">
        <v>5592</v>
      </c>
      <c r="B2340" s="222" t="s">
        <v>2052</v>
      </c>
      <c r="C2340" s="222" t="s">
        <v>5591</v>
      </c>
      <c r="D2340" s="222" t="s">
        <v>2050</v>
      </c>
    </row>
    <row r="2341" spans="1:4" x14ac:dyDescent="0.25">
      <c r="A2341" s="222" t="s">
        <v>5590</v>
      </c>
      <c r="B2341" s="222">
        <v>500250</v>
      </c>
      <c r="C2341" s="222" t="s">
        <v>5589</v>
      </c>
      <c r="D2341" s="222" t="s">
        <v>1306</v>
      </c>
    </row>
    <row r="2342" spans="1:4" x14ac:dyDescent="0.25">
      <c r="A2342" s="222" t="s">
        <v>5588</v>
      </c>
      <c r="B2342" s="222">
        <v>533007</v>
      </c>
      <c r="C2342" s="222" t="s">
        <v>5587</v>
      </c>
      <c r="D2342" s="222" t="s">
        <v>1313</v>
      </c>
    </row>
    <row r="2343" spans="1:4" x14ac:dyDescent="0.25">
      <c r="A2343" s="222" t="s">
        <v>5586</v>
      </c>
      <c r="B2343" s="222" t="s">
        <v>2052</v>
      </c>
      <c r="C2343" s="222" t="s">
        <v>5585</v>
      </c>
      <c r="D2343" s="222" t="s">
        <v>2050</v>
      </c>
    </row>
    <row r="2344" spans="1:4" x14ac:dyDescent="0.25">
      <c r="A2344" s="222" t="s">
        <v>5584</v>
      </c>
      <c r="B2344" s="222">
        <v>526596</v>
      </c>
      <c r="C2344" s="222" t="s">
        <v>5583</v>
      </c>
      <c r="D2344" s="222" t="s">
        <v>754</v>
      </c>
    </row>
    <row r="2345" spans="1:4" x14ac:dyDescent="0.25">
      <c r="A2345" s="222" t="s">
        <v>5582</v>
      </c>
      <c r="B2345" s="222">
        <v>511593</v>
      </c>
      <c r="C2345" s="222" t="s">
        <v>2052</v>
      </c>
      <c r="D2345" s="222" t="s">
        <v>1321</v>
      </c>
    </row>
    <row r="2346" spans="1:4" x14ac:dyDescent="0.25">
      <c r="A2346" s="222" t="s">
        <v>5581</v>
      </c>
      <c r="B2346" s="222">
        <v>531027</v>
      </c>
      <c r="C2346" s="222" t="s">
        <v>2052</v>
      </c>
      <c r="D2346" s="222" t="s">
        <v>1262</v>
      </c>
    </row>
    <row r="2347" spans="1:4" x14ac:dyDescent="0.25">
      <c r="A2347" s="222" t="s">
        <v>5580</v>
      </c>
      <c r="B2347" s="222">
        <v>500253</v>
      </c>
      <c r="C2347" s="222" t="s">
        <v>5579</v>
      </c>
      <c r="D2347" s="222" t="s">
        <v>2520</v>
      </c>
    </row>
    <row r="2348" spans="1:4" x14ac:dyDescent="0.25">
      <c r="A2348" s="222" t="s">
        <v>5578</v>
      </c>
      <c r="B2348" s="222">
        <v>539927</v>
      </c>
      <c r="C2348" s="222" t="s">
        <v>2052</v>
      </c>
      <c r="D2348" s="222" t="s">
        <v>911</v>
      </c>
    </row>
    <row r="2349" spans="1:4" x14ac:dyDescent="0.25">
      <c r="A2349" s="222" t="s">
        <v>5577</v>
      </c>
      <c r="B2349" s="222">
        <v>507759</v>
      </c>
      <c r="C2349" s="222" t="s">
        <v>2052</v>
      </c>
      <c r="D2349" s="222" t="s">
        <v>998</v>
      </c>
    </row>
    <row r="2350" spans="1:4" x14ac:dyDescent="0.25">
      <c r="A2350" s="222" t="s">
        <v>5576</v>
      </c>
      <c r="B2350" s="222">
        <v>517463</v>
      </c>
      <c r="C2350" s="222" t="s">
        <v>5575</v>
      </c>
      <c r="D2350" s="222" t="s">
        <v>2062</v>
      </c>
    </row>
    <row r="2351" spans="1:4" x14ac:dyDescent="0.25">
      <c r="A2351" s="222" t="s">
        <v>5574</v>
      </c>
      <c r="B2351" s="222">
        <v>531241</v>
      </c>
      <c r="C2351" s="222" t="s">
        <v>5573</v>
      </c>
      <c r="D2351" s="222" t="s">
        <v>2696</v>
      </c>
    </row>
    <row r="2352" spans="1:4" x14ac:dyDescent="0.25">
      <c r="A2352" s="222" t="s">
        <v>5572</v>
      </c>
      <c r="B2352" s="222">
        <v>531633</v>
      </c>
      <c r="C2352" s="222" t="s">
        <v>5571</v>
      </c>
      <c r="D2352" s="222" t="s">
        <v>789</v>
      </c>
    </row>
    <row r="2353" spans="1:4" x14ac:dyDescent="0.25">
      <c r="A2353" s="222" t="s">
        <v>5570</v>
      </c>
      <c r="B2353" s="222">
        <v>523457</v>
      </c>
      <c r="C2353" s="222" t="s">
        <v>5569</v>
      </c>
      <c r="D2353" s="222" t="s">
        <v>4093</v>
      </c>
    </row>
    <row r="2354" spans="1:4" x14ac:dyDescent="0.25">
      <c r="A2354" s="222" t="s">
        <v>5568</v>
      </c>
      <c r="B2354" s="222">
        <v>523457</v>
      </c>
      <c r="C2354" s="222" t="s">
        <v>5567</v>
      </c>
      <c r="D2354" s="222" t="s">
        <v>4093</v>
      </c>
    </row>
    <row r="2355" spans="1:4" x14ac:dyDescent="0.25">
      <c r="A2355" s="222" t="s">
        <v>5566</v>
      </c>
      <c r="B2355" s="222">
        <v>524748</v>
      </c>
      <c r="C2355" s="222" t="s">
        <v>2052</v>
      </c>
      <c r="D2355" s="222" t="s">
        <v>998</v>
      </c>
    </row>
    <row r="2356" spans="1:4" x14ac:dyDescent="0.25">
      <c r="A2356" s="222" t="s">
        <v>5565</v>
      </c>
      <c r="B2356" s="222">
        <v>526604</v>
      </c>
      <c r="C2356" s="222" t="s">
        <v>2052</v>
      </c>
      <c r="D2356" s="222" t="s">
        <v>832</v>
      </c>
    </row>
    <row r="2357" spans="1:4" x14ac:dyDescent="0.25">
      <c r="A2357" s="222" t="s">
        <v>5564</v>
      </c>
      <c r="B2357" s="222">
        <v>507912</v>
      </c>
      <c r="C2357" s="222" t="s">
        <v>2052</v>
      </c>
      <c r="D2357" s="222" t="s">
        <v>1262</v>
      </c>
    </row>
    <row r="2358" spans="1:4" x14ac:dyDescent="0.25">
      <c r="A2358" s="222" t="s">
        <v>5563</v>
      </c>
      <c r="B2358" s="222">
        <v>540192</v>
      </c>
      <c r="C2358" s="222" t="s">
        <v>2052</v>
      </c>
      <c r="D2358" s="222" t="s">
        <v>1262</v>
      </c>
    </row>
    <row r="2359" spans="1:4" x14ac:dyDescent="0.25">
      <c r="A2359" s="222" t="s">
        <v>5562</v>
      </c>
      <c r="B2359" s="222">
        <v>512455</v>
      </c>
      <c r="C2359" s="222" t="s">
        <v>2052</v>
      </c>
      <c r="D2359" s="222" t="s">
        <v>2167</v>
      </c>
    </row>
    <row r="2360" spans="1:4" x14ac:dyDescent="0.25">
      <c r="A2360" s="222" t="s">
        <v>5561</v>
      </c>
      <c r="B2360" s="222">
        <v>539992</v>
      </c>
      <c r="C2360" s="222" t="s">
        <v>5560</v>
      </c>
      <c r="D2360" s="222" t="s">
        <v>832</v>
      </c>
    </row>
    <row r="2361" spans="1:4" x14ac:dyDescent="0.25">
      <c r="A2361" s="222" t="s">
        <v>5559</v>
      </c>
      <c r="B2361" s="222">
        <v>590082</v>
      </c>
      <c r="C2361" s="222" t="s">
        <v>2052</v>
      </c>
      <c r="D2361" s="222" t="s">
        <v>1262</v>
      </c>
    </row>
    <row r="2362" spans="1:4" x14ac:dyDescent="0.25">
      <c r="A2362" s="222" t="s">
        <v>5558</v>
      </c>
      <c r="B2362" s="222">
        <v>532740</v>
      </c>
      <c r="C2362" s="222" t="s">
        <v>5557</v>
      </c>
      <c r="D2362" s="222" t="s">
        <v>832</v>
      </c>
    </row>
    <row r="2363" spans="1:4" x14ac:dyDescent="0.25">
      <c r="A2363" s="222" t="s">
        <v>5556</v>
      </c>
      <c r="B2363" s="222">
        <v>526568</v>
      </c>
      <c r="C2363" s="222" t="s">
        <v>2052</v>
      </c>
      <c r="D2363" s="222" t="s">
        <v>1400</v>
      </c>
    </row>
    <row r="2364" spans="1:4" x14ac:dyDescent="0.25">
      <c r="A2364" s="222" t="s">
        <v>5555</v>
      </c>
      <c r="B2364" s="222">
        <v>534422</v>
      </c>
      <c r="C2364" s="222" t="s">
        <v>2052</v>
      </c>
      <c r="D2364" s="222" t="s">
        <v>1297</v>
      </c>
    </row>
    <row r="2365" spans="1:4" x14ac:dyDescent="0.25">
      <c r="A2365" s="222" t="s">
        <v>5554</v>
      </c>
      <c r="B2365" s="222">
        <v>500284</v>
      </c>
      <c r="C2365" s="222" t="s">
        <v>2052</v>
      </c>
      <c r="D2365" s="222" t="s">
        <v>998</v>
      </c>
    </row>
    <row r="2366" spans="1:4" x14ac:dyDescent="0.25">
      <c r="A2366" s="222" t="s">
        <v>5553</v>
      </c>
      <c r="B2366" s="222">
        <v>530065</v>
      </c>
      <c r="C2366" s="222" t="s">
        <v>2052</v>
      </c>
      <c r="D2366" s="222" t="s">
        <v>2128</v>
      </c>
    </row>
    <row r="2367" spans="1:4" x14ac:dyDescent="0.25">
      <c r="A2367" s="222" t="s">
        <v>5552</v>
      </c>
      <c r="B2367" s="222">
        <v>540952</v>
      </c>
      <c r="C2367" s="222" t="s">
        <v>2052</v>
      </c>
      <c r="D2367" s="222" t="s">
        <v>1364</v>
      </c>
    </row>
    <row r="2368" spans="1:4" x14ac:dyDescent="0.25">
      <c r="A2368" s="222" t="s">
        <v>5551</v>
      </c>
      <c r="B2368" s="222">
        <v>523475</v>
      </c>
      <c r="C2368" s="222" t="s">
        <v>2052</v>
      </c>
      <c r="D2368" s="222" t="s">
        <v>1161</v>
      </c>
    </row>
    <row r="2369" spans="1:4" x14ac:dyDescent="0.25">
      <c r="A2369" s="222" t="s">
        <v>5550</v>
      </c>
      <c r="B2369" s="222">
        <v>532998</v>
      </c>
      <c r="C2369" s="222" t="s">
        <v>5549</v>
      </c>
      <c r="D2369" s="222" t="s">
        <v>1297</v>
      </c>
    </row>
    <row r="2370" spans="1:4" x14ac:dyDescent="0.25">
      <c r="A2370" s="222" t="s">
        <v>5548</v>
      </c>
      <c r="B2370" s="222">
        <v>533343</v>
      </c>
      <c r="C2370" s="222" t="s">
        <v>5547</v>
      </c>
      <c r="D2370" s="222" t="s">
        <v>1364</v>
      </c>
    </row>
    <row r="2371" spans="1:4" x14ac:dyDescent="0.25">
      <c r="A2371" s="222" t="s">
        <v>5546</v>
      </c>
      <c r="B2371" s="222">
        <v>539227</v>
      </c>
      <c r="C2371" s="222" t="s">
        <v>2052</v>
      </c>
      <c r="D2371" s="222" t="s">
        <v>832</v>
      </c>
    </row>
    <row r="2372" spans="1:4" x14ac:dyDescent="0.25">
      <c r="A2372" s="222" t="s">
        <v>5545</v>
      </c>
      <c r="B2372" s="222">
        <v>514036</v>
      </c>
      <c r="C2372" s="222" t="s">
        <v>2052</v>
      </c>
      <c r="D2372" s="222" t="s">
        <v>1237</v>
      </c>
    </row>
    <row r="2373" spans="1:4" x14ac:dyDescent="0.25">
      <c r="A2373" s="222" t="s">
        <v>5544</v>
      </c>
      <c r="B2373" s="222">
        <v>532783</v>
      </c>
      <c r="C2373" s="222" t="s">
        <v>5543</v>
      </c>
      <c r="D2373" s="222" t="s">
        <v>1161</v>
      </c>
    </row>
    <row r="2374" spans="1:4" x14ac:dyDescent="0.25">
      <c r="A2374" s="222" t="s">
        <v>5542</v>
      </c>
      <c r="B2374" s="222">
        <v>526179</v>
      </c>
      <c r="C2374" s="222" t="s">
        <v>2052</v>
      </c>
      <c r="D2374" s="222" t="s">
        <v>5541</v>
      </c>
    </row>
    <row r="2375" spans="1:4" x14ac:dyDescent="0.25">
      <c r="A2375" s="222" t="s">
        <v>5540</v>
      </c>
      <c r="B2375" s="222">
        <v>512048</v>
      </c>
      <c r="C2375" s="222" t="s">
        <v>2052</v>
      </c>
      <c r="D2375" s="222" t="s">
        <v>1243</v>
      </c>
    </row>
    <row r="2376" spans="1:4" x14ac:dyDescent="0.25">
      <c r="A2376" s="222" t="s">
        <v>5539</v>
      </c>
      <c r="B2376" s="222">
        <v>532796</v>
      </c>
      <c r="C2376" s="222" t="s">
        <v>5538</v>
      </c>
      <c r="D2376" s="222" t="s">
        <v>1306</v>
      </c>
    </row>
    <row r="2377" spans="1:4" x14ac:dyDescent="0.25">
      <c r="A2377" s="222" t="s">
        <v>5537</v>
      </c>
      <c r="B2377" s="222">
        <v>517206</v>
      </c>
      <c r="C2377" s="222" t="s">
        <v>5536</v>
      </c>
      <c r="D2377" s="222" t="s">
        <v>1306</v>
      </c>
    </row>
    <row r="2378" spans="1:4" x14ac:dyDescent="0.25">
      <c r="A2378" s="222" t="s">
        <v>5535</v>
      </c>
      <c r="B2378" s="222">
        <v>500257</v>
      </c>
      <c r="C2378" s="222" t="s">
        <v>5534</v>
      </c>
      <c r="D2378" s="222" t="s">
        <v>789</v>
      </c>
    </row>
    <row r="2379" spans="1:4" x14ac:dyDescent="0.25">
      <c r="A2379" s="222" t="s">
        <v>5533</v>
      </c>
      <c r="B2379" s="222">
        <v>539542</v>
      </c>
      <c r="C2379" s="222" t="s">
        <v>5532</v>
      </c>
      <c r="D2379" s="222" t="s">
        <v>1364</v>
      </c>
    </row>
    <row r="2380" spans="1:4" x14ac:dyDescent="0.25">
      <c r="A2380" s="222" t="s">
        <v>5531</v>
      </c>
      <c r="B2380" s="222">
        <v>531402</v>
      </c>
      <c r="C2380" s="222" t="s">
        <v>2052</v>
      </c>
      <c r="D2380" s="222" t="s">
        <v>1529</v>
      </c>
    </row>
    <row r="2381" spans="1:4" x14ac:dyDescent="0.25">
      <c r="A2381" s="222" t="s">
        <v>5530</v>
      </c>
      <c r="B2381" s="222">
        <v>500259</v>
      </c>
      <c r="C2381" s="222" t="s">
        <v>5529</v>
      </c>
      <c r="D2381" s="222" t="s">
        <v>789</v>
      </c>
    </row>
    <row r="2382" spans="1:4" x14ac:dyDescent="0.25">
      <c r="A2382" s="222" t="s">
        <v>5528</v>
      </c>
      <c r="B2382" s="222">
        <v>530689</v>
      </c>
      <c r="C2382" s="222" t="s">
        <v>2052</v>
      </c>
      <c r="D2382" s="222" t="s">
        <v>1542</v>
      </c>
    </row>
    <row r="2383" spans="1:4" x14ac:dyDescent="0.25">
      <c r="A2383" s="222" t="s">
        <v>5527</v>
      </c>
      <c r="B2383" s="222">
        <v>505320</v>
      </c>
      <c r="C2383" s="222" t="s">
        <v>2052</v>
      </c>
      <c r="D2383" s="222" t="s">
        <v>832</v>
      </c>
    </row>
    <row r="2384" spans="1:4" x14ac:dyDescent="0.25">
      <c r="A2384" s="222" t="s">
        <v>5526</v>
      </c>
      <c r="B2384" s="222">
        <v>534532</v>
      </c>
      <c r="C2384" s="222" t="s">
        <v>5525</v>
      </c>
      <c r="D2384" s="222" t="s">
        <v>1364</v>
      </c>
    </row>
    <row r="2385" spans="1:4" x14ac:dyDescent="0.25">
      <c r="A2385" s="222" t="s">
        <v>5524</v>
      </c>
      <c r="B2385" s="222">
        <v>526935</v>
      </c>
      <c r="C2385" s="222" t="s">
        <v>2052</v>
      </c>
      <c r="D2385" s="222" t="s">
        <v>1262</v>
      </c>
    </row>
    <row r="2386" spans="1:4" x14ac:dyDescent="0.25">
      <c r="A2386" s="222" t="s">
        <v>5523</v>
      </c>
      <c r="B2386" s="222">
        <v>538890</v>
      </c>
      <c r="C2386" s="222" t="s">
        <v>2052</v>
      </c>
      <c r="D2386" s="222" t="s">
        <v>1237</v>
      </c>
    </row>
    <row r="2387" spans="1:4" x14ac:dyDescent="0.25">
      <c r="A2387" s="222" t="s">
        <v>5522</v>
      </c>
      <c r="B2387" s="222">
        <v>538890</v>
      </c>
      <c r="C2387" s="222" t="s">
        <v>2052</v>
      </c>
      <c r="D2387" s="222" t="s">
        <v>1237</v>
      </c>
    </row>
    <row r="2388" spans="1:4" x14ac:dyDescent="0.25">
      <c r="A2388" s="222" t="s">
        <v>5521</v>
      </c>
      <c r="B2388" s="222" t="s">
        <v>2052</v>
      </c>
      <c r="C2388" s="222" t="s">
        <v>5520</v>
      </c>
      <c r="D2388" s="222" t="s">
        <v>2050</v>
      </c>
    </row>
    <row r="2389" spans="1:4" x14ac:dyDescent="0.25">
      <c r="A2389" s="222" t="s">
        <v>5519</v>
      </c>
      <c r="B2389" s="222">
        <v>506543</v>
      </c>
      <c r="C2389" s="222" t="s">
        <v>2052</v>
      </c>
      <c r="D2389" s="222" t="s">
        <v>734</v>
      </c>
    </row>
    <row r="2390" spans="1:4" x14ac:dyDescent="0.25">
      <c r="A2390" s="222" t="s">
        <v>5518</v>
      </c>
      <c r="B2390" s="222">
        <v>532906</v>
      </c>
      <c r="C2390" s="222" t="s">
        <v>5517</v>
      </c>
      <c r="D2390" s="222" t="s">
        <v>1248</v>
      </c>
    </row>
    <row r="2391" spans="1:4" x14ac:dyDescent="0.25">
      <c r="A2391" s="222" t="s">
        <v>5516</v>
      </c>
      <c r="B2391" s="222">
        <v>507836</v>
      </c>
      <c r="C2391" s="222" t="s">
        <v>2052</v>
      </c>
      <c r="D2391" s="222" t="s">
        <v>2128</v>
      </c>
    </row>
    <row r="2392" spans="1:4" x14ac:dyDescent="0.25">
      <c r="A2392" s="222" t="s">
        <v>5515</v>
      </c>
      <c r="B2392" s="222">
        <v>507836</v>
      </c>
      <c r="C2392" s="222" t="s">
        <v>2052</v>
      </c>
      <c r="D2392" s="222" t="s">
        <v>2128</v>
      </c>
    </row>
    <row r="2393" spans="1:4" x14ac:dyDescent="0.25">
      <c r="A2393" s="222" t="s">
        <v>5514</v>
      </c>
      <c r="B2393" s="222">
        <v>541973</v>
      </c>
      <c r="C2393" s="222" t="s">
        <v>2052</v>
      </c>
      <c r="D2393" s="222" t="s">
        <v>2128</v>
      </c>
    </row>
    <row r="2394" spans="1:4" x14ac:dyDescent="0.25">
      <c r="A2394" s="222" t="s">
        <v>5513</v>
      </c>
      <c r="B2394" s="222">
        <v>523248</v>
      </c>
      <c r="C2394" s="222" t="s">
        <v>2052</v>
      </c>
      <c r="D2394" s="222" t="s">
        <v>1251</v>
      </c>
    </row>
    <row r="2395" spans="1:4" x14ac:dyDescent="0.25">
      <c r="A2395" s="222" t="s">
        <v>5512</v>
      </c>
      <c r="B2395" s="222">
        <v>501471</v>
      </c>
      <c r="C2395" s="222" t="s">
        <v>2052</v>
      </c>
      <c r="D2395" s="222" t="s">
        <v>1529</v>
      </c>
    </row>
    <row r="2396" spans="1:4" x14ac:dyDescent="0.25">
      <c r="A2396" s="222" t="s">
        <v>5511</v>
      </c>
      <c r="B2396" s="222" t="s">
        <v>2052</v>
      </c>
      <c r="C2396" s="222" t="s">
        <v>5510</v>
      </c>
      <c r="D2396" s="222" t="s">
        <v>2050</v>
      </c>
    </row>
    <row r="2397" spans="1:4" x14ac:dyDescent="0.25">
      <c r="A2397" s="222" t="s">
        <v>5509</v>
      </c>
      <c r="B2397" s="222">
        <v>512600</v>
      </c>
      <c r="C2397" s="222" t="s">
        <v>2052</v>
      </c>
      <c r="D2397" s="222" t="s">
        <v>1529</v>
      </c>
    </row>
    <row r="2398" spans="1:4" x14ac:dyDescent="0.25">
      <c r="A2398" s="222" t="s">
        <v>5508</v>
      </c>
      <c r="B2398" s="222" t="s">
        <v>2052</v>
      </c>
      <c r="C2398" s="222" t="s">
        <v>5507</v>
      </c>
      <c r="D2398" s="222" t="s">
        <v>2050</v>
      </c>
    </row>
    <row r="2399" spans="1:4" x14ac:dyDescent="0.25">
      <c r="A2399" s="222" t="s">
        <v>5506</v>
      </c>
      <c r="B2399" s="222">
        <v>539894</v>
      </c>
      <c r="C2399" s="222" t="s">
        <v>2052</v>
      </c>
      <c r="D2399" s="222" t="s">
        <v>1248</v>
      </c>
    </row>
    <row r="2400" spans="1:4" x14ac:dyDescent="0.25">
      <c r="A2400" s="222" t="s">
        <v>5505</v>
      </c>
      <c r="B2400" s="222">
        <v>515093</v>
      </c>
      <c r="C2400" s="222" t="s">
        <v>5504</v>
      </c>
      <c r="D2400" s="222" t="s">
        <v>2357</v>
      </c>
    </row>
    <row r="2401" spans="1:4" x14ac:dyDescent="0.25">
      <c r="A2401" s="222" t="s">
        <v>5503</v>
      </c>
      <c r="B2401" s="222">
        <v>780009</v>
      </c>
      <c r="C2401" s="222" t="s">
        <v>2052</v>
      </c>
      <c r="D2401" s="222" t="s">
        <v>2197</v>
      </c>
    </row>
    <row r="2402" spans="1:4" x14ac:dyDescent="0.25">
      <c r="A2402" s="222" t="s">
        <v>5502</v>
      </c>
      <c r="B2402" s="222">
        <v>531497</v>
      </c>
      <c r="C2402" s="222" t="s">
        <v>5501</v>
      </c>
      <c r="D2402" s="222" t="s">
        <v>1248</v>
      </c>
    </row>
    <row r="2403" spans="1:4" x14ac:dyDescent="0.25">
      <c r="A2403" s="222" t="s">
        <v>5500</v>
      </c>
      <c r="B2403" s="222">
        <v>519279</v>
      </c>
      <c r="C2403" s="222" t="s">
        <v>2052</v>
      </c>
      <c r="D2403" s="222" t="s">
        <v>731</v>
      </c>
    </row>
    <row r="2404" spans="1:4" x14ac:dyDescent="0.25">
      <c r="A2404" s="222" t="s">
        <v>5499</v>
      </c>
      <c r="B2404" s="222">
        <v>515059</v>
      </c>
      <c r="C2404" s="222" t="s">
        <v>2052</v>
      </c>
      <c r="D2404" s="222" t="s">
        <v>1963</v>
      </c>
    </row>
    <row r="2405" spans="1:4" x14ac:dyDescent="0.25">
      <c r="A2405" s="222" t="s">
        <v>5498</v>
      </c>
      <c r="B2405" s="222">
        <v>511000</v>
      </c>
      <c r="C2405" s="222" t="s">
        <v>2052</v>
      </c>
      <c r="D2405" s="222" t="s">
        <v>1321</v>
      </c>
    </row>
    <row r="2406" spans="1:4" x14ac:dyDescent="0.25">
      <c r="A2406" s="222" t="s">
        <v>5497</v>
      </c>
      <c r="B2406" s="222">
        <v>531910</v>
      </c>
      <c r="C2406" s="222" t="s">
        <v>2052</v>
      </c>
      <c r="D2406" s="222" t="s">
        <v>789</v>
      </c>
    </row>
    <row r="2407" spans="1:4" x14ac:dyDescent="0.25">
      <c r="A2407" s="222" t="s">
        <v>5496</v>
      </c>
      <c r="B2407" s="222" t="s">
        <v>2052</v>
      </c>
      <c r="C2407" s="222" t="s">
        <v>5495</v>
      </c>
      <c r="D2407" s="222" t="s">
        <v>2050</v>
      </c>
    </row>
    <row r="2408" spans="1:4" x14ac:dyDescent="0.25">
      <c r="A2408" s="222" t="s">
        <v>5494</v>
      </c>
      <c r="B2408" s="222" t="s">
        <v>2052</v>
      </c>
      <c r="C2408" s="222" t="s">
        <v>5493</v>
      </c>
      <c r="D2408" s="222" t="s">
        <v>2050</v>
      </c>
    </row>
    <row r="2409" spans="1:4" x14ac:dyDescent="0.25">
      <c r="A2409" s="222" t="s">
        <v>5492</v>
      </c>
      <c r="B2409" s="222">
        <v>590134</v>
      </c>
      <c r="C2409" s="222" t="s">
        <v>5491</v>
      </c>
      <c r="D2409" s="222" t="s">
        <v>734</v>
      </c>
    </row>
    <row r="2410" spans="1:4" x14ac:dyDescent="0.25">
      <c r="A2410" s="222" t="s">
        <v>5490</v>
      </c>
      <c r="B2410" s="222">
        <v>538401</v>
      </c>
      <c r="C2410" s="222" t="s">
        <v>2052</v>
      </c>
      <c r="D2410" s="222" t="s">
        <v>2062</v>
      </c>
    </row>
    <row r="2411" spans="1:4" x14ac:dyDescent="0.25">
      <c r="A2411" s="222" t="s">
        <v>5489</v>
      </c>
      <c r="B2411" s="222">
        <v>500264</v>
      </c>
      <c r="C2411" s="222" t="s">
        <v>2052</v>
      </c>
      <c r="D2411" s="222" t="s">
        <v>1237</v>
      </c>
    </row>
    <row r="2412" spans="1:4" x14ac:dyDescent="0.25">
      <c r="A2412" s="222" t="s">
        <v>5488</v>
      </c>
      <c r="B2412" s="222">
        <v>540650</v>
      </c>
      <c r="C2412" s="222" t="s">
        <v>5487</v>
      </c>
      <c r="D2412" s="222" t="s">
        <v>1124</v>
      </c>
    </row>
    <row r="2413" spans="1:4" x14ac:dyDescent="0.25">
      <c r="A2413" s="222" t="s">
        <v>5486</v>
      </c>
      <c r="B2413" s="222">
        <v>524000</v>
      </c>
      <c r="C2413" s="222" t="s">
        <v>5485</v>
      </c>
      <c r="D2413" s="222" t="s">
        <v>1321</v>
      </c>
    </row>
    <row r="2414" spans="1:4" x14ac:dyDescent="0.25">
      <c r="A2414" s="222" t="s">
        <v>5484</v>
      </c>
      <c r="B2414" s="222">
        <v>517449</v>
      </c>
      <c r="C2414" s="222" t="s">
        <v>2052</v>
      </c>
      <c r="D2414" s="222" t="s">
        <v>1313</v>
      </c>
    </row>
    <row r="2415" spans="1:4" x14ac:dyDescent="0.25">
      <c r="A2415" s="222" t="s">
        <v>5483</v>
      </c>
      <c r="B2415" s="222">
        <v>512377</v>
      </c>
      <c r="C2415" s="222" t="s">
        <v>2052</v>
      </c>
      <c r="D2415" s="222" t="s">
        <v>2068</v>
      </c>
    </row>
    <row r="2416" spans="1:4" x14ac:dyDescent="0.25">
      <c r="A2416" s="222" t="s">
        <v>5482</v>
      </c>
      <c r="B2416" s="222">
        <v>532896</v>
      </c>
      <c r="C2416" s="222" t="s">
        <v>5481</v>
      </c>
      <c r="D2416" s="222" t="s">
        <v>1972</v>
      </c>
    </row>
    <row r="2417" spans="1:4" x14ac:dyDescent="0.25">
      <c r="A2417" s="222" t="s">
        <v>5480</v>
      </c>
      <c r="B2417" s="222">
        <v>523384</v>
      </c>
      <c r="C2417" s="222" t="s">
        <v>5479</v>
      </c>
      <c r="D2417" s="222" t="s">
        <v>1321</v>
      </c>
    </row>
    <row r="2418" spans="1:4" x14ac:dyDescent="0.25">
      <c r="A2418" s="222" t="s">
        <v>5478</v>
      </c>
      <c r="B2418" s="222">
        <v>519612</v>
      </c>
      <c r="C2418" s="222" t="s">
        <v>2052</v>
      </c>
      <c r="D2418" s="222" t="s">
        <v>1161</v>
      </c>
    </row>
    <row r="2419" spans="1:4" x14ac:dyDescent="0.25">
      <c r="A2419" s="222" t="s">
        <v>5477</v>
      </c>
      <c r="B2419" s="222">
        <v>514450</v>
      </c>
      <c r="C2419" s="222" t="s">
        <v>2052</v>
      </c>
      <c r="D2419" s="222" t="s">
        <v>1313</v>
      </c>
    </row>
    <row r="2420" spans="1:4" x14ac:dyDescent="0.25">
      <c r="A2420" s="222" t="s">
        <v>5476</v>
      </c>
      <c r="B2420" s="222">
        <v>513460</v>
      </c>
      <c r="C2420" s="222" t="s">
        <v>2052</v>
      </c>
      <c r="D2420" s="222" t="s">
        <v>740</v>
      </c>
    </row>
    <row r="2421" spans="1:4" x14ac:dyDescent="0.25">
      <c r="A2421" s="222" t="s">
        <v>5475</v>
      </c>
      <c r="B2421" s="222">
        <v>513554</v>
      </c>
      <c r="C2421" s="222" t="s">
        <v>5474</v>
      </c>
      <c r="D2421" s="222" t="s">
        <v>740</v>
      </c>
    </row>
    <row r="2422" spans="1:4" x14ac:dyDescent="0.25">
      <c r="A2422" s="222" t="s">
        <v>5473</v>
      </c>
      <c r="B2422" s="222">
        <v>531515</v>
      </c>
      <c r="C2422" s="222" t="s">
        <v>2052</v>
      </c>
      <c r="D2422" s="222" t="s">
        <v>1529</v>
      </c>
    </row>
    <row r="2423" spans="1:4" x14ac:dyDescent="0.25">
      <c r="A2423" s="222" t="s">
        <v>5472</v>
      </c>
      <c r="B2423" s="222">
        <v>539957</v>
      </c>
      <c r="C2423" s="222" t="s">
        <v>5471</v>
      </c>
      <c r="D2423" s="222" t="s">
        <v>2445</v>
      </c>
    </row>
    <row r="2424" spans="1:4" x14ac:dyDescent="0.25">
      <c r="A2424" s="222" t="s">
        <v>5470</v>
      </c>
      <c r="B2424" s="222">
        <v>500108</v>
      </c>
      <c r="C2424" s="222" t="s">
        <v>5469</v>
      </c>
      <c r="D2424" s="222" t="s">
        <v>2241</v>
      </c>
    </row>
    <row r="2425" spans="1:4" x14ac:dyDescent="0.25">
      <c r="A2425" s="222" t="s">
        <v>5468</v>
      </c>
      <c r="B2425" s="222">
        <v>530441</v>
      </c>
      <c r="C2425" s="222" t="s">
        <v>2052</v>
      </c>
      <c r="D2425" s="222" t="s">
        <v>2068</v>
      </c>
    </row>
    <row r="2426" spans="1:4" x14ac:dyDescent="0.25">
      <c r="A2426" s="222" t="s">
        <v>5467</v>
      </c>
      <c r="B2426" s="222">
        <v>530441</v>
      </c>
      <c r="C2426" s="222" t="s">
        <v>2052</v>
      </c>
      <c r="D2426" s="222" t="s">
        <v>2068</v>
      </c>
    </row>
    <row r="2427" spans="1:4" x14ac:dyDescent="0.25">
      <c r="A2427" s="222" t="s">
        <v>5466</v>
      </c>
      <c r="B2427" s="222">
        <v>505523</v>
      </c>
      <c r="C2427" s="222" t="s">
        <v>2052</v>
      </c>
      <c r="D2427" s="222" t="s">
        <v>1529</v>
      </c>
    </row>
    <row r="2428" spans="1:4" x14ac:dyDescent="0.25">
      <c r="A2428" s="222" t="s">
        <v>5465</v>
      </c>
      <c r="B2428" s="222">
        <v>500266</v>
      </c>
      <c r="C2428" s="222" t="s">
        <v>5464</v>
      </c>
      <c r="D2428" s="222" t="s">
        <v>2108</v>
      </c>
    </row>
    <row r="2429" spans="1:4" x14ac:dyDescent="0.25">
      <c r="A2429" s="222" t="s">
        <v>5463</v>
      </c>
      <c r="B2429" s="222">
        <v>500265</v>
      </c>
      <c r="C2429" s="222" t="s">
        <v>5462</v>
      </c>
      <c r="D2429" s="222" t="s">
        <v>1248</v>
      </c>
    </row>
    <row r="2430" spans="1:4" x14ac:dyDescent="0.25">
      <c r="A2430" s="222" t="s">
        <v>5461</v>
      </c>
      <c r="B2430" s="222">
        <v>526795</v>
      </c>
      <c r="C2430" s="222" t="s">
        <v>2052</v>
      </c>
      <c r="D2430" s="222" t="s">
        <v>2656</v>
      </c>
    </row>
    <row r="2431" spans="1:4" x14ac:dyDescent="0.25">
      <c r="A2431" s="222" t="s">
        <v>5460</v>
      </c>
      <c r="B2431" s="222">
        <v>512337</v>
      </c>
      <c r="C2431" s="222" t="s">
        <v>2052</v>
      </c>
      <c r="D2431" s="222" t="s">
        <v>1529</v>
      </c>
    </row>
    <row r="2432" spans="1:4" x14ac:dyDescent="0.25">
      <c r="A2432" s="222" t="s">
        <v>5459</v>
      </c>
      <c r="B2432" s="222">
        <v>539383</v>
      </c>
      <c r="C2432" s="222" t="s">
        <v>2052</v>
      </c>
      <c r="D2432" s="222" t="s">
        <v>1265</v>
      </c>
    </row>
    <row r="2433" spans="1:4" x14ac:dyDescent="0.25">
      <c r="A2433" s="222" t="s">
        <v>5458</v>
      </c>
      <c r="B2433" s="222">
        <v>531648</v>
      </c>
      <c r="C2433" s="222" t="s">
        <v>2052</v>
      </c>
      <c r="D2433" s="222" t="s">
        <v>3661</v>
      </c>
    </row>
    <row r="2434" spans="1:4" x14ac:dyDescent="0.25">
      <c r="A2434" s="222" t="s">
        <v>5457</v>
      </c>
      <c r="B2434" s="222">
        <v>542677</v>
      </c>
      <c r="C2434" s="222" t="s">
        <v>5456</v>
      </c>
      <c r="D2434" s="222" t="s">
        <v>1243</v>
      </c>
    </row>
    <row r="2435" spans="1:4" x14ac:dyDescent="0.25">
      <c r="A2435" s="222" t="s">
        <v>5455</v>
      </c>
      <c r="B2435" s="222" t="s">
        <v>2052</v>
      </c>
      <c r="C2435" s="222" t="s">
        <v>5454</v>
      </c>
      <c r="D2435" s="222" t="s">
        <v>2050</v>
      </c>
    </row>
    <row r="2436" spans="1:4" x14ac:dyDescent="0.25">
      <c r="A2436" s="222" t="s">
        <v>5453</v>
      </c>
      <c r="B2436" s="222" t="s">
        <v>2052</v>
      </c>
      <c r="C2436" s="222" t="s">
        <v>5452</v>
      </c>
      <c r="D2436" s="222" t="s">
        <v>2050</v>
      </c>
    </row>
    <row r="2437" spans="1:4" x14ac:dyDescent="0.25">
      <c r="A2437" s="222" t="s">
        <v>5451</v>
      </c>
      <c r="B2437" s="222">
        <v>532720</v>
      </c>
      <c r="C2437" s="222" t="s">
        <v>5450</v>
      </c>
      <c r="D2437" s="222" t="s">
        <v>1321</v>
      </c>
    </row>
    <row r="2438" spans="1:4" x14ac:dyDescent="0.25">
      <c r="A2438" s="222" t="s">
        <v>5449</v>
      </c>
      <c r="B2438" s="222">
        <v>500520</v>
      </c>
      <c r="C2438" s="222" t="s">
        <v>5448</v>
      </c>
      <c r="D2438" s="222" t="s">
        <v>5344</v>
      </c>
    </row>
    <row r="2439" spans="1:4" x14ac:dyDescent="0.25">
      <c r="A2439" s="222" t="s">
        <v>5447</v>
      </c>
      <c r="B2439" s="222">
        <v>532756</v>
      </c>
      <c r="C2439" s="222" t="s">
        <v>5446</v>
      </c>
      <c r="D2439" s="222" t="s">
        <v>1313</v>
      </c>
    </row>
    <row r="2440" spans="1:4" x14ac:dyDescent="0.25">
      <c r="A2440" s="222" t="s">
        <v>5445</v>
      </c>
      <c r="B2440" s="222">
        <v>533088</v>
      </c>
      <c r="C2440" s="222" t="s">
        <v>5443</v>
      </c>
      <c r="D2440" s="222" t="s">
        <v>2128</v>
      </c>
    </row>
    <row r="2441" spans="1:4" x14ac:dyDescent="0.25">
      <c r="A2441" s="222" t="s">
        <v>5444</v>
      </c>
      <c r="B2441" s="222">
        <v>533088</v>
      </c>
      <c r="C2441" s="222" t="s">
        <v>5443</v>
      </c>
      <c r="D2441" s="222" t="s">
        <v>2128</v>
      </c>
    </row>
    <row r="2442" spans="1:4" x14ac:dyDescent="0.25">
      <c r="A2442" s="222" t="s">
        <v>5442</v>
      </c>
      <c r="B2442" s="222">
        <v>532313</v>
      </c>
      <c r="C2442" s="222" t="s">
        <v>5441</v>
      </c>
      <c r="D2442" s="222" t="s">
        <v>1243</v>
      </c>
    </row>
    <row r="2443" spans="1:4" x14ac:dyDescent="0.25">
      <c r="A2443" s="222" t="s">
        <v>5440</v>
      </c>
      <c r="B2443" s="222">
        <v>540768</v>
      </c>
      <c r="C2443" s="222" t="s">
        <v>5439</v>
      </c>
      <c r="D2443" s="222" t="s">
        <v>1329</v>
      </c>
    </row>
    <row r="2444" spans="1:4" x14ac:dyDescent="0.25">
      <c r="A2444" s="222" t="s">
        <v>5438</v>
      </c>
      <c r="B2444" s="222">
        <v>542503</v>
      </c>
      <c r="C2444" s="222" t="s">
        <v>5437</v>
      </c>
      <c r="D2444" s="222" t="s">
        <v>5436</v>
      </c>
    </row>
    <row r="2445" spans="1:4" x14ac:dyDescent="0.25">
      <c r="A2445" s="222" t="s">
        <v>5435</v>
      </c>
      <c r="B2445" s="222">
        <v>590078</v>
      </c>
      <c r="C2445" s="222" t="s">
        <v>5434</v>
      </c>
      <c r="D2445" s="222" t="s">
        <v>2167</v>
      </c>
    </row>
    <row r="2446" spans="1:4" x14ac:dyDescent="0.25">
      <c r="A2446" s="222" t="s">
        <v>5433</v>
      </c>
      <c r="B2446" s="222">
        <v>513430</v>
      </c>
      <c r="C2446" s="222" t="s">
        <v>2052</v>
      </c>
      <c r="D2446" s="222" t="s">
        <v>2490</v>
      </c>
    </row>
    <row r="2447" spans="1:4" x14ac:dyDescent="0.25">
      <c r="A2447" s="222" t="s">
        <v>5432</v>
      </c>
      <c r="B2447" s="222">
        <v>539289</v>
      </c>
      <c r="C2447" s="222" t="s">
        <v>5431</v>
      </c>
      <c r="D2447" s="222" t="s">
        <v>1265</v>
      </c>
    </row>
    <row r="2448" spans="1:4" x14ac:dyDescent="0.25">
      <c r="A2448" s="222" t="s">
        <v>5430</v>
      </c>
      <c r="B2448" s="222">
        <v>500267</v>
      </c>
      <c r="C2448" s="222" t="s">
        <v>2052</v>
      </c>
      <c r="D2448" s="222" t="s">
        <v>2582</v>
      </c>
    </row>
    <row r="2449" spans="1:4" x14ac:dyDescent="0.25">
      <c r="A2449" s="222" t="s">
        <v>5429</v>
      </c>
      <c r="B2449" s="222">
        <v>539229</v>
      </c>
      <c r="C2449" s="222" t="s">
        <v>2052</v>
      </c>
      <c r="D2449" s="222" t="s">
        <v>1318</v>
      </c>
    </row>
    <row r="2450" spans="1:4" x14ac:dyDescent="0.25">
      <c r="A2450" s="222" t="s">
        <v>5428</v>
      </c>
      <c r="B2450" s="222">
        <v>506919</v>
      </c>
      <c r="C2450" s="222" t="s">
        <v>2052</v>
      </c>
      <c r="D2450" s="222" t="s">
        <v>789</v>
      </c>
    </row>
    <row r="2451" spans="1:4" x14ac:dyDescent="0.25">
      <c r="A2451" s="222" t="s">
        <v>5427</v>
      </c>
      <c r="B2451" s="222">
        <v>539400</v>
      </c>
      <c r="C2451" s="222" t="s">
        <v>2052</v>
      </c>
      <c r="D2451" s="222" t="s">
        <v>1364</v>
      </c>
    </row>
    <row r="2452" spans="1:4" x14ac:dyDescent="0.25">
      <c r="A2452" s="222" t="s">
        <v>5426</v>
      </c>
      <c r="B2452" s="222">
        <v>539400</v>
      </c>
      <c r="C2452" s="222" t="s">
        <v>2052</v>
      </c>
      <c r="D2452" s="222" t="s">
        <v>1364</v>
      </c>
    </row>
    <row r="2453" spans="1:4" x14ac:dyDescent="0.25">
      <c r="A2453" s="222" t="s">
        <v>5425</v>
      </c>
      <c r="B2453" s="222">
        <v>532728</v>
      </c>
      <c r="C2453" s="222" t="s">
        <v>5424</v>
      </c>
      <c r="D2453" s="222" t="s">
        <v>1972</v>
      </c>
    </row>
    <row r="2454" spans="1:4" x14ac:dyDescent="0.25">
      <c r="A2454" s="222" t="s">
        <v>5423</v>
      </c>
      <c r="B2454" s="222">
        <v>513269</v>
      </c>
      <c r="C2454" s="222" t="s">
        <v>5421</v>
      </c>
      <c r="D2454" s="222" t="s">
        <v>1248</v>
      </c>
    </row>
    <row r="2455" spans="1:4" x14ac:dyDescent="0.25">
      <c r="A2455" s="222" t="s">
        <v>5422</v>
      </c>
      <c r="B2455" s="222">
        <v>513269</v>
      </c>
      <c r="C2455" s="222" t="s">
        <v>5421</v>
      </c>
      <c r="D2455" s="222" t="s">
        <v>1248</v>
      </c>
    </row>
    <row r="2456" spans="1:4" x14ac:dyDescent="0.25">
      <c r="A2456" s="222" t="s">
        <v>5420</v>
      </c>
      <c r="B2456" s="222">
        <v>533169</v>
      </c>
      <c r="C2456" s="222" t="s">
        <v>5419</v>
      </c>
      <c r="D2456" s="222" t="s">
        <v>1248</v>
      </c>
    </row>
    <row r="2457" spans="1:4" x14ac:dyDescent="0.25">
      <c r="A2457" s="222" t="s">
        <v>5418</v>
      </c>
      <c r="B2457" s="222">
        <v>539045</v>
      </c>
      <c r="C2457" s="222" t="s">
        <v>5417</v>
      </c>
      <c r="D2457" s="222" t="s">
        <v>2490</v>
      </c>
    </row>
    <row r="2458" spans="1:4" x14ac:dyDescent="0.25">
      <c r="A2458" s="222" t="s">
        <v>5416</v>
      </c>
      <c r="B2458" s="222">
        <v>539046</v>
      </c>
      <c r="C2458" s="222" t="s">
        <v>5415</v>
      </c>
      <c r="D2458" s="222" t="s">
        <v>2167</v>
      </c>
    </row>
    <row r="2459" spans="1:4" x14ac:dyDescent="0.25">
      <c r="A2459" s="222" t="s">
        <v>5414</v>
      </c>
      <c r="B2459" s="222">
        <v>532932</v>
      </c>
      <c r="C2459" s="222" t="s">
        <v>5413</v>
      </c>
      <c r="D2459" s="222" t="s">
        <v>1447</v>
      </c>
    </row>
    <row r="2460" spans="1:4" x14ac:dyDescent="0.25">
      <c r="A2460" s="222" t="s">
        <v>5412</v>
      </c>
      <c r="B2460" s="222">
        <v>539044</v>
      </c>
      <c r="C2460" s="222" t="s">
        <v>5411</v>
      </c>
      <c r="D2460" s="222" t="s">
        <v>2167</v>
      </c>
    </row>
    <row r="2461" spans="1:4" x14ac:dyDescent="0.25">
      <c r="A2461" s="222" t="s">
        <v>5410</v>
      </c>
      <c r="B2461" s="222">
        <v>500268</v>
      </c>
      <c r="C2461" s="222" t="s">
        <v>5409</v>
      </c>
      <c r="D2461" s="222" t="s">
        <v>1196</v>
      </c>
    </row>
    <row r="2462" spans="1:4" x14ac:dyDescent="0.25">
      <c r="A2462" s="222" t="s">
        <v>5408</v>
      </c>
      <c r="B2462" s="222">
        <v>531213</v>
      </c>
      <c r="C2462" s="222" t="s">
        <v>5407</v>
      </c>
      <c r="D2462" s="222" t="s">
        <v>1321</v>
      </c>
    </row>
    <row r="2463" spans="1:4" x14ac:dyDescent="0.25">
      <c r="A2463" s="222" t="s">
        <v>5406</v>
      </c>
      <c r="B2463" s="222">
        <v>540402</v>
      </c>
      <c r="C2463" s="222" t="s">
        <v>2052</v>
      </c>
      <c r="D2463" s="222" t="s">
        <v>1243</v>
      </c>
    </row>
    <row r="2464" spans="1:4" x14ac:dyDescent="0.25">
      <c r="A2464" s="222" t="s">
        <v>5405</v>
      </c>
      <c r="B2464" s="222" t="s">
        <v>2052</v>
      </c>
      <c r="C2464" s="222" t="s">
        <v>5404</v>
      </c>
      <c r="D2464" s="222" t="s">
        <v>2050</v>
      </c>
    </row>
    <row r="2465" spans="1:4" x14ac:dyDescent="0.25">
      <c r="A2465" s="222" t="s">
        <v>5403</v>
      </c>
      <c r="B2465" s="222">
        <v>533204</v>
      </c>
      <c r="C2465" s="222" t="s">
        <v>5402</v>
      </c>
      <c r="D2465" s="222" t="s">
        <v>1237</v>
      </c>
    </row>
    <row r="2466" spans="1:4" x14ac:dyDescent="0.25">
      <c r="A2466" s="222" t="s">
        <v>5401</v>
      </c>
      <c r="B2466" s="222">
        <v>505850</v>
      </c>
      <c r="C2466" s="222" t="s">
        <v>5400</v>
      </c>
      <c r="D2466" s="222" t="s">
        <v>1321</v>
      </c>
    </row>
    <row r="2467" spans="1:4" x14ac:dyDescent="0.25">
      <c r="A2467" s="222" t="s">
        <v>5399</v>
      </c>
      <c r="B2467" s="222">
        <v>502157</v>
      </c>
      <c r="C2467" s="222" t="s">
        <v>5398</v>
      </c>
      <c r="D2467" s="222" t="s">
        <v>1004</v>
      </c>
    </row>
    <row r="2468" spans="1:4" x14ac:dyDescent="0.25">
      <c r="A2468" s="222" t="s">
        <v>5397</v>
      </c>
      <c r="B2468" s="222">
        <v>532637</v>
      </c>
      <c r="C2468" s="222" t="s">
        <v>5396</v>
      </c>
      <c r="D2468" s="222" t="s">
        <v>789</v>
      </c>
    </row>
    <row r="2469" spans="1:4" x14ac:dyDescent="0.25">
      <c r="A2469" s="222" t="s">
        <v>5395</v>
      </c>
      <c r="B2469" s="222">
        <v>537800</v>
      </c>
      <c r="C2469" s="222" t="s">
        <v>2052</v>
      </c>
      <c r="D2469" s="222" t="s">
        <v>1321</v>
      </c>
    </row>
    <row r="2470" spans="1:4" x14ac:dyDescent="0.25">
      <c r="A2470" s="222" t="s">
        <v>5394</v>
      </c>
      <c r="B2470" s="222">
        <v>514418</v>
      </c>
      <c r="C2470" s="222" t="s">
        <v>2052</v>
      </c>
      <c r="D2470" s="222" t="s">
        <v>998</v>
      </c>
    </row>
    <row r="2471" spans="1:4" x14ac:dyDescent="0.25">
      <c r="A2471" s="222" t="s">
        <v>5393</v>
      </c>
      <c r="B2471" s="222">
        <v>539275</v>
      </c>
      <c r="C2471" s="222" t="s">
        <v>2052</v>
      </c>
      <c r="D2471" s="222" t="s">
        <v>731</v>
      </c>
    </row>
    <row r="2472" spans="1:4" x14ac:dyDescent="0.25">
      <c r="A2472" s="222" t="s">
        <v>5392</v>
      </c>
      <c r="B2472" s="222">
        <v>516007</v>
      </c>
      <c r="C2472" s="222" t="s">
        <v>5391</v>
      </c>
      <c r="D2472" s="222" t="s">
        <v>1272</v>
      </c>
    </row>
    <row r="2473" spans="1:4" x14ac:dyDescent="0.25">
      <c r="A2473" s="222" t="s">
        <v>5390</v>
      </c>
      <c r="B2473" s="222">
        <v>530011</v>
      </c>
      <c r="C2473" s="222" t="s">
        <v>5389</v>
      </c>
      <c r="D2473" s="222" t="s">
        <v>734</v>
      </c>
    </row>
    <row r="2474" spans="1:4" x14ac:dyDescent="0.25">
      <c r="A2474" s="222" t="s">
        <v>5388</v>
      </c>
      <c r="B2474" s="222">
        <v>500109</v>
      </c>
      <c r="C2474" s="222" t="s">
        <v>5387</v>
      </c>
      <c r="D2474" s="222" t="s">
        <v>3740</v>
      </c>
    </row>
    <row r="2475" spans="1:4" x14ac:dyDescent="0.25">
      <c r="A2475" s="222" t="s">
        <v>5386</v>
      </c>
      <c r="B2475" s="222">
        <v>530243</v>
      </c>
      <c r="C2475" s="222" t="s">
        <v>2052</v>
      </c>
      <c r="D2475" s="222" t="s">
        <v>1942</v>
      </c>
    </row>
    <row r="2476" spans="1:4" x14ac:dyDescent="0.25">
      <c r="A2476" s="222" t="s">
        <v>5385</v>
      </c>
      <c r="B2476" s="222">
        <v>507938</v>
      </c>
      <c r="C2476" s="222" t="s">
        <v>2052</v>
      </c>
      <c r="D2476" s="222" t="s">
        <v>1321</v>
      </c>
    </row>
    <row r="2477" spans="1:4" x14ac:dyDescent="0.25">
      <c r="A2477" s="222" t="s">
        <v>5384</v>
      </c>
      <c r="B2477" s="222">
        <v>533078</v>
      </c>
      <c r="C2477" s="222" t="s">
        <v>2052</v>
      </c>
      <c r="D2477" s="222" t="s">
        <v>1243</v>
      </c>
    </row>
    <row r="2478" spans="1:4" x14ac:dyDescent="0.25">
      <c r="A2478" s="222" t="s">
        <v>5383</v>
      </c>
      <c r="B2478" s="222">
        <v>540396</v>
      </c>
      <c r="C2478" s="222" t="s">
        <v>2052</v>
      </c>
      <c r="D2478" s="222" t="s">
        <v>1237</v>
      </c>
    </row>
    <row r="2479" spans="1:4" x14ac:dyDescent="0.25">
      <c r="A2479" s="222" t="s">
        <v>5382</v>
      </c>
      <c r="B2479" s="222">
        <v>540396</v>
      </c>
      <c r="C2479" s="222" t="s">
        <v>2052</v>
      </c>
      <c r="D2479" s="222" t="s">
        <v>1237</v>
      </c>
    </row>
    <row r="2480" spans="1:4" x14ac:dyDescent="0.25">
      <c r="A2480" s="222" t="s">
        <v>5381</v>
      </c>
      <c r="B2480" s="222">
        <v>541974</v>
      </c>
      <c r="C2480" s="222" t="s">
        <v>2052</v>
      </c>
      <c r="D2480" s="222" t="s">
        <v>1963</v>
      </c>
    </row>
    <row r="2481" spans="1:4" x14ac:dyDescent="0.25">
      <c r="A2481" s="222" t="s">
        <v>5380</v>
      </c>
      <c r="B2481" s="222">
        <v>539207</v>
      </c>
      <c r="C2481" s="222" t="s">
        <v>5379</v>
      </c>
      <c r="D2481" s="222" t="s">
        <v>1432</v>
      </c>
    </row>
    <row r="2482" spans="1:4" x14ac:dyDescent="0.25">
      <c r="A2482" s="222" t="s">
        <v>5378</v>
      </c>
      <c r="B2482" s="222">
        <v>530537</v>
      </c>
      <c r="C2482" s="222" t="s">
        <v>2052</v>
      </c>
      <c r="D2482" s="222" t="s">
        <v>2520</v>
      </c>
    </row>
    <row r="2483" spans="1:4" x14ac:dyDescent="0.25">
      <c r="A2483" s="222" t="s">
        <v>5377</v>
      </c>
      <c r="B2483" s="222">
        <v>511758</v>
      </c>
      <c r="C2483" s="222" t="s">
        <v>2052</v>
      </c>
      <c r="D2483" s="222" t="s">
        <v>1321</v>
      </c>
    </row>
    <row r="2484" spans="1:4" x14ac:dyDescent="0.25">
      <c r="A2484" s="222" t="s">
        <v>5376</v>
      </c>
      <c r="B2484" s="222">
        <v>512303</v>
      </c>
      <c r="C2484" s="222" t="s">
        <v>2052</v>
      </c>
      <c r="D2484" s="222" t="s">
        <v>2068</v>
      </c>
    </row>
    <row r="2485" spans="1:4" x14ac:dyDescent="0.25">
      <c r="A2485" s="222" t="s">
        <v>5375</v>
      </c>
      <c r="B2485" s="222">
        <v>505324</v>
      </c>
      <c r="C2485" s="222" t="s">
        <v>5373</v>
      </c>
      <c r="D2485" s="222" t="s">
        <v>832</v>
      </c>
    </row>
    <row r="2486" spans="1:4" x14ac:dyDescent="0.25">
      <c r="A2486" s="222" t="s">
        <v>5374</v>
      </c>
      <c r="B2486" s="222">
        <v>505324</v>
      </c>
      <c r="C2486" s="222" t="s">
        <v>5373</v>
      </c>
      <c r="D2486" s="222" t="s">
        <v>832</v>
      </c>
    </row>
    <row r="2487" spans="1:4" x14ac:dyDescent="0.25">
      <c r="A2487" s="222" t="s">
        <v>5372</v>
      </c>
      <c r="B2487" s="222">
        <v>538970</v>
      </c>
      <c r="C2487" s="222" t="s">
        <v>2052</v>
      </c>
      <c r="D2487" s="222" t="s">
        <v>1243</v>
      </c>
    </row>
    <row r="2488" spans="1:4" x14ac:dyDescent="0.25">
      <c r="A2488" s="222" t="s">
        <v>5371</v>
      </c>
      <c r="B2488" s="222">
        <v>521018</v>
      </c>
      <c r="C2488" s="222" t="s">
        <v>5370</v>
      </c>
      <c r="D2488" s="222" t="s">
        <v>1237</v>
      </c>
    </row>
    <row r="2489" spans="1:4" x14ac:dyDescent="0.25">
      <c r="A2489" s="222" t="s">
        <v>5369</v>
      </c>
      <c r="B2489" s="222">
        <v>503101</v>
      </c>
      <c r="C2489" s="222" t="s">
        <v>5368</v>
      </c>
      <c r="D2489" s="222" t="s">
        <v>1243</v>
      </c>
    </row>
    <row r="2490" spans="1:4" x14ac:dyDescent="0.25">
      <c r="A2490" s="222" t="s">
        <v>5367</v>
      </c>
      <c r="B2490" s="222">
        <v>502250</v>
      </c>
      <c r="C2490" s="222" t="s">
        <v>2052</v>
      </c>
      <c r="D2490" s="222" t="s">
        <v>2357</v>
      </c>
    </row>
    <row r="2491" spans="1:4" x14ac:dyDescent="0.25">
      <c r="A2491" s="222" t="s">
        <v>5366</v>
      </c>
      <c r="B2491" s="222">
        <v>513544</v>
      </c>
      <c r="C2491" s="222" t="s">
        <v>2052</v>
      </c>
      <c r="D2491" s="222" t="s">
        <v>3661</v>
      </c>
    </row>
    <row r="2492" spans="1:4" x14ac:dyDescent="0.25">
      <c r="A2492" s="222" t="s">
        <v>5365</v>
      </c>
      <c r="B2492" s="222">
        <v>530543</v>
      </c>
      <c r="C2492" s="222" t="s">
        <v>2052</v>
      </c>
      <c r="D2492" s="222" t="s">
        <v>1243</v>
      </c>
    </row>
    <row r="2493" spans="1:4" x14ac:dyDescent="0.25">
      <c r="A2493" s="222" t="s">
        <v>5364</v>
      </c>
      <c r="B2493" s="222">
        <v>540254</v>
      </c>
      <c r="C2493" s="222" t="s">
        <v>2052</v>
      </c>
      <c r="D2493" s="222" t="s">
        <v>1321</v>
      </c>
    </row>
    <row r="2494" spans="1:4" x14ac:dyDescent="0.25">
      <c r="A2494" s="222" t="s">
        <v>5363</v>
      </c>
      <c r="B2494" s="222">
        <v>500206</v>
      </c>
      <c r="C2494" s="222" t="s">
        <v>2052</v>
      </c>
      <c r="D2494" s="222" t="s">
        <v>1321</v>
      </c>
    </row>
    <row r="2495" spans="1:4" x14ac:dyDescent="0.25">
      <c r="A2495" s="222" t="s">
        <v>5362</v>
      </c>
      <c r="B2495" s="222">
        <v>531642</v>
      </c>
      <c r="C2495" s="222" t="s">
        <v>5361</v>
      </c>
      <c r="D2495" s="222" t="s">
        <v>1542</v>
      </c>
    </row>
    <row r="2496" spans="1:4" x14ac:dyDescent="0.25">
      <c r="A2496" s="222" t="s">
        <v>5360</v>
      </c>
      <c r="B2496" s="222" t="s">
        <v>2052</v>
      </c>
      <c r="C2496" s="222" t="s">
        <v>5358</v>
      </c>
      <c r="D2496" s="222" t="s">
        <v>2050</v>
      </c>
    </row>
    <row r="2497" spans="1:4" x14ac:dyDescent="0.25">
      <c r="A2497" s="222" t="s">
        <v>5359</v>
      </c>
      <c r="B2497" s="222" t="s">
        <v>2052</v>
      </c>
      <c r="C2497" s="222" t="s">
        <v>5358</v>
      </c>
      <c r="D2497" s="222" t="s">
        <v>2050</v>
      </c>
    </row>
    <row r="2498" spans="1:4" x14ac:dyDescent="0.25">
      <c r="A2498" s="222" t="s">
        <v>5357</v>
      </c>
      <c r="B2498" s="222">
        <v>531503</v>
      </c>
      <c r="C2498" s="222" t="s">
        <v>2052</v>
      </c>
      <c r="D2498" s="222" t="s">
        <v>1237</v>
      </c>
    </row>
    <row r="2499" spans="1:4" x14ac:dyDescent="0.25">
      <c r="A2499" s="222" t="s">
        <v>5356</v>
      </c>
      <c r="B2499" s="222">
        <v>526891</v>
      </c>
      <c r="C2499" s="222" t="s">
        <v>2052</v>
      </c>
      <c r="D2499" s="222" t="s">
        <v>1262</v>
      </c>
    </row>
    <row r="2500" spans="1:4" x14ac:dyDescent="0.25">
      <c r="A2500" s="222" t="s">
        <v>5355</v>
      </c>
      <c r="B2500" s="222">
        <v>524404</v>
      </c>
      <c r="C2500" s="222" t="s">
        <v>5354</v>
      </c>
      <c r="D2500" s="222" t="s">
        <v>789</v>
      </c>
    </row>
    <row r="2501" spans="1:4" x14ac:dyDescent="0.25">
      <c r="A2501" s="222" t="s">
        <v>5353</v>
      </c>
      <c r="B2501" s="222" t="s">
        <v>2052</v>
      </c>
      <c r="C2501" s="222" t="s">
        <v>5352</v>
      </c>
      <c r="D2501" s="222" t="s">
        <v>2050</v>
      </c>
    </row>
    <row r="2502" spans="1:4" x14ac:dyDescent="0.25">
      <c r="A2502" s="222" t="s">
        <v>5351</v>
      </c>
      <c r="B2502" s="222">
        <v>517467</v>
      </c>
      <c r="C2502" s="222" t="s">
        <v>2052</v>
      </c>
      <c r="D2502" s="222" t="s">
        <v>1275</v>
      </c>
    </row>
    <row r="2503" spans="1:4" x14ac:dyDescent="0.25">
      <c r="A2503" s="222" t="s">
        <v>5350</v>
      </c>
      <c r="B2503" s="222">
        <v>523566</v>
      </c>
      <c r="C2503" s="222" t="s">
        <v>2052</v>
      </c>
      <c r="D2503" s="222" t="s">
        <v>1243</v>
      </c>
    </row>
    <row r="2504" spans="1:4" x14ac:dyDescent="0.25">
      <c r="A2504" s="222" t="s">
        <v>5349</v>
      </c>
      <c r="B2504" s="222">
        <v>531540</v>
      </c>
      <c r="C2504" s="222" t="s">
        <v>2052</v>
      </c>
      <c r="D2504" s="222" t="s">
        <v>1248</v>
      </c>
    </row>
    <row r="2505" spans="1:4" x14ac:dyDescent="0.25">
      <c r="A2505" s="222" t="s">
        <v>5348</v>
      </c>
      <c r="B2505" s="222">
        <v>531319</v>
      </c>
      <c r="C2505" s="222" t="s">
        <v>2052</v>
      </c>
      <c r="D2505" s="222" t="s">
        <v>1321</v>
      </c>
    </row>
    <row r="2506" spans="1:4" x14ac:dyDescent="0.25">
      <c r="A2506" s="222" t="s">
        <v>5347</v>
      </c>
      <c r="B2506" s="222">
        <v>532500</v>
      </c>
      <c r="C2506" s="222" t="s">
        <v>5345</v>
      </c>
      <c r="D2506" s="222" t="s">
        <v>5344</v>
      </c>
    </row>
    <row r="2507" spans="1:4" x14ac:dyDescent="0.25">
      <c r="A2507" s="222" t="s">
        <v>5346</v>
      </c>
      <c r="B2507" s="222">
        <v>532500</v>
      </c>
      <c r="C2507" s="222" t="s">
        <v>5345</v>
      </c>
      <c r="D2507" s="222" t="s">
        <v>5344</v>
      </c>
    </row>
    <row r="2508" spans="1:4" x14ac:dyDescent="0.25">
      <c r="A2508" s="222" t="s">
        <v>5343</v>
      </c>
      <c r="B2508" s="222" t="s">
        <v>2052</v>
      </c>
      <c r="C2508" s="222" t="s">
        <v>5342</v>
      </c>
      <c r="D2508" s="222" t="s">
        <v>2050</v>
      </c>
    </row>
    <row r="2509" spans="1:4" x14ac:dyDescent="0.25">
      <c r="A2509" s="222" t="s">
        <v>5341</v>
      </c>
      <c r="B2509" s="222">
        <v>540749</v>
      </c>
      <c r="C2509" s="222" t="s">
        <v>5340</v>
      </c>
      <c r="D2509" s="222" t="s">
        <v>1321</v>
      </c>
    </row>
    <row r="2510" spans="1:4" x14ac:dyDescent="0.25">
      <c r="A2510" s="222" t="s">
        <v>5339</v>
      </c>
      <c r="B2510" s="222" t="s">
        <v>2052</v>
      </c>
      <c r="C2510" s="222" t="s">
        <v>5338</v>
      </c>
      <c r="D2510" s="222" t="s">
        <v>2197</v>
      </c>
    </row>
    <row r="2511" spans="1:4" x14ac:dyDescent="0.25">
      <c r="A2511" s="222" t="s">
        <v>5337</v>
      </c>
      <c r="B2511" s="222">
        <v>523704</v>
      </c>
      <c r="C2511" s="222" t="s">
        <v>5336</v>
      </c>
      <c r="D2511" s="222" t="s">
        <v>1942</v>
      </c>
    </row>
    <row r="2512" spans="1:4" x14ac:dyDescent="0.25">
      <c r="A2512" s="222" t="s">
        <v>5335</v>
      </c>
      <c r="B2512" s="222">
        <v>506867</v>
      </c>
      <c r="C2512" s="222" t="s">
        <v>2052</v>
      </c>
      <c r="D2512" s="222" t="s">
        <v>1237</v>
      </c>
    </row>
    <row r="2513" spans="1:4" x14ac:dyDescent="0.25">
      <c r="A2513" s="222" t="s">
        <v>5334</v>
      </c>
      <c r="B2513" s="222">
        <v>511768</v>
      </c>
      <c r="C2513" s="222" t="s">
        <v>2052</v>
      </c>
      <c r="D2513" s="222" t="s">
        <v>1321</v>
      </c>
    </row>
    <row r="2514" spans="1:4" x14ac:dyDescent="0.25">
      <c r="A2514" s="222" t="s">
        <v>5333</v>
      </c>
      <c r="B2514" s="222">
        <v>511688</v>
      </c>
      <c r="C2514" s="222" t="s">
        <v>2052</v>
      </c>
      <c r="D2514" s="222" t="s">
        <v>1321</v>
      </c>
    </row>
    <row r="2515" spans="1:4" x14ac:dyDescent="0.25">
      <c r="A2515" s="222" t="s">
        <v>5332</v>
      </c>
      <c r="B2515" s="222">
        <v>540704</v>
      </c>
      <c r="C2515" s="222" t="s">
        <v>5331</v>
      </c>
      <c r="D2515" s="222" t="s">
        <v>1278</v>
      </c>
    </row>
    <row r="2516" spans="1:4" x14ac:dyDescent="0.25">
      <c r="A2516" s="222" t="s">
        <v>5330</v>
      </c>
      <c r="B2516" s="222">
        <v>539219</v>
      </c>
      <c r="C2516" s="222" t="s">
        <v>2052</v>
      </c>
      <c r="D2516" s="222" t="s">
        <v>1313</v>
      </c>
    </row>
    <row r="2517" spans="1:4" x14ac:dyDescent="0.25">
      <c r="A2517" s="222" t="s">
        <v>5329</v>
      </c>
      <c r="B2517" s="222">
        <v>500248</v>
      </c>
      <c r="C2517" s="222" t="s">
        <v>2052</v>
      </c>
      <c r="D2517" s="222" t="s">
        <v>1251</v>
      </c>
    </row>
    <row r="2518" spans="1:4" x14ac:dyDescent="0.25">
      <c r="A2518" s="222" t="s">
        <v>5328</v>
      </c>
      <c r="B2518" s="222">
        <v>523371</v>
      </c>
      <c r="C2518" s="222" t="s">
        <v>5327</v>
      </c>
      <c r="D2518" s="222" t="s">
        <v>1124</v>
      </c>
    </row>
    <row r="2519" spans="1:4" x14ac:dyDescent="0.25">
      <c r="A2519" s="222" t="s">
        <v>5326</v>
      </c>
      <c r="B2519" s="222">
        <v>539981</v>
      </c>
      <c r="C2519" s="222" t="s">
        <v>5325</v>
      </c>
      <c r="D2519" s="222" t="s">
        <v>1289</v>
      </c>
    </row>
    <row r="2520" spans="1:4" x14ac:dyDescent="0.25">
      <c r="A2520" s="222" t="s">
        <v>5324</v>
      </c>
      <c r="B2520" s="222">
        <v>534563</v>
      </c>
      <c r="C2520" s="222" t="s">
        <v>5323</v>
      </c>
      <c r="D2520" s="222" t="s">
        <v>832</v>
      </c>
    </row>
    <row r="2521" spans="1:4" x14ac:dyDescent="0.25">
      <c r="A2521" s="222" t="s">
        <v>5322</v>
      </c>
      <c r="B2521" s="222">
        <v>500271</v>
      </c>
      <c r="C2521" s="222" t="s">
        <v>5321</v>
      </c>
      <c r="D2521" s="222" t="s">
        <v>746</v>
      </c>
    </row>
    <row r="2522" spans="1:4" x14ac:dyDescent="0.25">
      <c r="A2522" s="222" t="s">
        <v>5320</v>
      </c>
      <c r="B2522" s="222">
        <v>539981</v>
      </c>
      <c r="C2522" s="222" t="s">
        <v>1290</v>
      </c>
      <c r="D2522" s="222" t="s">
        <v>1289</v>
      </c>
    </row>
    <row r="2523" spans="1:4" x14ac:dyDescent="0.25">
      <c r="A2523" s="222" t="s">
        <v>5319</v>
      </c>
      <c r="B2523" s="222">
        <v>539940</v>
      </c>
      <c r="C2523" s="222" t="s">
        <v>5318</v>
      </c>
      <c r="D2523" s="222" t="s">
        <v>1289</v>
      </c>
    </row>
    <row r="2524" spans="1:4" x14ac:dyDescent="0.25">
      <c r="A2524" s="222" t="s">
        <v>5317</v>
      </c>
      <c r="B2524" s="222">
        <v>534338</v>
      </c>
      <c r="C2524" s="222" t="s">
        <v>2052</v>
      </c>
      <c r="D2524" s="222" t="s">
        <v>1243</v>
      </c>
    </row>
    <row r="2525" spans="1:4" x14ac:dyDescent="0.25">
      <c r="A2525" s="222" t="s">
        <v>5316</v>
      </c>
      <c r="B2525" s="222">
        <v>526538</v>
      </c>
      <c r="C2525" s="222" t="s">
        <v>2052</v>
      </c>
      <c r="D2525" s="222" t="s">
        <v>789</v>
      </c>
    </row>
    <row r="2526" spans="1:4" x14ac:dyDescent="0.25">
      <c r="A2526" s="222" t="s">
        <v>5315</v>
      </c>
      <c r="B2526" s="222">
        <v>540401</v>
      </c>
      <c r="C2526" s="222" t="s">
        <v>2052</v>
      </c>
      <c r="D2526" s="222" t="s">
        <v>1529</v>
      </c>
    </row>
    <row r="2527" spans="1:4" x14ac:dyDescent="0.25">
      <c r="A2527" s="222" t="s">
        <v>5314</v>
      </c>
      <c r="B2527" s="222">
        <v>539519</v>
      </c>
      <c r="C2527" s="222" t="s">
        <v>2052</v>
      </c>
      <c r="D2527" s="222" t="s">
        <v>1137</v>
      </c>
    </row>
    <row r="2528" spans="1:4" x14ac:dyDescent="0.25">
      <c r="A2528" s="222" t="s">
        <v>5313</v>
      </c>
      <c r="B2528" s="222">
        <v>531221</v>
      </c>
      <c r="C2528" s="222" t="s">
        <v>2052</v>
      </c>
      <c r="D2528" s="222" t="s">
        <v>2357</v>
      </c>
    </row>
    <row r="2529" spans="1:4" x14ac:dyDescent="0.25">
      <c r="A2529" s="222" t="s">
        <v>5312</v>
      </c>
      <c r="B2529" s="222">
        <v>531680</v>
      </c>
      <c r="C2529" s="222" t="s">
        <v>2052</v>
      </c>
      <c r="D2529" s="222" t="s">
        <v>1364</v>
      </c>
    </row>
    <row r="2530" spans="1:4" x14ac:dyDescent="0.25">
      <c r="A2530" s="222" t="s">
        <v>5311</v>
      </c>
      <c r="B2530" s="222">
        <v>522249</v>
      </c>
      <c r="C2530" s="222" t="s">
        <v>5310</v>
      </c>
      <c r="D2530" s="222" t="s">
        <v>1237</v>
      </c>
    </row>
    <row r="2531" spans="1:4" x14ac:dyDescent="0.25">
      <c r="A2531" s="222" t="s">
        <v>5309</v>
      </c>
      <c r="B2531" s="222">
        <v>523792</v>
      </c>
      <c r="C2531" s="222" t="s">
        <v>5308</v>
      </c>
      <c r="D2531" s="222" t="s">
        <v>832</v>
      </c>
    </row>
    <row r="2532" spans="1:4" x14ac:dyDescent="0.25">
      <c r="A2532" s="222" t="s">
        <v>5307</v>
      </c>
      <c r="B2532" s="222">
        <v>533152</v>
      </c>
      <c r="C2532" s="222" t="s">
        <v>5306</v>
      </c>
      <c r="D2532" s="222" t="s">
        <v>1248</v>
      </c>
    </row>
    <row r="2533" spans="1:4" x14ac:dyDescent="0.25">
      <c r="A2533" s="222" t="s">
        <v>5305</v>
      </c>
      <c r="B2533" s="222">
        <v>532852</v>
      </c>
      <c r="C2533" s="222" t="s">
        <v>5304</v>
      </c>
      <c r="D2533" s="222" t="s">
        <v>2108</v>
      </c>
    </row>
    <row r="2534" spans="1:4" x14ac:dyDescent="0.25">
      <c r="A2534" s="222" t="s">
        <v>5303</v>
      </c>
      <c r="B2534" s="222">
        <v>532654</v>
      </c>
      <c r="C2534" s="222" t="s">
        <v>5301</v>
      </c>
      <c r="D2534" s="222" t="s">
        <v>1400</v>
      </c>
    </row>
    <row r="2535" spans="1:4" x14ac:dyDescent="0.25">
      <c r="A2535" s="222" t="s">
        <v>5302</v>
      </c>
      <c r="B2535" s="222">
        <v>532654</v>
      </c>
      <c r="C2535" s="222" t="s">
        <v>5301</v>
      </c>
      <c r="D2535" s="222" t="s">
        <v>1400</v>
      </c>
    </row>
    <row r="2536" spans="1:4" x14ac:dyDescent="0.25">
      <c r="A2536" s="222" t="s">
        <v>5300</v>
      </c>
      <c r="B2536" s="222">
        <v>532629</v>
      </c>
      <c r="C2536" s="222" t="s">
        <v>5299</v>
      </c>
      <c r="D2536" s="222" t="s">
        <v>1248</v>
      </c>
    </row>
    <row r="2537" spans="1:4" x14ac:dyDescent="0.25">
      <c r="A2537" s="222" t="s">
        <v>5298</v>
      </c>
      <c r="B2537" s="222">
        <v>512267</v>
      </c>
      <c r="C2537" s="222" t="s">
        <v>2052</v>
      </c>
      <c r="D2537" s="222" t="s">
        <v>2264</v>
      </c>
    </row>
    <row r="2538" spans="1:4" x14ac:dyDescent="0.25">
      <c r="A2538" s="222" t="s">
        <v>5297</v>
      </c>
      <c r="B2538" s="222">
        <v>531146</v>
      </c>
      <c r="C2538" s="222" t="s">
        <v>2052</v>
      </c>
      <c r="D2538" s="222" t="s">
        <v>789</v>
      </c>
    </row>
    <row r="2539" spans="1:4" x14ac:dyDescent="0.25">
      <c r="A2539" s="222" t="s">
        <v>5296</v>
      </c>
      <c r="B2539" s="222">
        <v>523144</v>
      </c>
      <c r="C2539" s="222" t="s">
        <v>2052</v>
      </c>
      <c r="D2539" s="222" t="s">
        <v>789</v>
      </c>
    </row>
    <row r="2540" spans="1:4" x14ac:dyDescent="0.25">
      <c r="A2540" s="222" t="s">
        <v>5295</v>
      </c>
      <c r="B2540" s="222">
        <v>539938</v>
      </c>
      <c r="C2540" s="222" t="s">
        <v>5294</v>
      </c>
      <c r="D2540" s="222" t="s">
        <v>1262</v>
      </c>
    </row>
    <row r="2541" spans="1:4" x14ac:dyDescent="0.25">
      <c r="A2541" s="222" t="s">
        <v>5293</v>
      </c>
      <c r="B2541" s="222">
        <v>540937</v>
      </c>
      <c r="C2541" s="222" t="s">
        <v>2052</v>
      </c>
      <c r="D2541" s="222" t="s">
        <v>789</v>
      </c>
    </row>
    <row r="2542" spans="1:4" x14ac:dyDescent="0.25">
      <c r="A2542" s="222" t="s">
        <v>5292</v>
      </c>
      <c r="B2542" s="222">
        <v>526301</v>
      </c>
      <c r="C2542" s="222" t="s">
        <v>2052</v>
      </c>
      <c r="D2542" s="222" t="s">
        <v>1425</v>
      </c>
    </row>
    <row r="2543" spans="1:4" x14ac:dyDescent="0.25">
      <c r="A2543" s="222" t="s">
        <v>5291</v>
      </c>
      <c r="B2543" s="222">
        <v>538834</v>
      </c>
      <c r="C2543" s="222" t="s">
        <v>2052</v>
      </c>
      <c r="D2543" s="222" t="s">
        <v>1321</v>
      </c>
    </row>
    <row r="2544" spans="1:4" x14ac:dyDescent="0.25">
      <c r="A2544" s="222" t="s">
        <v>5290</v>
      </c>
      <c r="B2544" s="222">
        <v>512505</v>
      </c>
      <c r="C2544" s="222" t="s">
        <v>2052</v>
      </c>
      <c r="D2544" s="222" t="s">
        <v>740</v>
      </c>
    </row>
    <row r="2545" spans="1:4" x14ac:dyDescent="0.25">
      <c r="A2545" s="222" t="s">
        <v>5289</v>
      </c>
      <c r="B2545" s="222">
        <v>540519</v>
      </c>
      <c r="C2545" s="222" t="s">
        <v>2052</v>
      </c>
      <c r="D2545" s="222" t="s">
        <v>832</v>
      </c>
    </row>
    <row r="2546" spans="1:4" x14ac:dyDescent="0.25">
      <c r="A2546" s="222" t="s">
        <v>5288</v>
      </c>
      <c r="B2546" s="222">
        <v>511276</v>
      </c>
      <c r="C2546" s="222" t="s">
        <v>2052</v>
      </c>
      <c r="D2546" s="222" t="s">
        <v>731</v>
      </c>
    </row>
    <row r="2547" spans="1:4" x14ac:dyDescent="0.25">
      <c r="A2547" s="222" t="s">
        <v>5287</v>
      </c>
      <c r="B2547" s="222">
        <v>531176</v>
      </c>
      <c r="C2547" s="222" t="s">
        <v>2052</v>
      </c>
      <c r="D2547" s="222" t="s">
        <v>1321</v>
      </c>
    </row>
    <row r="2548" spans="1:4" x14ac:dyDescent="0.25">
      <c r="A2548" s="222" t="s">
        <v>5286</v>
      </c>
      <c r="B2548" s="222">
        <v>531417</v>
      </c>
      <c r="C2548" s="222" t="s">
        <v>2052</v>
      </c>
      <c r="D2548" s="222" t="s">
        <v>1321</v>
      </c>
    </row>
    <row r="2549" spans="1:4" x14ac:dyDescent="0.25">
      <c r="A2549" s="222" t="s">
        <v>5285</v>
      </c>
      <c r="B2549" s="222">
        <v>532105</v>
      </c>
      <c r="C2549" s="222" t="s">
        <v>2052</v>
      </c>
      <c r="D2549" s="222" t="s">
        <v>2068</v>
      </c>
    </row>
    <row r="2550" spans="1:4" x14ac:dyDescent="0.25">
      <c r="A2550" s="222" t="s">
        <v>5284</v>
      </c>
      <c r="B2550" s="222">
        <v>532105</v>
      </c>
      <c r="C2550" s="222" t="s">
        <v>2052</v>
      </c>
      <c r="D2550" s="222" t="s">
        <v>2068</v>
      </c>
    </row>
    <row r="2551" spans="1:4" x14ac:dyDescent="0.25">
      <c r="A2551" s="222" t="s">
        <v>5283</v>
      </c>
      <c r="B2551" s="222">
        <v>539767</v>
      </c>
      <c r="C2551" s="222" t="s">
        <v>2052</v>
      </c>
      <c r="D2551" s="222" t="s">
        <v>1243</v>
      </c>
    </row>
    <row r="2552" spans="1:4" x14ac:dyDescent="0.25">
      <c r="A2552" s="222" t="s">
        <v>5282</v>
      </c>
      <c r="B2552" s="222">
        <v>532408</v>
      </c>
      <c r="C2552" s="222" t="s">
        <v>5281</v>
      </c>
      <c r="D2552" s="222" t="s">
        <v>1942</v>
      </c>
    </row>
    <row r="2553" spans="1:4" x14ac:dyDescent="0.25">
      <c r="A2553" s="222" t="s">
        <v>5280</v>
      </c>
      <c r="B2553" s="222">
        <v>541352</v>
      </c>
      <c r="C2553" s="222" t="s">
        <v>2052</v>
      </c>
      <c r="D2553" s="222" t="s">
        <v>1083</v>
      </c>
    </row>
    <row r="2554" spans="1:4" x14ac:dyDescent="0.25">
      <c r="A2554" s="222" t="s">
        <v>5279</v>
      </c>
      <c r="B2554" s="222">
        <v>532865</v>
      </c>
      <c r="C2554" s="222" t="s">
        <v>5278</v>
      </c>
      <c r="D2554" s="222" t="s">
        <v>722</v>
      </c>
    </row>
    <row r="2555" spans="1:4" x14ac:dyDescent="0.25">
      <c r="A2555" s="222" t="s">
        <v>5277</v>
      </c>
      <c r="B2555" s="222">
        <v>511367</v>
      </c>
      <c r="C2555" s="222" t="s">
        <v>2052</v>
      </c>
      <c r="D2555" s="222" t="s">
        <v>1321</v>
      </c>
    </row>
    <row r="2556" spans="1:4" x14ac:dyDescent="0.25">
      <c r="A2556" s="222" t="s">
        <v>5276</v>
      </c>
      <c r="B2556" s="222">
        <v>511367</v>
      </c>
      <c r="C2556" s="222" t="s">
        <v>2052</v>
      </c>
      <c r="D2556" s="222" t="s">
        <v>1321</v>
      </c>
    </row>
    <row r="2557" spans="1:4" x14ac:dyDescent="0.25">
      <c r="A2557" s="222" t="s">
        <v>5275</v>
      </c>
      <c r="B2557" s="222">
        <v>539012</v>
      </c>
      <c r="C2557" s="222" t="s">
        <v>2052</v>
      </c>
      <c r="D2557" s="222" t="s">
        <v>1278</v>
      </c>
    </row>
    <row r="2558" spans="1:4" x14ac:dyDescent="0.25">
      <c r="A2558" s="222" t="s">
        <v>5274</v>
      </c>
      <c r="B2558" s="222">
        <v>540730</v>
      </c>
      <c r="C2558" s="222" t="s">
        <v>2052</v>
      </c>
      <c r="D2558" s="222" t="s">
        <v>1529</v>
      </c>
    </row>
    <row r="2559" spans="1:4" x14ac:dyDescent="0.25">
      <c r="A2559" s="222" t="s">
        <v>5273</v>
      </c>
      <c r="B2559" s="222">
        <v>511740</v>
      </c>
      <c r="C2559" s="222" t="s">
        <v>2052</v>
      </c>
      <c r="D2559" s="222" t="s">
        <v>2520</v>
      </c>
    </row>
    <row r="2560" spans="1:4" x14ac:dyDescent="0.25">
      <c r="A2560" s="222" t="s">
        <v>5272</v>
      </c>
      <c r="B2560" s="222">
        <v>511377</v>
      </c>
      <c r="C2560" s="222" t="s">
        <v>2052</v>
      </c>
      <c r="D2560" s="222" t="s">
        <v>1321</v>
      </c>
    </row>
    <row r="2561" spans="1:4" x14ac:dyDescent="0.25">
      <c r="A2561" s="222" t="s">
        <v>5271</v>
      </c>
      <c r="B2561" s="222">
        <v>511738</v>
      </c>
      <c r="C2561" s="222" t="s">
        <v>2052</v>
      </c>
      <c r="D2561" s="222" t="s">
        <v>1262</v>
      </c>
    </row>
    <row r="2562" spans="1:4" x14ac:dyDescent="0.25">
      <c r="A2562" s="222" t="s">
        <v>5270</v>
      </c>
      <c r="B2562" s="222">
        <v>532307</v>
      </c>
      <c r="C2562" s="222" t="s">
        <v>5269</v>
      </c>
      <c r="D2562" s="222" t="s">
        <v>1942</v>
      </c>
    </row>
    <row r="2563" spans="1:4" x14ac:dyDescent="0.25">
      <c r="A2563" s="222" t="s">
        <v>5268</v>
      </c>
      <c r="B2563" s="222">
        <v>531127</v>
      </c>
      <c r="C2563" s="222" t="s">
        <v>2052</v>
      </c>
      <c r="D2563" s="222" t="s">
        <v>1321</v>
      </c>
    </row>
    <row r="2564" spans="1:4" x14ac:dyDescent="0.25">
      <c r="A2564" s="222" t="s">
        <v>5267</v>
      </c>
      <c r="B2564" s="222">
        <v>523828</v>
      </c>
      <c r="C2564" s="222" t="s">
        <v>5266</v>
      </c>
      <c r="D2564" s="222" t="s">
        <v>1306</v>
      </c>
    </row>
    <row r="2565" spans="1:4" x14ac:dyDescent="0.25">
      <c r="A2565" s="222" t="s">
        <v>5265</v>
      </c>
      <c r="B2565" s="222">
        <v>531727</v>
      </c>
      <c r="C2565" s="222" t="s">
        <v>2052</v>
      </c>
      <c r="D2565" s="222" t="s">
        <v>1306</v>
      </c>
    </row>
    <row r="2566" spans="1:4" x14ac:dyDescent="0.25">
      <c r="A2566" s="222" t="s">
        <v>5264</v>
      </c>
      <c r="B2566" s="222">
        <v>539126</v>
      </c>
      <c r="C2566" s="222" t="s">
        <v>5263</v>
      </c>
      <c r="D2566" s="222" t="s">
        <v>3887</v>
      </c>
    </row>
    <row r="2567" spans="1:4" x14ac:dyDescent="0.25">
      <c r="A2567" s="222" t="s">
        <v>5262</v>
      </c>
      <c r="B2567" s="222">
        <v>538942</v>
      </c>
      <c r="C2567" s="222" t="s">
        <v>2052</v>
      </c>
      <c r="D2567" s="222" t="s">
        <v>2068</v>
      </c>
    </row>
    <row r="2568" spans="1:4" x14ac:dyDescent="0.25">
      <c r="A2568" s="222" t="s">
        <v>5261</v>
      </c>
      <c r="B2568" s="222">
        <v>526235</v>
      </c>
      <c r="C2568" s="222" t="s">
        <v>5260</v>
      </c>
      <c r="D2568" s="222" t="s">
        <v>1318</v>
      </c>
    </row>
    <row r="2569" spans="1:4" x14ac:dyDescent="0.25">
      <c r="A2569" s="222" t="s">
        <v>5259</v>
      </c>
      <c r="B2569" s="222">
        <v>500126</v>
      </c>
      <c r="C2569" s="222" t="s">
        <v>5258</v>
      </c>
      <c r="D2569" s="222" t="s">
        <v>789</v>
      </c>
    </row>
    <row r="2570" spans="1:4" x14ac:dyDescent="0.25">
      <c r="A2570" s="222" t="s">
        <v>5257</v>
      </c>
      <c r="B2570" s="222">
        <v>538964</v>
      </c>
      <c r="C2570" s="222" t="s">
        <v>2052</v>
      </c>
      <c r="D2570" s="222" t="s">
        <v>789</v>
      </c>
    </row>
    <row r="2571" spans="1:4" x14ac:dyDescent="0.25">
      <c r="A2571" s="222" t="s">
        <v>5256</v>
      </c>
      <c r="B2571" s="222">
        <v>531357</v>
      </c>
      <c r="C2571" s="222" t="s">
        <v>2052</v>
      </c>
      <c r="D2571" s="222" t="s">
        <v>1529</v>
      </c>
    </row>
    <row r="2572" spans="1:4" x14ac:dyDescent="0.25">
      <c r="A2572" s="222" t="s">
        <v>5255</v>
      </c>
      <c r="B2572" s="222">
        <v>512415</v>
      </c>
      <c r="C2572" s="222" t="s">
        <v>2052</v>
      </c>
      <c r="D2572" s="222" t="s">
        <v>2068</v>
      </c>
    </row>
    <row r="2573" spans="1:4" x14ac:dyDescent="0.25">
      <c r="A2573" s="222" t="s">
        <v>5254</v>
      </c>
      <c r="B2573" s="222">
        <v>500274</v>
      </c>
      <c r="C2573" s="222" t="s">
        <v>2052</v>
      </c>
      <c r="D2573" s="222" t="s">
        <v>789</v>
      </c>
    </row>
    <row r="2574" spans="1:4" x14ac:dyDescent="0.25">
      <c r="A2574" s="222" t="s">
        <v>5253</v>
      </c>
      <c r="B2574" s="222">
        <v>531810</v>
      </c>
      <c r="C2574" s="222" t="s">
        <v>2052</v>
      </c>
      <c r="D2574" s="222" t="s">
        <v>740</v>
      </c>
    </row>
    <row r="2575" spans="1:4" x14ac:dyDescent="0.25">
      <c r="A2575" s="222" t="s">
        <v>5252</v>
      </c>
      <c r="B2575" s="222">
        <v>531810</v>
      </c>
      <c r="C2575" s="222" t="s">
        <v>2052</v>
      </c>
      <c r="D2575" s="222" t="s">
        <v>740</v>
      </c>
    </row>
    <row r="2576" spans="1:4" x14ac:dyDescent="0.25">
      <c r="A2576" s="222" t="s">
        <v>5251</v>
      </c>
      <c r="B2576" s="222">
        <v>513335</v>
      </c>
      <c r="C2576" s="222" t="s">
        <v>5250</v>
      </c>
      <c r="D2576" s="222" t="s">
        <v>1313</v>
      </c>
    </row>
    <row r="2577" spans="1:4" x14ac:dyDescent="0.25">
      <c r="A2577" s="222" t="s">
        <v>5249</v>
      </c>
      <c r="B2577" s="222">
        <v>532990</v>
      </c>
      <c r="C2577" s="222" t="s">
        <v>5248</v>
      </c>
      <c r="D2577" s="222" t="s">
        <v>2167</v>
      </c>
    </row>
    <row r="2578" spans="1:4" x14ac:dyDescent="0.25">
      <c r="A2578" s="222" t="s">
        <v>5247</v>
      </c>
      <c r="B2578" s="222">
        <v>500159</v>
      </c>
      <c r="C2578" s="222" t="s">
        <v>2052</v>
      </c>
      <c r="D2578" s="222" t="s">
        <v>1972</v>
      </c>
    </row>
    <row r="2579" spans="1:4" x14ac:dyDescent="0.25">
      <c r="A2579" s="222" t="s">
        <v>5246</v>
      </c>
      <c r="B2579" s="222">
        <v>542650</v>
      </c>
      <c r="C2579" s="222" t="s">
        <v>5245</v>
      </c>
      <c r="D2579" s="222" t="s">
        <v>1425</v>
      </c>
    </row>
    <row r="2580" spans="1:4" x14ac:dyDescent="0.25">
      <c r="A2580" s="222" t="s">
        <v>5244</v>
      </c>
      <c r="B2580" s="222">
        <v>540150</v>
      </c>
      <c r="C2580" s="222" t="s">
        <v>2052</v>
      </c>
      <c r="D2580" s="222" t="s">
        <v>1248</v>
      </c>
    </row>
    <row r="2581" spans="1:4" x14ac:dyDescent="0.25">
      <c r="A2581" s="222" t="s">
        <v>5243</v>
      </c>
      <c r="B2581" s="222">
        <v>513496</v>
      </c>
      <c r="C2581" s="222" t="s">
        <v>2052</v>
      </c>
      <c r="D2581" s="222" t="s">
        <v>2384</v>
      </c>
    </row>
    <row r="2582" spans="1:4" x14ac:dyDescent="0.25">
      <c r="A2582" s="222" t="s">
        <v>5242</v>
      </c>
      <c r="B2582" s="222">
        <v>531613</v>
      </c>
      <c r="C2582" s="222" t="s">
        <v>5241</v>
      </c>
      <c r="D2582" s="222" t="s">
        <v>2536</v>
      </c>
    </row>
    <row r="2583" spans="1:4" x14ac:dyDescent="0.25">
      <c r="A2583" s="222" t="s">
        <v>5240</v>
      </c>
      <c r="B2583" s="222">
        <v>526622</v>
      </c>
      <c r="C2583" s="222" t="s">
        <v>2052</v>
      </c>
      <c r="D2583" s="222" t="s">
        <v>1329</v>
      </c>
    </row>
    <row r="2584" spans="1:4" x14ac:dyDescent="0.25">
      <c r="A2584" s="222" t="s">
        <v>5239</v>
      </c>
      <c r="B2584" s="222">
        <v>526622</v>
      </c>
      <c r="C2584" s="222" t="s">
        <v>2052</v>
      </c>
      <c r="D2584" s="222" t="s">
        <v>1329</v>
      </c>
    </row>
    <row r="2585" spans="1:4" x14ac:dyDescent="0.25">
      <c r="A2585" s="222" t="s">
        <v>5238</v>
      </c>
      <c r="B2585" s="222">
        <v>513721</v>
      </c>
      <c r="C2585" s="222" t="s">
        <v>2052</v>
      </c>
      <c r="D2585" s="222" t="s">
        <v>2167</v>
      </c>
    </row>
    <row r="2586" spans="1:4" x14ac:dyDescent="0.25">
      <c r="A2586" s="222" t="s">
        <v>5237</v>
      </c>
      <c r="B2586" s="222">
        <v>532850</v>
      </c>
      <c r="C2586" s="222" t="s">
        <v>5236</v>
      </c>
      <c r="D2586" s="222" t="s">
        <v>2062</v>
      </c>
    </row>
    <row r="2587" spans="1:4" x14ac:dyDescent="0.25">
      <c r="A2587" s="222" t="s">
        <v>5235</v>
      </c>
      <c r="B2587" s="222">
        <v>523343</v>
      </c>
      <c r="C2587" s="222" t="s">
        <v>2052</v>
      </c>
      <c r="D2587" s="222" t="s">
        <v>1321</v>
      </c>
    </row>
    <row r="2588" spans="1:4" x14ac:dyDescent="0.25">
      <c r="A2588" s="222" t="s">
        <v>5234</v>
      </c>
      <c r="B2588" s="222">
        <v>523343</v>
      </c>
      <c r="C2588" s="222" t="s">
        <v>2052</v>
      </c>
      <c r="D2588" s="222" t="s">
        <v>1321</v>
      </c>
    </row>
    <row r="2589" spans="1:4" x14ac:dyDescent="0.25">
      <c r="A2589" s="222" t="s">
        <v>5233</v>
      </c>
      <c r="B2589" s="222">
        <v>526251</v>
      </c>
      <c r="C2589" s="222" t="s">
        <v>2052</v>
      </c>
      <c r="D2589" s="222" t="s">
        <v>1262</v>
      </c>
    </row>
    <row r="2590" spans="1:4" x14ac:dyDescent="0.25">
      <c r="A2590" s="222" t="s">
        <v>5232</v>
      </c>
      <c r="B2590" s="222">
        <v>500277</v>
      </c>
      <c r="C2590" s="222" t="s">
        <v>2052</v>
      </c>
      <c r="D2590" s="222" t="s">
        <v>1237</v>
      </c>
    </row>
    <row r="2591" spans="1:4" x14ac:dyDescent="0.25">
      <c r="A2591" s="222" t="s">
        <v>5231</v>
      </c>
      <c r="B2591" s="222">
        <v>531192</v>
      </c>
      <c r="C2591" s="222" t="s">
        <v>2052</v>
      </c>
      <c r="D2591" s="222" t="s">
        <v>1321</v>
      </c>
    </row>
    <row r="2592" spans="1:4" x14ac:dyDescent="0.25">
      <c r="A2592" s="222" t="s">
        <v>5230</v>
      </c>
      <c r="B2592" s="222">
        <v>540744</v>
      </c>
      <c r="C2592" s="222" t="s">
        <v>2052</v>
      </c>
      <c r="D2592" s="222" t="s">
        <v>2167</v>
      </c>
    </row>
    <row r="2593" spans="1:4" x14ac:dyDescent="0.25">
      <c r="A2593" s="222" t="s">
        <v>5229</v>
      </c>
      <c r="B2593" s="222">
        <v>533310</v>
      </c>
      <c r="C2593" s="222" t="s">
        <v>5228</v>
      </c>
      <c r="D2593" s="222" t="s">
        <v>5227</v>
      </c>
    </row>
    <row r="2594" spans="1:4" x14ac:dyDescent="0.25">
      <c r="A2594" s="222" t="s">
        <v>5226</v>
      </c>
      <c r="B2594" s="222">
        <v>526570</v>
      </c>
      <c r="C2594" s="222" t="s">
        <v>2052</v>
      </c>
      <c r="D2594" s="222" t="s">
        <v>2357</v>
      </c>
    </row>
    <row r="2595" spans="1:4" x14ac:dyDescent="0.25">
      <c r="A2595" s="222" t="s">
        <v>5225</v>
      </c>
      <c r="B2595" s="222">
        <v>538895</v>
      </c>
      <c r="C2595" s="222" t="s">
        <v>2052</v>
      </c>
      <c r="D2595" s="222" t="s">
        <v>1529</v>
      </c>
    </row>
    <row r="2596" spans="1:4" x14ac:dyDescent="0.25">
      <c r="A2596" s="222" t="s">
        <v>5224</v>
      </c>
      <c r="B2596" s="222">
        <v>541337</v>
      </c>
      <c r="C2596" s="222" t="s">
        <v>2052</v>
      </c>
      <c r="D2596" s="222" t="s">
        <v>2714</v>
      </c>
    </row>
    <row r="2597" spans="1:4" x14ac:dyDescent="0.25">
      <c r="A2597" s="222" t="s">
        <v>5223</v>
      </c>
      <c r="B2597" s="222">
        <v>531338</v>
      </c>
      <c r="C2597" s="222" t="s">
        <v>2052</v>
      </c>
      <c r="D2597" s="222" t="s">
        <v>2357</v>
      </c>
    </row>
    <row r="2598" spans="1:4" x14ac:dyDescent="0.25">
      <c r="A2598" s="222" t="s">
        <v>5222</v>
      </c>
      <c r="B2598" s="222">
        <v>511018</v>
      </c>
      <c r="C2598" s="222" t="s">
        <v>2052</v>
      </c>
      <c r="D2598" s="222" t="s">
        <v>2068</v>
      </c>
    </row>
    <row r="2599" spans="1:4" x14ac:dyDescent="0.25">
      <c r="A2599" s="222" t="s">
        <v>5221</v>
      </c>
      <c r="B2599" s="222">
        <v>507621</v>
      </c>
      <c r="C2599" s="222" t="s">
        <v>2052</v>
      </c>
      <c r="D2599" s="222" t="s">
        <v>1161</v>
      </c>
    </row>
    <row r="2600" spans="1:4" x14ac:dyDescent="0.25">
      <c r="A2600" s="222" t="s">
        <v>5220</v>
      </c>
      <c r="B2600" s="222">
        <v>511187</v>
      </c>
      <c r="C2600" s="222" t="s">
        <v>2052</v>
      </c>
      <c r="D2600" s="222" t="s">
        <v>2068</v>
      </c>
    </row>
    <row r="2601" spans="1:4" x14ac:dyDescent="0.25">
      <c r="A2601" s="222" t="s">
        <v>5219</v>
      </c>
      <c r="B2601" s="222" t="s">
        <v>2052</v>
      </c>
      <c r="C2601" s="222" t="s">
        <v>5218</v>
      </c>
      <c r="D2601" s="222" t="s">
        <v>2050</v>
      </c>
    </row>
    <row r="2602" spans="1:4" x14ac:dyDescent="0.25">
      <c r="A2602" s="222" t="s">
        <v>5217</v>
      </c>
      <c r="B2602" s="222">
        <v>531456</v>
      </c>
      <c r="C2602" s="222" t="s">
        <v>2052</v>
      </c>
      <c r="D2602" s="222" t="s">
        <v>1237</v>
      </c>
    </row>
    <row r="2603" spans="1:4" x14ac:dyDescent="0.25">
      <c r="A2603" s="222" t="s">
        <v>5216</v>
      </c>
      <c r="B2603" s="222">
        <v>538962</v>
      </c>
      <c r="C2603" s="222" t="s">
        <v>5215</v>
      </c>
      <c r="D2603" s="222" t="s">
        <v>1306</v>
      </c>
    </row>
    <row r="2604" spans="1:4" x14ac:dyDescent="0.25">
      <c r="A2604" s="222" t="s">
        <v>5214</v>
      </c>
      <c r="B2604" s="222">
        <v>539303</v>
      </c>
      <c r="C2604" s="222" t="s">
        <v>2052</v>
      </c>
      <c r="D2604" s="222" t="s">
        <v>1321</v>
      </c>
    </row>
    <row r="2605" spans="1:4" x14ac:dyDescent="0.25">
      <c r="A2605" s="222" t="s">
        <v>5213</v>
      </c>
      <c r="B2605" s="222">
        <v>532539</v>
      </c>
      <c r="C2605" s="222" t="s">
        <v>5212</v>
      </c>
      <c r="D2605" s="222" t="s">
        <v>1306</v>
      </c>
    </row>
    <row r="2606" spans="1:4" x14ac:dyDescent="0.25">
      <c r="A2606" s="222" t="s">
        <v>5211</v>
      </c>
      <c r="B2606" s="222">
        <v>517344</v>
      </c>
      <c r="C2606" s="222" t="s">
        <v>5209</v>
      </c>
      <c r="D2606" s="222" t="s">
        <v>1942</v>
      </c>
    </row>
    <row r="2607" spans="1:4" x14ac:dyDescent="0.25">
      <c r="A2607" s="222" t="s">
        <v>5210</v>
      </c>
      <c r="B2607" s="222">
        <v>517344</v>
      </c>
      <c r="C2607" s="222" t="s">
        <v>5209</v>
      </c>
      <c r="D2607" s="222" t="s">
        <v>1942</v>
      </c>
    </row>
    <row r="2608" spans="1:4" x14ac:dyDescent="0.25">
      <c r="A2608" s="222" t="s">
        <v>5208</v>
      </c>
      <c r="B2608" s="222">
        <v>532819</v>
      </c>
      <c r="C2608" s="222" t="s">
        <v>5207</v>
      </c>
      <c r="D2608" s="222" t="s">
        <v>1265</v>
      </c>
    </row>
    <row r="2609" spans="1:4" x14ac:dyDescent="0.25">
      <c r="A2609" s="222" t="s">
        <v>5206</v>
      </c>
      <c r="B2609" s="222">
        <v>523373</v>
      </c>
      <c r="C2609" s="222" t="s">
        <v>2052</v>
      </c>
      <c r="D2609" s="222" t="s">
        <v>1364</v>
      </c>
    </row>
    <row r="2610" spans="1:4" x14ac:dyDescent="0.25">
      <c r="A2610" s="222" t="s">
        <v>5205</v>
      </c>
      <c r="B2610" s="222">
        <v>523373</v>
      </c>
      <c r="C2610" s="222" t="s">
        <v>2052</v>
      </c>
      <c r="D2610" s="222" t="s">
        <v>1364</v>
      </c>
    </row>
    <row r="2611" spans="1:4" x14ac:dyDescent="0.25">
      <c r="A2611" s="222" t="s">
        <v>5204</v>
      </c>
      <c r="B2611" s="222">
        <v>532164</v>
      </c>
      <c r="C2611" s="222" t="s">
        <v>2052</v>
      </c>
      <c r="D2611" s="222" t="s">
        <v>1321</v>
      </c>
    </row>
    <row r="2612" spans="1:4" x14ac:dyDescent="0.25">
      <c r="A2612" s="222" t="s">
        <v>5203</v>
      </c>
      <c r="B2612" s="222">
        <v>505797</v>
      </c>
      <c r="C2612" s="222" t="s">
        <v>2052</v>
      </c>
      <c r="D2612" s="222" t="s">
        <v>1395</v>
      </c>
    </row>
    <row r="2613" spans="1:4" x14ac:dyDescent="0.25">
      <c r="A2613" s="222" t="s">
        <v>5202</v>
      </c>
      <c r="B2613" s="222">
        <v>500279</v>
      </c>
      <c r="C2613" s="222" t="s">
        <v>5201</v>
      </c>
      <c r="D2613" s="222" t="s">
        <v>950</v>
      </c>
    </row>
    <row r="2614" spans="1:4" x14ac:dyDescent="0.25">
      <c r="A2614" s="222" t="s">
        <v>5200</v>
      </c>
      <c r="B2614" s="222">
        <v>505336</v>
      </c>
      <c r="C2614" s="222" t="s">
        <v>2052</v>
      </c>
      <c r="D2614" s="222" t="s">
        <v>832</v>
      </c>
    </row>
    <row r="2615" spans="1:4" x14ac:dyDescent="0.25">
      <c r="A2615" s="222" t="s">
        <v>5199</v>
      </c>
      <c r="B2615" s="222">
        <v>505336</v>
      </c>
      <c r="C2615" s="222" t="s">
        <v>2052</v>
      </c>
      <c r="D2615" s="222" t="s">
        <v>832</v>
      </c>
    </row>
    <row r="2616" spans="1:4" x14ac:dyDescent="0.25">
      <c r="A2616" s="222" t="s">
        <v>5198</v>
      </c>
      <c r="B2616" s="222">
        <v>526642</v>
      </c>
      <c r="C2616" s="222" t="s">
        <v>5197</v>
      </c>
      <c r="D2616" s="222" t="s">
        <v>754</v>
      </c>
    </row>
    <row r="2617" spans="1:4" x14ac:dyDescent="0.25">
      <c r="A2617" s="222" t="s">
        <v>5196</v>
      </c>
      <c r="B2617" s="222">
        <v>539220</v>
      </c>
      <c r="C2617" s="222" t="s">
        <v>2052</v>
      </c>
      <c r="D2617" s="222" t="s">
        <v>1364</v>
      </c>
    </row>
    <row r="2618" spans="1:4" x14ac:dyDescent="0.25">
      <c r="A2618" s="222" t="s">
        <v>5195</v>
      </c>
      <c r="B2618" s="222">
        <v>541195</v>
      </c>
      <c r="C2618" s="222" t="s">
        <v>5194</v>
      </c>
      <c r="D2618" s="222" t="s">
        <v>740</v>
      </c>
    </row>
    <row r="2619" spans="1:4" x14ac:dyDescent="0.25">
      <c r="A2619" s="222" t="s">
        <v>5193</v>
      </c>
      <c r="B2619" s="222">
        <v>539594</v>
      </c>
      <c r="C2619" s="222" t="s">
        <v>2052</v>
      </c>
      <c r="D2619" s="222" t="s">
        <v>731</v>
      </c>
    </row>
    <row r="2620" spans="1:4" x14ac:dyDescent="0.25">
      <c r="A2620" s="222" t="s">
        <v>5192</v>
      </c>
      <c r="B2620" s="222" t="s">
        <v>2052</v>
      </c>
      <c r="C2620" s="222" t="s">
        <v>5191</v>
      </c>
      <c r="D2620" s="222" t="s">
        <v>2050</v>
      </c>
    </row>
    <row r="2621" spans="1:4" x14ac:dyDescent="0.25">
      <c r="A2621" s="222" t="s">
        <v>5190</v>
      </c>
      <c r="B2621" s="222">
        <v>523782</v>
      </c>
      <c r="C2621" s="222" t="s">
        <v>2052</v>
      </c>
      <c r="D2621" s="222" t="s">
        <v>1529</v>
      </c>
    </row>
    <row r="2622" spans="1:4" x14ac:dyDescent="0.25">
      <c r="A2622" s="222" t="s">
        <v>5189</v>
      </c>
      <c r="B2622" s="222">
        <v>523782</v>
      </c>
      <c r="C2622" s="222" t="s">
        <v>2052</v>
      </c>
      <c r="D2622" s="222" t="s">
        <v>1529</v>
      </c>
    </row>
    <row r="2623" spans="1:4" x14ac:dyDescent="0.25">
      <c r="A2623" s="222" t="s">
        <v>5188</v>
      </c>
      <c r="B2623" s="222">
        <v>540078</v>
      </c>
      <c r="C2623" s="222" t="s">
        <v>2052</v>
      </c>
      <c r="D2623" s="222" t="s">
        <v>1447</v>
      </c>
    </row>
    <row r="2624" spans="1:4" x14ac:dyDescent="0.25">
      <c r="A2624" s="222" t="s">
        <v>5187</v>
      </c>
      <c r="B2624" s="222" t="s">
        <v>2052</v>
      </c>
      <c r="C2624" s="222" t="s">
        <v>5186</v>
      </c>
      <c r="D2624" s="222" t="s">
        <v>2050</v>
      </c>
    </row>
    <row r="2625" spans="1:4" x14ac:dyDescent="0.25">
      <c r="A2625" s="222" t="s">
        <v>5185</v>
      </c>
      <c r="B2625" s="222">
        <v>522036</v>
      </c>
      <c r="C2625" s="222" t="s">
        <v>5184</v>
      </c>
      <c r="D2625" s="222" t="s">
        <v>1395</v>
      </c>
    </row>
    <row r="2626" spans="1:4" x14ac:dyDescent="0.25">
      <c r="A2626" s="222" t="s">
        <v>5183</v>
      </c>
      <c r="B2626" s="222">
        <v>522241</v>
      </c>
      <c r="C2626" s="222" t="s">
        <v>5182</v>
      </c>
      <c r="D2626" s="222" t="s">
        <v>1313</v>
      </c>
    </row>
    <row r="2627" spans="1:4" x14ac:dyDescent="0.25">
      <c r="A2627" s="222" t="s">
        <v>5181</v>
      </c>
      <c r="B2627" s="222">
        <v>509196</v>
      </c>
      <c r="C2627" s="222" t="s">
        <v>5180</v>
      </c>
      <c r="D2627" s="222" t="s">
        <v>5179</v>
      </c>
    </row>
    <row r="2628" spans="1:4" x14ac:dyDescent="0.25">
      <c r="A2628" s="222" t="s">
        <v>5178</v>
      </c>
      <c r="B2628" s="222" t="s">
        <v>2052</v>
      </c>
      <c r="C2628" s="222" t="s">
        <v>5177</v>
      </c>
      <c r="D2628" s="222" t="s">
        <v>2050</v>
      </c>
    </row>
    <row r="2629" spans="1:4" x14ac:dyDescent="0.25">
      <c r="A2629" s="222" t="s">
        <v>5176</v>
      </c>
      <c r="B2629" s="222">
        <v>513377</v>
      </c>
      <c r="C2629" s="222" t="s">
        <v>5175</v>
      </c>
      <c r="D2629" s="222" t="s">
        <v>1529</v>
      </c>
    </row>
    <row r="2630" spans="1:4" x14ac:dyDescent="0.25">
      <c r="A2630" s="222" t="s">
        <v>5174</v>
      </c>
      <c r="B2630" s="222">
        <v>503772</v>
      </c>
      <c r="C2630" s="222" t="s">
        <v>2052</v>
      </c>
      <c r="D2630" s="222" t="s">
        <v>1529</v>
      </c>
    </row>
    <row r="2631" spans="1:4" x14ac:dyDescent="0.25">
      <c r="A2631" s="222" t="s">
        <v>5173</v>
      </c>
      <c r="B2631" s="222">
        <v>503015</v>
      </c>
      <c r="C2631" s="222" t="s">
        <v>2052</v>
      </c>
      <c r="D2631" s="222" t="s">
        <v>1529</v>
      </c>
    </row>
    <row r="2632" spans="1:4" x14ac:dyDescent="0.25">
      <c r="A2632" s="222" t="s">
        <v>5172</v>
      </c>
      <c r="B2632" s="222">
        <v>539762</v>
      </c>
      <c r="C2632" s="222" t="s">
        <v>2052</v>
      </c>
      <c r="D2632" s="222" t="s">
        <v>731</v>
      </c>
    </row>
    <row r="2633" spans="1:4" x14ac:dyDescent="0.25">
      <c r="A2633" s="222" t="s">
        <v>5171</v>
      </c>
      <c r="B2633" s="222">
        <v>519287</v>
      </c>
      <c r="C2633" s="222" t="s">
        <v>2052</v>
      </c>
      <c r="D2633" s="222" t="s">
        <v>1161</v>
      </c>
    </row>
    <row r="2634" spans="1:4" x14ac:dyDescent="0.25">
      <c r="A2634" s="222" t="s">
        <v>5170</v>
      </c>
      <c r="B2634" s="222">
        <v>503015</v>
      </c>
      <c r="C2634" s="222" t="s">
        <v>2052</v>
      </c>
      <c r="D2634" s="222" t="s">
        <v>1529</v>
      </c>
    </row>
    <row r="2635" spans="1:4" x14ac:dyDescent="0.25">
      <c r="A2635" s="222" t="s">
        <v>5169</v>
      </c>
      <c r="B2635" s="222">
        <v>509760</v>
      </c>
      <c r="C2635" s="222" t="s">
        <v>2052</v>
      </c>
      <c r="D2635" s="222" t="s">
        <v>1262</v>
      </c>
    </row>
    <row r="2636" spans="1:4" x14ac:dyDescent="0.25">
      <c r="A2636" s="222" t="s">
        <v>5168</v>
      </c>
      <c r="B2636" s="222">
        <v>513303</v>
      </c>
      <c r="C2636" s="222" t="s">
        <v>5167</v>
      </c>
      <c r="D2636" s="222" t="s">
        <v>3202</v>
      </c>
    </row>
    <row r="2637" spans="1:4" x14ac:dyDescent="0.25">
      <c r="A2637" s="222" t="s">
        <v>5166</v>
      </c>
      <c r="B2637" s="222">
        <v>537092</v>
      </c>
      <c r="C2637" s="222" t="s">
        <v>2052</v>
      </c>
      <c r="D2637" s="222" t="s">
        <v>1262</v>
      </c>
    </row>
    <row r="2638" spans="1:4" x14ac:dyDescent="0.25">
      <c r="A2638" s="222" t="s">
        <v>5165</v>
      </c>
      <c r="B2638" s="222">
        <v>519003</v>
      </c>
      <c r="C2638" s="222" t="s">
        <v>2052</v>
      </c>
      <c r="D2638" s="222" t="s">
        <v>731</v>
      </c>
    </row>
    <row r="2639" spans="1:4" x14ac:dyDescent="0.25">
      <c r="A2639" s="222" t="s">
        <v>5164</v>
      </c>
      <c r="B2639" s="222">
        <v>500890</v>
      </c>
      <c r="C2639" s="222" t="s">
        <v>5163</v>
      </c>
      <c r="D2639" s="222" t="s">
        <v>1410</v>
      </c>
    </row>
    <row r="2640" spans="1:4" x14ac:dyDescent="0.25">
      <c r="A2640" s="222" t="s">
        <v>5162</v>
      </c>
      <c r="B2640" s="222">
        <v>503776</v>
      </c>
      <c r="C2640" s="222" t="s">
        <v>2052</v>
      </c>
      <c r="D2640" s="222" t="s">
        <v>1324</v>
      </c>
    </row>
    <row r="2641" spans="1:4" x14ac:dyDescent="0.25">
      <c r="A2641" s="222" t="s">
        <v>5161</v>
      </c>
      <c r="B2641" s="222">
        <v>506261</v>
      </c>
      <c r="C2641" s="222" t="s">
        <v>2052</v>
      </c>
      <c r="D2641" s="222" t="s">
        <v>1275</v>
      </c>
    </row>
    <row r="2642" spans="1:4" x14ac:dyDescent="0.25">
      <c r="A2642" s="222" t="s">
        <v>5160</v>
      </c>
      <c r="B2642" s="222" t="s">
        <v>2052</v>
      </c>
      <c r="C2642" s="222" t="s">
        <v>5159</v>
      </c>
      <c r="D2642" s="222" t="s">
        <v>2050</v>
      </c>
    </row>
    <row r="2643" spans="1:4" x14ac:dyDescent="0.25">
      <c r="A2643" s="222" t="s">
        <v>5158</v>
      </c>
      <c r="B2643" s="222">
        <v>531453</v>
      </c>
      <c r="C2643" s="222" t="s">
        <v>5157</v>
      </c>
      <c r="D2643" s="222" t="s">
        <v>1237</v>
      </c>
    </row>
    <row r="2644" spans="1:4" x14ac:dyDescent="0.25">
      <c r="A2644" s="222" t="s">
        <v>5156</v>
      </c>
      <c r="B2644" s="222">
        <v>530169</v>
      </c>
      <c r="C2644" s="222" t="s">
        <v>2052</v>
      </c>
      <c r="D2644" s="222" t="s">
        <v>1972</v>
      </c>
    </row>
    <row r="2645" spans="1:4" x14ac:dyDescent="0.25">
      <c r="A2645" s="222" t="s">
        <v>5155</v>
      </c>
      <c r="B2645" s="222">
        <v>532140</v>
      </c>
      <c r="C2645" s="222" t="s">
        <v>2052</v>
      </c>
      <c r="D2645" s="222" t="s">
        <v>1237</v>
      </c>
    </row>
    <row r="2646" spans="1:4" x14ac:dyDescent="0.25">
      <c r="A2646" s="222" t="s">
        <v>5154</v>
      </c>
      <c r="B2646" s="222">
        <v>530047</v>
      </c>
      <c r="C2646" s="222" t="s">
        <v>5153</v>
      </c>
      <c r="D2646" s="222" t="s">
        <v>1237</v>
      </c>
    </row>
    <row r="2647" spans="1:4" x14ac:dyDescent="0.25">
      <c r="A2647" s="222" t="s">
        <v>5152</v>
      </c>
      <c r="B2647" s="222">
        <v>533286</v>
      </c>
      <c r="C2647" s="222" t="s">
        <v>5151</v>
      </c>
      <c r="D2647" s="222" t="s">
        <v>2796</v>
      </c>
    </row>
    <row r="2648" spans="1:4" x14ac:dyDescent="0.25">
      <c r="A2648" s="222" t="s">
        <v>5150</v>
      </c>
      <c r="B2648" s="222" t="s">
        <v>2052</v>
      </c>
      <c r="C2648" s="222" t="s">
        <v>5149</v>
      </c>
      <c r="D2648" s="222" t="s">
        <v>2050</v>
      </c>
    </row>
    <row r="2649" spans="1:4" x14ac:dyDescent="0.25">
      <c r="A2649" s="222" t="s">
        <v>5148</v>
      </c>
      <c r="B2649" s="222">
        <v>533080</v>
      </c>
      <c r="C2649" s="222" t="s">
        <v>5147</v>
      </c>
      <c r="D2649" s="222" t="s">
        <v>1447</v>
      </c>
    </row>
    <row r="2650" spans="1:4" x14ac:dyDescent="0.25">
      <c r="A2650" s="222" t="s">
        <v>5146</v>
      </c>
      <c r="B2650" s="222">
        <v>526263</v>
      </c>
      <c r="C2650" s="222" t="s">
        <v>5145</v>
      </c>
      <c r="D2650" s="222" t="s">
        <v>2120</v>
      </c>
    </row>
    <row r="2651" spans="1:4" x14ac:dyDescent="0.25">
      <c r="A2651" s="222" t="s">
        <v>5144</v>
      </c>
      <c r="B2651" s="222">
        <v>511551</v>
      </c>
      <c r="C2651" s="222" t="s">
        <v>2052</v>
      </c>
      <c r="D2651" s="222" t="s">
        <v>1262</v>
      </c>
    </row>
    <row r="2652" spans="1:4" x14ac:dyDescent="0.25">
      <c r="A2652" s="222" t="s">
        <v>5143</v>
      </c>
      <c r="B2652" s="222">
        <v>535910</v>
      </c>
      <c r="C2652" s="222" t="s">
        <v>2052</v>
      </c>
      <c r="D2652" s="222" t="s">
        <v>1321</v>
      </c>
    </row>
    <row r="2653" spans="1:4" x14ac:dyDescent="0.25">
      <c r="A2653" s="222" t="s">
        <v>5142</v>
      </c>
      <c r="B2653" s="222">
        <v>532078</v>
      </c>
      <c r="C2653" s="222" t="s">
        <v>2052</v>
      </c>
      <c r="D2653" s="222" t="s">
        <v>2167</v>
      </c>
    </row>
    <row r="2654" spans="1:4" x14ac:dyDescent="0.25">
      <c r="A2654" s="222" t="s">
        <v>5141</v>
      </c>
      <c r="B2654" s="222">
        <v>513446</v>
      </c>
      <c r="C2654" s="222" t="s">
        <v>5140</v>
      </c>
      <c r="D2654" s="222" t="s">
        <v>2167</v>
      </c>
    </row>
    <row r="2655" spans="1:4" x14ac:dyDescent="0.25">
      <c r="A2655" s="222" t="s">
        <v>5139</v>
      </c>
      <c r="B2655" s="222">
        <v>532723</v>
      </c>
      <c r="C2655" s="222" t="s">
        <v>2052</v>
      </c>
      <c r="D2655" s="222" t="s">
        <v>1243</v>
      </c>
    </row>
    <row r="2656" spans="1:4" x14ac:dyDescent="0.25">
      <c r="A2656" s="222" t="s">
        <v>5138</v>
      </c>
      <c r="B2656" s="222">
        <v>505343</v>
      </c>
      <c r="C2656" s="222" t="s">
        <v>2052</v>
      </c>
      <c r="D2656" s="222" t="s">
        <v>2068</v>
      </c>
    </row>
    <row r="2657" spans="1:4" x14ac:dyDescent="0.25">
      <c r="A2657" s="222" t="s">
        <v>5137</v>
      </c>
      <c r="B2657" s="222">
        <v>505343</v>
      </c>
      <c r="C2657" s="222" t="s">
        <v>2052</v>
      </c>
      <c r="D2657" s="222" t="s">
        <v>2068</v>
      </c>
    </row>
    <row r="2658" spans="1:4" x14ac:dyDescent="0.25">
      <c r="A2658" s="222" t="s">
        <v>5136</v>
      </c>
      <c r="B2658" s="222">
        <v>524084</v>
      </c>
      <c r="C2658" s="222" t="s">
        <v>5134</v>
      </c>
      <c r="D2658" s="222" t="s">
        <v>1324</v>
      </c>
    </row>
    <row r="2659" spans="1:4" x14ac:dyDescent="0.25">
      <c r="A2659" s="222" t="s">
        <v>5135</v>
      </c>
      <c r="B2659" s="222">
        <v>524084</v>
      </c>
      <c r="C2659" s="222" t="s">
        <v>5134</v>
      </c>
      <c r="D2659" s="222" t="s">
        <v>1324</v>
      </c>
    </row>
    <row r="2660" spans="1:4" x14ac:dyDescent="0.25">
      <c r="A2660" s="222" t="s">
        <v>5133</v>
      </c>
      <c r="B2660" s="222">
        <v>538836</v>
      </c>
      <c r="C2660" s="222" t="s">
        <v>5132</v>
      </c>
      <c r="D2660" s="222" t="s">
        <v>1364</v>
      </c>
    </row>
    <row r="2661" spans="1:4" x14ac:dyDescent="0.25">
      <c r="A2661" s="222" t="s">
        <v>5131</v>
      </c>
      <c r="B2661" s="222">
        <v>530167</v>
      </c>
      <c r="C2661" s="222" t="s">
        <v>2052</v>
      </c>
      <c r="D2661" s="222" t="s">
        <v>1321</v>
      </c>
    </row>
    <row r="2662" spans="1:4" x14ac:dyDescent="0.25">
      <c r="A2662" s="222" t="s">
        <v>5130</v>
      </c>
      <c r="B2662" s="222">
        <v>539199</v>
      </c>
      <c r="C2662" s="222" t="s">
        <v>2052</v>
      </c>
      <c r="D2662" s="222" t="s">
        <v>1262</v>
      </c>
    </row>
    <row r="2663" spans="1:4" x14ac:dyDescent="0.25">
      <c r="A2663" s="222" t="s">
        <v>5129</v>
      </c>
      <c r="B2663" s="222">
        <v>532621</v>
      </c>
      <c r="C2663" s="222" t="s">
        <v>5128</v>
      </c>
      <c r="D2663" s="222" t="s">
        <v>1237</v>
      </c>
    </row>
    <row r="2664" spans="1:4" x14ac:dyDescent="0.25">
      <c r="A2664" s="222" t="s">
        <v>5127</v>
      </c>
      <c r="B2664" s="222">
        <v>511549</v>
      </c>
      <c r="C2664" s="222" t="s">
        <v>2052</v>
      </c>
      <c r="D2664" s="222" t="s">
        <v>1321</v>
      </c>
    </row>
    <row r="2665" spans="1:4" x14ac:dyDescent="0.25">
      <c r="A2665" s="222" t="s">
        <v>5126</v>
      </c>
      <c r="B2665" s="222">
        <v>500288</v>
      </c>
      <c r="C2665" s="222" t="s">
        <v>5125</v>
      </c>
      <c r="D2665" s="222" t="s">
        <v>789</v>
      </c>
    </row>
    <row r="2666" spans="1:4" x14ac:dyDescent="0.25">
      <c r="A2666" s="222" t="s">
        <v>5124</v>
      </c>
      <c r="B2666" s="222">
        <v>526237</v>
      </c>
      <c r="C2666" s="222" t="s">
        <v>2052</v>
      </c>
      <c r="D2666" s="222" t="s">
        <v>1321</v>
      </c>
    </row>
    <row r="2667" spans="1:4" x14ac:dyDescent="0.25">
      <c r="A2667" s="222" t="s">
        <v>5123</v>
      </c>
      <c r="B2667" s="222">
        <v>523160</v>
      </c>
      <c r="C2667" s="222" t="s">
        <v>2052</v>
      </c>
      <c r="D2667" s="222" t="s">
        <v>1395</v>
      </c>
    </row>
    <row r="2668" spans="1:4" x14ac:dyDescent="0.25">
      <c r="A2668" s="222" t="s">
        <v>5122</v>
      </c>
      <c r="B2668" s="222">
        <v>523160</v>
      </c>
      <c r="C2668" s="222" t="s">
        <v>2052</v>
      </c>
      <c r="D2668" s="222" t="s">
        <v>1395</v>
      </c>
    </row>
    <row r="2669" spans="1:4" x14ac:dyDescent="0.25">
      <c r="A2669" s="222" t="s">
        <v>5121</v>
      </c>
      <c r="B2669" s="222">
        <v>513305</v>
      </c>
      <c r="C2669" s="222" t="s">
        <v>5120</v>
      </c>
      <c r="D2669" s="222" t="s">
        <v>2068</v>
      </c>
    </row>
    <row r="2670" spans="1:4" x14ac:dyDescent="0.25">
      <c r="A2670" s="222" t="s">
        <v>5119</v>
      </c>
      <c r="B2670" s="222">
        <v>532407</v>
      </c>
      <c r="C2670" s="222" t="s">
        <v>2052</v>
      </c>
      <c r="D2670" s="222" t="s">
        <v>1942</v>
      </c>
    </row>
    <row r="2671" spans="1:4" x14ac:dyDescent="0.25">
      <c r="A2671" s="222" t="s">
        <v>5118</v>
      </c>
      <c r="B2671" s="222" t="s">
        <v>2052</v>
      </c>
      <c r="C2671" s="222" t="s">
        <v>5117</v>
      </c>
      <c r="D2671" s="222" t="s">
        <v>2197</v>
      </c>
    </row>
    <row r="2672" spans="1:4" x14ac:dyDescent="0.25">
      <c r="A2672" s="222" t="s">
        <v>5116</v>
      </c>
      <c r="B2672" s="222">
        <v>517334</v>
      </c>
      <c r="C2672" s="222" t="s">
        <v>5115</v>
      </c>
      <c r="D2672" s="222" t="s">
        <v>1306</v>
      </c>
    </row>
    <row r="2673" spans="1:4" x14ac:dyDescent="0.25">
      <c r="A2673" s="222" t="s">
        <v>5114</v>
      </c>
      <c r="B2673" s="222">
        <v>532892</v>
      </c>
      <c r="C2673" s="222" t="s">
        <v>5113</v>
      </c>
      <c r="D2673" s="222" t="s">
        <v>1321</v>
      </c>
    </row>
    <row r="2674" spans="1:4" x14ac:dyDescent="0.25">
      <c r="A2674" s="222" t="s">
        <v>5112</v>
      </c>
      <c r="B2674" s="222">
        <v>590115</v>
      </c>
      <c r="C2674" s="222" t="s">
        <v>5111</v>
      </c>
      <c r="D2674" s="222" t="s">
        <v>1262</v>
      </c>
    </row>
    <row r="2675" spans="1:4" x14ac:dyDescent="0.25">
      <c r="A2675" s="222" t="s">
        <v>5110</v>
      </c>
      <c r="B2675" s="222">
        <v>533385</v>
      </c>
      <c r="C2675" s="222" t="s">
        <v>5109</v>
      </c>
      <c r="D2675" s="222" t="s">
        <v>1262</v>
      </c>
    </row>
    <row r="2676" spans="1:4" x14ac:dyDescent="0.25">
      <c r="A2676" s="222" t="s">
        <v>5108</v>
      </c>
      <c r="B2676" s="222">
        <v>507522</v>
      </c>
      <c r="C2676" s="222" t="s">
        <v>2052</v>
      </c>
      <c r="D2676" s="222" t="s">
        <v>2146</v>
      </c>
    </row>
    <row r="2677" spans="1:4" x14ac:dyDescent="0.25">
      <c r="A2677" s="222" t="s">
        <v>5107</v>
      </c>
      <c r="B2677" s="222">
        <v>526299</v>
      </c>
      <c r="C2677" s="222" t="s">
        <v>5106</v>
      </c>
      <c r="D2677" s="222" t="s">
        <v>1265</v>
      </c>
    </row>
    <row r="2678" spans="1:4" x14ac:dyDescent="0.25">
      <c r="A2678" s="222" t="s">
        <v>5105</v>
      </c>
      <c r="B2678" s="222">
        <v>500450</v>
      </c>
      <c r="C2678" s="222" t="s">
        <v>2052</v>
      </c>
      <c r="D2678" s="222" t="s">
        <v>1262</v>
      </c>
    </row>
    <row r="2679" spans="1:4" x14ac:dyDescent="0.25">
      <c r="A2679" s="222" t="s">
        <v>5104</v>
      </c>
      <c r="B2679" s="222">
        <v>526143</v>
      </c>
      <c r="C2679" s="222" t="s">
        <v>2052</v>
      </c>
      <c r="D2679" s="222" t="s">
        <v>1447</v>
      </c>
    </row>
    <row r="2680" spans="1:4" x14ac:dyDescent="0.25">
      <c r="A2680" s="222" t="s">
        <v>5103</v>
      </c>
      <c r="B2680" s="222">
        <v>532440</v>
      </c>
      <c r="C2680" s="222" t="s">
        <v>5102</v>
      </c>
      <c r="D2680" s="222" t="s">
        <v>2542</v>
      </c>
    </row>
    <row r="2681" spans="1:4" x14ac:dyDescent="0.25">
      <c r="A2681" s="222" t="s">
        <v>5101</v>
      </c>
      <c r="B2681" s="222">
        <v>540809</v>
      </c>
      <c r="C2681" s="222" t="s">
        <v>2052</v>
      </c>
      <c r="D2681" s="222" t="s">
        <v>1529</v>
      </c>
    </row>
    <row r="2682" spans="1:4" x14ac:dyDescent="0.25">
      <c r="A2682" s="222" t="s">
        <v>5100</v>
      </c>
      <c r="B2682" s="222">
        <v>500290</v>
      </c>
      <c r="C2682" s="222" t="s">
        <v>5099</v>
      </c>
      <c r="D2682" s="222" t="s">
        <v>1410</v>
      </c>
    </row>
    <row r="2683" spans="1:4" x14ac:dyDescent="0.25">
      <c r="A2683" s="222" t="s">
        <v>5098</v>
      </c>
      <c r="B2683" s="222">
        <v>532376</v>
      </c>
      <c r="C2683" s="222" t="s">
        <v>5097</v>
      </c>
      <c r="D2683" s="222" t="s">
        <v>2114</v>
      </c>
    </row>
    <row r="2684" spans="1:4" x14ac:dyDescent="0.25">
      <c r="A2684" s="222" t="s">
        <v>5096</v>
      </c>
      <c r="B2684" s="222">
        <v>512065</v>
      </c>
      <c r="C2684" s="222" t="s">
        <v>2052</v>
      </c>
      <c r="D2684" s="222" t="s">
        <v>1321</v>
      </c>
    </row>
    <row r="2685" spans="1:4" x14ac:dyDescent="0.25">
      <c r="A2685" s="222" t="s">
        <v>5095</v>
      </c>
      <c r="B2685" s="222">
        <v>532650</v>
      </c>
      <c r="C2685" s="222" t="s">
        <v>5094</v>
      </c>
      <c r="D2685" s="222" t="s">
        <v>740</v>
      </c>
    </row>
    <row r="2686" spans="1:4" x14ac:dyDescent="0.25">
      <c r="A2686" s="222" t="s">
        <v>5093</v>
      </c>
      <c r="B2686" s="222">
        <v>508922</v>
      </c>
      <c r="C2686" s="222" t="s">
        <v>2052</v>
      </c>
      <c r="D2686" s="222" t="s">
        <v>822</v>
      </c>
    </row>
    <row r="2687" spans="1:4" x14ac:dyDescent="0.25">
      <c r="A2687" s="222" t="s">
        <v>5092</v>
      </c>
      <c r="B2687" s="222">
        <v>508922</v>
      </c>
      <c r="C2687" s="222" t="s">
        <v>2052</v>
      </c>
      <c r="D2687" s="222" t="s">
        <v>822</v>
      </c>
    </row>
    <row r="2688" spans="1:4" x14ac:dyDescent="0.25">
      <c r="A2688" s="222" t="s">
        <v>5091</v>
      </c>
      <c r="B2688" s="222" t="s">
        <v>2052</v>
      </c>
      <c r="C2688" s="222" t="s">
        <v>5090</v>
      </c>
      <c r="D2688" s="222" t="s">
        <v>822</v>
      </c>
    </row>
    <row r="2689" spans="1:4" x14ac:dyDescent="0.25">
      <c r="A2689" s="222" t="s">
        <v>5089</v>
      </c>
      <c r="B2689" s="222">
        <v>542597</v>
      </c>
      <c r="C2689" s="222" t="s">
        <v>5088</v>
      </c>
      <c r="D2689" s="222" t="s">
        <v>2156</v>
      </c>
    </row>
    <row r="2690" spans="1:4" x14ac:dyDescent="0.25">
      <c r="A2690" s="222" t="s">
        <v>5087</v>
      </c>
      <c r="B2690" s="222">
        <v>534312</v>
      </c>
      <c r="C2690" s="222" t="s">
        <v>5086</v>
      </c>
      <c r="D2690" s="222" t="s">
        <v>854</v>
      </c>
    </row>
    <row r="2691" spans="1:4" x14ac:dyDescent="0.25">
      <c r="A2691" s="222" t="s">
        <v>5085</v>
      </c>
      <c r="B2691" s="222">
        <v>531919</v>
      </c>
      <c r="C2691" s="222" t="s">
        <v>2052</v>
      </c>
      <c r="D2691" s="222" t="s">
        <v>2108</v>
      </c>
    </row>
    <row r="2692" spans="1:4" x14ac:dyDescent="0.25">
      <c r="A2692" s="222" t="s">
        <v>5084</v>
      </c>
      <c r="B2692" s="222">
        <v>539819</v>
      </c>
      <c r="C2692" s="222" t="s">
        <v>2052</v>
      </c>
      <c r="D2692" s="222" t="s">
        <v>1262</v>
      </c>
    </row>
    <row r="2693" spans="1:4" x14ac:dyDescent="0.25">
      <c r="A2693" s="222" t="s">
        <v>5083</v>
      </c>
      <c r="B2693" s="222">
        <v>538743</v>
      </c>
      <c r="C2693" s="222" t="s">
        <v>2052</v>
      </c>
      <c r="D2693" s="222" t="s">
        <v>1265</v>
      </c>
    </row>
    <row r="2694" spans="1:4" x14ac:dyDescent="0.25">
      <c r="A2694" s="222" t="s">
        <v>5082</v>
      </c>
      <c r="B2694" s="222">
        <v>532097</v>
      </c>
      <c r="C2694" s="222" t="s">
        <v>5081</v>
      </c>
      <c r="D2694" s="222" t="s">
        <v>1248</v>
      </c>
    </row>
    <row r="2695" spans="1:4" x14ac:dyDescent="0.25">
      <c r="A2695" s="222" t="s">
        <v>5080</v>
      </c>
      <c r="B2695" s="222">
        <v>500460</v>
      </c>
      <c r="C2695" s="222" t="s">
        <v>5079</v>
      </c>
      <c r="D2695" s="222" t="s">
        <v>2167</v>
      </c>
    </row>
    <row r="2696" spans="1:4" x14ac:dyDescent="0.25">
      <c r="A2696" s="222" t="s">
        <v>5078</v>
      </c>
      <c r="B2696" s="222">
        <v>523832</v>
      </c>
      <c r="C2696" s="222" t="s">
        <v>5077</v>
      </c>
      <c r="D2696" s="222" t="s">
        <v>5076</v>
      </c>
    </row>
    <row r="2697" spans="1:4" x14ac:dyDescent="0.25">
      <c r="A2697" s="222" t="s">
        <v>5075</v>
      </c>
      <c r="B2697" s="222">
        <v>530341</v>
      </c>
      <c r="C2697" s="222" t="s">
        <v>2052</v>
      </c>
      <c r="D2697" s="222" t="s">
        <v>1262</v>
      </c>
    </row>
    <row r="2698" spans="1:4" x14ac:dyDescent="0.25">
      <c r="A2698" s="222" t="s">
        <v>5074</v>
      </c>
      <c r="B2698" s="222">
        <v>535204</v>
      </c>
      <c r="C2698" s="222" t="s">
        <v>2052</v>
      </c>
      <c r="D2698" s="222" t="s">
        <v>1529</v>
      </c>
    </row>
    <row r="2699" spans="1:4" x14ac:dyDescent="0.25">
      <c r="A2699" s="222" t="s">
        <v>5073</v>
      </c>
      <c r="B2699" s="222">
        <v>532357</v>
      </c>
      <c r="C2699" s="222" t="s">
        <v>5072</v>
      </c>
      <c r="D2699" s="222" t="s">
        <v>2264</v>
      </c>
    </row>
    <row r="2700" spans="1:4" x14ac:dyDescent="0.25">
      <c r="A2700" s="222" t="s">
        <v>5071</v>
      </c>
      <c r="B2700" s="222">
        <v>501477</v>
      </c>
      <c r="C2700" s="222" t="s">
        <v>2052</v>
      </c>
      <c r="D2700" s="222" t="s">
        <v>1529</v>
      </c>
    </row>
    <row r="2701" spans="1:4" x14ac:dyDescent="0.25">
      <c r="A2701" s="222" t="s">
        <v>5070</v>
      </c>
      <c r="B2701" s="222">
        <v>501477</v>
      </c>
      <c r="C2701" s="222" t="s">
        <v>2052</v>
      </c>
      <c r="D2701" s="222" t="s">
        <v>1529</v>
      </c>
    </row>
    <row r="2702" spans="1:4" x14ac:dyDescent="0.25">
      <c r="A2702" s="222" t="s">
        <v>5069</v>
      </c>
      <c r="B2702" s="222">
        <v>534091</v>
      </c>
      <c r="C2702" s="222" t="s">
        <v>5067</v>
      </c>
      <c r="D2702" s="222" t="s">
        <v>2108</v>
      </c>
    </row>
    <row r="2703" spans="1:4" x14ac:dyDescent="0.25">
      <c r="A2703" s="222" t="s">
        <v>5068</v>
      </c>
      <c r="B2703" s="222">
        <v>534091</v>
      </c>
      <c r="C2703" s="222" t="s">
        <v>5067</v>
      </c>
      <c r="D2703" s="222" t="s">
        <v>2108</v>
      </c>
    </row>
    <row r="2704" spans="1:4" x14ac:dyDescent="0.25">
      <c r="A2704" s="222" t="s">
        <v>5066</v>
      </c>
      <c r="B2704" s="222">
        <v>526169</v>
      </c>
      <c r="C2704" s="222" t="s">
        <v>2052</v>
      </c>
      <c r="D2704" s="222" t="s">
        <v>1410</v>
      </c>
    </row>
    <row r="2705" spans="1:4" x14ac:dyDescent="0.25">
      <c r="A2705" s="222" t="s">
        <v>5065</v>
      </c>
      <c r="B2705" s="222">
        <v>526169</v>
      </c>
      <c r="C2705" s="222" t="s">
        <v>2052</v>
      </c>
      <c r="D2705" s="222" t="s">
        <v>1410</v>
      </c>
    </row>
    <row r="2706" spans="1:4" x14ac:dyDescent="0.25">
      <c r="A2706" s="222" t="s">
        <v>5064</v>
      </c>
      <c r="B2706" s="222">
        <v>505594</v>
      </c>
      <c r="C2706" s="222" t="s">
        <v>2052</v>
      </c>
      <c r="D2706" s="222" t="s">
        <v>2068</v>
      </c>
    </row>
    <row r="2707" spans="1:4" x14ac:dyDescent="0.25">
      <c r="A2707" s="222" t="s">
        <v>5063</v>
      </c>
      <c r="B2707" s="222">
        <v>504356</v>
      </c>
      <c r="C2707" s="222" t="s">
        <v>2052</v>
      </c>
      <c r="D2707" s="222" t="s">
        <v>2068</v>
      </c>
    </row>
    <row r="2708" spans="1:4" x14ac:dyDescent="0.25">
      <c r="A2708" s="222" t="s">
        <v>5062</v>
      </c>
      <c r="B2708" s="222">
        <v>520059</v>
      </c>
      <c r="C2708" s="222" t="s">
        <v>5061</v>
      </c>
      <c r="D2708" s="222" t="s">
        <v>1306</v>
      </c>
    </row>
    <row r="2709" spans="1:4" x14ac:dyDescent="0.25">
      <c r="A2709" s="222" t="s">
        <v>5060</v>
      </c>
      <c r="B2709" s="222">
        <v>520043</v>
      </c>
      <c r="C2709" s="222" t="s">
        <v>5059</v>
      </c>
      <c r="D2709" s="222" t="s">
        <v>1306</v>
      </c>
    </row>
    <row r="2710" spans="1:4" x14ac:dyDescent="0.25">
      <c r="A2710" s="222" t="s">
        <v>5058</v>
      </c>
      <c r="B2710" s="222">
        <v>511200</v>
      </c>
      <c r="C2710" s="222" t="s">
        <v>2052</v>
      </c>
      <c r="D2710" s="222" t="s">
        <v>2068</v>
      </c>
    </row>
    <row r="2711" spans="1:4" x14ac:dyDescent="0.25">
      <c r="A2711" s="222" t="s">
        <v>5057</v>
      </c>
      <c r="B2711" s="222">
        <v>511401</v>
      </c>
      <c r="C2711" s="222" t="s">
        <v>5056</v>
      </c>
      <c r="D2711" s="222" t="s">
        <v>1262</v>
      </c>
    </row>
    <row r="2712" spans="1:4" x14ac:dyDescent="0.25">
      <c r="A2712" s="222" t="s">
        <v>5055</v>
      </c>
      <c r="B2712" s="222">
        <v>531821</v>
      </c>
      <c r="C2712" s="222" t="s">
        <v>2052</v>
      </c>
      <c r="D2712" s="222" t="s">
        <v>1262</v>
      </c>
    </row>
    <row r="2713" spans="1:4" x14ac:dyDescent="0.25">
      <c r="A2713" s="222" t="s">
        <v>5054</v>
      </c>
      <c r="B2713" s="222">
        <v>515037</v>
      </c>
      <c r="C2713" s="222" t="s">
        <v>5053</v>
      </c>
      <c r="D2713" s="222" t="s">
        <v>2714</v>
      </c>
    </row>
    <row r="2714" spans="1:4" x14ac:dyDescent="0.25">
      <c r="A2714" s="222" t="s">
        <v>5052</v>
      </c>
      <c r="B2714" s="222">
        <v>540366</v>
      </c>
      <c r="C2714" s="222" t="s">
        <v>5051</v>
      </c>
      <c r="D2714" s="222" t="s">
        <v>2079</v>
      </c>
    </row>
    <row r="2715" spans="1:4" x14ac:dyDescent="0.25">
      <c r="A2715" s="222" t="s">
        <v>5050</v>
      </c>
      <c r="B2715" s="222">
        <v>511766</v>
      </c>
      <c r="C2715" s="222" t="s">
        <v>5049</v>
      </c>
      <c r="D2715" s="222" t="s">
        <v>1321</v>
      </c>
    </row>
    <row r="2716" spans="1:4" x14ac:dyDescent="0.25">
      <c r="A2716" s="222" t="s">
        <v>5048</v>
      </c>
      <c r="B2716" s="222">
        <v>533398</v>
      </c>
      <c r="C2716" s="222" t="s">
        <v>5047</v>
      </c>
      <c r="D2716" s="222" t="s">
        <v>1321</v>
      </c>
    </row>
    <row r="2717" spans="1:4" x14ac:dyDescent="0.25">
      <c r="A2717" s="222" t="s">
        <v>5046</v>
      </c>
      <c r="B2717" s="222">
        <v>532991</v>
      </c>
      <c r="C2717" s="222" t="s">
        <v>5045</v>
      </c>
      <c r="D2717" s="222" t="s">
        <v>1243</v>
      </c>
    </row>
    <row r="2718" spans="1:4" x14ac:dyDescent="0.25">
      <c r="A2718" s="222" t="s">
        <v>5044</v>
      </c>
      <c r="B2718" s="222">
        <v>538862</v>
      </c>
      <c r="C2718" s="222" t="s">
        <v>2052</v>
      </c>
      <c r="D2718" s="222" t="s">
        <v>1262</v>
      </c>
    </row>
    <row r="2719" spans="1:4" x14ac:dyDescent="0.25">
      <c r="A2719" s="222" t="s">
        <v>5043</v>
      </c>
      <c r="B2719" s="222">
        <v>506734</v>
      </c>
      <c r="C2719" s="222" t="s">
        <v>2052</v>
      </c>
      <c r="D2719" s="222" t="s">
        <v>998</v>
      </c>
    </row>
    <row r="2720" spans="1:4" x14ac:dyDescent="0.25">
      <c r="A2720" s="222" t="s">
        <v>5042</v>
      </c>
      <c r="B2720" s="222">
        <v>535205</v>
      </c>
      <c r="C2720" s="222" t="s">
        <v>2052</v>
      </c>
      <c r="D2720" s="222" t="s">
        <v>1529</v>
      </c>
    </row>
    <row r="2721" spans="1:4" x14ac:dyDescent="0.25">
      <c r="A2721" s="222" t="s">
        <v>5041</v>
      </c>
      <c r="B2721" s="222" t="s">
        <v>2052</v>
      </c>
      <c r="C2721" s="222" t="s">
        <v>5040</v>
      </c>
      <c r="D2721" s="222" t="s">
        <v>2197</v>
      </c>
    </row>
    <row r="2722" spans="1:4" x14ac:dyDescent="0.25">
      <c r="A2722" s="222" t="s">
        <v>5039</v>
      </c>
      <c r="B2722" s="222">
        <v>512024</v>
      </c>
      <c r="C2722" s="222" t="s">
        <v>2052</v>
      </c>
      <c r="D2722" s="222" t="s">
        <v>3661</v>
      </c>
    </row>
    <row r="2723" spans="1:4" x14ac:dyDescent="0.25">
      <c r="A2723" s="222" t="s">
        <v>5038</v>
      </c>
      <c r="B2723" s="222">
        <v>530897</v>
      </c>
      <c r="C2723" s="222" t="s">
        <v>2052</v>
      </c>
      <c r="D2723" s="222" t="s">
        <v>1425</v>
      </c>
    </row>
    <row r="2724" spans="1:4" x14ac:dyDescent="0.25">
      <c r="A2724" s="222" t="s">
        <v>5037</v>
      </c>
      <c r="B2724" s="222">
        <v>516082</v>
      </c>
      <c r="C2724" s="222" t="s">
        <v>5036</v>
      </c>
      <c r="D2724" s="222" t="s">
        <v>1972</v>
      </c>
    </row>
    <row r="2725" spans="1:4" x14ac:dyDescent="0.25">
      <c r="A2725" s="222" t="s">
        <v>5035</v>
      </c>
      <c r="B2725" s="222">
        <v>532623</v>
      </c>
      <c r="C2725" s="222" t="s">
        <v>2052</v>
      </c>
      <c r="D2725" s="222" t="s">
        <v>1529</v>
      </c>
    </row>
    <row r="2726" spans="1:4" x14ac:dyDescent="0.25">
      <c r="A2726" s="222" t="s">
        <v>5034</v>
      </c>
      <c r="B2726" s="222">
        <v>512279</v>
      </c>
      <c r="C2726" s="222" t="s">
        <v>2052</v>
      </c>
      <c r="D2726" s="222" t="s">
        <v>2068</v>
      </c>
    </row>
    <row r="2727" spans="1:4" x14ac:dyDescent="0.25">
      <c r="A2727" s="222" t="s">
        <v>5033</v>
      </c>
      <c r="B2727" s="222">
        <v>524709</v>
      </c>
      <c r="C2727" s="222" t="s">
        <v>5032</v>
      </c>
      <c r="D2727" s="222" t="s">
        <v>1324</v>
      </c>
    </row>
    <row r="2728" spans="1:4" x14ac:dyDescent="0.25">
      <c r="A2728" s="222" t="s">
        <v>5031</v>
      </c>
      <c r="B2728" s="222" t="s">
        <v>2052</v>
      </c>
      <c r="C2728" s="222" t="s">
        <v>5030</v>
      </c>
      <c r="D2728" s="222" t="s">
        <v>2197</v>
      </c>
    </row>
    <row r="2729" spans="1:4" x14ac:dyDescent="0.25">
      <c r="A2729" s="222" t="s">
        <v>5029</v>
      </c>
      <c r="B2729" s="222">
        <v>531832</v>
      </c>
      <c r="C2729" s="222" t="s">
        <v>2052</v>
      </c>
      <c r="D2729" s="222" t="s">
        <v>731</v>
      </c>
    </row>
    <row r="2730" spans="1:4" x14ac:dyDescent="0.25">
      <c r="A2730" s="222" t="s">
        <v>5028</v>
      </c>
      <c r="B2730" s="222">
        <v>539917</v>
      </c>
      <c r="C2730" s="222" t="s">
        <v>5027</v>
      </c>
      <c r="D2730" s="222" t="s">
        <v>734</v>
      </c>
    </row>
    <row r="2731" spans="1:4" x14ac:dyDescent="0.25">
      <c r="A2731" s="222" t="s">
        <v>5026</v>
      </c>
      <c r="B2731" s="222">
        <v>534184</v>
      </c>
      <c r="C2731" s="222" t="s">
        <v>5025</v>
      </c>
      <c r="D2731" s="222" t="s">
        <v>3699</v>
      </c>
    </row>
    <row r="2732" spans="1:4" x14ac:dyDescent="0.25">
      <c r="A2732" s="222" t="s">
        <v>5024</v>
      </c>
      <c r="B2732" s="222">
        <v>532362</v>
      </c>
      <c r="C2732" s="222" t="s">
        <v>2052</v>
      </c>
      <c r="D2732" s="222" t="s">
        <v>2167</v>
      </c>
    </row>
    <row r="2733" spans="1:4" x14ac:dyDescent="0.25">
      <c r="A2733" s="222" t="s">
        <v>5023</v>
      </c>
      <c r="B2733" s="222">
        <v>532895</v>
      </c>
      <c r="C2733" s="222" t="s">
        <v>5022</v>
      </c>
      <c r="D2733" s="222" t="s">
        <v>2108</v>
      </c>
    </row>
    <row r="2734" spans="1:4" x14ac:dyDescent="0.25">
      <c r="A2734" s="222" t="s">
        <v>5021</v>
      </c>
      <c r="B2734" s="222">
        <v>521109</v>
      </c>
      <c r="C2734" s="222" t="s">
        <v>5020</v>
      </c>
      <c r="D2734" s="222" t="s">
        <v>1237</v>
      </c>
    </row>
    <row r="2735" spans="1:4" x14ac:dyDescent="0.25">
      <c r="A2735" s="222" t="s">
        <v>5019</v>
      </c>
      <c r="B2735" s="222">
        <v>532952</v>
      </c>
      <c r="C2735" s="222" t="s">
        <v>5018</v>
      </c>
      <c r="D2735" s="222" t="s">
        <v>2108</v>
      </c>
    </row>
    <row r="2736" spans="1:4" x14ac:dyDescent="0.25">
      <c r="A2736" s="222" t="s">
        <v>5017</v>
      </c>
      <c r="B2736" s="222">
        <v>519136</v>
      </c>
      <c r="C2736" s="222" t="s">
        <v>5016</v>
      </c>
      <c r="D2736" s="222" t="s">
        <v>1237</v>
      </c>
    </row>
    <row r="2737" spans="1:4" x14ac:dyDescent="0.25">
      <c r="A2737" s="222" t="s">
        <v>5015</v>
      </c>
      <c r="B2737" s="222">
        <v>523391</v>
      </c>
      <c r="C2737" s="222" t="s">
        <v>5014</v>
      </c>
      <c r="D2737" s="222" t="s">
        <v>1237</v>
      </c>
    </row>
    <row r="2738" spans="1:4" x14ac:dyDescent="0.25">
      <c r="A2738" s="222" t="s">
        <v>5013</v>
      </c>
      <c r="B2738" s="222">
        <v>500296</v>
      </c>
      <c r="C2738" s="222" t="s">
        <v>5012</v>
      </c>
      <c r="D2738" s="222" t="s">
        <v>1237</v>
      </c>
    </row>
    <row r="2739" spans="1:4" x14ac:dyDescent="0.25">
      <c r="A2739" s="222" t="s">
        <v>5011</v>
      </c>
      <c r="B2739" s="222">
        <v>541418</v>
      </c>
      <c r="C2739" s="222" t="s">
        <v>2052</v>
      </c>
      <c r="D2739" s="222" t="s">
        <v>1161</v>
      </c>
    </row>
    <row r="2740" spans="1:4" x14ac:dyDescent="0.25">
      <c r="A2740" s="222" t="s">
        <v>5010</v>
      </c>
      <c r="B2740" s="222">
        <v>531212</v>
      </c>
      <c r="C2740" s="222" t="s">
        <v>2052</v>
      </c>
      <c r="D2740" s="222" t="s">
        <v>1321</v>
      </c>
    </row>
    <row r="2741" spans="1:4" x14ac:dyDescent="0.25">
      <c r="A2741" s="222" t="s">
        <v>5009</v>
      </c>
      <c r="B2741" s="222">
        <v>532256</v>
      </c>
      <c r="C2741" s="222" t="s">
        <v>5008</v>
      </c>
      <c r="D2741" s="222" t="s">
        <v>1321</v>
      </c>
    </row>
    <row r="2742" spans="1:4" x14ac:dyDescent="0.25">
      <c r="A2742" s="222" t="s">
        <v>5007</v>
      </c>
      <c r="B2742" s="222">
        <v>538395</v>
      </c>
      <c r="C2742" s="222" t="s">
        <v>2052</v>
      </c>
      <c r="D2742" s="222" t="s">
        <v>1262</v>
      </c>
    </row>
    <row r="2743" spans="1:4" x14ac:dyDescent="0.25">
      <c r="A2743" s="222" t="s">
        <v>5006</v>
      </c>
      <c r="B2743" s="222">
        <v>532641</v>
      </c>
      <c r="C2743" s="222" t="s">
        <v>5005</v>
      </c>
      <c r="D2743" s="222" t="s">
        <v>1237</v>
      </c>
    </row>
    <row r="2744" spans="1:4" x14ac:dyDescent="0.25">
      <c r="A2744" s="222" t="s">
        <v>5004</v>
      </c>
      <c r="B2744" s="222" t="s">
        <v>2052</v>
      </c>
      <c r="C2744" s="222" t="s">
        <v>5003</v>
      </c>
      <c r="D2744" s="222" t="s">
        <v>2050</v>
      </c>
    </row>
    <row r="2745" spans="1:4" x14ac:dyDescent="0.25">
      <c r="A2745" s="222" t="s">
        <v>5002</v>
      </c>
      <c r="B2745" s="222">
        <v>539551</v>
      </c>
      <c r="C2745" s="222" t="s">
        <v>5001</v>
      </c>
      <c r="D2745" s="222" t="s">
        <v>1297</v>
      </c>
    </row>
    <row r="2746" spans="1:4" x14ac:dyDescent="0.25">
      <c r="A2746" s="222" t="s">
        <v>5000</v>
      </c>
      <c r="B2746" s="222">
        <v>540080</v>
      </c>
      <c r="C2746" s="222" t="s">
        <v>2052</v>
      </c>
      <c r="D2746" s="222" t="s">
        <v>2167</v>
      </c>
    </row>
    <row r="2747" spans="1:4" x14ac:dyDescent="0.25">
      <c r="A2747" s="222" t="s">
        <v>4999</v>
      </c>
      <c r="B2747" s="222">
        <v>519455</v>
      </c>
      <c r="C2747" s="222" t="s">
        <v>2052</v>
      </c>
      <c r="D2747" s="222" t="s">
        <v>1364</v>
      </c>
    </row>
    <row r="2748" spans="1:4" x14ac:dyDescent="0.25">
      <c r="A2748" s="222" t="s">
        <v>4998</v>
      </c>
      <c r="B2748" s="222">
        <v>540204</v>
      </c>
      <c r="C2748" s="222" t="s">
        <v>4997</v>
      </c>
      <c r="D2748" s="222" t="s">
        <v>911</v>
      </c>
    </row>
    <row r="2749" spans="1:4" x14ac:dyDescent="0.25">
      <c r="A2749" s="222" t="s">
        <v>4996</v>
      </c>
      <c r="B2749" s="222">
        <v>531416</v>
      </c>
      <c r="C2749" s="222" t="s">
        <v>2052</v>
      </c>
      <c r="D2749" s="222" t="s">
        <v>1243</v>
      </c>
    </row>
    <row r="2750" spans="1:4" x14ac:dyDescent="0.25">
      <c r="A2750" s="222" t="s">
        <v>4995</v>
      </c>
      <c r="B2750" s="222" t="s">
        <v>2052</v>
      </c>
      <c r="C2750" s="222" t="s">
        <v>4994</v>
      </c>
      <c r="D2750" s="222" t="s">
        <v>2050</v>
      </c>
    </row>
    <row r="2751" spans="1:4" x14ac:dyDescent="0.25">
      <c r="A2751" s="222" t="s">
        <v>4993</v>
      </c>
      <c r="B2751" s="222">
        <v>526739</v>
      </c>
      <c r="C2751" s="222" t="s">
        <v>2052</v>
      </c>
      <c r="D2751" s="222" t="s">
        <v>722</v>
      </c>
    </row>
    <row r="2752" spans="1:4" x14ac:dyDescent="0.25">
      <c r="A2752" s="222" t="s">
        <v>4992</v>
      </c>
      <c r="B2752" s="222">
        <v>517431</v>
      </c>
      <c r="C2752" s="222" t="s">
        <v>4991</v>
      </c>
      <c r="D2752" s="222" t="s">
        <v>1251</v>
      </c>
    </row>
    <row r="2753" spans="1:4" x14ac:dyDescent="0.25">
      <c r="A2753" s="222" t="s">
        <v>4990</v>
      </c>
      <c r="B2753" s="222">
        <v>539595</v>
      </c>
      <c r="C2753" s="222" t="s">
        <v>2052</v>
      </c>
      <c r="D2753" s="222" t="s">
        <v>1262</v>
      </c>
    </row>
    <row r="2754" spans="1:4" x14ac:dyDescent="0.25">
      <c r="A2754" s="222" t="s">
        <v>4989</v>
      </c>
      <c r="B2754" s="222">
        <v>524816</v>
      </c>
      <c r="C2754" s="222" t="s">
        <v>4988</v>
      </c>
      <c r="D2754" s="222" t="s">
        <v>789</v>
      </c>
    </row>
    <row r="2755" spans="1:4" x14ac:dyDescent="0.25">
      <c r="A2755" s="222" t="s">
        <v>4987</v>
      </c>
      <c r="B2755" s="222">
        <v>537291</v>
      </c>
      <c r="C2755" s="222" t="s">
        <v>4985</v>
      </c>
      <c r="D2755" s="222" t="s">
        <v>731</v>
      </c>
    </row>
    <row r="2756" spans="1:4" x14ac:dyDescent="0.25">
      <c r="A2756" s="222" t="s">
        <v>4986</v>
      </c>
      <c r="B2756" s="222">
        <v>537291</v>
      </c>
      <c r="C2756" s="222" t="s">
        <v>4985</v>
      </c>
      <c r="D2756" s="222" t="s">
        <v>731</v>
      </c>
    </row>
    <row r="2757" spans="1:4" x14ac:dyDescent="0.25">
      <c r="A2757" s="222" t="s">
        <v>4984</v>
      </c>
      <c r="B2757" s="222">
        <v>502407</v>
      </c>
      <c r="C2757" s="222" t="s">
        <v>2052</v>
      </c>
      <c r="D2757" s="222" t="s">
        <v>1972</v>
      </c>
    </row>
    <row r="2758" spans="1:4" x14ac:dyDescent="0.25">
      <c r="A2758" s="222" t="s">
        <v>4983</v>
      </c>
      <c r="B2758" s="222">
        <v>532234</v>
      </c>
      <c r="C2758" s="222" t="s">
        <v>4982</v>
      </c>
      <c r="D2758" s="222" t="s">
        <v>2490</v>
      </c>
    </row>
    <row r="2759" spans="1:4" x14ac:dyDescent="0.25">
      <c r="A2759" s="222" t="s">
        <v>4981</v>
      </c>
      <c r="B2759" s="222">
        <v>523630</v>
      </c>
      <c r="C2759" s="222" t="s">
        <v>4980</v>
      </c>
      <c r="D2759" s="222" t="s">
        <v>734</v>
      </c>
    </row>
    <row r="2760" spans="1:4" x14ac:dyDescent="0.25">
      <c r="A2760" s="222" t="s">
        <v>4979</v>
      </c>
      <c r="B2760" s="222">
        <v>531289</v>
      </c>
      <c r="C2760" s="222" t="s">
        <v>2052</v>
      </c>
      <c r="D2760" s="222" t="s">
        <v>740</v>
      </c>
    </row>
    <row r="2761" spans="1:4" x14ac:dyDescent="0.25">
      <c r="A2761" s="222" t="s">
        <v>4978</v>
      </c>
      <c r="B2761" s="222">
        <v>531651</v>
      </c>
      <c r="C2761" s="222" t="s">
        <v>2052</v>
      </c>
      <c r="D2761" s="222" t="s">
        <v>2167</v>
      </c>
    </row>
    <row r="2762" spans="1:4" x14ac:dyDescent="0.25">
      <c r="A2762" s="222" t="s">
        <v>4977</v>
      </c>
      <c r="B2762" s="222">
        <v>507813</v>
      </c>
      <c r="C2762" s="222" t="s">
        <v>2052</v>
      </c>
      <c r="D2762" s="222" t="s">
        <v>4093</v>
      </c>
    </row>
    <row r="2763" spans="1:4" x14ac:dyDescent="0.25">
      <c r="A2763" s="222" t="s">
        <v>4976</v>
      </c>
      <c r="B2763" s="222">
        <v>500298</v>
      </c>
      <c r="C2763" s="222" t="s">
        <v>2052</v>
      </c>
      <c r="D2763" s="222" t="s">
        <v>998</v>
      </c>
    </row>
    <row r="2764" spans="1:4" x14ac:dyDescent="0.25">
      <c r="A2764" s="222" t="s">
        <v>4975</v>
      </c>
      <c r="B2764" s="222">
        <v>526616</v>
      </c>
      <c r="C2764" s="222" t="s">
        <v>2052</v>
      </c>
      <c r="D2764" s="222" t="s">
        <v>1251</v>
      </c>
    </row>
    <row r="2765" spans="1:4" x14ac:dyDescent="0.25">
      <c r="A2765" s="222" t="s">
        <v>4974</v>
      </c>
      <c r="B2765" s="222">
        <v>531287</v>
      </c>
      <c r="C2765" s="222" t="s">
        <v>2052</v>
      </c>
      <c r="D2765" s="222" t="s">
        <v>1251</v>
      </c>
    </row>
    <row r="2766" spans="1:4" x14ac:dyDescent="0.25">
      <c r="A2766" s="222" t="s">
        <v>4973</v>
      </c>
      <c r="B2766" s="222">
        <v>516062</v>
      </c>
      <c r="C2766" s="222" t="s">
        <v>2052</v>
      </c>
      <c r="D2766" s="222" t="s">
        <v>1272</v>
      </c>
    </row>
    <row r="2767" spans="1:4" x14ac:dyDescent="0.25">
      <c r="A2767" s="222" t="s">
        <v>4972</v>
      </c>
      <c r="B2767" s="222">
        <v>504882</v>
      </c>
      <c r="C2767" s="222" t="s">
        <v>2052</v>
      </c>
      <c r="D2767" s="222" t="s">
        <v>1243</v>
      </c>
    </row>
    <row r="2768" spans="1:4" x14ac:dyDescent="0.25">
      <c r="A2768" s="222" t="s">
        <v>4971</v>
      </c>
      <c r="B2768" s="222">
        <v>504882</v>
      </c>
      <c r="C2768" s="222" t="s">
        <v>2052</v>
      </c>
      <c r="D2768" s="222" t="s">
        <v>1243</v>
      </c>
    </row>
    <row r="2769" spans="1:4" x14ac:dyDescent="0.25">
      <c r="A2769" s="222" t="s">
        <v>4970</v>
      </c>
      <c r="B2769" s="222">
        <v>513179</v>
      </c>
      <c r="C2769" s="222" t="s">
        <v>4969</v>
      </c>
      <c r="D2769" s="222" t="s">
        <v>2167</v>
      </c>
    </row>
    <row r="2770" spans="1:4" x14ac:dyDescent="0.25">
      <c r="A2770" s="222" t="s">
        <v>4968</v>
      </c>
      <c r="B2770" s="222">
        <v>530119</v>
      </c>
      <c r="C2770" s="222" t="s">
        <v>2052</v>
      </c>
      <c r="D2770" s="222" t="s">
        <v>1963</v>
      </c>
    </row>
    <row r="2771" spans="1:4" x14ac:dyDescent="0.25">
      <c r="A2771" s="222" t="s">
        <v>4967</v>
      </c>
      <c r="B2771" s="222">
        <v>531834</v>
      </c>
      <c r="C2771" s="222" t="s">
        <v>2052</v>
      </c>
      <c r="D2771" s="222" t="s">
        <v>731</v>
      </c>
    </row>
    <row r="2772" spans="1:4" x14ac:dyDescent="0.25">
      <c r="A2772" s="222" t="s">
        <v>4966</v>
      </c>
      <c r="B2772" s="222">
        <v>524654</v>
      </c>
      <c r="C2772" s="222" t="s">
        <v>2052</v>
      </c>
      <c r="D2772" s="222" t="s">
        <v>789</v>
      </c>
    </row>
    <row r="2773" spans="1:4" x14ac:dyDescent="0.25">
      <c r="A2773" s="222" t="s">
        <v>4965</v>
      </c>
      <c r="B2773" s="222">
        <v>538926</v>
      </c>
      <c r="C2773" s="222" t="s">
        <v>2052</v>
      </c>
      <c r="D2773" s="222" t="s">
        <v>731</v>
      </c>
    </row>
    <row r="2774" spans="1:4" x14ac:dyDescent="0.25">
      <c r="A2774" s="222" t="s">
        <v>4964</v>
      </c>
      <c r="B2774" s="222">
        <v>513023</v>
      </c>
      <c r="C2774" s="222" t="s">
        <v>4963</v>
      </c>
      <c r="D2774" s="222" t="s">
        <v>2380</v>
      </c>
    </row>
    <row r="2775" spans="1:4" x14ac:dyDescent="0.25">
      <c r="A2775" s="222" t="s">
        <v>4962</v>
      </c>
      <c r="B2775" s="222">
        <v>539521</v>
      </c>
      <c r="C2775" s="222" t="s">
        <v>2052</v>
      </c>
      <c r="D2775" s="222" t="s">
        <v>1262</v>
      </c>
    </row>
    <row r="2776" spans="1:4" x14ac:dyDescent="0.25">
      <c r="A2776" s="222" t="s">
        <v>4961</v>
      </c>
      <c r="B2776" s="222">
        <v>532504</v>
      </c>
      <c r="C2776" s="222" t="s">
        <v>4960</v>
      </c>
      <c r="D2776" s="222" t="s">
        <v>998</v>
      </c>
    </row>
    <row r="2777" spans="1:4" x14ac:dyDescent="0.25">
      <c r="A2777" s="222" t="s">
        <v>4959</v>
      </c>
      <c r="B2777" s="222">
        <v>531494</v>
      </c>
      <c r="C2777" s="222" t="s">
        <v>2052</v>
      </c>
      <c r="D2777" s="222" t="s">
        <v>1243</v>
      </c>
    </row>
    <row r="2778" spans="1:4" x14ac:dyDescent="0.25">
      <c r="A2778" s="222" t="s">
        <v>4958</v>
      </c>
      <c r="B2778" s="222">
        <v>539332</v>
      </c>
      <c r="C2778" s="222" t="s">
        <v>4957</v>
      </c>
      <c r="D2778" s="222" t="s">
        <v>1292</v>
      </c>
    </row>
    <row r="2779" spans="1:4" x14ac:dyDescent="0.25">
      <c r="A2779" s="222" t="s">
        <v>4956</v>
      </c>
      <c r="B2779" s="222">
        <v>539525</v>
      </c>
      <c r="C2779" s="222" t="s">
        <v>2052</v>
      </c>
      <c r="D2779" s="222" t="s">
        <v>1137</v>
      </c>
    </row>
    <row r="2780" spans="1:4" x14ac:dyDescent="0.25">
      <c r="A2780" s="222" t="s">
        <v>4955</v>
      </c>
      <c r="B2780" s="222">
        <v>508989</v>
      </c>
      <c r="C2780" s="222" t="s">
        <v>4954</v>
      </c>
      <c r="D2780" s="222" t="s">
        <v>2784</v>
      </c>
    </row>
    <row r="2781" spans="1:4" x14ac:dyDescent="0.25">
      <c r="A2781" s="222" t="s">
        <v>4953</v>
      </c>
      <c r="B2781" s="222">
        <v>538668</v>
      </c>
      <c r="C2781" s="222" t="s">
        <v>2052</v>
      </c>
      <c r="D2781" s="222" t="s">
        <v>1321</v>
      </c>
    </row>
    <row r="2782" spans="1:4" x14ac:dyDescent="0.25">
      <c r="A2782" s="222" t="s">
        <v>4952</v>
      </c>
      <c r="B2782" s="222">
        <v>523242</v>
      </c>
      <c r="C2782" s="222" t="s">
        <v>2052</v>
      </c>
      <c r="D2782" s="222" t="s">
        <v>754</v>
      </c>
    </row>
    <row r="2783" spans="1:4" x14ac:dyDescent="0.25">
      <c r="A2783" s="222" t="s">
        <v>4951</v>
      </c>
      <c r="B2783" s="222">
        <v>534309</v>
      </c>
      <c r="C2783" s="222" t="s">
        <v>4949</v>
      </c>
      <c r="D2783" s="222" t="s">
        <v>1248</v>
      </c>
    </row>
    <row r="2784" spans="1:4" x14ac:dyDescent="0.25">
      <c r="A2784" s="222" t="s">
        <v>4950</v>
      </c>
      <c r="B2784" s="222">
        <v>534309</v>
      </c>
      <c r="C2784" s="222" t="s">
        <v>4949</v>
      </c>
      <c r="D2784" s="222" t="s">
        <v>1248</v>
      </c>
    </row>
    <row r="2785" spans="1:4" x14ac:dyDescent="0.25">
      <c r="A2785" s="222" t="s">
        <v>4948</v>
      </c>
      <c r="B2785" s="222">
        <v>519506</v>
      </c>
      <c r="C2785" s="222" t="s">
        <v>2052</v>
      </c>
      <c r="D2785" s="222" t="s">
        <v>1161</v>
      </c>
    </row>
    <row r="2786" spans="1:4" x14ac:dyDescent="0.25">
      <c r="A2786" s="222" t="s">
        <v>4947</v>
      </c>
      <c r="B2786" s="222">
        <v>531452</v>
      </c>
      <c r="C2786" s="222" t="s">
        <v>2052</v>
      </c>
      <c r="D2786" s="222" t="s">
        <v>1321</v>
      </c>
    </row>
    <row r="2787" spans="1:4" x14ac:dyDescent="0.25">
      <c r="A2787" s="222" t="s">
        <v>4946</v>
      </c>
      <c r="B2787" s="222">
        <v>500294</v>
      </c>
      <c r="C2787" s="222" t="s">
        <v>4945</v>
      </c>
      <c r="D2787" s="222" t="s">
        <v>1248</v>
      </c>
    </row>
    <row r="2788" spans="1:4" x14ac:dyDescent="0.25">
      <c r="A2788" s="222" t="s">
        <v>4944</v>
      </c>
      <c r="B2788" s="222">
        <v>502168</v>
      </c>
      <c r="C2788" s="222" t="s">
        <v>4943</v>
      </c>
      <c r="D2788" s="222" t="s">
        <v>1004</v>
      </c>
    </row>
    <row r="2789" spans="1:4" x14ac:dyDescent="0.25">
      <c r="A2789" s="222" t="s">
        <v>4942</v>
      </c>
      <c r="B2789" s="222">
        <v>530557</v>
      </c>
      <c r="C2789" s="222" t="s">
        <v>2052</v>
      </c>
      <c r="D2789" s="222" t="s">
        <v>1262</v>
      </c>
    </row>
    <row r="2790" spans="1:4" x14ac:dyDescent="0.25">
      <c r="A2790" s="222" t="s">
        <v>4941</v>
      </c>
      <c r="B2790" s="222">
        <v>511535</v>
      </c>
      <c r="C2790" s="222" t="s">
        <v>2052</v>
      </c>
      <c r="D2790" s="222" t="s">
        <v>1262</v>
      </c>
    </row>
    <row r="2791" spans="1:4" x14ac:dyDescent="0.25">
      <c r="A2791" s="222" t="s">
        <v>4940</v>
      </c>
      <c r="B2791" s="222">
        <v>532649</v>
      </c>
      <c r="C2791" s="222" t="s">
        <v>4939</v>
      </c>
      <c r="D2791" s="222" t="s">
        <v>789</v>
      </c>
    </row>
    <row r="2792" spans="1:4" x14ac:dyDescent="0.25">
      <c r="A2792" s="222" t="s">
        <v>4938</v>
      </c>
      <c r="B2792" s="222">
        <v>508670</v>
      </c>
      <c r="C2792" s="222" t="s">
        <v>2052</v>
      </c>
      <c r="D2792" s="222" t="s">
        <v>1400</v>
      </c>
    </row>
    <row r="2793" spans="1:4" x14ac:dyDescent="0.25">
      <c r="A2793" s="222" t="s">
        <v>4937</v>
      </c>
      <c r="B2793" s="222">
        <v>531049</v>
      </c>
      <c r="C2793" s="222" t="s">
        <v>2052</v>
      </c>
      <c r="D2793" s="222" t="s">
        <v>2357</v>
      </c>
    </row>
    <row r="2794" spans="1:4" x14ac:dyDescent="0.25">
      <c r="A2794" s="222" t="s">
        <v>4936</v>
      </c>
      <c r="B2794" s="222">
        <v>539409</v>
      </c>
      <c r="C2794" s="222" t="s">
        <v>2052</v>
      </c>
      <c r="D2794" s="222" t="s">
        <v>1529</v>
      </c>
    </row>
    <row r="2795" spans="1:4" x14ac:dyDescent="0.25">
      <c r="A2795" s="222" t="s">
        <v>4935</v>
      </c>
      <c r="B2795" s="222">
        <v>537838</v>
      </c>
      <c r="C2795" s="222" t="s">
        <v>2052</v>
      </c>
      <c r="D2795" s="222" t="s">
        <v>1529</v>
      </c>
    </row>
    <row r="2796" spans="1:4" x14ac:dyDescent="0.25">
      <c r="A2796" s="222" t="s">
        <v>4934</v>
      </c>
      <c r="B2796" s="222">
        <v>519560</v>
      </c>
      <c r="C2796" s="222" t="s">
        <v>2052</v>
      </c>
      <c r="D2796" s="222" t="s">
        <v>731</v>
      </c>
    </row>
    <row r="2797" spans="1:4" x14ac:dyDescent="0.25">
      <c r="A2797" s="222" t="s">
        <v>4933</v>
      </c>
      <c r="B2797" s="222">
        <v>539016</v>
      </c>
      <c r="C2797" s="222" t="s">
        <v>2052</v>
      </c>
      <c r="D2797" s="222" t="s">
        <v>1321</v>
      </c>
    </row>
    <row r="2798" spans="1:4" x14ac:dyDescent="0.25">
      <c r="A2798" s="222" t="s">
        <v>4932</v>
      </c>
      <c r="B2798" s="222">
        <v>532864</v>
      </c>
      <c r="C2798" s="222" t="s">
        <v>4931</v>
      </c>
      <c r="D2798" s="222" t="s">
        <v>1313</v>
      </c>
    </row>
    <row r="2799" spans="1:4" x14ac:dyDescent="0.25">
      <c r="A2799" s="222" t="s">
        <v>4930</v>
      </c>
      <c r="B2799" s="222">
        <v>504112</v>
      </c>
      <c r="C2799" s="222" t="s">
        <v>4929</v>
      </c>
      <c r="D2799" s="222" t="s">
        <v>2387</v>
      </c>
    </row>
    <row r="2800" spans="1:4" x14ac:dyDescent="0.25">
      <c r="A2800" s="222" t="s">
        <v>4928</v>
      </c>
      <c r="B2800" s="222">
        <v>514332</v>
      </c>
      <c r="C2800" s="222" t="s">
        <v>2052</v>
      </c>
      <c r="D2800" s="222" t="s">
        <v>1243</v>
      </c>
    </row>
    <row r="2801" spans="1:4" x14ac:dyDescent="0.25">
      <c r="A2801" s="222" t="s">
        <v>4927</v>
      </c>
      <c r="B2801" s="222">
        <v>526195</v>
      </c>
      <c r="C2801" s="222" t="s">
        <v>2052</v>
      </c>
      <c r="D2801" s="222" t="s">
        <v>1364</v>
      </c>
    </row>
    <row r="2802" spans="1:4" x14ac:dyDescent="0.25">
      <c r="A2802" s="222" t="s">
        <v>4926</v>
      </c>
      <c r="B2802" s="222">
        <v>526195</v>
      </c>
      <c r="C2802" s="222" t="s">
        <v>2052</v>
      </c>
      <c r="D2802" s="222" t="s">
        <v>1364</v>
      </c>
    </row>
    <row r="2803" spans="1:4" x14ac:dyDescent="0.25">
      <c r="A2803" s="222" t="s">
        <v>4925</v>
      </c>
      <c r="B2803" s="222">
        <v>542665</v>
      </c>
      <c r="C2803" s="222" t="s">
        <v>4924</v>
      </c>
      <c r="D2803" s="222" t="s">
        <v>722</v>
      </c>
    </row>
    <row r="2804" spans="1:4" x14ac:dyDescent="0.25">
      <c r="A2804" s="222" t="s">
        <v>4923</v>
      </c>
      <c r="B2804" s="222">
        <v>512522</v>
      </c>
      <c r="C2804" s="222" t="s">
        <v>2052</v>
      </c>
      <c r="D2804" s="222" t="s">
        <v>1529</v>
      </c>
    </row>
    <row r="2805" spans="1:4" x14ac:dyDescent="0.25">
      <c r="A2805" s="222" t="s">
        <v>4922</v>
      </c>
      <c r="B2805" s="222">
        <v>505355</v>
      </c>
      <c r="C2805" s="222" t="s">
        <v>4921</v>
      </c>
      <c r="D2805" s="222" t="s">
        <v>2068</v>
      </c>
    </row>
    <row r="2806" spans="1:4" x14ac:dyDescent="0.25">
      <c r="A2806" s="222" t="s">
        <v>4920</v>
      </c>
      <c r="B2806" s="222">
        <v>500790</v>
      </c>
      <c r="C2806" s="222" t="s">
        <v>4918</v>
      </c>
      <c r="D2806" s="222" t="s">
        <v>1161</v>
      </c>
    </row>
    <row r="2807" spans="1:4" x14ac:dyDescent="0.25">
      <c r="A2807" s="222" t="s">
        <v>4919</v>
      </c>
      <c r="B2807" s="222">
        <v>500790</v>
      </c>
      <c r="C2807" s="222" t="s">
        <v>4918</v>
      </c>
      <c r="D2807" s="222" t="s">
        <v>1161</v>
      </c>
    </row>
    <row r="2808" spans="1:4" x14ac:dyDescent="0.25">
      <c r="A2808" s="222" t="s">
        <v>4917</v>
      </c>
      <c r="B2808" s="222">
        <v>509040</v>
      </c>
      <c r="C2808" s="222" t="s">
        <v>2052</v>
      </c>
      <c r="D2808" s="222" t="s">
        <v>1942</v>
      </c>
    </row>
    <row r="2809" spans="1:4" x14ac:dyDescent="0.25">
      <c r="A2809" s="222" t="s">
        <v>4916</v>
      </c>
      <c r="B2809" s="222">
        <v>509040</v>
      </c>
      <c r="C2809" s="222" t="s">
        <v>2052</v>
      </c>
      <c r="D2809" s="222" t="s">
        <v>1942</v>
      </c>
    </row>
    <row r="2810" spans="1:4" x14ac:dyDescent="0.25">
      <c r="A2810" s="222" t="s">
        <v>4915</v>
      </c>
      <c r="B2810" s="222">
        <v>542117</v>
      </c>
      <c r="C2810" s="222" t="s">
        <v>2052</v>
      </c>
      <c r="D2810" s="222" t="s">
        <v>2197</v>
      </c>
    </row>
    <row r="2811" spans="1:4" x14ac:dyDescent="0.25">
      <c r="A2811" s="222" t="s">
        <v>4914</v>
      </c>
      <c r="B2811" s="222">
        <v>511658</v>
      </c>
      <c r="C2811" s="222" t="s">
        <v>2052</v>
      </c>
      <c r="D2811" s="222" t="s">
        <v>1942</v>
      </c>
    </row>
    <row r="2812" spans="1:4" x14ac:dyDescent="0.25">
      <c r="A2812" s="222" t="s">
        <v>4913</v>
      </c>
      <c r="B2812" s="222">
        <v>523558</v>
      </c>
      <c r="C2812" s="222" t="s">
        <v>2052</v>
      </c>
      <c r="D2812" s="222" t="s">
        <v>2062</v>
      </c>
    </row>
    <row r="2813" spans="1:4" x14ac:dyDescent="0.25">
      <c r="A2813" s="222" t="s">
        <v>4912</v>
      </c>
      <c r="B2813" s="222">
        <v>532798</v>
      </c>
      <c r="C2813" s="222" t="s">
        <v>4911</v>
      </c>
      <c r="D2813" s="222" t="s">
        <v>1289</v>
      </c>
    </row>
    <row r="2814" spans="1:4" x14ac:dyDescent="0.25">
      <c r="A2814" s="222" t="s">
        <v>4910</v>
      </c>
      <c r="B2814" s="222">
        <v>532887</v>
      </c>
      <c r="C2814" s="222" t="s">
        <v>4909</v>
      </c>
      <c r="D2814" s="222" t="s">
        <v>1066</v>
      </c>
    </row>
    <row r="2815" spans="1:4" x14ac:dyDescent="0.25">
      <c r="A2815" s="222" t="s">
        <v>4908</v>
      </c>
      <c r="B2815" s="222">
        <v>524558</v>
      </c>
      <c r="C2815" s="222" t="s">
        <v>4907</v>
      </c>
      <c r="D2815" s="222" t="s">
        <v>789</v>
      </c>
    </row>
    <row r="2816" spans="1:4" x14ac:dyDescent="0.25">
      <c r="A2816" s="222" t="s">
        <v>4906</v>
      </c>
      <c r="B2816" s="222">
        <v>532529</v>
      </c>
      <c r="C2816" s="222" t="s">
        <v>4905</v>
      </c>
      <c r="D2816" s="222" t="s">
        <v>2079</v>
      </c>
    </row>
    <row r="2817" spans="1:4" x14ac:dyDescent="0.25">
      <c r="A2817" s="222" t="s">
        <v>4904</v>
      </c>
      <c r="B2817" s="222">
        <v>540243</v>
      </c>
      <c r="C2817" s="222" t="s">
        <v>2052</v>
      </c>
      <c r="D2817" s="222" t="s">
        <v>1529</v>
      </c>
    </row>
    <row r="2818" spans="1:4" x14ac:dyDescent="0.25">
      <c r="A2818" s="222" t="s">
        <v>4903</v>
      </c>
      <c r="B2818" s="222">
        <v>508867</v>
      </c>
      <c r="C2818" s="222" t="s">
        <v>2052</v>
      </c>
      <c r="D2818" s="222" t="s">
        <v>1942</v>
      </c>
    </row>
    <row r="2819" spans="1:4" x14ac:dyDescent="0.25">
      <c r="A2819" s="222" t="s">
        <v>4902</v>
      </c>
      <c r="B2819" s="222">
        <v>501479</v>
      </c>
      <c r="C2819" s="222" t="s">
        <v>2052</v>
      </c>
      <c r="D2819" s="222" t="s">
        <v>1529</v>
      </c>
    </row>
    <row r="2820" spans="1:4" x14ac:dyDescent="0.25">
      <c r="A2820" s="222" t="s">
        <v>4901</v>
      </c>
      <c r="B2820" s="222">
        <v>536644</v>
      </c>
      <c r="C2820" s="222" t="s">
        <v>2052</v>
      </c>
      <c r="D2820" s="222" t="s">
        <v>1529</v>
      </c>
    </row>
    <row r="2821" spans="1:4" x14ac:dyDescent="0.25">
      <c r="A2821" s="222" t="s">
        <v>4900</v>
      </c>
      <c r="B2821" s="222">
        <v>540900</v>
      </c>
      <c r="C2821" s="222" t="s">
        <v>4899</v>
      </c>
      <c r="D2821" s="222" t="s">
        <v>1265</v>
      </c>
    </row>
    <row r="2822" spans="1:4" x14ac:dyDescent="0.25">
      <c r="A2822" s="222" t="s">
        <v>4898</v>
      </c>
      <c r="B2822" s="222">
        <v>532416</v>
      </c>
      <c r="C2822" s="222" t="s">
        <v>4897</v>
      </c>
      <c r="D2822" s="222" t="s">
        <v>2784</v>
      </c>
    </row>
    <row r="2823" spans="1:4" x14ac:dyDescent="0.25">
      <c r="A2823" s="222" t="s">
        <v>4896</v>
      </c>
      <c r="B2823" s="222">
        <v>538874</v>
      </c>
      <c r="C2823" s="222" t="s">
        <v>2052</v>
      </c>
      <c r="D2823" s="222" t="s">
        <v>1262</v>
      </c>
    </row>
    <row r="2824" spans="1:4" x14ac:dyDescent="0.25">
      <c r="A2824" s="222" t="s">
        <v>4895</v>
      </c>
      <c r="B2824" s="222">
        <v>524774</v>
      </c>
      <c r="C2824" s="222" t="s">
        <v>2052</v>
      </c>
      <c r="D2824" s="222" t="s">
        <v>789</v>
      </c>
    </row>
    <row r="2825" spans="1:4" x14ac:dyDescent="0.25">
      <c r="A2825" s="222" t="s">
        <v>4894</v>
      </c>
      <c r="B2825" s="222">
        <v>517554</v>
      </c>
      <c r="C2825" s="222" t="s">
        <v>2052</v>
      </c>
      <c r="D2825" s="222" t="s">
        <v>1083</v>
      </c>
    </row>
    <row r="2826" spans="1:4" x14ac:dyDescent="0.25">
      <c r="A2826" s="222" t="s">
        <v>4893</v>
      </c>
      <c r="B2826" s="222">
        <v>533098</v>
      </c>
      <c r="C2826" s="222" t="s">
        <v>4892</v>
      </c>
      <c r="D2826" s="222" t="s">
        <v>2380</v>
      </c>
    </row>
    <row r="2827" spans="1:4" x14ac:dyDescent="0.25">
      <c r="A2827" s="222" t="s">
        <v>4891</v>
      </c>
      <c r="B2827" s="222">
        <v>526721</v>
      </c>
      <c r="C2827" s="222" t="s">
        <v>2052</v>
      </c>
      <c r="D2827" s="222" t="s">
        <v>2130</v>
      </c>
    </row>
    <row r="2828" spans="1:4" x14ac:dyDescent="0.25">
      <c r="A2828" s="222" t="s">
        <v>4890</v>
      </c>
      <c r="B2828" s="222">
        <v>523209</v>
      </c>
      <c r="C2828" s="222" t="s">
        <v>2052</v>
      </c>
      <c r="D2828" s="222" t="s">
        <v>1321</v>
      </c>
    </row>
    <row r="2829" spans="1:4" x14ac:dyDescent="0.25">
      <c r="A2829" s="222" t="s">
        <v>4889</v>
      </c>
      <c r="B2829" s="222">
        <v>512103</v>
      </c>
      <c r="C2829" s="222" t="s">
        <v>2052</v>
      </c>
      <c r="D2829" s="222" t="s">
        <v>2357</v>
      </c>
    </row>
    <row r="2830" spans="1:4" x14ac:dyDescent="0.25">
      <c r="A2830" s="222" t="s">
        <v>4888</v>
      </c>
      <c r="B2830" s="222">
        <v>531083</v>
      </c>
      <c r="C2830" s="222" t="s">
        <v>2052</v>
      </c>
      <c r="D2830" s="222" t="s">
        <v>1942</v>
      </c>
    </row>
    <row r="2831" spans="1:4" x14ac:dyDescent="0.25">
      <c r="A2831" s="222" t="s">
        <v>4887</v>
      </c>
      <c r="B2831" s="222">
        <v>500304</v>
      </c>
      <c r="C2831" s="222" t="s">
        <v>4886</v>
      </c>
      <c r="D2831" s="222" t="s">
        <v>4885</v>
      </c>
    </row>
    <row r="2832" spans="1:4" x14ac:dyDescent="0.25">
      <c r="A2832" s="222" t="s">
        <v>4884</v>
      </c>
      <c r="B2832" s="222">
        <v>532541</v>
      </c>
      <c r="C2832" s="222" t="s">
        <v>4883</v>
      </c>
      <c r="D2832" s="222" t="s">
        <v>1265</v>
      </c>
    </row>
    <row r="2833" spans="1:4" x14ac:dyDescent="0.25">
      <c r="A2833" s="222" t="s">
        <v>4882</v>
      </c>
      <c r="B2833" s="222">
        <v>526159</v>
      </c>
      <c r="C2833" s="222" t="s">
        <v>2052</v>
      </c>
      <c r="D2833" s="222" t="s">
        <v>1529</v>
      </c>
    </row>
    <row r="2834" spans="1:4" x14ac:dyDescent="0.25">
      <c r="A2834" s="222" t="s">
        <v>4881</v>
      </c>
      <c r="B2834" s="222">
        <v>531272</v>
      </c>
      <c r="C2834" s="222" t="s">
        <v>2052</v>
      </c>
      <c r="D2834" s="222" t="s">
        <v>1321</v>
      </c>
    </row>
    <row r="2835" spans="1:4" x14ac:dyDescent="0.25">
      <c r="A2835" s="222" t="s">
        <v>4880</v>
      </c>
      <c r="B2835" s="222">
        <v>530377</v>
      </c>
      <c r="C2835" s="222" t="s">
        <v>4879</v>
      </c>
      <c r="D2835" s="222" t="s">
        <v>1243</v>
      </c>
    </row>
    <row r="2836" spans="1:4" x14ac:dyDescent="0.25">
      <c r="A2836" s="222" t="s">
        <v>4878</v>
      </c>
      <c r="B2836" s="222">
        <v>542231</v>
      </c>
      <c r="C2836" s="222" t="s">
        <v>4877</v>
      </c>
      <c r="D2836" s="222" t="s">
        <v>1243</v>
      </c>
    </row>
    <row r="2837" spans="1:4" x14ac:dyDescent="0.25">
      <c r="A2837" s="222" t="s">
        <v>4876</v>
      </c>
      <c r="B2837" s="222">
        <v>502294</v>
      </c>
      <c r="C2837" s="222" t="s">
        <v>2052</v>
      </c>
      <c r="D2837" s="222" t="s">
        <v>2357</v>
      </c>
    </row>
    <row r="2838" spans="1:4" x14ac:dyDescent="0.25">
      <c r="A2838" s="222" t="s">
        <v>4875</v>
      </c>
      <c r="B2838" s="222">
        <v>530129</v>
      </c>
      <c r="C2838" s="222" t="s">
        <v>2052</v>
      </c>
      <c r="D2838" s="222" t="s">
        <v>740</v>
      </c>
    </row>
    <row r="2839" spans="1:4" x14ac:dyDescent="0.25">
      <c r="A2839" s="222" t="s">
        <v>4874</v>
      </c>
      <c r="B2839" s="222">
        <v>523385</v>
      </c>
      <c r="C2839" s="222" t="s">
        <v>4873</v>
      </c>
      <c r="D2839" s="222" t="s">
        <v>1251</v>
      </c>
    </row>
    <row r="2840" spans="1:4" x14ac:dyDescent="0.25">
      <c r="A2840" s="222" t="s">
        <v>4872</v>
      </c>
      <c r="B2840" s="222">
        <v>512004</v>
      </c>
      <c r="C2840" s="222" t="s">
        <v>2052</v>
      </c>
      <c r="D2840" s="222" t="s">
        <v>2068</v>
      </c>
    </row>
    <row r="2841" spans="1:4" x14ac:dyDescent="0.25">
      <c r="A2841" s="222" t="s">
        <v>4871</v>
      </c>
      <c r="B2841" s="222">
        <v>531598</v>
      </c>
      <c r="C2841" s="222" t="s">
        <v>2052</v>
      </c>
      <c r="D2841" s="222" t="s">
        <v>1161</v>
      </c>
    </row>
    <row r="2842" spans="1:4" x14ac:dyDescent="0.25">
      <c r="A2842" s="222" t="s">
        <v>4870</v>
      </c>
      <c r="B2842" s="222">
        <v>530971</v>
      </c>
      <c r="C2842" s="222" t="s">
        <v>2052</v>
      </c>
      <c r="D2842" s="222" t="s">
        <v>1529</v>
      </c>
    </row>
    <row r="2843" spans="1:4" x14ac:dyDescent="0.25">
      <c r="A2843" s="222" t="s">
        <v>4869</v>
      </c>
      <c r="B2843" s="222">
        <v>511714</v>
      </c>
      <c r="C2843" s="222" t="s">
        <v>2052</v>
      </c>
      <c r="D2843" s="222" t="s">
        <v>1243</v>
      </c>
    </row>
    <row r="2844" spans="1:4" x14ac:dyDescent="0.25">
      <c r="A2844" s="222" t="s">
        <v>4868</v>
      </c>
      <c r="B2844" s="222">
        <v>539843</v>
      </c>
      <c r="C2844" s="222" t="s">
        <v>2052</v>
      </c>
      <c r="D2844" s="222" t="s">
        <v>1265</v>
      </c>
    </row>
    <row r="2845" spans="1:4" x14ac:dyDescent="0.25">
      <c r="A2845" s="222" t="s">
        <v>4867</v>
      </c>
      <c r="B2845" s="222">
        <v>532986</v>
      </c>
      <c r="C2845" s="222" t="s">
        <v>2052</v>
      </c>
      <c r="D2845" s="222" t="s">
        <v>1248</v>
      </c>
    </row>
    <row r="2846" spans="1:4" x14ac:dyDescent="0.25">
      <c r="A2846" s="222" t="s">
        <v>4866</v>
      </c>
      <c r="B2846" s="222" t="s">
        <v>2052</v>
      </c>
      <c r="C2846" s="222" t="s">
        <v>4865</v>
      </c>
      <c r="D2846" s="222" t="s">
        <v>2197</v>
      </c>
    </row>
    <row r="2847" spans="1:4" x14ac:dyDescent="0.25">
      <c r="A2847" s="222" t="s">
        <v>4864</v>
      </c>
      <c r="B2847" s="222">
        <v>512425</v>
      </c>
      <c r="C2847" s="222" t="s">
        <v>2052</v>
      </c>
      <c r="D2847" s="222" t="s">
        <v>1529</v>
      </c>
    </row>
    <row r="2848" spans="1:4" x14ac:dyDescent="0.25">
      <c r="A2848" s="222" t="s">
        <v>4863</v>
      </c>
      <c r="B2848" s="222">
        <v>500307</v>
      </c>
      <c r="C2848" s="222" t="s">
        <v>2052</v>
      </c>
      <c r="D2848" s="222" t="s">
        <v>2068</v>
      </c>
    </row>
    <row r="2849" spans="1:4" x14ac:dyDescent="0.25">
      <c r="A2849" s="222" t="s">
        <v>4862</v>
      </c>
      <c r="B2849" s="222">
        <v>539311</v>
      </c>
      <c r="C2849" s="222" t="s">
        <v>2052</v>
      </c>
      <c r="D2849" s="222" t="s">
        <v>1262</v>
      </c>
    </row>
    <row r="2850" spans="1:4" x14ac:dyDescent="0.25">
      <c r="A2850" s="222" t="s">
        <v>4861</v>
      </c>
      <c r="B2850" s="222">
        <v>539311</v>
      </c>
      <c r="C2850" s="222" t="s">
        <v>2052</v>
      </c>
      <c r="D2850" s="222" t="s">
        <v>1262</v>
      </c>
    </row>
    <row r="2851" spans="1:4" x14ac:dyDescent="0.25">
      <c r="A2851" s="222" t="s">
        <v>4860</v>
      </c>
      <c r="B2851" s="222">
        <v>532722</v>
      </c>
      <c r="C2851" s="222" t="s">
        <v>4859</v>
      </c>
      <c r="D2851" s="222" t="s">
        <v>2714</v>
      </c>
    </row>
    <row r="2852" spans="1:4" x14ac:dyDescent="0.25">
      <c r="A2852" s="222" t="s">
        <v>4858</v>
      </c>
      <c r="B2852" s="222">
        <v>533202</v>
      </c>
      <c r="C2852" s="222" t="s">
        <v>4857</v>
      </c>
      <c r="D2852" s="222" t="s">
        <v>1243</v>
      </c>
    </row>
    <row r="2853" spans="1:4" x14ac:dyDescent="0.25">
      <c r="A2853" s="222" t="s">
        <v>4856</v>
      </c>
      <c r="B2853" s="222">
        <v>508875</v>
      </c>
      <c r="C2853" s="222" t="s">
        <v>2052</v>
      </c>
      <c r="D2853" s="222" t="s">
        <v>2068</v>
      </c>
    </row>
    <row r="2854" spans="1:4" x14ac:dyDescent="0.25">
      <c r="A2854" s="222" t="s">
        <v>4855</v>
      </c>
      <c r="B2854" s="222">
        <v>532854</v>
      </c>
      <c r="C2854" s="222" t="s">
        <v>4854</v>
      </c>
      <c r="D2854" s="222" t="s">
        <v>832</v>
      </c>
    </row>
    <row r="2855" spans="1:4" x14ac:dyDescent="0.25">
      <c r="A2855" s="222" t="s">
        <v>4853</v>
      </c>
      <c r="B2855" s="222">
        <v>532698</v>
      </c>
      <c r="C2855" s="222" t="s">
        <v>4852</v>
      </c>
      <c r="D2855" s="222" t="s">
        <v>1237</v>
      </c>
    </row>
    <row r="2856" spans="1:4" x14ac:dyDescent="0.25">
      <c r="A2856" s="222" t="s">
        <v>4851</v>
      </c>
      <c r="B2856" s="222" t="s">
        <v>2052</v>
      </c>
      <c r="C2856" s="222" t="s">
        <v>4850</v>
      </c>
      <c r="D2856" s="222" t="s">
        <v>2050</v>
      </c>
    </row>
    <row r="2857" spans="1:4" x14ac:dyDescent="0.25">
      <c r="A2857" s="222" t="s">
        <v>4849</v>
      </c>
      <c r="B2857" s="222">
        <v>506532</v>
      </c>
      <c r="C2857" s="222" t="s">
        <v>2052</v>
      </c>
      <c r="D2857" s="222" t="s">
        <v>722</v>
      </c>
    </row>
    <row r="2858" spans="1:4" x14ac:dyDescent="0.25">
      <c r="A2858" s="222" t="s">
        <v>4848</v>
      </c>
      <c r="B2858" s="222">
        <v>506532</v>
      </c>
      <c r="C2858" s="222" t="s">
        <v>2052</v>
      </c>
      <c r="D2858" s="222" t="s">
        <v>722</v>
      </c>
    </row>
    <row r="2859" spans="1:4" x14ac:dyDescent="0.25">
      <c r="A2859" s="222" t="s">
        <v>4847</v>
      </c>
      <c r="B2859" s="222">
        <v>512381</v>
      </c>
      <c r="C2859" s="222" t="s">
        <v>2052</v>
      </c>
      <c r="D2859" s="222" t="s">
        <v>1529</v>
      </c>
    </row>
    <row r="2860" spans="1:4" x14ac:dyDescent="0.25">
      <c r="A2860" s="222" t="s">
        <v>4846</v>
      </c>
      <c r="B2860" s="222">
        <v>512245</v>
      </c>
      <c r="C2860" s="222" t="s">
        <v>2052</v>
      </c>
      <c r="D2860" s="222" t="s">
        <v>2068</v>
      </c>
    </row>
    <row r="2861" spans="1:4" x14ac:dyDescent="0.25">
      <c r="A2861" s="222" t="s">
        <v>4845</v>
      </c>
      <c r="B2861" s="222">
        <v>538772</v>
      </c>
      <c r="C2861" s="222" t="s">
        <v>2052</v>
      </c>
      <c r="D2861" s="222" t="s">
        <v>1321</v>
      </c>
    </row>
    <row r="2862" spans="1:4" x14ac:dyDescent="0.25">
      <c r="A2862" s="222" t="s">
        <v>4844</v>
      </c>
      <c r="B2862" s="222">
        <v>519494</v>
      </c>
      <c r="C2862" s="222" t="s">
        <v>4843</v>
      </c>
      <c r="D2862" s="222" t="s">
        <v>1963</v>
      </c>
    </row>
    <row r="2863" spans="1:4" x14ac:dyDescent="0.25">
      <c r="A2863" s="222" t="s">
        <v>4842</v>
      </c>
      <c r="B2863" s="222">
        <v>513683</v>
      </c>
      <c r="C2863" s="222" t="s">
        <v>4841</v>
      </c>
      <c r="D2863" s="222" t="s">
        <v>2380</v>
      </c>
    </row>
    <row r="2864" spans="1:4" x14ac:dyDescent="0.25">
      <c r="A2864" s="222" t="s">
        <v>4840</v>
      </c>
      <c r="B2864" s="222">
        <v>513683</v>
      </c>
      <c r="C2864" s="222" t="s">
        <v>4839</v>
      </c>
      <c r="D2864" s="222" t="s">
        <v>2380</v>
      </c>
    </row>
    <row r="2865" spans="1:4" x14ac:dyDescent="0.25">
      <c r="A2865" s="222" t="s">
        <v>4838</v>
      </c>
      <c r="B2865" s="222">
        <v>526371</v>
      </c>
      <c r="C2865" s="222" t="s">
        <v>4837</v>
      </c>
      <c r="D2865" s="222" t="s">
        <v>2796</v>
      </c>
    </row>
    <row r="2866" spans="1:4" x14ac:dyDescent="0.25">
      <c r="A2866" s="222" t="s">
        <v>4836</v>
      </c>
      <c r="B2866" s="222">
        <v>500730</v>
      </c>
      <c r="C2866" s="222" t="s">
        <v>4835</v>
      </c>
      <c r="D2866" s="222" t="s">
        <v>722</v>
      </c>
    </row>
    <row r="2867" spans="1:4" x14ac:dyDescent="0.25">
      <c r="A2867" s="222" t="s">
        <v>4834</v>
      </c>
      <c r="B2867" s="222">
        <v>532481</v>
      </c>
      <c r="C2867" s="222" t="s">
        <v>4833</v>
      </c>
      <c r="D2867" s="222" t="s">
        <v>3887</v>
      </c>
    </row>
    <row r="2868" spans="1:4" x14ac:dyDescent="0.25">
      <c r="A2868" s="222" t="s">
        <v>4832</v>
      </c>
      <c r="B2868" s="222" t="s">
        <v>2052</v>
      </c>
      <c r="C2868" s="222" t="s">
        <v>4831</v>
      </c>
      <c r="D2868" s="222" t="s">
        <v>2197</v>
      </c>
    </row>
    <row r="2869" spans="1:4" x14ac:dyDescent="0.25">
      <c r="A2869" s="222" t="s">
        <v>4830</v>
      </c>
      <c r="B2869" s="222">
        <v>524414</v>
      </c>
      <c r="C2869" s="222" t="s">
        <v>2052</v>
      </c>
      <c r="D2869" s="222" t="s">
        <v>1529</v>
      </c>
    </row>
    <row r="2870" spans="1:4" x14ac:dyDescent="0.25">
      <c r="A2870" s="222" t="s">
        <v>4829</v>
      </c>
      <c r="B2870" s="222">
        <v>534615</v>
      </c>
      <c r="C2870" s="222" t="s">
        <v>4828</v>
      </c>
      <c r="D2870" s="222" t="s">
        <v>1329</v>
      </c>
    </row>
    <row r="2871" spans="1:4" x14ac:dyDescent="0.25">
      <c r="A2871" s="222" t="s">
        <v>4827</v>
      </c>
      <c r="B2871" s="222">
        <v>542628</v>
      </c>
      <c r="C2871" s="222" t="s">
        <v>4826</v>
      </c>
      <c r="D2871" s="222" t="s">
        <v>2156</v>
      </c>
    </row>
    <row r="2872" spans="1:4" x14ac:dyDescent="0.25">
      <c r="A2872" s="222" t="s">
        <v>4825</v>
      </c>
      <c r="B2872" s="222">
        <v>539110</v>
      </c>
      <c r="C2872" s="222" t="s">
        <v>2052</v>
      </c>
      <c r="D2872" s="222" t="s">
        <v>1321</v>
      </c>
    </row>
    <row r="2873" spans="1:4" x14ac:dyDescent="0.25">
      <c r="A2873" s="222" t="s">
        <v>4824</v>
      </c>
      <c r="B2873" s="222">
        <v>540698</v>
      </c>
      <c r="C2873" s="222" t="s">
        <v>2052</v>
      </c>
      <c r="D2873" s="222" t="s">
        <v>1529</v>
      </c>
    </row>
    <row r="2874" spans="1:4" x14ac:dyDescent="0.25">
      <c r="A2874" s="222" t="s">
        <v>4823</v>
      </c>
      <c r="B2874" s="222">
        <v>531465</v>
      </c>
      <c r="C2874" s="222" t="s">
        <v>2052</v>
      </c>
      <c r="D2874" s="222" t="s">
        <v>1529</v>
      </c>
    </row>
    <row r="2875" spans="1:4" x14ac:dyDescent="0.25">
      <c r="A2875" s="222" t="s">
        <v>4822</v>
      </c>
      <c r="B2875" s="222">
        <v>513566</v>
      </c>
      <c r="C2875" s="222" t="s">
        <v>2052</v>
      </c>
      <c r="D2875" s="222" t="s">
        <v>2167</v>
      </c>
    </row>
    <row r="2876" spans="1:4" x14ac:dyDescent="0.25">
      <c r="A2876" s="222" t="s">
        <v>4821</v>
      </c>
      <c r="B2876" s="222">
        <v>530733</v>
      </c>
      <c r="C2876" s="222" t="s">
        <v>2052</v>
      </c>
      <c r="D2876" s="222" t="s">
        <v>2784</v>
      </c>
    </row>
    <row r="2877" spans="1:4" x14ac:dyDescent="0.25">
      <c r="A2877" s="222" t="s">
        <v>4820</v>
      </c>
      <c r="B2877" s="222">
        <v>530733</v>
      </c>
      <c r="C2877" s="222" t="s">
        <v>2052</v>
      </c>
      <c r="D2877" s="222" t="s">
        <v>2784</v>
      </c>
    </row>
    <row r="2878" spans="1:4" x14ac:dyDescent="0.25">
      <c r="A2878" s="222" t="s">
        <v>4819</v>
      </c>
      <c r="B2878" s="222">
        <v>500672</v>
      </c>
      <c r="C2878" s="222" t="s">
        <v>2052</v>
      </c>
      <c r="D2878" s="222" t="s">
        <v>789</v>
      </c>
    </row>
    <row r="2879" spans="1:4" x14ac:dyDescent="0.25">
      <c r="A2879" s="222" t="s">
        <v>4818</v>
      </c>
      <c r="B2879" s="222">
        <v>500672</v>
      </c>
      <c r="C2879" s="222" t="s">
        <v>2052</v>
      </c>
      <c r="D2879" s="222" t="s">
        <v>789</v>
      </c>
    </row>
    <row r="2880" spans="1:4" x14ac:dyDescent="0.25">
      <c r="A2880" s="222" t="s">
        <v>4817</v>
      </c>
      <c r="B2880" s="222">
        <v>530127</v>
      </c>
      <c r="C2880" s="222" t="s">
        <v>2052</v>
      </c>
      <c r="D2880" s="222" t="s">
        <v>1262</v>
      </c>
    </row>
    <row r="2881" spans="1:4" x14ac:dyDescent="0.25">
      <c r="A2881" s="222" t="s">
        <v>4816</v>
      </c>
      <c r="B2881" s="222">
        <v>530367</v>
      </c>
      <c r="C2881" s="222" t="s">
        <v>4815</v>
      </c>
      <c r="D2881" s="222" t="s">
        <v>832</v>
      </c>
    </row>
    <row r="2882" spans="1:4" x14ac:dyDescent="0.25">
      <c r="A2882" s="222" t="s">
        <v>4814</v>
      </c>
      <c r="B2882" s="222">
        <v>535458</v>
      </c>
      <c r="C2882" s="222" t="s">
        <v>4813</v>
      </c>
      <c r="D2882" s="222" t="s">
        <v>1395</v>
      </c>
    </row>
    <row r="2883" spans="1:4" x14ac:dyDescent="0.25">
      <c r="A2883" s="222" t="s">
        <v>4812</v>
      </c>
      <c r="B2883" s="222">
        <v>526723</v>
      </c>
      <c r="C2883" s="222" t="s">
        <v>2052</v>
      </c>
      <c r="D2883" s="222" t="s">
        <v>2227</v>
      </c>
    </row>
    <row r="2884" spans="1:4" x14ac:dyDescent="0.25">
      <c r="A2884" s="222" t="s">
        <v>4811</v>
      </c>
      <c r="B2884" s="222">
        <v>532555</v>
      </c>
      <c r="C2884" s="222" t="s">
        <v>4810</v>
      </c>
      <c r="D2884" s="222" t="s">
        <v>2380</v>
      </c>
    </row>
    <row r="2885" spans="1:4" x14ac:dyDescent="0.25">
      <c r="A2885" s="222" t="s">
        <v>4809</v>
      </c>
      <c r="B2885" s="222">
        <v>533015</v>
      </c>
      <c r="C2885" s="222" t="s">
        <v>4807</v>
      </c>
      <c r="D2885" s="222" t="s">
        <v>1129</v>
      </c>
    </row>
    <row r="2886" spans="1:4" x14ac:dyDescent="0.25">
      <c r="A2886" s="222" t="s">
        <v>4808</v>
      </c>
      <c r="B2886" s="222">
        <v>533015</v>
      </c>
      <c r="C2886" s="222" t="s">
        <v>4807</v>
      </c>
      <c r="D2886" s="222" t="s">
        <v>1129</v>
      </c>
    </row>
    <row r="2887" spans="1:4" x14ac:dyDescent="0.25">
      <c r="A2887" s="222" t="s">
        <v>4806</v>
      </c>
      <c r="B2887" s="222">
        <v>531209</v>
      </c>
      <c r="C2887" s="222" t="s">
        <v>4805</v>
      </c>
      <c r="D2887" s="222" t="s">
        <v>1942</v>
      </c>
    </row>
    <row r="2888" spans="1:4" x14ac:dyDescent="0.25">
      <c r="A2888" s="222" t="s">
        <v>4804</v>
      </c>
      <c r="B2888" s="222">
        <v>531304</v>
      </c>
      <c r="C2888" s="222" t="s">
        <v>2052</v>
      </c>
      <c r="D2888" s="222" t="s">
        <v>1237</v>
      </c>
    </row>
    <row r="2889" spans="1:4" x14ac:dyDescent="0.25">
      <c r="A2889" s="222" t="s">
        <v>4803</v>
      </c>
      <c r="B2889" s="222">
        <v>524764</v>
      </c>
      <c r="C2889" s="222" t="s">
        <v>2052</v>
      </c>
      <c r="D2889" s="222" t="s">
        <v>998</v>
      </c>
    </row>
    <row r="2890" spans="1:4" x14ac:dyDescent="0.25">
      <c r="A2890" s="222" t="s">
        <v>4802</v>
      </c>
      <c r="B2890" s="222">
        <v>524764</v>
      </c>
      <c r="C2890" s="222" t="s">
        <v>2052</v>
      </c>
      <c r="D2890" s="222" t="s">
        <v>998</v>
      </c>
    </row>
    <row r="2891" spans="1:4" x14ac:dyDescent="0.25">
      <c r="A2891" s="222" t="s">
        <v>4801</v>
      </c>
      <c r="B2891" s="222">
        <v>530219</v>
      </c>
      <c r="C2891" s="222" t="s">
        <v>2052</v>
      </c>
      <c r="D2891" s="222" t="s">
        <v>1364</v>
      </c>
    </row>
    <row r="2892" spans="1:4" x14ac:dyDescent="0.25">
      <c r="A2892" s="222" t="s">
        <v>4800</v>
      </c>
      <c r="B2892" s="222">
        <v>531819</v>
      </c>
      <c r="C2892" s="222" t="s">
        <v>2052</v>
      </c>
      <c r="D2892" s="222" t="s">
        <v>1529</v>
      </c>
    </row>
    <row r="2893" spans="1:4" x14ac:dyDescent="0.25">
      <c r="A2893" s="222" t="s">
        <v>4799</v>
      </c>
      <c r="B2893" s="222">
        <v>531819</v>
      </c>
      <c r="C2893" s="222" t="s">
        <v>2052</v>
      </c>
      <c r="D2893" s="222" t="s">
        <v>1529</v>
      </c>
    </row>
    <row r="2894" spans="1:4" x14ac:dyDescent="0.25">
      <c r="A2894" s="222" t="s">
        <v>4798</v>
      </c>
      <c r="B2894" s="222">
        <v>504378</v>
      </c>
      <c r="C2894" s="222" t="s">
        <v>2052</v>
      </c>
      <c r="D2894" s="222" t="s">
        <v>1529</v>
      </c>
    </row>
    <row r="2895" spans="1:4" x14ac:dyDescent="0.25">
      <c r="A2895" s="222" t="s">
        <v>4797</v>
      </c>
      <c r="B2895" s="222">
        <v>539116</v>
      </c>
      <c r="C2895" s="222" t="s">
        <v>2052</v>
      </c>
      <c r="D2895" s="222" t="s">
        <v>1529</v>
      </c>
    </row>
    <row r="2896" spans="1:4" x14ac:dyDescent="0.25">
      <c r="A2896" s="222" t="s">
        <v>4796</v>
      </c>
      <c r="B2896" s="222">
        <v>512489</v>
      </c>
      <c r="C2896" s="222" t="s">
        <v>2052</v>
      </c>
      <c r="D2896" s="222" t="s">
        <v>1321</v>
      </c>
    </row>
    <row r="2897" spans="1:4" x14ac:dyDescent="0.25">
      <c r="A2897" s="222" t="s">
        <v>4795</v>
      </c>
      <c r="B2897" s="222">
        <v>538547</v>
      </c>
      <c r="C2897" s="222" t="s">
        <v>2052</v>
      </c>
      <c r="D2897" s="222" t="s">
        <v>1963</v>
      </c>
    </row>
    <row r="2898" spans="1:4" x14ac:dyDescent="0.25">
      <c r="A2898" s="222" t="s">
        <v>4794</v>
      </c>
      <c r="B2898" s="222">
        <v>533273</v>
      </c>
      <c r="C2898" s="222" t="s">
        <v>4793</v>
      </c>
      <c r="D2898" s="222" t="s">
        <v>1243</v>
      </c>
    </row>
    <row r="2899" spans="1:4" x14ac:dyDescent="0.25">
      <c r="A2899" s="222" t="s">
        <v>4792</v>
      </c>
      <c r="B2899" s="222">
        <v>535657</v>
      </c>
      <c r="C2899" s="222" t="s">
        <v>2052</v>
      </c>
      <c r="D2899" s="222" t="s">
        <v>1265</v>
      </c>
    </row>
    <row r="2900" spans="1:4" x14ac:dyDescent="0.25">
      <c r="A2900" s="222" t="s">
        <v>4791</v>
      </c>
      <c r="B2900" s="222">
        <v>519491</v>
      </c>
      <c r="C2900" s="222" t="s">
        <v>2052</v>
      </c>
      <c r="D2900" s="222" t="s">
        <v>1447</v>
      </c>
    </row>
    <row r="2901" spans="1:4" x14ac:dyDescent="0.25">
      <c r="A2901" s="222" t="s">
        <v>4790</v>
      </c>
      <c r="B2901" s="222">
        <v>519491</v>
      </c>
      <c r="C2901" s="222" t="s">
        <v>2052</v>
      </c>
      <c r="D2901" s="222" t="s">
        <v>1447</v>
      </c>
    </row>
    <row r="2902" spans="1:4" x14ac:dyDescent="0.25">
      <c r="A2902" s="222" t="s">
        <v>4789</v>
      </c>
      <c r="B2902" s="222">
        <v>538019</v>
      </c>
      <c r="C2902" s="222" t="s">
        <v>2052</v>
      </c>
      <c r="D2902" s="222" t="s">
        <v>1083</v>
      </c>
    </row>
    <row r="2903" spans="1:4" x14ac:dyDescent="0.25">
      <c r="A2903" s="222" t="s">
        <v>4788</v>
      </c>
      <c r="B2903" s="222">
        <v>540405</v>
      </c>
      <c r="C2903" s="222" t="s">
        <v>2052</v>
      </c>
      <c r="D2903" s="222" t="s">
        <v>1083</v>
      </c>
    </row>
    <row r="2904" spans="1:4" x14ac:dyDescent="0.25">
      <c r="A2904" s="222" t="s">
        <v>4787</v>
      </c>
      <c r="B2904" s="222">
        <v>533008</v>
      </c>
      <c r="C2904" s="222" t="s">
        <v>4786</v>
      </c>
      <c r="D2904" s="222" t="s">
        <v>2167</v>
      </c>
    </row>
    <row r="2905" spans="1:4" x14ac:dyDescent="0.25">
      <c r="A2905" s="222" t="s">
        <v>4785</v>
      </c>
      <c r="B2905" s="222">
        <v>538894</v>
      </c>
      <c r="C2905" s="222" t="s">
        <v>2052</v>
      </c>
      <c r="D2905" s="222" t="s">
        <v>1262</v>
      </c>
    </row>
    <row r="2906" spans="1:4" x14ac:dyDescent="0.25">
      <c r="A2906" s="222" t="s">
        <v>4784</v>
      </c>
      <c r="B2906" s="222">
        <v>540416</v>
      </c>
      <c r="C2906" s="222" t="s">
        <v>2052</v>
      </c>
      <c r="D2906" s="222" t="s">
        <v>1278</v>
      </c>
    </row>
    <row r="2907" spans="1:4" x14ac:dyDescent="0.25">
      <c r="A2907" s="222" t="s">
        <v>4783</v>
      </c>
      <c r="B2907" s="222">
        <v>531996</v>
      </c>
      <c r="C2907" s="222" t="s">
        <v>2052</v>
      </c>
      <c r="D2907" s="222" t="s">
        <v>1321</v>
      </c>
    </row>
    <row r="2908" spans="1:4" x14ac:dyDescent="0.25">
      <c r="A2908" s="222" t="s">
        <v>4782</v>
      </c>
      <c r="B2908" s="222">
        <v>530175</v>
      </c>
      <c r="C2908" s="222" t="s">
        <v>2052</v>
      </c>
      <c r="D2908" s="222" t="s">
        <v>1942</v>
      </c>
    </row>
    <row r="2909" spans="1:4" x14ac:dyDescent="0.25">
      <c r="A2909" s="222" t="s">
        <v>4781</v>
      </c>
      <c r="B2909" s="222">
        <v>539570</v>
      </c>
      <c r="C2909" s="222" t="s">
        <v>2052</v>
      </c>
      <c r="D2909" s="222" t="s">
        <v>1265</v>
      </c>
    </row>
    <row r="2910" spans="1:4" x14ac:dyDescent="0.25">
      <c r="A2910" s="222" t="s">
        <v>4780</v>
      </c>
      <c r="B2910" s="222">
        <v>500312</v>
      </c>
      <c r="C2910" s="222" t="s">
        <v>4779</v>
      </c>
      <c r="D2910" s="222" t="s">
        <v>3699</v>
      </c>
    </row>
    <row r="2911" spans="1:4" x14ac:dyDescent="0.25">
      <c r="A2911" s="222" t="s">
        <v>4778</v>
      </c>
      <c r="B2911" s="222">
        <v>533106</v>
      </c>
      <c r="C2911" s="222" t="s">
        <v>4773</v>
      </c>
      <c r="D2911" s="222" t="s">
        <v>3699</v>
      </c>
    </row>
    <row r="2912" spans="1:4" x14ac:dyDescent="0.25">
      <c r="A2912" s="222" t="s">
        <v>4777</v>
      </c>
      <c r="B2912" s="222">
        <v>500313</v>
      </c>
      <c r="C2912" s="222" t="s">
        <v>4776</v>
      </c>
      <c r="D2912" s="222" t="s">
        <v>4775</v>
      </c>
    </row>
    <row r="2913" spans="1:4" x14ac:dyDescent="0.25">
      <c r="A2913" s="222" t="s">
        <v>4774</v>
      </c>
      <c r="B2913" s="222">
        <v>533106</v>
      </c>
      <c r="C2913" s="222" t="s">
        <v>4773</v>
      </c>
      <c r="D2913" s="222" t="s">
        <v>3699</v>
      </c>
    </row>
    <row r="2914" spans="1:4" x14ac:dyDescent="0.25">
      <c r="A2914" s="222" t="s">
        <v>4772</v>
      </c>
      <c r="B2914" s="222">
        <v>526415</v>
      </c>
      <c r="C2914" s="222" t="s">
        <v>2052</v>
      </c>
      <c r="D2914" s="222" t="s">
        <v>4765</v>
      </c>
    </row>
    <row r="2915" spans="1:4" x14ac:dyDescent="0.25">
      <c r="A2915" s="222" t="s">
        <v>4771</v>
      </c>
      <c r="B2915" s="222">
        <v>526415</v>
      </c>
      <c r="C2915" s="222" t="s">
        <v>2052</v>
      </c>
      <c r="D2915" s="222" t="s">
        <v>4765</v>
      </c>
    </row>
    <row r="2916" spans="1:4" x14ac:dyDescent="0.25">
      <c r="A2916" s="222" t="s">
        <v>4770</v>
      </c>
      <c r="B2916" s="222">
        <v>532439</v>
      </c>
      <c r="C2916" s="222" t="s">
        <v>4769</v>
      </c>
      <c r="D2916" s="222" t="s">
        <v>832</v>
      </c>
    </row>
    <row r="2917" spans="1:4" x14ac:dyDescent="0.25">
      <c r="A2917" s="222" t="s">
        <v>4768</v>
      </c>
      <c r="B2917" s="222">
        <v>521105</v>
      </c>
      <c r="C2917" s="222" t="s">
        <v>2052</v>
      </c>
      <c r="D2917" s="222" t="s">
        <v>4767</v>
      </c>
    </row>
    <row r="2918" spans="1:4" x14ac:dyDescent="0.25">
      <c r="A2918" s="222" t="s">
        <v>4766</v>
      </c>
      <c r="B2918" s="222">
        <v>534190</v>
      </c>
      <c r="C2918" s="222" t="s">
        <v>2052</v>
      </c>
      <c r="D2918" s="222" t="s">
        <v>4765</v>
      </c>
    </row>
    <row r="2919" spans="1:4" x14ac:dyDescent="0.25">
      <c r="A2919" s="222" t="s">
        <v>4764</v>
      </c>
      <c r="B2919" s="222">
        <v>507609</v>
      </c>
      <c r="C2919" s="222" t="s">
        <v>2052</v>
      </c>
      <c r="D2919" s="222" t="s">
        <v>731</v>
      </c>
    </row>
    <row r="2920" spans="1:4" x14ac:dyDescent="0.25">
      <c r="A2920" s="222" t="s">
        <v>4763</v>
      </c>
      <c r="B2920" s="222">
        <v>531092</v>
      </c>
      <c r="C2920" s="222" t="s">
        <v>4762</v>
      </c>
      <c r="D2920" s="222" t="s">
        <v>1248</v>
      </c>
    </row>
    <row r="2921" spans="1:4" x14ac:dyDescent="0.25">
      <c r="A2921" s="222" t="s">
        <v>4761</v>
      </c>
      <c r="B2921" s="222">
        <v>538537</v>
      </c>
      <c r="C2921" s="222" t="s">
        <v>2052</v>
      </c>
      <c r="D2921" s="222" t="s">
        <v>1529</v>
      </c>
    </row>
    <row r="2922" spans="1:4" x14ac:dyDescent="0.25">
      <c r="A2922" s="222" t="s">
        <v>4760</v>
      </c>
      <c r="B2922" s="222">
        <v>520021</v>
      </c>
      <c r="C2922" s="222" t="s">
        <v>4759</v>
      </c>
      <c r="D2922" s="222" t="s">
        <v>1306</v>
      </c>
    </row>
    <row r="2923" spans="1:4" x14ac:dyDescent="0.25">
      <c r="A2923" s="222" t="s">
        <v>4758</v>
      </c>
      <c r="B2923" s="222">
        <v>532880</v>
      </c>
      <c r="C2923" s="222" t="s">
        <v>4757</v>
      </c>
      <c r="D2923" s="222" t="s">
        <v>1243</v>
      </c>
    </row>
    <row r="2924" spans="1:4" x14ac:dyDescent="0.25">
      <c r="A2924" s="222" t="s">
        <v>4756</v>
      </c>
      <c r="B2924" s="222" t="s">
        <v>2052</v>
      </c>
      <c r="C2924" s="222" t="s">
        <v>4754</v>
      </c>
      <c r="D2924" s="222" t="s">
        <v>2050</v>
      </c>
    </row>
    <row r="2925" spans="1:4" x14ac:dyDescent="0.25">
      <c r="A2925" s="222" t="s">
        <v>4755</v>
      </c>
      <c r="B2925" s="222" t="s">
        <v>2052</v>
      </c>
      <c r="C2925" s="222" t="s">
        <v>4754</v>
      </c>
      <c r="D2925" s="222" t="s">
        <v>2050</v>
      </c>
    </row>
    <row r="2926" spans="1:4" x14ac:dyDescent="0.25">
      <c r="A2926" s="222" t="s">
        <v>4753</v>
      </c>
      <c r="B2926" s="222">
        <v>531496</v>
      </c>
      <c r="C2926" s="222" t="s">
        <v>2052</v>
      </c>
      <c r="D2926" s="222" t="s">
        <v>1237</v>
      </c>
    </row>
    <row r="2927" spans="1:4" x14ac:dyDescent="0.25">
      <c r="A2927" s="222" t="s">
        <v>4752</v>
      </c>
      <c r="B2927" s="222">
        <v>532167</v>
      </c>
      <c r="C2927" s="222" t="s">
        <v>2052</v>
      </c>
      <c r="D2927" s="222" t="s">
        <v>998</v>
      </c>
    </row>
    <row r="2928" spans="1:4" x14ac:dyDescent="0.25">
      <c r="A2928" s="222" t="s">
        <v>4751</v>
      </c>
      <c r="B2928" s="222">
        <v>533317</v>
      </c>
      <c r="C2928" s="222" t="s">
        <v>4750</v>
      </c>
      <c r="D2928" s="222" t="s">
        <v>722</v>
      </c>
    </row>
    <row r="2929" spans="1:4" x14ac:dyDescent="0.25">
      <c r="A2929" s="222" t="s">
        <v>4749</v>
      </c>
      <c r="B2929" s="222">
        <v>532340</v>
      </c>
      <c r="C2929" s="222" t="s">
        <v>2052</v>
      </c>
      <c r="D2929" s="222" t="s">
        <v>1942</v>
      </c>
    </row>
    <row r="2930" spans="1:4" x14ac:dyDescent="0.25">
      <c r="A2930" s="222" t="s">
        <v>4748</v>
      </c>
      <c r="B2930" s="222">
        <v>514324</v>
      </c>
      <c r="C2930" s="222" t="s">
        <v>2052</v>
      </c>
      <c r="D2930" s="222" t="s">
        <v>1237</v>
      </c>
    </row>
    <row r="2931" spans="1:4" x14ac:dyDescent="0.25">
      <c r="A2931" s="222" t="s">
        <v>4747</v>
      </c>
      <c r="B2931" s="222">
        <v>514324</v>
      </c>
      <c r="C2931" s="222" t="s">
        <v>2052</v>
      </c>
      <c r="D2931" s="222" t="s">
        <v>1237</v>
      </c>
    </row>
    <row r="2932" spans="1:4" x14ac:dyDescent="0.25">
      <c r="A2932" s="222" t="s">
        <v>4746</v>
      </c>
      <c r="B2932" s="222" t="s">
        <v>2052</v>
      </c>
      <c r="C2932" s="222" t="s">
        <v>4745</v>
      </c>
      <c r="D2932" s="222" t="s">
        <v>2050</v>
      </c>
    </row>
    <row r="2933" spans="1:4" x14ac:dyDescent="0.25">
      <c r="A2933" s="222" t="s">
        <v>4744</v>
      </c>
      <c r="B2933" s="222">
        <v>533632</v>
      </c>
      <c r="C2933" s="222" t="s">
        <v>4743</v>
      </c>
      <c r="D2933" s="222" t="s">
        <v>2108</v>
      </c>
    </row>
    <row r="2934" spans="1:4" x14ac:dyDescent="0.25">
      <c r="A2934" s="222" t="s">
        <v>4742</v>
      </c>
      <c r="B2934" s="222">
        <v>530805</v>
      </c>
      <c r="C2934" s="222" t="s">
        <v>2052</v>
      </c>
      <c r="D2934" s="222" t="s">
        <v>911</v>
      </c>
    </row>
    <row r="2935" spans="1:4" x14ac:dyDescent="0.25">
      <c r="A2935" s="222" t="s">
        <v>4741</v>
      </c>
      <c r="B2935" s="222">
        <v>535647</v>
      </c>
      <c r="C2935" s="222" t="s">
        <v>2052</v>
      </c>
      <c r="D2935" s="222" t="s">
        <v>2264</v>
      </c>
    </row>
    <row r="2936" spans="1:4" x14ac:dyDescent="0.25">
      <c r="A2936" s="222" t="s">
        <v>4740</v>
      </c>
      <c r="B2936" s="222">
        <v>532944</v>
      </c>
      <c r="C2936" s="222" t="s">
        <v>4739</v>
      </c>
      <c r="D2936" s="222" t="s">
        <v>1129</v>
      </c>
    </row>
    <row r="2937" spans="1:4" x14ac:dyDescent="0.25">
      <c r="A2937" s="222" t="s">
        <v>4738</v>
      </c>
      <c r="B2937" s="222">
        <v>540386</v>
      </c>
      <c r="C2937" s="222" t="s">
        <v>2052</v>
      </c>
      <c r="D2937" s="222" t="s">
        <v>1262</v>
      </c>
    </row>
    <row r="2938" spans="1:4" x14ac:dyDescent="0.25">
      <c r="A2938" s="222" t="s">
        <v>4737</v>
      </c>
      <c r="B2938" s="222">
        <v>517536</v>
      </c>
      <c r="C2938" s="222" t="s">
        <v>4736</v>
      </c>
      <c r="D2938" s="222" t="s">
        <v>1265</v>
      </c>
    </row>
    <row r="2939" spans="1:4" x14ac:dyDescent="0.25">
      <c r="A2939" s="222" t="s">
        <v>4735</v>
      </c>
      <c r="B2939" s="222" t="s">
        <v>2052</v>
      </c>
      <c r="C2939" s="222" t="s">
        <v>4734</v>
      </c>
      <c r="D2939" s="222" t="s">
        <v>2050</v>
      </c>
    </row>
    <row r="2940" spans="1:4" x14ac:dyDescent="0.25">
      <c r="A2940" s="222" t="s">
        <v>4733</v>
      </c>
      <c r="B2940" s="222">
        <v>530135</v>
      </c>
      <c r="C2940" s="222" t="s">
        <v>4732</v>
      </c>
      <c r="D2940" s="222" t="s">
        <v>1137</v>
      </c>
    </row>
    <row r="2941" spans="1:4" x14ac:dyDescent="0.25">
      <c r="A2941" s="222" t="s">
        <v>4731</v>
      </c>
      <c r="B2941" s="222">
        <v>531254</v>
      </c>
      <c r="C2941" s="222" t="s">
        <v>2052</v>
      </c>
      <c r="D2941" s="222" t="s">
        <v>1321</v>
      </c>
    </row>
    <row r="2942" spans="1:4" x14ac:dyDescent="0.25">
      <c r="A2942" s="222" t="s">
        <v>4730</v>
      </c>
      <c r="B2942" s="222">
        <v>532391</v>
      </c>
      <c r="C2942" s="222" t="s">
        <v>4728</v>
      </c>
      <c r="D2942" s="222" t="s">
        <v>1547</v>
      </c>
    </row>
    <row r="2943" spans="1:4" x14ac:dyDescent="0.25">
      <c r="A2943" s="222" t="s">
        <v>4729</v>
      </c>
      <c r="B2943" s="222">
        <v>532391</v>
      </c>
      <c r="C2943" s="222" t="s">
        <v>4728</v>
      </c>
      <c r="D2943" s="222" t="s">
        <v>1547</v>
      </c>
    </row>
    <row r="2944" spans="1:4" x14ac:dyDescent="0.25">
      <c r="A2944" s="222" t="s">
        <v>4727</v>
      </c>
      <c r="B2944" s="222">
        <v>539598</v>
      </c>
      <c r="C2944" s="222" t="s">
        <v>2052</v>
      </c>
      <c r="D2944" s="222" t="s">
        <v>1321</v>
      </c>
    </row>
    <row r="2945" spans="1:4" x14ac:dyDescent="0.25">
      <c r="A2945" s="222" t="s">
        <v>4726</v>
      </c>
      <c r="B2945" s="222">
        <v>532466</v>
      </c>
      <c r="C2945" s="222" t="s">
        <v>4725</v>
      </c>
      <c r="D2945" s="222" t="s">
        <v>1265</v>
      </c>
    </row>
    <row r="2946" spans="1:4" x14ac:dyDescent="0.25">
      <c r="A2946" s="222" t="s">
        <v>4724</v>
      </c>
      <c r="B2946" s="222">
        <v>512626</v>
      </c>
      <c r="C2946" s="222" t="s">
        <v>4723</v>
      </c>
      <c r="D2946" s="222" t="s">
        <v>1237</v>
      </c>
    </row>
    <row r="2947" spans="1:4" x14ac:dyDescent="0.25">
      <c r="A2947" s="222" t="s">
        <v>4722</v>
      </c>
      <c r="B2947" s="222">
        <v>524372</v>
      </c>
      <c r="C2947" s="222" t="s">
        <v>4721</v>
      </c>
      <c r="D2947" s="222" t="s">
        <v>789</v>
      </c>
    </row>
    <row r="2948" spans="1:4" x14ac:dyDescent="0.25">
      <c r="A2948" s="222" t="s">
        <v>4720</v>
      </c>
      <c r="B2948" s="222">
        <v>531157</v>
      </c>
      <c r="C2948" s="222" t="s">
        <v>2052</v>
      </c>
      <c r="D2948" s="222" t="s">
        <v>722</v>
      </c>
    </row>
    <row r="2949" spans="1:4" x14ac:dyDescent="0.25">
      <c r="A2949" s="222" t="s">
        <v>4719</v>
      </c>
      <c r="B2949" s="222">
        <v>513121</v>
      </c>
      <c r="C2949" s="222" t="s">
        <v>4718</v>
      </c>
      <c r="D2949" s="222" t="s">
        <v>722</v>
      </c>
    </row>
    <row r="2950" spans="1:4" x14ac:dyDescent="0.25">
      <c r="A2950" s="222" t="s">
        <v>4717</v>
      </c>
      <c r="B2950" s="222">
        <v>504879</v>
      </c>
      <c r="C2950" s="222" t="s">
        <v>4716</v>
      </c>
      <c r="D2950" s="222" t="s">
        <v>1313</v>
      </c>
    </row>
    <row r="2951" spans="1:4" x14ac:dyDescent="0.25">
      <c r="A2951" s="222" t="s">
        <v>4715</v>
      </c>
      <c r="B2951" s="222">
        <v>530365</v>
      </c>
      <c r="C2951" s="222" t="s">
        <v>4714</v>
      </c>
      <c r="D2951" s="222" t="s">
        <v>2714</v>
      </c>
    </row>
    <row r="2952" spans="1:4" x14ac:dyDescent="0.25">
      <c r="A2952" s="222" t="s">
        <v>4713</v>
      </c>
      <c r="B2952" s="222">
        <v>507690</v>
      </c>
      <c r="C2952" s="222" t="s">
        <v>2052</v>
      </c>
      <c r="D2952" s="222" t="s">
        <v>1432</v>
      </c>
    </row>
    <row r="2953" spans="1:4" x14ac:dyDescent="0.25">
      <c r="A2953" s="222" t="s">
        <v>4712</v>
      </c>
      <c r="B2953" s="222">
        <v>535754</v>
      </c>
      <c r="C2953" s="222" t="s">
        <v>4711</v>
      </c>
      <c r="D2953" s="222" t="s">
        <v>1004</v>
      </c>
    </row>
    <row r="2954" spans="1:4" x14ac:dyDescent="0.25">
      <c r="A2954" s="222" t="s">
        <v>4710</v>
      </c>
      <c r="B2954" s="222">
        <v>541301</v>
      </c>
      <c r="C2954" s="222" t="s">
        <v>4709</v>
      </c>
      <c r="D2954" s="222" t="s">
        <v>950</v>
      </c>
    </row>
    <row r="2955" spans="1:4" x14ac:dyDescent="0.25">
      <c r="A2955" s="222" t="s">
        <v>4708</v>
      </c>
      <c r="B2955" s="222">
        <v>533263</v>
      </c>
      <c r="C2955" s="222" t="s">
        <v>4707</v>
      </c>
      <c r="D2955" s="222" t="s">
        <v>2380</v>
      </c>
    </row>
    <row r="2956" spans="1:4" x14ac:dyDescent="0.25">
      <c r="A2956" s="222" t="s">
        <v>4706</v>
      </c>
      <c r="B2956" s="222">
        <v>502420</v>
      </c>
      <c r="C2956" s="222" t="s">
        <v>4705</v>
      </c>
      <c r="D2956" s="222" t="s">
        <v>1972</v>
      </c>
    </row>
    <row r="2957" spans="1:4" x14ac:dyDescent="0.25">
      <c r="A2957" s="222" t="s">
        <v>4704</v>
      </c>
      <c r="B2957" s="222">
        <v>526325</v>
      </c>
      <c r="C2957" s="222" t="s">
        <v>4703</v>
      </c>
      <c r="D2957" s="222" t="s">
        <v>1447</v>
      </c>
    </row>
    <row r="2958" spans="1:4" x14ac:dyDescent="0.25">
      <c r="A2958" s="222" t="s">
        <v>4702</v>
      </c>
      <c r="B2958" s="222">
        <v>534076</v>
      </c>
      <c r="C2958" s="222" t="s">
        <v>4701</v>
      </c>
      <c r="D2958" s="222" t="s">
        <v>1395</v>
      </c>
    </row>
    <row r="2959" spans="1:4" x14ac:dyDescent="0.25">
      <c r="A2959" s="222" t="s">
        <v>4700</v>
      </c>
      <c r="B2959" s="222">
        <v>531512</v>
      </c>
      <c r="C2959" s="222" t="s">
        <v>2052</v>
      </c>
      <c r="D2959" s="222" t="s">
        <v>2264</v>
      </c>
    </row>
    <row r="2960" spans="1:4" x14ac:dyDescent="0.25">
      <c r="A2960" s="222" t="s">
        <v>4699</v>
      </c>
      <c r="B2960" s="222">
        <v>500078</v>
      </c>
      <c r="C2960" s="222" t="s">
        <v>2052</v>
      </c>
      <c r="D2960" s="222" t="s">
        <v>998</v>
      </c>
    </row>
    <row r="2961" spans="1:4" x14ac:dyDescent="0.25">
      <c r="A2961" s="222" t="s">
        <v>4698</v>
      </c>
      <c r="B2961" s="222">
        <v>500315</v>
      </c>
      <c r="C2961" s="222" t="s">
        <v>4697</v>
      </c>
      <c r="D2961" s="222" t="s">
        <v>1240</v>
      </c>
    </row>
    <row r="2962" spans="1:4" x14ac:dyDescent="0.25">
      <c r="A2962" s="222" t="s">
        <v>4696</v>
      </c>
      <c r="B2962" s="222">
        <v>506579</v>
      </c>
      <c r="C2962" s="222" t="s">
        <v>4695</v>
      </c>
      <c r="D2962" s="222" t="s">
        <v>998</v>
      </c>
    </row>
    <row r="2963" spans="1:4" x14ac:dyDescent="0.25">
      <c r="A2963" s="222" t="s">
        <v>4694</v>
      </c>
      <c r="B2963" s="222">
        <v>500314</v>
      </c>
      <c r="C2963" s="222" t="s">
        <v>4693</v>
      </c>
      <c r="D2963" s="222" t="s">
        <v>2128</v>
      </c>
    </row>
    <row r="2964" spans="1:4" x14ac:dyDescent="0.25">
      <c r="A2964" s="222" t="s">
        <v>4692</v>
      </c>
      <c r="B2964" s="222">
        <v>532817</v>
      </c>
      <c r="C2964" s="222" t="s">
        <v>4691</v>
      </c>
      <c r="D2964" s="222" t="s">
        <v>2357</v>
      </c>
    </row>
    <row r="2965" spans="1:4" x14ac:dyDescent="0.25">
      <c r="A2965" s="222" t="s">
        <v>4690</v>
      </c>
      <c r="B2965" s="222">
        <v>531859</v>
      </c>
      <c r="C2965" s="222" t="s">
        <v>2052</v>
      </c>
      <c r="D2965" s="222" t="s">
        <v>1313</v>
      </c>
    </row>
    <row r="2966" spans="1:4" x14ac:dyDescent="0.25">
      <c r="A2966" s="222" t="s">
        <v>4689</v>
      </c>
      <c r="B2966" s="222">
        <v>541206</v>
      </c>
      <c r="C2966" s="222" t="s">
        <v>2052</v>
      </c>
      <c r="D2966" s="222" t="s">
        <v>1329</v>
      </c>
    </row>
    <row r="2967" spans="1:4" x14ac:dyDescent="0.25">
      <c r="A2967" s="222" t="s">
        <v>4688</v>
      </c>
      <c r="B2967" s="222">
        <v>531626</v>
      </c>
      <c r="C2967" s="222" t="s">
        <v>2052</v>
      </c>
      <c r="D2967" s="222" t="s">
        <v>1364</v>
      </c>
    </row>
    <row r="2968" spans="1:4" x14ac:dyDescent="0.25">
      <c r="A2968" s="222" t="s">
        <v>4687</v>
      </c>
      <c r="B2968" s="222">
        <v>531626</v>
      </c>
      <c r="C2968" s="222" t="s">
        <v>2052</v>
      </c>
      <c r="D2968" s="222" t="s">
        <v>1364</v>
      </c>
    </row>
    <row r="2969" spans="1:4" x14ac:dyDescent="0.25">
      <c r="A2969" s="222" t="s">
        <v>4686</v>
      </c>
      <c r="B2969" s="222">
        <v>539015</v>
      </c>
      <c r="C2969" s="222" t="s">
        <v>4685</v>
      </c>
      <c r="D2969" s="222" t="s">
        <v>2079</v>
      </c>
    </row>
    <row r="2970" spans="1:4" x14ac:dyDescent="0.25">
      <c r="A2970" s="222" t="s">
        <v>4684</v>
      </c>
      <c r="B2970" s="222">
        <v>539287</v>
      </c>
      <c r="C2970" s="222" t="s">
        <v>4683</v>
      </c>
      <c r="D2970" s="222" t="s">
        <v>789</v>
      </c>
    </row>
    <row r="2971" spans="1:4" x14ac:dyDescent="0.25">
      <c r="A2971" s="222" t="s">
        <v>4682</v>
      </c>
      <c r="B2971" s="222">
        <v>530173</v>
      </c>
      <c r="C2971" s="222" t="s">
        <v>2052</v>
      </c>
      <c r="D2971" s="222" t="s">
        <v>1364</v>
      </c>
    </row>
    <row r="2972" spans="1:4" x14ac:dyDescent="0.25">
      <c r="A2972" s="222" t="s">
        <v>4681</v>
      </c>
      <c r="B2972" s="222">
        <v>501179</v>
      </c>
      <c r="C2972" s="222" t="s">
        <v>2052</v>
      </c>
      <c r="D2972" s="222" t="s">
        <v>2108</v>
      </c>
    </row>
    <row r="2973" spans="1:4" x14ac:dyDescent="0.25">
      <c r="A2973" s="222" t="s">
        <v>4680</v>
      </c>
      <c r="B2973" s="222">
        <v>509782</v>
      </c>
      <c r="C2973" s="222" t="s">
        <v>2052</v>
      </c>
      <c r="D2973" s="222" t="s">
        <v>2068</v>
      </c>
    </row>
    <row r="2974" spans="1:4" x14ac:dyDescent="0.25">
      <c r="A2974" s="222" t="s">
        <v>4679</v>
      </c>
      <c r="B2974" s="222">
        <v>540198</v>
      </c>
      <c r="C2974" s="222" t="s">
        <v>2052</v>
      </c>
      <c r="D2974" s="222" t="s">
        <v>1237</v>
      </c>
    </row>
    <row r="2975" spans="1:4" x14ac:dyDescent="0.25">
      <c r="A2975" s="222" t="s">
        <v>4678</v>
      </c>
      <c r="B2975" s="222">
        <v>500317</v>
      </c>
      <c r="C2975" s="222" t="s">
        <v>4677</v>
      </c>
      <c r="D2975" s="222" t="s">
        <v>2108</v>
      </c>
    </row>
    <row r="2976" spans="1:4" x14ac:dyDescent="0.25">
      <c r="A2976" s="222" t="s">
        <v>4676</v>
      </c>
      <c r="B2976" s="222">
        <v>539290</v>
      </c>
      <c r="C2976" s="222" t="s">
        <v>4675</v>
      </c>
      <c r="D2976" s="222" t="s">
        <v>2108</v>
      </c>
    </row>
    <row r="2977" spans="1:4" x14ac:dyDescent="0.25">
      <c r="A2977" s="222" t="s">
        <v>4674</v>
      </c>
      <c r="B2977" s="222">
        <v>509099</v>
      </c>
      <c r="C2977" s="222" t="s">
        <v>2052</v>
      </c>
      <c r="D2977" s="222" t="s">
        <v>2068</v>
      </c>
    </row>
    <row r="2978" spans="1:4" x14ac:dyDescent="0.25">
      <c r="A2978" s="222" t="s">
        <v>4673</v>
      </c>
      <c r="B2978" s="222">
        <v>531065</v>
      </c>
      <c r="C2978" s="222" t="s">
        <v>2052</v>
      </c>
      <c r="D2978" s="222" t="s">
        <v>1124</v>
      </c>
    </row>
    <row r="2979" spans="1:4" x14ac:dyDescent="0.25">
      <c r="A2979" s="222" t="s">
        <v>4672</v>
      </c>
      <c r="B2979" s="222">
        <v>514460</v>
      </c>
      <c r="C2979" s="222" t="s">
        <v>2052</v>
      </c>
      <c r="D2979" s="222" t="s">
        <v>1529</v>
      </c>
    </row>
    <row r="2980" spans="1:4" x14ac:dyDescent="0.25">
      <c r="A2980" s="222" t="s">
        <v>4671</v>
      </c>
      <c r="B2980" s="222">
        <v>523151</v>
      </c>
      <c r="C2980" s="222" t="s">
        <v>2052</v>
      </c>
      <c r="D2980" s="222" t="s">
        <v>911</v>
      </c>
    </row>
    <row r="2981" spans="1:4" x14ac:dyDescent="0.25">
      <c r="A2981" s="222" t="s">
        <v>4670</v>
      </c>
      <c r="B2981" s="222">
        <v>514330</v>
      </c>
      <c r="C2981" s="222" t="s">
        <v>2052</v>
      </c>
      <c r="D2981" s="222" t="s">
        <v>1237</v>
      </c>
    </row>
    <row r="2982" spans="1:4" x14ac:dyDescent="0.25">
      <c r="A2982" s="222" t="s">
        <v>4669</v>
      </c>
      <c r="B2982" s="222">
        <v>530741</v>
      </c>
      <c r="C2982" s="222" t="s">
        <v>2052</v>
      </c>
      <c r="D2982" s="222" t="s">
        <v>1083</v>
      </c>
    </row>
    <row r="2983" spans="1:4" x14ac:dyDescent="0.25">
      <c r="A2983" s="222" t="s">
        <v>4668</v>
      </c>
      <c r="B2983" s="222">
        <v>539291</v>
      </c>
      <c r="C2983" s="222" t="s">
        <v>2052</v>
      </c>
      <c r="D2983" s="222" t="s">
        <v>731</v>
      </c>
    </row>
    <row r="2984" spans="1:4" x14ac:dyDescent="0.25">
      <c r="A2984" s="222" t="s">
        <v>4667</v>
      </c>
      <c r="B2984" s="222">
        <v>539352</v>
      </c>
      <c r="C2984" s="222" t="s">
        <v>2052</v>
      </c>
      <c r="D2984" s="222" t="s">
        <v>2264</v>
      </c>
    </row>
    <row r="2985" spans="1:4" x14ac:dyDescent="0.25">
      <c r="A2985" s="222" t="s">
        <v>4666</v>
      </c>
      <c r="B2985" s="222">
        <v>513403</v>
      </c>
      <c r="C2985" s="222" t="s">
        <v>2052</v>
      </c>
      <c r="D2985" s="222" t="s">
        <v>2167</v>
      </c>
    </row>
    <row r="2986" spans="1:4" x14ac:dyDescent="0.25">
      <c r="A2986" s="222" t="s">
        <v>4665</v>
      </c>
      <c r="B2986" s="222">
        <v>523862</v>
      </c>
      <c r="C2986" s="222" t="s">
        <v>2052</v>
      </c>
      <c r="D2986" s="222" t="s">
        <v>1321</v>
      </c>
    </row>
    <row r="2987" spans="1:4" x14ac:dyDescent="0.25">
      <c r="A2987" s="222" t="s">
        <v>4664</v>
      </c>
      <c r="B2987" s="222">
        <v>523483</v>
      </c>
      <c r="C2987" s="222" t="s">
        <v>2052</v>
      </c>
      <c r="D2987" s="222" t="s">
        <v>2357</v>
      </c>
    </row>
    <row r="2988" spans="1:4" x14ac:dyDescent="0.25">
      <c r="A2988" s="222" t="s">
        <v>4663</v>
      </c>
      <c r="B2988" s="222">
        <v>538963</v>
      </c>
      <c r="C2988" s="222" t="s">
        <v>2052</v>
      </c>
      <c r="D2988" s="222" t="s">
        <v>740</v>
      </c>
    </row>
    <row r="2989" spans="1:4" x14ac:dyDescent="0.25">
      <c r="A2989" s="222" t="s">
        <v>4662</v>
      </c>
      <c r="B2989" s="222">
        <v>531395</v>
      </c>
      <c r="C2989" s="222" t="s">
        <v>2052</v>
      </c>
      <c r="D2989" s="222" t="s">
        <v>1237</v>
      </c>
    </row>
    <row r="2990" spans="1:4" x14ac:dyDescent="0.25">
      <c r="A2990" s="222" t="s">
        <v>4661</v>
      </c>
      <c r="B2990" s="222">
        <v>532350</v>
      </c>
      <c r="C2990" s="222" t="s">
        <v>2052</v>
      </c>
      <c r="D2990" s="222" t="s">
        <v>2264</v>
      </c>
    </row>
    <row r="2991" spans="1:4" x14ac:dyDescent="0.25">
      <c r="A2991" s="222" t="s">
        <v>4660</v>
      </c>
      <c r="B2991" s="222">
        <v>526905</v>
      </c>
      <c r="C2991" s="222" t="s">
        <v>2052</v>
      </c>
      <c r="D2991" s="222" t="s">
        <v>998</v>
      </c>
    </row>
    <row r="2992" spans="1:4" x14ac:dyDescent="0.25">
      <c r="A2992" s="222" t="s">
        <v>4659</v>
      </c>
      <c r="B2992" s="222">
        <v>517230</v>
      </c>
      <c r="C2992" s="222" t="s">
        <v>4658</v>
      </c>
      <c r="D2992" s="222" t="s">
        <v>1529</v>
      </c>
    </row>
    <row r="2993" spans="1:4" x14ac:dyDescent="0.25">
      <c r="A2993" s="222" t="s">
        <v>4657</v>
      </c>
      <c r="B2993" s="222">
        <v>532827</v>
      </c>
      <c r="C2993" s="222" t="s">
        <v>4656</v>
      </c>
      <c r="D2993" s="222" t="s">
        <v>1364</v>
      </c>
    </row>
    <row r="2994" spans="1:4" x14ac:dyDescent="0.25">
      <c r="A2994" s="222" t="s">
        <v>4655</v>
      </c>
      <c r="B2994" s="222">
        <v>532900</v>
      </c>
      <c r="C2994" s="222" t="s">
        <v>4654</v>
      </c>
      <c r="D2994" s="222" t="s">
        <v>1321</v>
      </c>
    </row>
    <row r="2995" spans="1:4" x14ac:dyDescent="0.25">
      <c r="A2995" s="222" t="s">
        <v>4653</v>
      </c>
      <c r="B2995" s="222">
        <v>540648</v>
      </c>
      <c r="C2995" s="222" t="s">
        <v>4652</v>
      </c>
      <c r="D2995" s="222" t="s">
        <v>2108</v>
      </c>
    </row>
    <row r="2996" spans="1:4" x14ac:dyDescent="0.25">
      <c r="A2996" s="222" t="s">
        <v>4651</v>
      </c>
      <c r="B2996" s="222">
        <v>539121</v>
      </c>
      <c r="C2996" s="222" t="s">
        <v>2052</v>
      </c>
      <c r="D2996" s="222" t="s">
        <v>2490</v>
      </c>
    </row>
    <row r="2997" spans="1:4" x14ac:dyDescent="0.25">
      <c r="A2997" s="222" t="s">
        <v>4650</v>
      </c>
      <c r="B2997" s="222">
        <v>541444</v>
      </c>
      <c r="C2997" s="222" t="s">
        <v>2052</v>
      </c>
      <c r="D2997" s="222" t="s">
        <v>1364</v>
      </c>
    </row>
    <row r="2998" spans="1:4" x14ac:dyDescent="0.25">
      <c r="A2998" s="222" t="s">
        <v>4649</v>
      </c>
      <c r="B2998" s="222">
        <v>532521</v>
      </c>
      <c r="C2998" s="222" t="s">
        <v>4648</v>
      </c>
      <c r="D2998" s="222" t="s">
        <v>1942</v>
      </c>
    </row>
    <row r="2999" spans="1:4" x14ac:dyDescent="0.25">
      <c r="A2999" s="222" t="s">
        <v>4647</v>
      </c>
      <c r="B2999" s="222">
        <v>511597</v>
      </c>
      <c r="C2999" s="222" t="s">
        <v>2052</v>
      </c>
      <c r="D2999" s="222" t="s">
        <v>1321</v>
      </c>
    </row>
    <row r="3000" spans="1:4" x14ac:dyDescent="0.25">
      <c r="A3000" s="222" t="s">
        <v>4646</v>
      </c>
      <c r="B3000" s="222">
        <v>517397</v>
      </c>
      <c r="C3000" s="222" t="s">
        <v>2052</v>
      </c>
      <c r="D3000" s="222" t="s">
        <v>2062</v>
      </c>
    </row>
    <row r="3001" spans="1:4" x14ac:dyDescent="0.25">
      <c r="A3001" s="222" t="s">
        <v>4645</v>
      </c>
      <c r="B3001" s="222">
        <v>517397</v>
      </c>
      <c r="C3001" s="222" t="s">
        <v>2052</v>
      </c>
      <c r="D3001" s="222" t="s">
        <v>2062</v>
      </c>
    </row>
    <row r="3002" spans="1:4" x14ac:dyDescent="0.25">
      <c r="A3002" s="222" t="s">
        <v>4644</v>
      </c>
      <c r="B3002" s="222">
        <v>511525</v>
      </c>
      <c r="C3002" s="222" t="s">
        <v>2052</v>
      </c>
      <c r="D3002" s="222" t="s">
        <v>1942</v>
      </c>
    </row>
    <row r="3003" spans="1:4" x14ac:dyDescent="0.25">
      <c r="A3003" s="222" t="s">
        <v>4643</v>
      </c>
      <c r="B3003" s="222">
        <v>531349</v>
      </c>
      <c r="C3003" s="222" t="s">
        <v>4642</v>
      </c>
      <c r="D3003" s="222" t="s">
        <v>2254</v>
      </c>
    </row>
    <row r="3004" spans="1:4" x14ac:dyDescent="0.25">
      <c r="A3004" s="222" t="s">
        <v>4641</v>
      </c>
      <c r="B3004" s="222" t="s">
        <v>2052</v>
      </c>
      <c r="C3004" s="222" t="s">
        <v>4640</v>
      </c>
      <c r="D3004" s="222" t="s">
        <v>2050</v>
      </c>
    </row>
    <row r="3005" spans="1:4" x14ac:dyDescent="0.25">
      <c r="A3005" s="222" t="s">
        <v>4639</v>
      </c>
      <c r="B3005" s="222">
        <v>538742</v>
      </c>
      <c r="C3005" s="222" t="s">
        <v>2052</v>
      </c>
      <c r="D3005" s="222" t="s">
        <v>1529</v>
      </c>
    </row>
    <row r="3006" spans="1:4" x14ac:dyDescent="0.25">
      <c r="A3006" s="222" t="s">
        <v>4638</v>
      </c>
      <c r="B3006" s="222">
        <v>538860</v>
      </c>
      <c r="C3006" s="222" t="s">
        <v>2052</v>
      </c>
      <c r="D3006" s="222" t="s">
        <v>1321</v>
      </c>
    </row>
    <row r="3007" spans="1:4" x14ac:dyDescent="0.25">
      <c r="A3007" s="222" t="s">
        <v>4637</v>
      </c>
      <c r="B3007" s="222">
        <v>524820</v>
      </c>
      <c r="C3007" s="222" t="s">
        <v>4636</v>
      </c>
      <c r="D3007" s="222" t="s">
        <v>2740</v>
      </c>
    </row>
    <row r="3008" spans="1:4" x14ac:dyDescent="0.25">
      <c r="A3008" s="222" t="s">
        <v>4635</v>
      </c>
      <c r="B3008" s="222">
        <v>508941</v>
      </c>
      <c r="C3008" s="222" t="s">
        <v>2052</v>
      </c>
      <c r="D3008" s="222" t="s">
        <v>1395</v>
      </c>
    </row>
    <row r="3009" spans="1:4" x14ac:dyDescent="0.25">
      <c r="A3009" s="222" t="s">
        <v>4634</v>
      </c>
      <c r="B3009" s="222">
        <v>504093</v>
      </c>
      <c r="C3009" s="222" t="s">
        <v>2052</v>
      </c>
      <c r="D3009" s="222" t="s">
        <v>2696</v>
      </c>
    </row>
    <row r="3010" spans="1:4" x14ac:dyDescent="0.25">
      <c r="A3010" s="222" t="s">
        <v>4633</v>
      </c>
      <c r="B3010" s="222">
        <v>513511</v>
      </c>
      <c r="C3010" s="222" t="s">
        <v>2052</v>
      </c>
      <c r="D3010" s="222" t="s">
        <v>2167</v>
      </c>
    </row>
    <row r="3011" spans="1:4" x14ac:dyDescent="0.25">
      <c r="A3011" s="222" t="s">
        <v>4632</v>
      </c>
      <c r="B3011" s="222">
        <v>531726</v>
      </c>
      <c r="C3011" s="222" t="s">
        <v>2052</v>
      </c>
      <c r="D3011" s="222" t="s">
        <v>789</v>
      </c>
    </row>
    <row r="3012" spans="1:4" x14ac:dyDescent="0.25">
      <c r="A3012" s="222" t="s">
        <v>4631</v>
      </c>
      <c r="B3012" s="222">
        <v>506122</v>
      </c>
      <c r="C3012" s="222" t="s">
        <v>2052</v>
      </c>
      <c r="D3012" s="222" t="s">
        <v>1306</v>
      </c>
    </row>
    <row r="3013" spans="1:4" x14ac:dyDescent="0.25">
      <c r="A3013" s="222" t="s">
        <v>4630</v>
      </c>
      <c r="B3013" s="222">
        <v>531280</v>
      </c>
      <c r="C3013" s="222" t="s">
        <v>2052</v>
      </c>
      <c r="D3013" s="222" t="s">
        <v>1447</v>
      </c>
    </row>
    <row r="3014" spans="1:4" x14ac:dyDescent="0.25">
      <c r="A3014" s="222" t="s">
        <v>4629</v>
      </c>
      <c r="B3014" s="222">
        <v>534796</v>
      </c>
      <c r="C3014" s="222" t="s">
        <v>2052</v>
      </c>
      <c r="D3014" s="222" t="s">
        <v>1251</v>
      </c>
    </row>
    <row r="3015" spans="1:4" x14ac:dyDescent="0.25">
      <c r="A3015" s="222" t="s">
        <v>4628</v>
      </c>
      <c r="B3015" s="222" t="s">
        <v>2052</v>
      </c>
      <c r="C3015" s="222" t="s">
        <v>4627</v>
      </c>
      <c r="D3015" s="222" t="s">
        <v>2050</v>
      </c>
    </row>
    <row r="3016" spans="1:4" x14ac:dyDescent="0.25">
      <c r="A3016" s="222" t="s">
        <v>4626</v>
      </c>
      <c r="B3016" s="222">
        <v>539143</v>
      </c>
      <c r="C3016" s="222" t="s">
        <v>2052</v>
      </c>
      <c r="D3016" s="222" t="s">
        <v>1318</v>
      </c>
    </row>
    <row r="3017" spans="1:4" x14ac:dyDescent="0.25">
      <c r="A3017" s="222" t="s">
        <v>4625</v>
      </c>
      <c r="B3017" s="222">
        <v>500322</v>
      </c>
      <c r="C3017" s="222" t="s">
        <v>2052</v>
      </c>
      <c r="D3017" s="222" t="s">
        <v>1004</v>
      </c>
    </row>
    <row r="3018" spans="1:4" x14ac:dyDescent="0.25">
      <c r="A3018" s="222" t="s">
        <v>4624</v>
      </c>
      <c r="B3018" s="222">
        <v>513359</v>
      </c>
      <c r="C3018" s="222" t="s">
        <v>4623</v>
      </c>
      <c r="D3018" s="222" t="s">
        <v>2714</v>
      </c>
    </row>
    <row r="3019" spans="1:4" x14ac:dyDescent="0.25">
      <c r="A3019" s="222" t="s">
        <v>4622</v>
      </c>
      <c r="B3019" s="222">
        <v>533211</v>
      </c>
      <c r="C3019" s="222" t="s">
        <v>4621</v>
      </c>
      <c r="D3019" s="222" t="s">
        <v>789</v>
      </c>
    </row>
    <row r="3020" spans="1:4" x14ac:dyDescent="0.25">
      <c r="A3020" s="222" t="s">
        <v>4620</v>
      </c>
      <c r="B3020" s="222">
        <v>539889</v>
      </c>
      <c r="C3020" s="222" t="s">
        <v>4619</v>
      </c>
      <c r="D3020" s="222" t="s">
        <v>1161</v>
      </c>
    </row>
    <row r="3021" spans="1:4" x14ac:dyDescent="0.25">
      <c r="A3021" s="222" t="s">
        <v>4618</v>
      </c>
      <c r="B3021" s="222">
        <v>531255</v>
      </c>
      <c r="C3021" s="222" t="s">
        <v>2052</v>
      </c>
      <c r="D3021" s="222" t="s">
        <v>1321</v>
      </c>
    </row>
    <row r="3022" spans="1:4" x14ac:dyDescent="0.25">
      <c r="A3022" s="222" t="s">
        <v>4617</v>
      </c>
      <c r="B3022" s="222">
        <v>530555</v>
      </c>
      <c r="C3022" s="222" t="s">
        <v>4616</v>
      </c>
      <c r="D3022" s="222" t="s">
        <v>1275</v>
      </c>
    </row>
    <row r="3023" spans="1:4" x14ac:dyDescent="0.25">
      <c r="A3023" s="222" t="s">
        <v>4615</v>
      </c>
      <c r="B3023" s="222">
        <v>507970</v>
      </c>
      <c r="C3023" s="222" t="s">
        <v>2052</v>
      </c>
      <c r="D3023" s="222" t="s">
        <v>1542</v>
      </c>
    </row>
    <row r="3024" spans="1:4" x14ac:dyDescent="0.25">
      <c r="A3024" s="222" t="s">
        <v>4614</v>
      </c>
      <c r="B3024" s="222">
        <v>507970</v>
      </c>
      <c r="C3024" s="222" t="s">
        <v>2052</v>
      </c>
      <c r="D3024" s="222" t="s">
        <v>1542</v>
      </c>
    </row>
    <row r="3025" spans="1:4" x14ac:dyDescent="0.25">
      <c r="A3025" s="222" t="s">
        <v>4613</v>
      </c>
      <c r="B3025" s="222">
        <v>524689</v>
      </c>
      <c r="C3025" s="222" t="s">
        <v>4611</v>
      </c>
      <c r="D3025" s="222" t="s">
        <v>789</v>
      </c>
    </row>
    <row r="3026" spans="1:4" x14ac:dyDescent="0.25">
      <c r="A3026" s="222" t="s">
        <v>4612</v>
      </c>
      <c r="B3026" s="222">
        <v>524689</v>
      </c>
      <c r="C3026" s="222" t="s">
        <v>4611</v>
      </c>
      <c r="D3026" s="222" t="s">
        <v>789</v>
      </c>
    </row>
    <row r="3027" spans="1:4" x14ac:dyDescent="0.25">
      <c r="A3027" s="222" t="s">
        <v>4610</v>
      </c>
      <c r="B3027" s="222">
        <v>539481</v>
      </c>
      <c r="C3027" s="222" t="s">
        <v>2052</v>
      </c>
      <c r="D3027" s="222" t="s">
        <v>1321</v>
      </c>
    </row>
    <row r="3028" spans="1:4" x14ac:dyDescent="0.25">
      <c r="A3028" s="222" t="s">
        <v>4609</v>
      </c>
      <c r="B3028" s="222" t="s">
        <v>2052</v>
      </c>
      <c r="C3028" s="222" t="s">
        <v>4608</v>
      </c>
      <c r="D3028" s="222" t="s">
        <v>2050</v>
      </c>
    </row>
    <row r="3029" spans="1:4" x14ac:dyDescent="0.25">
      <c r="A3029" s="222" t="s">
        <v>4607</v>
      </c>
      <c r="B3029" s="222">
        <v>524628</v>
      </c>
      <c r="C3029" s="222" t="s">
        <v>2052</v>
      </c>
      <c r="D3029" s="222" t="s">
        <v>1529</v>
      </c>
    </row>
    <row r="3030" spans="1:4" x14ac:dyDescent="0.25">
      <c r="A3030" s="222" t="s">
        <v>4606</v>
      </c>
      <c r="B3030" s="222">
        <v>532911</v>
      </c>
      <c r="C3030" s="222" t="s">
        <v>2052</v>
      </c>
      <c r="D3030" s="222" t="s">
        <v>1243</v>
      </c>
    </row>
    <row r="3031" spans="1:4" x14ac:dyDescent="0.25">
      <c r="A3031" s="222" t="s">
        <v>4605</v>
      </c>
      <c r="B3031" s="222">
        <v>540359</v>
      </c>
      <c r="C3031" s="222" t="s">
        <v>2052</v>
      </c>
      <c r="D3031" s="222" t="s">
        <v>789</v>
      </c>
    </row>
    <row r="3032" spans="1:4" x14ac:dyDescent="0.25">
      <c r="A3032" s="222" t="s">
        <v>4604</v>
      </c>
      <c r="B3032" s="222">
        <v>540467</v>
      </c>
      <c r="C3032" s="222" t="s">
        <v>2052</v>
      </c>
      <c r="D3032" s="222" t="s">
        <v>1364</v>
      </c>
    </row>
    <row r="3033" spans="1:4" x14ac:dyDescent="0.25">
      <c r="A3033" s="222" t="s">
        <v>4603</v>
      </c>
      <c r="B3033" s="222">
        <v>780017</v>
      </c>
      <c r="C3033" s="222" t="s">
        <v>2052</v>
      </c>
      <c r="D3033" s="222" t="s">
        <v>2197</v>
      </c>
    </row>
    <row r="3034" spans="1:4" x14ac:dyDescent="0.25">
      <c r="A3034" s="222" t="s">
        <v>4602</v>
      </c>
      <c r="B3034" s="222">
        <v>506128</v>
      </c>
      <c r="C3034" s="222" t="s">
        <v>2052</v>
      </c>
      <c r="D3034" s="222" t="s">
        <v>789</v>
      </c>
    </row>
    <row r="3035" spans="1:4" x14ac:dyDescent="0.25">
      <c r="A3035" s="222" t="s">
        <v>4601</v>
      </c>
      <c r="B3035" s="222">
        <v>511702</v>
      </c>
      <c r="C3035" s="222" t="s">
        <v>2052</v>
      </c>
      <c r="D3035" s="222" t="s">
        <v>1321</v>
      </c>
    </row>
    <row r="3036" spans="1:4" x14ac:dyDescent="0.25">
      <c r="A3036" s="222" t="s">
        <v>4600</v>
      </c>
      <c r="B3036" s="222">
        <v>511176</v>
      </c>
      <c r="C3036" s="222" t="s">
        <v>2052</v>
      </c>
      <c r="D3036" s="222" t="s">
        <v>1243</v>
      </c>
    </row>
    <row r="3037" spans="1:4" x14ac:dyDescent="0.25">
      <c r="A3037" s="222" t="s">
        <v>4599</v>
      </c>
      <c r="B3037" s="222">
        <v>532780</v>
      </c>
      <c r="C3037" s="222" t="s">
        <v>4598</v>
      </c>
      <c r="D3037" s="222" t="s">
        <v>1243</v>
      </c>
    </row>
    <row r="3038" spans="1:4" x14ac:dyDescent="0.25">
      <c r="A3038" s="222" t="s">
        <v>4597</v>
      </c>
      <c r="B3038" s="222">
        <v>526349</v>
      </c>
      <c r="C3038" s="222" t="s">
        <v>2052</v>
      </c>
      <c r="D3038" s="222" t="s">
        <v>1306</v>
      </c>
    </row>
    <row r="3039" spans="1:4" x14ac:dyDescent="0.25">
      <c r="A3039" s="222" t="s">
        <v>4596</v>
      </c>
      <c r="B3039" s="222">
        <v>541347</v>
      </c>
      <c r="C3039" s="222" t="s">
        <v>2052</v>
      </c>
      <c r="D3039" s="222" t="s">
        <v>1124</v>
      </c>
    </row>
    <row r="3040" spans="1:4" x14ac:dyDescent="0.25">
      <c r="A3040" s="222" t="s">
        <v>4595</v>
      </c>
      <c r="B3040" s="222">
        <v>521080</v>
      </c>
      <c r="C3040" s="222" t="s">
        <v>2052</v>
      </c>
      <c r="D3040" s="222" t="s">
        <v>1237</v>
      </c>
    </row>
    <row r="3041" spans="1:4" x14ac:dyDescent="0.25">
      <c r="A3041" s="222" t="s">
        <v>4594</v>
      </c>
      <c r="B3041" s="222" t="s">
        <v>2052</v>
      </c>
      <c r="C3041" s="222" t="s">
        <v>4593</v>
      </c>
      <c r="D3041" s="222" t="s">
        <v>2050</v>
      </c>
    </row>
    <row r="3042" spans="1:4" x14ac:dyDescent="0.25">
      <c r="A3042" s="222" t="s">
        <v>4592</v>
      </c>
      <c r="B3042" s="222">
        <v>500456</v>
      </c>
      <c r="C3042" s="222" t="s">
        <v>2052</v>
      </c>
      <c r="D3042" s="222" t="s">
        <v>2299</v>
      </c>
    </row>
    <row r="3043" spans="1:4" x14ac:dyDescent="0.25">
      <c r="A3043" s="222" t="s">
        <v>4591</v>
      </c>
      <c r="B3043" s="222">
        <v>511734</v>
      </c>
      <c r="C3043" s="222" t="s">
        <v>2052</v>
      </c>
      <c r="D3043" s="222" t="s">
        <v>1321</v>
      </c>
    </row>
    <row r="3044" spans="1:4" x14ac:dyDescent="0.25">
      <c r="A3044" s="222" t="s">
        <v>4590</v>
      </c>
      <c r="B3044" s="222">
        <v>503092</v>
      </c>
      <c r="C3044" s="222" t="s">
        <v>2052</v>
      </c>
      <c r="D3044" s="222" t="s">
        <v>1237</v>
      </c>
    </row>
    <row r="3045" spans="1:4" x14ac:dyDescent="0.25">
      <c r="A3045" s="222" t="s">
        <v>4589</v>
      </c>
      <c r="B3045" s="222">
        <v>539401</v>
      </c>
      <c r="C3045" s="222" t="s">
        <v>2052</v>
      </c>
      <c r="D3045" s="222" t="s">
        <v>1364</v>
      </c>
    </row>
    <row r="3046" spans="1:4" x14ac:dyDescent="0.25">
      <c r="A3046" s="222" t="s">
        <v>4588</v>
      </c>
      <c r="B3046" s="222">
        <v>531120</v>
      </c>
      <c r="C3046" s="222" t="s">
        <v>4587</v>
      </c>
      <c r="D3046" s="222" t="s">
        <v>1248</v>
      </c>
    </row>
    <row r="3047" spans="1:4" x14ac:dyDescent="0.25">
      <c r="A3047" s="222" t="s">
        <v>4586</v>
      </c>
      <c r="B3047" s="222">
        <v>526381</v>
      </c>
      <c r="C3047" s="222" t="s">
        <v>4585</v>
      </c>
      <c r="D3047" s="222" t="s">
        <v>2656</v>
      </c>
    </row>
    <row r="3048" spans="1:4" x14ac:dyDescent="0.25">
      <c r="A3048" s="222" t="s">
        <v>4584</v>
      </c>
      <c r="B3048" s="222">
        <v>517417</v>
      </c>
      <c r="C3048" s="222" t="s">
        <v>2052</v>
      </c>
      <c r="D3048" s="222" t="s">
        <v>832</v>
      </c>
    </row>
    <row r="3049" spans="1:4" x14ac:dyDescent="0.25">
      <c r="A3049" s="222" t="s">
        <v>4583</v>
      </c>
      <c r="B3049" s="222">
        <v>517417</v>
      </c>
      <c r="C3049" s="222" t="s">
        <v>2052</v>
      </c>
      <c r="D3049" s="222" t="s">
        <v>832</v>
      </c>
    </row>
    <row r="3050" spans="1:4" x14ac:dyDescent="0.25">
      <c r="A3050" s="222" t="s">
        <v>4582</v>
      </c>
      <c r="B3050" s="222">
        <v>524031</v>
      </c>
      <c r="C3050" s="222" t="s">
        <v>2052</v>
      </c>
      <c r="D3050" s="222" t="s">
        <v>1243</v>
      </c>
    </row>
    <row r="3051" spans="1:4" x14ac:dyDescent="0.25">
      <c r="A3051" s="222" t="s">
        <v>4581</v>
      </c>
      <c r="B3051" s="222">
        <v>514326</v>
      </c>
      <c r="C3051" s="222" t="s">
        <v>4579</v>
      </c>
      <c r="D3051" s="222" t="s">
        <v>1237</v>
      </c>
    </row>
    <row r="3052" spans="1:4" x14ac:dyDescent="0.25">
      <c r="A3052" s="222" t="s">
        <v>4580</v>
      </c>
      <c r="B3052" s="222">
        <v>514326</v>
      </c>
      <c r="C3052" s="222" t="s">
        <v>4579</v>
      </c>
      <c r="D3052" s="222" t="s">
        <v>1237</v>
      </c>
    </row>
    <row r="3053" spans="1:4" x14ac:dyDescent="0.25">
      <c r="A3053" s="222" t="s">
        <v>4578</v>
      </c>
      <c r="B3053" s="222">
        <v>539113</v>
      </c>
      <c r="C3053" s="222" t="s">
        <v>2052</v>
      </c>
      <c r="D3053" s="222" t="s">
        <v>1321</v>
      </c>
    </row>
    <row r="3054" spans="1:4" x14ac:dyDescent="0.25">
      <c r="A3054" s="222" t="s">
        <v>4577</v>
      </c>
      <c r="B3054" s="222">
        <v>532742</v>
      </c>
      <c r="C3054" s="222" t="s">
        <v>2052</v>
      </c>
      <c r="D3054" s="222" t="s">
        <v>722</v>
      </c>
    </row>
    <row r="3055" spans="1:4" x14ac:dyDescent="0.25">
      <c r="A3055" s="222" t="s">
        <v>4576</v>
      </c>
      <c r="B3055" s="222">
        <v>535658</v>
      </c>
      <c r="C3055" s="222" t="s">
        <v>2052</v>
      </c>
      <c r="D3055" s="222" t="s">
        <v>1321</v>
      </c>
    </row>
    <row r="3056" spans="1:4" x14ac:dyDescent="0.25">
      <c r="A3056" s="222" t="s">
        <v>4575</v>
      </c>
      <c r="B3056" s="222">
        <v>532676</v>
      </c>
      <c r="C3056" s="222" t="s">
        <v>4574</v>
      </c>
      <c r="D3056" s="222" t="s">
        <v>1248</v>
      </c>
    </row>
    <row r="3057" spans="1:4" x14ac:dyDescent="0.25">
      <c r="A3057" s="222" t="s">
        <v>4573</v>
      </c>
      <c r="B3057" s="222">
        <v>514087</v>
      </c>
      <c r="C3057" s="222" t="s">
        <v>2052</v>
      </c>
      <c r="D3057" s="222" t="s">
        <v>1237</v>
      </c>
    </row>
    <row r="3058" spans="1:4" x14ac:dyDescent="0.25">
      <c r="A3058" s="222" t="s">
        <v>4572</v>
      </c>
      <c r="B3058" s="222">
        <v>534809</v>
      </c>
      <c r="C3058" s="222" t="s">
        <v>4571</v>
      </c>
      <c r="D3058" s="222" t="s">
        <v>1364</v>
      </c>
    </row>
    <row r="3059" spans="1:4" x14ac:dyDescent="0.25">
      <c r="A3059" s="222" t="s">
        <v>4570</v>
      </c>
      <c r="B3059" s="222">
        <v>517119</v>
      </c>
      <c r="C3059" s="222" t="s">
        <v>2052</v>
      </c>
      <c r="D3059" s="222" t="s">
        <v>1997</v>
      </c>
    </row>
    <row r="3060" spans="1:4" x14ac:dyDescent="0.25">
      <c r="A3060" s="222" t="s">
        <v>4569</v>
      </c>
      <c r="B3060" s="222">
        <v>538730</v>
      </c>
      <c r="C3060" s="222" t="s">
        <v>4568</v>
      </c>
      <c r="D3060" s="222" t="s">
        <v>1529</v>
      </c>
    </row>
    <row r="3061" spans="1:4" x14ac:dyDescent="0.25">
      <c r="A3061" s="222" t="s">
        <v>4567</v>
      </c>
      <c r="B3061" s="222">
        <v>532808</v>
      </c>
      <c r="C3061" s="222" t="s">
        <v>4566</v>
      </c>
      <c r="D3061" s="222" t="s">
        <v>1364</v>
      </c>
    </row>
    <row r="3062" spans="1:4" x14ac:dyDescent="0.25">
      <c r="A3062" s="222" t="s">
        <v>4565</v>
      </c>
      <c r="B3062" s="222">
        <v>523260</v>
      </c>
      <c r="C3062" s="222" t="s">
        <v>4564</v>
      </c>
      <c r="D3062" s="222" t="s">
        <v>1447</v>
      </c>
    </row>
    <row r="3063" spans="1:4" x14ac:dyDescent="0.25">
      <c r="A3063" s="222" t="s">
        <v>4563</v>
      </c>
      <c r="B3063" s="222">
        <v>539273</v>
      </c>
      <c r="C3063" s="222" t="s">
        <v>2052</v>
      </c>
      <c r="D3063" s="222" t="s">
        <v>924</v>
      </c>
    </row>
    <row r="3064" spans="1:4" x14ac:dyDescent="0.25">
      <c r="A3064" s="222" t="s">
        <v>4562</v>
      </c>
      <c r="B3064" s="222">
        <v>524136</v>
      </c>
      <c r="C3064" s="222" t="s">
        <v>2052</v>
      </c>
      <c r="D3064" s="222" t="s">
        <v>1184</v>
      </c>
    </row>
    <row r="3065" spans="1:4" x14ac:dyDescent="0.25">
      <c r="A3065" s="222" t="s">
        <v>4561</v>
      </c>
      <c r="B3065" s="222">
        <v>531352</v>
      </c>
      <c r="C3065" s="222" t="s">
        <v>2052</v>
      </c>
      <c r="D3065" s="222" t="s">
        <v>1237</v>
      </c>
    </row>
    <row r="3066" spans="1:4" x14ac:dyDescent="0.25">
      <c r="A3066" s="222" t="s">
        <v>4560</v>
      </c>
      <c r="B3066" s="222">
        <v>503031</v>
      </c>
      <c r="C3066" s="222" t="s">
        <v>4559</v>
      </c>
      <c r="D3066" s="222" t="s">
        <v>1243</v>
      </c>
    </row>
    <row r="3067" spans="1:4" x14ac:dyDescent="0.25">
      <c r="A3067" s="222" t="s">
        <v>4558</v>
      </c>
      <c r="B3067" s="222">
        <v>539333</v>
      </c>
      <c r="C3067" s="222" t="s">
        <v>4557</v>
      </c>
      <c r="D3067" s="222" t="s">
        <v>1243</v>
      </c>
    </row>
    <row r="3068" spans="1:4" x14ac:dyDescent="0.25">
      <c r="A3068" s="222" t="s">
        <v>4556</v>
      </c>
      <c r="B3068" s="222">
        <v>513228</v>
      </c>
      <c r="C3068" s="222" t="s">
        <v>4555</v>
      </c>
      <c r="D3068" s="222" t="s">
        <v>2167</v>
      </c>
    </row>
    <row r="3069" spans="1:4" x14ac:dyDescent="0.25">
      <c r="A3069" s="222" t="s">
        <v>4554</v>
      </c>
      <c r="B3069" s="222" t="s">
        <v>2052</v>
      </c>
      <c r="C3069" s="222" t="s">
        <v>4553</v>
      </c>
      <c r="D3069" s="222" t="s">
        <v>2050</v>
      </c>
    </row>
    <row r="3070" spans="1:4" x14ac:dyDescent="0.25">
      <c r="A3070" s="222" t="s">
        <v>4552</v>
      </c>
      <c r="B3070" s="222">
        <v>500329</v>
      </c>
      <c r="C3070" s="222" t="s">
        <v>2052</v>
      </c>
      <c r="D3070" s="222" t="s">
        <v>2264</v>
      </c>
    </row>
    <row r="3071" spans="1:4" x14ac:dyDescent="0.25">
      <c r="A3071" s="222" t="s">
        <v>4551</v>
      </c>
      <c r="B3071" s="222">
        <v>524210</v>
      </c>
      <c r="C3071" s="222" t="s">
        <v>2052</v>
      </c>
      <c r="D3071" s="222" t="s">
        <v>998</v>
      </c>
    </row>
    <row r="3072" spans="1:4" x14ac:dyDescent="0.25">
      <c r="A3072" s="222" t="s">
        <v>4550</v>
      </c>
      <c r="B3072" s="222">
        <v>524210</v>
      </c>
      <c r="C3072" s="222" t="s">
        <v>2052</v>
      </c>
      <c r="D3072" s="222" t="s">
        <v>998</v>
      </c>
    </row>
    <row r="3073" spans="1:4" x14ac:dyDescent="0.25">
      <c r="A3073" s="222" t="s">
        <v>4549</v>
      </c>
      <c r="B3073" s="222">
        <v>501144</v>
      </c>
      <c r="C3073" s="222" t="s">
        <v>2052</v>
      </c>
      <c r="D3073" s="222" t="s">
        <v>2068</v>
      </c>
    </row>
    <row r="3074" spans="1:4" x14ac:dyDescent="0.25">
      <c r="A3074" s="222" t="s">
        <v>4548</v>
      </c>
      <c r="B3074" s="222" t="s">
        <v>2052</v>
      </c>
      <c r="C3074" s="222" t="s">
        <v>4547</v>
      </c>
      <c r="D3074" s="222" t="s">
        <v>2050</v>
      </c>
    </row>
    <row r="3075" spans="1:4" x14ac:dyDescent="0.25">
      <c r="A3075" s="222" t="s">
        <v>4546</v>
      </c>
      <c r="B3075" s="222">
        <v>521062</v>
      </c>
      <c r="C3075" s="222" t="s">
        <v>2052</v>
      </c>
      <c r="D3075" s="222" t="s">
        <v>2079</v>
      </c>
    </row>
    <row r="3076" spans="1:4" x14ac:dyDescent="0.25">
      <c r="A3076" s="222" t="s">
        <v>4545</v>
      </c>
      <c r="B3076" s="222">
        <v>526435</v>
      </c>
      <c r="C3076" s="222" t="s">
        <v>2052</v>
      </c>
      <c r="D3076" s="222" t="s">
        <v>1972</v>
      </c>
    </row>
    <row r="3077" spans="1:4" x14ac:dyDescent="0.25">
      <c r="A3077" s="222" t="s">
        <v>4544</v>
      </c>
      <c r="B3077" s="222">
        <v>504132</v>
      </c>
      <c r="C3077" s="222" t="s">
        <v>2052</v>
      </c>
      <c r="D3077" s="222" t="s">
        <v>1395</v>
      </c>
    </row>
    <row r="3078" spans="1:4" x14ac:dyDescent="0.25">
      <c r="A3078" s="222" t="s">
        <v>4543</v>
      </c>
      <c r="B3078" s="222">
        <v>533179</v>
      </c>
      <c r="C3078" s="222" t="s">
        <v>4542</v>
      </c>
      <c r="D3078" s="222" t="s">
        <v>1265</v>
      </c>
    </row>
    <row r="3079" spans="1:4" x14ac:dyDescent="0.25">
      <c r="A3079" s="222" t="s">
        <v>4541</v>
      </c>
      <c r="B3079" s="222">
        <v>517172</v>
      </c>
      <c r="C3079" s="222" t="s">
        <v>2052</v>
      </c>
      <c r="D3079" s="222" t="s">
        <v>2062</v>
      </c>
    </row>
    <row r="3080" spans="1:4" x14ac:dyDescent="0.25">
      <c r="A3080" s="222" t="s">
        <v>4540</v>
      </c>
      <c r="B3080" s="222">
        <v>530381</v>
      </c>
      <c r="C3080" s="222" t="s">
        <v>4539</v>
      </c>
      <c r="D3080" s="222" t="s">
        <v>1248</v>
      </c>
    </row>
    <row r="3081" spans="1:4" x14ac:dyDescent="0.25">
      <c r="A3081" s="222" t="s">
        <v>4538</v>
      </c>
      <c r="B3081" s="222">
        <v>532522</v>
      </c>
      <c r="C3081" s="222" t="s">
        <v>4537</v>
      </c>
      <c r="D3081" s="222" t="s">
        <v>2740</v>
      </c>
    </row>
    <row r="3082" spans="1:4" x14ac:dyDescent="0.25">
      <c r="A3082" s="222" t="s">
        <v>4536</v>
      </c>
      <c r="B3082" s="222">
        <v>500680</v>
      </c>
      <c r="C3082" s="222" t="s">
        <v>4535</v>
      </c>
      <c r="D3082" s="222" t="s">
        <v>789</v>
      </c>
    </row>
    <row r="3083" spans="1:4" x14ac:dyDescent="0.25">
      <c r="A3083" s="222" t="s">
        <v>4534</v>
      </c>
      <c r="B3083" s="222">
        <v>531769</v>
      </c>
      <c r="C3083" s="222" t="s">
        <v>2052</v>
      </c>
      <c r="D3083" s="222" t="s">
        <v>1942</v>
      </c>
    </row>
    <row r="3084" spans="1:4" x14ac:dyDescent="0.25">
      <c r="A3084" s="222" t="s">
        <v>4533</v>
      </c>
      <c r="B3084" s="222">
        <v>533581</v>
      </c>
      <c r="C3084" s="222" t="s">
        <v>4532</v>
      </c>
      <c r="D3084" s="222" t="s">
        <v>950</v>
      </c>
    </row>
    <row r="3085" spans="1:4" x14ac:dyDescent="0.25">
      <c r="A3085" s="222" t="s">
        <v>4531</v>
      </c>
      <c r="B3085" s="222">
        <v>526747</v>
      </c>
      <c r="C3085" s="222" t="s">
        <v>2052</v>
      </c>
      <c r="D3085" s="222" t="s">
        <v>2490</v>
      </c>
    </row>
    <row r="3086" spans="1:4" x14ac:dyDescent="0.25">
      <c r="A3086" s="222" t="s">
        <v>4530</v>
      </c>
      <c r="B3086" s="222">
        <v>531281</v>
      </c>
      <c r="C3086" s="222" t="s">
        <v>2052</v>
      </c>
      <c r="D3086" s="222" t="s">
        <v>2357</v>
      </c>
    </row>
    <row r="3087" spans="1:4" x14ac:dyDescent="0.25">
      <c r="A3087" s="222" t="s">
        <v>4529</v>
      </c>
      <c r="B3087" s="222">
        <v>500143</v>
      </c>
      <c r="C3087" s="222" t="s">
        <v>2052</v>
      </c>
      <c r="D3087" s="222" t="s">
        <v>1529</v>
      </c>
    </row>
    <row r="3088" spans="1:4" x14ac:dyDescent="0.25">
      <c r="A3088" s="222" t="s">
        <v>4528</v>
      </c>
      <c r="B3088" s="222">
        <v>512026</v>
      </c>
      <c r="C3088" s="222" t="s">
        <v>2052</v>
      </c>
      <c r="D3088" s="222" t="s">
        <v>1529</v>
      </c>
    </row>
    <row r="3089" spans="1:4" x14ac:dyDescent="0.25">
      <c r="A3089" s="222" t="s">
        <v>4527</v>
      </c>
      <c r="B3089" s="222">
        <v>523620</v>
      </c>
      <c r="C3089" s="222" t="s">
        <v>2052</v>
      </c>
      <c r="D3089" s="222" t="s">
        <v>789</v>
      </c>
    </row>
    <row r="3090" spans="1:4" x14ac:dyDescent="0.25">
      <c r="A3090" s="222" t="s">
        <v>4526</v>
      </c>
      <c r="B3090" s="222">
        <v>506590</v>
      </c>
      <c r="C3090" s="222" t="s">
        <v>4525</v>
      </c>
      <c r="D3090" s="222" t="s">
        <v>4524</v>
      </c>
    </row>
    <row r="3091" spans="1:4" x14ac:dyDescent="0.25">
      <c r="A3091" s="222" t="s">
        <v>4523</v>
      </c>
      <c r="B3091" s="222">
        <v>526481</v>
      </c>
      <c r="C3091" s="222" t="s">
        <v>2052</v>
      </c>
      <c r="D3091" s="222" t="s">
        <v>1364</v>
      </c>
    </row>
    <row r="3092" spans="1:4" x14ac:dyDescent="0.25">
      <c r="A3092" s="222" t="s">
        <v>4522</v>
      </c>
      <c r="B3092" s="222">
        <v>537839</v>
      </c>
      <c r="C3092" s="222" t="s">
        <v>2052</v>
      </c>
      <c r="D3092" s="222" t="s">
        <v>2128</v>
      </c>
    </row>
    <row r="3093" spans="1:4" x14ac:dyDescent="0.25">
      <c r="A3093" s="222" t="s">
        <v>4521</v>
      </c>
      <c r="B3093" s="222">
        <v>509084</v>
      </c>
      <c r="C3093" s="222" t="s">
        <v>2052</v>
      </c>
      <c r="D3093" s="222" t="s">
        <v>2068</v>
      </c>
    </row>
    <row r="3094" spans="1:4" x14ac:dyDescent="0.25">
      <c r="A3094" s="222" t="s">
        <v>4520</v>
      </c>
      <c r="B3094" s="222">
        <v>526588</v>
      </c>
      <c r="C3094" s="222" t="s">
        <v>2052</v>
      </c>
      <c r="D3094" s="222" t="s">
        <v>1407</v>
      </c>
    </row>
    <row r="3095" spans="1:4" x14ac:dyDescent="0.25">
      <c r="A3095" s="222" t="s">
        <v>4519</v>
      </c>
      <c r="B3095" s="222">
        <v>526588</v>
      </c>
      <c r="C3095" s="222" t="s">
        <v>2052</v>
      </c>
      <c r="D3095" s="222" t="s">
        <v>1407</v>
      </c>
    </row>
    <row r="3096" spans="1:4" x14ac:dyDescent="0.25">
      <c r="A3096" s="222" t="s">
        <v>4518</v>
      </c>
      <c r="B3096" s="222">
        <v>524808</v>
      </c>
      <c r="C3096" s="222" t="s">
        <v>2052</v>
      </c>
      <c r="D3096" s="222" t="s">
        <v>1324</v>
      </c>
    </row>
    <row r="3097" spans="1:4" x14ac:dyDescent="0.25">
      <c r="A3097" s="222" t="s">
        <v>4517</v>
      </c>
      <c r="B3097" s="222">
        <v>524808</v>
      </c>
      <c r="C3097" s="222" t="s">
        <v>2052</v>
      </c>
      <c r="D3097" s="222" t="s">
        <v>1324</v>
      </c>
    </row>
    <row r="3098" spans="1:4" x14ac:dyDescent="0.25">
      <c r="A3098" s="222" t="s">
        <v>4516</v>
      </c>
      <c r="B3098" s="222">
        <v>523642</v>
      </c>
      <c r="C3098" s="222" t="s">
        <v>4515</v>
      </c>
      <c r="D3098" s="222" t="s">
        <v>1324</v>
      </c>
    </row>
    <row r="3099" spans="1:4" x14ac:dyDescent="0.25">
      <c r="A3099" s="222" t="s">
        <v>4514</v>
      </c>
      <c r="B3099" s="222">
        <v>530305</v>
      </c>
      <c r="C3099" s="222" t="s">
        <v>2052</v>
      </c>
      <c r="D3099" s="222" t="s">
        <v>1124</v>
      </c>
    </row>
    <row r="3100" spans="1:4" x14ac:dyDescent="0.25">
      <c r="A3100" s="222" t="s">
        <v>4513</v>
      </c>
      <c r="B3100" s="222">
        <v>507498</v>
      </c>
      <c r="C3100" s="222" t="s">
        <v>2052</v>
      </c>
      <c r="D3100" s="222" t="s">
        <v>1124</v>
      </c>
    </row>
    <row r="3101" spans="1:4" x14ac:dyDescent="0.25">
      <c r="A3101" s="222" t="s">
        <v>4512</v>
      </c>
      <c r="B3101" s="222">
        <v>532355</v>
      </c>
      <c r="C3101" s="222" t="s">
        <v>2052</v>
      </c>
      <c r="D3101" s="222" t="s">
        <v>2264</v>
      </c>
    </row>
    <row r="3102" spans="1:4" x14ac:dyDescent="0.25">
      <c r="A3102" s="222" t="s">
        <v>4511</v>
      </c>
      <c r="B3102" s="222">
        <v>500331</v>
      </c>
      <c r="C3102" s="222" t="s">
        <v>4510</v>
      </c>
      <c r="D3102" s="222" t="s">
        <v>722</v>
      </c>
    </row>
    <row r="3103" spans="1:4" x14ac:dyDescent="0.25">
      <c r="A3103" s="222" t="s">
        <v>4509</v>
      </c>
      <c r="B3103" s="222">
        <v>500327</v>
      </c>
      <c r="C3103" s="222" t="s">
        <v>4508</v>
      </c>
      <c r="D3103" s="222" t="s">
        <v>1251</v>
      </c>
    </row>
    <row r="3104" spans="1:4" x14ac:dyDescent="0.25">
      <c r="A3104" s="222" t="s">
        <v>4507</v>
      </c>
      <c r="B3104" s="222">
        <v>539883</v>
      </c>
      <c r="C3104" s="222" t="s">
        <v>4506</v>
      </c>
      <c r="D3104" s="222" t="s">
        <v>1289</v>
      </c>
    </row>
    <row r="3105" spans="1:4" x14ac:dyDescent="0.25">
      <c r="A3105" s="222" t="s">
        <v>4505</v>
      </c>
      <c r="B3105" s="222">
        <v>519439</v>
      </c>
      <c r="C3105" s="222" t="s">
        <v>2052</v>
      </c>
      <c r="D3105" s="222" t="s">
        <v>1963</v>
      </c>
    </row>
    <row r="3106" spans="1:4" x14ac:dyDescent="0.25">
      <c r="A3106" s="222" t="s">
        <v>4504</v>
      </c>
      <c r="B3106" s="222">
        <v>531879</v>
      </c>
      <c r="C3106" s="222" t="s">
        <v>4503</v>
      </c>
      <c r="D3106" s="222" t="s">
        <v>2146</v>
      </c>
    </row>
    <row r="3107" spans="1:4" x14ac:dyDescent="0.25">
      <c r="A3107" s="222" t="s">
        <v>4502</v>
      </c>
      <c r="B3107" s="222">
        <v>514300</v>
      </c>
      <c r="C3107" s="222" t="s">
        <v>4501</v>
      </c>
      <c r="D3107" s="222" t="s">
        <v>1237</v>
      </c>
    </row>
    <row r="3108" spans="1:4" x14ac:dyDescent="0.25">
      <c r="A3108" s="222" t="s">
        <v>4500</v>
      </c>
      <c r="B3108" s="222">
        <v>507864</v>
      </c>
      <c r="C3108" s="222" t="s">
        <v>2052</v>
      </c>
      <c r="D3108" s="222" t="s">
        <v>1262</v>
      </c>
    </row>
    <row r="3109" spans="1:4" x14ac:dyDescent="0.25">
      <c r="A3109" s="222" t="s">
        <v>4499</v>
      </c>
      <c r="B3109" s="222">
        <v>500302</v>
      </c>
      <c r="C3109" s="222" t="s">
        <v>4498</v>
      </c>
      <c r="D3109" s="222" t="s">
        <v>789</v>
      </c>
    </row>
    <row r="3110" spans="1:4" x14ac:dyDescent="0.25">
      <c r="A3110" s="222" t="s">
        <v>4497</v>
      </c>
      <c r="B3110" s="222">
        <v>532979</v>
      </c>
      <c r="C3110" s="222" t="s">
        <v>4496</v>
      </c>
      <c r="D3110" s="222" t="s">
        <v>789</v>
      </c>
    </row>
    <row r="3111" spans="1:4" x14ac:dyDescent="0.25">
      <c r="A3111" s="222" t="s">
        <v>4495</v>
      </c>
      <c r="B3111" s="222">
        <v>530683</v>
      </c>
      <c r="C3111" s="222" t="s">
        <v>2052</v>
      </c>
      <c r="D3111" s="222" t="s">
        <v>1447</v>
      </c>
    </row>
    <row r="3112" spans="1:4" x14ac:dyDescent="0.25">
      <c r="A3112" s="222" t="s">
        <v>4494</v>
      </c>
      <c r="B3112" s="222">
        <v>513519</v>
      </c>
      <c r="C3112" s="222" t="s">
        <v>4493</v>
      </c>
      <c r="D3112" s="222" t="s">
        <v>1275</v>
      </c>
    </row>
    <row r="3113" spans="1:4" x14ac:dyDescent="0.25">
      <c r="A3113" s="222" t="s">
        <v>4492</v>
      </c>
      <c r="B3113" s="222">
        <v>500333</v>
      </c>
      <c r="C3113" s="222" t="s">
        <v>2052</v>
      </c>
      <c r="D3113" s="222" t="s">
        <v>1410</v>
      </c>
    </row>
    <row r="3114" spans="1:4" x14ac:dyDescent="0.25">
      <c r="A3114" s="222" t="s">
        <v>4491</v>
      </c>
      <c r="B3114" s="222">
        <v>523105</v>
      </c>
      <c r="C3114" s="222" t="s">
        <v>2052</v>
      </c>
      <c r="D3114" s="222" t="s">
        <v>1447</v>
      </c>
    </row>
    <row r="3115" spans="1:4" x14ac:dyDescent="0.25">
      <c r="A3115" s="222" t="s">
        <v>4490</v>
      </c>
      <c r="B3115" s="222">
        <v>523648</v>
      </c>
      <c r="C3115" s="222" t="s">
        <v>4488</v>
      </c>
      <c r="D3115" s="222" t="s">
        <v>722</v>
      </c>
    </row>
    <row r="3116" spans="1:4" x14ac:dyDescent="0.25">
      <c r="A3116" s="222" t="s">
        <v>4489</v>
      </c>
      <c r="B3116" s="222">
        <v>523648</v>
      </c>
      <c r="C3116" s="222" t="s">
        <v>4488</v>
      </c>
      <c r="D3116" s="222" t="s">
        <v>722</v>
      </c>
    </row>
    <row r="3117" spans="1:4" x14ac:dyDescent="0.25">
      <c r="A3117" s="222" t="s">
        <v>4487</v>
      </c>
      <c r="B3117" s="222">
        <v>534060</v>
      </c>
      <c r="C3117" s="222" t="s">
        <v>2052</v>
      </c>
      <c r="D3117" s="222" t="s">
        <v>1321</v>
      </c>
    </row>
    <row r="3118" spans="1:4" x14ac:dyDescent="0.25">
      <c r="A3118" s="222" t="s">
        <v>4486</v>
      </c>
      <c r="B3118" s="222">
        <v>532366</v>
      </c>
      <c r="C3118" s="222" t="s">
        <v>4485</v>
      </c>
      <c r="D3118" s="222" t="s">
        <v>1321</v>
      </c>
    </row>
    <row r="3119" spans="1:4" x14ac:dyDescent="0.25">
      <c r="A3119" s="222" t="s">
        <v>4484</v>
      </c>
      <c r="B3119" s="222">
        <v>540173</v>
      </c>
      <c r="C3119" s="222" t="s">
        <v>4483</v>
      </c>
      <c r="D3119" s="222" t="s">
        <v>2520</v>
      </c>
    </row>
    <row r="3120" spans="1:4" x14ac:dyDescent="0.25">
      <c r="A3120" s="222" t="s">
        <v>4482</v>
      </c>
      <c r="B3120" s="222">
        <v>539150</v>
      </c>
      <c r="C3120" s="222" t="s">
        <v>4481</v>
      </c>
      <c r="D3120" s="222" t="s">
        <v>3887</v>
      </c>
    </row>
    <row r="3121" spans="1:4" x14ac:dyDescent="0.25">
      <c r="A3121" s="222" t="s">
        <v>4480</v>
      </c>
      <c r="B3121" s="222">
        <v>532803</v>
      </c>
      <c r="C3121" s="222" t="s">
        <v>4479</v>
      </c>
      <c r="D3121" s="222" t="s">
        <v>731</v>
      </c>
    </row>
    <row r="3122" spans="1:4" x14ac:dyDescent="0.25">
      <c r="A3122" s="222" t="s">
        <v>4478</v>
      </c>
      <c r="B3122" s="222">
        <v>539195</v>
      </c>
      <c r="C3122" s="222" t="s">
        <v>2052</v>
      </c>
      <c r="D3122" s="222" t="s">
        <v>998</v>
      </c>
    </row>
    <row r="3123" spans="1:4" x14ac:dyDescent="0.25">
      <c r="A3123" s="222" t="s">
        <v>4477</v>
      </c>
      <c r="B3123" s="222">
        <v>523628</v>
      </c>
      <c r="C3123" s="222" t="s">
        <v>4476</v>
      </c>
      <c r="D3123" s="222" t="s">
        <v>1243</v>
      </c>
    </row>
    <row r="3124" spans="1:4" x14ac:dyDescent="0.25">
      <c r="A3124" s="222" t="s">
        <v>4475</v>
      </c>
      <c r="B3124" s="222">
        <v>524570</v>
      </c>
      <c r="C3124" s="222" t="s">
        <v>4474</v>
      </c>
      <c r="D3124" s="222" t="s">
        <v>722</v>
      </c>
    </row>
    <row r="3125" spans="1:4" x14ac:dyDescent="0.25">
      <c r="A3125" s="222" t="s">
        <v>4473</v>
      </c>
      <c r="B3125" s="222">
        <v>532486</v>
      </c>
      <c r="C3125" s="222" t="s">
        <v>4472</v>
      </c>
      <c r="D3125" s="222" t="s">
        <v>2357</v>
      </c>
    </row>
    <row r="3126" spans="1:4" x14ac:dyDescent="0.25">
      <c r="A3126" s="222" t="s">
        <v>4471</v>
      </c>
      <c r="B3126" s="222">
        <v>526687</v>
      </c>
      <c r="C3126" s="222" t="s">
        <v>2052</v>
      </c>
      <c r="D3126" s="222" t="s">
        <v>2128</v>
      </c>
    </row>
    <row r="3127" spans="1:4" x14ac:dyDescent="0.25">
      <c r="A3127" s="222" t="s">
        <v>4470</v>
      </c>
      <c r="B3127" s="222">
        <v>540717</v>
      </c>
      <c r="C3127" s="222" t="s">
        <v>2052</v>
      </c>
      <c r="D3127" s="222" t="s">
        <v>1529</v>
      </c>
    </row>
    <row r="3128" spans="1:4" x14ac:dyDescent="0.25">
      <c r="A3128" s="222" t="s">
        <v>4469</v>
      </c>
      <c r="B3128" s="222">
        <v>507645</v>
      </c>
      <c r="C3128" s="222" t="s">
        <v>2052</v>
      </c>
      <c r="D3128" s="222" t="s">
        <v>722</v>
      </c>
    </row>
    <row r="3129" spans="1:4" x14ac:dyDescent="0.25">
      <c r="A3129" s="222" t="s">
        <v>4468</v>
      </c>
      <c r="B3129" s="222">
        <v>531768</v>
      </c>
      <c r="C3129" s="222" t="s">
        <v>4467</v>
      </c>
      <c r="D3129" s="222" t="s">
        <v>1547</v>
      </c>
    </row>
    <row r="3130" spans="1:4" x14ac:dyDescent="0.25">
      <c r="A3130" s="222" t="s">
        <v>4466</v>
      </c>
      <c r="B3130" s="222">
        <v>542652</v>
      </c>
      <c r="C3130" s="222" t="s">
        <v>4465</v>
      </c>
      <c r="D3130" s="222" t="s">
        <v>1275</v>
      </c>
    </row>
    <row r="3131" spans="1:4" x14ac:dyDescent="0.25">
      <c r="A3131" s="222" t="s">
        <v>4464</v>
      </c>
      <c r="B3131" s="222">
        <v>506605</v>
      </c>
      <c r="C3131" s="222" t="s">
        <v>2052</v>
      </c>
      <c r="D3131" s="222" t="s">
        <v>998</v>
      </c>
    </row>
    <row r="3132" spans="1:4" x14ac:dyDescent="0.25">
      <c r="A3132" s="222" t="s">
        <v>4463</v>
      </c>
      <c r="B3132" s="222">
        <v>531397</v>
      </c>
      <c r="C3132" s="222" t="s">
        <v>2052</v>
      </c>
      <c r="D3132" s="222" t="s">
        <v>1447</v>
      </c>
    </row>
    <row r="3133" spans="1:4" x14ac:dyDescent="0.25">
      <c r="A3133" s="222" t="s">
        <v>4462</v>
      </c>
      <c r="B3133" s="222">
        <v>514486</v>
      </c>
      <c r="C3133" s="222" t="s">
        <v>2052</v>
      </c>
      <c r="D3133" s="222" t="s">
        <v>1237</v>
      </c>
    </row>
    <row r="3134" spans="1:4" x14ac:dyDescent="0.25">
      <c r="A3134" s="222" t="s">
        <v>4461</v>
      </c>
      <c r="B3134" s="222">
        <v>531454</v>
      </c>
      <c r="C3134" s="222" t="s">
        <v>2052</v>
      </c>
      <c r="D3134" s="222" t="s">
        <v>2299</v>
      </c>
    </row>
    <row r="3135" spans="1:4" x14ac:dyDescent="0.25">
      <c r="A3135" s="222" t="s">
        <v>4460</v>
      </c>
      <c r="B3135" s="222">
        <v>531454</v>
      </c>
      <c r="C3135" s="222" t="s">
        <v>2052</v>
      </c>
      <c r="D3135" s="222" t="s">
        <v>2299</v>
      </c>
    </row>
    <row r="3136" spans="1:4" x14ac:dyDescent="0.25">
      <c r="A3136" s="222" t="s">
        <v>4459</v>
      </c>
      <c r="B3136" s="222">
        <v>537573</v>
      </c>
      <c r="C3136" s="222" t="s">
        <v>2052</v>
      </c>
      <c r="D3136" s="222" t="s">
        <v>1251</v>
      </c>
    </row>
    <row r="3137" spans="1:4" x14ac:dyDescent="0.25">
      <c r="A3137" s="222" t="s">
        <v>4458</v>
      </c>
      <c r="B3137" s="222">
        <v>526043</v>
      </c>
      <c r="C3137" s="222" t="s">
        <v>2052</v>
      </c>
      <c r="D3137" s="222" t="s">
        <v>832</v>
      </c>
    </row>
    <row r="3138" spans="1:4" x14ac:dyDescent="0.25">
      <c r="A3138" s="222" t="s">
        <v>4457</v>
      </c>
      <c r="B3138" s="222">
        <v>524051</v>
      </c>
      <c r="C3138" s="222" t="s">
        <v>4456</v>
      </c>
      <c r="D3138" s="222" t="s">
        <v>998</v>
      </c>
    </row>
    <row r="3139" spans="1:4" x14ac:dyDescent="0.25">
      <c r="A3139" s="222" t="s">
        <v>4455</v>
      </c>
      <c r="B3139" s="222">
        <v>539354</v>
      </c>
      <c r="C3139" s="222" t="s">
        <v>2052</v>
      </c>
      <c r="D3139" s="222" t="s">
        <v>1447</v>
      </c>
    </row>
    <row r="3140" spans="1:4" x14ac:dyDescent="0.25">
      <c r="A3140" s="222" t="s">
        <v>4454</v>
      </c>
      <c r="B3140" s="222">
        <v>512481</v>
      </c>
      <c r="C3140" s="222" t="s">
        <v>2052</v>
      </c>
      <c r="D3140" s="222" t="s">
        <v>1321</v>
      </c>
    </row>
    <row r="3141" spans="1:4" x14ac:dyDescent="0.25">
      <c r="A3141" s="222" t="s">
        <v>4453</v>
      </c>
      <c r="B3141" s="222">
        <v>512481</v>
      </c>
      <c r="C3141" s="222" t="s">
        <v>2052</v>
      </c>
      <c r="D3141" s="222" t="s">
        <v>1321</v>
      </c>
    </row>
    <row r="3142" spans="1:4" x14ac:dyDescent="0.25">
      <c r="A3142" s="222" t="s">
        <v>4452</v>
      </c>
      <c r="B3142" s="222">
        <v>532626</v>
      </c>
      <c r="C3142" s="222" t="s">
        <v>2052</v>
      </c>
      <c r="D3142" s="222" t="s">
        <v>3218</v>
      </c>
    </row>
    <row r="3143" spans="1:4" x14ac:dyDescent="0.25">
      <c r="A3143" s="222" t="s">
        <v>4451</v>
      </c>
      <c r="B3143" s="222">
        <v>532460</v>
      </c>
      <c r="C3143" s="222" t="s">
        <v>4450</v>
      </c>
      <c r="D3143" s="222" t="s">
        <v>1124</v>
      </c>
    </row>
    <row r="3144" spans="1:4" x14ac:dyDescent="0.25">
      <c r="A3144" s="222" t="s">
        <v>4449</v>
      </c>
      <c r="B3144" s="222">
        <v>532011</v>
      </c>
      <c r="C3144" s="222" t="s">
        <v>2052</v>
      </c>
      <c r="D3144" s="222" t="s">
        <v>2264</v>
      </c>
    </row>
    <row r="3145" spans="1:4" x14ac:dyDescent="0.25">
      <c r="A3145" s="222" t="s">
        <v>4448</v>
      </c>
      <c r="B3145" s="222">
        <v>540727</v>
      </c>
      <c r="C3145" s="222" t="s">
        <v>2052</v>
      </c>
      <c r="D3145" s="222" t="s">
        <v>1313</v>
      </c>
    </row>
    <row r="3146" spans="1:4" x14ac:dyDescent="0.25">
      <c r="A3146" s="222" t="s">
        <v>4447</v>
      </c>
      <c r="B3146" s="222">
        <v>519359</v>
      </c>
      <c r="C3146" s="222" t="s">
        <v>2052</v>
      </c>
      <c r="D3146" s="222" t="s">
        <v>1963</v>
      </c>
    </row>
    <row r="3147" spans="1:4" x14ac:dyDescent="0.25">
      <c r="A3147" s="222" t="s">
        <v>4446</v>
      </c>
      <c r="B3147" s="222">
        <v>531870</v>
      </c>
      <c r="C3147" s="222" t="s">
        <v>2052</v>
      </c>
      <c r="D3147" s="222" t="s">
        <v>1248</v>
      </c>
    </row>
    <row r="3148" spans="1:4" x14ac:dyDescent="0.25">
      <c r="A3148" s="222" t="s">
        <v>4445</v>
      </c>
      <c r="B3148" s="222">
        <v>532933</v>
      </c>
      <c r="C3148" s="222" t="s">
        <v>2052</v>
      </c>
      <c r="D3148" s="222" t="s">
        <v>1306</v>
      </c>
    </row>
    <row r="3149" spans="1:4" x14ac:dyDescent="0.25">
      <c r="A3149" s="222" t="s">
        <v>4444</v>
      </c>
      <c r="B3149" s="222" t="s">
        <v>2052</v>
      </c>
      <c r="C3149" s="222" t="s">
        <v>4443</v>
      </c>
      <c r="D3149" s="222" t="s">
        <v>2050</v>
      </c>
    </row>
    <row r="3150" spans="1:4" x14ac:dyDescent="0.25">
      <c r="A3150" s="222" t="s">
        <v>4442</v>
      </c>
      <c r="B3150" s="222">
        <v>532810</v>
      </c>
      <c r="C3150" s="222" t="s">
        <v>4441</v>
      </c>
      <c r="D3150" s="222" t="s">
        <v>1321</v>
      </c>
    </row>
    <row r="3151" spans="1:4" x14ac:dyDescent="0.25">
      <c r="A3151" s="222" t="s">
        <v>4440</v>
      </c>
      <c r="B3151" s="222">
        <v>532898</v>
      </c>
      <c r="C3151" s="222" t="s">
        <v>4438</v>
      </c>
      <c r="D3151" s="222" t="s">
        <v>2380</v>
      </c>
    </row>
    <row r="3152" spans="1:4" x14ac:dyDescent="0.25">
      <c r="A3152" s="222" t="s">
        <v>4439</v>
      </c>
      <c r="B3152" s="222">
        <v>532898</v>
      </c>
      <c r="C3152" s="222" t="s">
        <v>4438</v>
      </c>
      <c r="D3152" s="222" t="s">
        <v>2380</v>
      </c>
    </row>
    <row r="3153" spans="1:4" x14ac:dyDescent="0.25">
      <c r="A3153" s="222" t="s">
        <v>4437</v>
      </c>
      <c r="B3153" s="222">
        <v>539302</v>
      </c>
      <c r="C3153" s="222" t="s">
        <v>4436</v>
      </c>
      <c r="D3153" s="222" t="s">
        <v>1248</v>
      </c>
    </row>
    <row r="3154" spans="1:4" x14ac:dyDescent="0.25">
      <c r="A3154" s="222" t="s">
        <v>4435</v>
      </c>
      <c r="B3154" s="222" t="s">
        <v>2052</v>
      </c>
      <c r="C3154" s="222" t="s">
        <v>4434</v>
      </c>
      <c r="D3154" s="222" t="s">
        <v>2050</v>
      </c>
    </row>
    <row r="3155" spans="1:4" x14ac:dyDescent="0.25">
      <c r="A3155" s="222" t="s">
        <v>4433</v>
      </c>
      <c r="B3155" s="222">
        <v>538731</v>
      </c>
      <c r="C3155" s="222" t="s">
        <v>2052</v>
      </c>
      <c r="D3155" s="222" t="s">
        <v>2130</v>
      </c>
    </row>
    <row r="3156" spans="1:4" x14ac:dyDescent="0.25">
      <c r="A3156" s="222" t="s">
        <v>4432</v>
      </c>
      <c r="B3156" s="222">
        <v>532934</v>
      </c>
      <c r="C3156" s="222" t="s">
        <v>4431</v>
      </c>
      <c r="D3156" s="222" t="s">
        <v>1306</v>
      </c>
    </row>
    <row r="3157" spans="1:4" x14ac:dyDescent="0.25">
      <c r="A3157" s="222" t="s">
        <v>4430</v>
      </c>
      <c r="B3157" s="222">
        <v>539351</v>
      </c>
      <c r="C3157" s="222" t="s">
        <v>4429</v>
      </c>
      <c r="D3157" s="222" t="s">
        <v>1161</v>
      </c>
    </row>
    <row r="3158" spans="1:4" x14ac:dyDescent="0.25">
      <c r="A3158" s="222" t="s">
        <v>4428</v>
      </c>
      <c r="B3158" s="222">
        <v>540027</v>
      </c>
      <c r="C3158" s="222" t="s">
        <v>2052</v>
      </c>
      <c r="D3158" s="222" t="s">
        <v>1569</v>
      </c>
    </row>
    <row r="3159" spans="1:4" x14ac:dyDescent="0.25">
      <c r="A3159" s="222" t="s">
        <v>4427</v>
      </c>
      <c r="B3159" s="222">
        <v>540027</v>
      </c>
      <c r="C3159" s="222" t="s">
        <v>2052</v>
      </c>
      <c r="D3159" s="222" t="s">
        <v>1569</v>
      </c>
    </row>
    <row r="3160" spans="1:4" x14ac:dyDescent="0.25">
      <c r="A3160" s="222" t="s">
        <v>4426</v>
      </c>
      <c r="B3160" s="222">
        <v>531855</v>
      </c>
      <c r="C3160" s="222" t="s">
        <v>2052</v>
      </c>
      <c r="D3160" s="222" t="s">
        <v>2167</v>
      </c>
    </row>
    <row r="3161" spans="1:4" x14ac:dyDescent="0.25">
      <c r="A3161" s="222" t="s">
        <v>4425</v>
      </c>
      <c r="B3161" s="222">
        <v>506042</v>
      </c>
      <c r="C3161" s="222" t="s">
        <v>2052</v>
      </c>
      <c r="D3161" s="222" t="s">
        <v>2167</v>
      </c>
    </row>
    <row r="3162" spans="1:4" x14ac:dyDescent="0.25">
      <c r="A3162" s="222" t="s">
        <v>4424</v>
      </c>
      <c r="B3162" s="222">
        <v>513532</v>
      </c>
      <c r="C3162" s="222" t="s">
        <v>2052</v>
      </c>
      <c r="D3162" s="222" t="s">
        <v>1306</v>
      </c>
    </row>
    <row r="3163" spans="1:4" x14ac:dyDescent="0.25">
      <c r="A3163" s="222" t="s">
        <v>4423</v>
      </c>
      <c r="B3163" s="222">
        <v>530095</v>
      </c>
      <c r="C3163" s="222" t="s">
        <v>2052</v>
      </c>
      <c r="D3163" s="222" t="s">
        <v>2167</v>
      </c>
    </row>
    <row r="3164" spans="1:4" x14ac:dyDescent="0.25">
      <c r="A3164" s="222" t="s">
        <v>4422</v>
      </c>
      <c r="B3164" s="222">
        <v>533178</v>
      </c>
      <c r="C3164" s="222" t="s">
        <v>4421</v>
      </c>
      <c r="D3164" s="222" t="s">
        <v>1237</v>
      </c>
    </row>
    <row r="3165" spans="1:4" x14ac:dyDescent="0.25">
      <c r="A3165" s="222" t="s">
        <v>4420</v>
      </c>
      <c r="B3165" s="222">
        <v>500192</v>
      </c>
      <c r="C3165" s="222" t="s">
        <v>2052</v>
      </c>
      <c r="D3165" s="222" t="s">
        <v>1237</v>
      </c>
    </row>
    <row r="3166" spans="1:4" x14ac:dyDescent="0.25">
      <c r="A3166" s="222" t="s">
        <v>4419</v>
      </c>
      <c r="B3166" s="222">
        <v>522205</v>
      </c>
      <c r="C3166" s="222" t="s">
        <v>4418</v>
      </c>
      <c r="D3166" s="222" t="s">
        <v>1248</v>
      </c>
    </row>
    <row r="3167" spans="1:4" x14ac:dyDescent="0.25">
      <c r="A3167" s="222" t="s">
        <v>4417</v>
      </c>
      <c r="B3167" s="222">
        <v>531746</v>
      </c>
      <c r="C3167" s="222" t="s">
        <v>4416</v>
      </c>
      <c r="D3167" s="222" t="s">
        <v>1243</v>
      </c>
    </row>
    <row r="3168" spans="1:4" x14ac:dyDescent="0.25">
      <c r="A3168" s="222" t="s">
        <v>4415</v>
      </c>
      <c r="B3168" s="222">
        <v>533605</v>
      </c>
      <c r="C3168" s="222" t="s">
        <v>4414</v>
      </c>
      <c r="D3168" s="222" t="s">
        <v>1248</v>
      </c>
    </row>
    <row r="3169" spans="1:4" x14ac:dyDescent="0.25">
      <c r="A3169" s="222" t="s">
        <v>4413</v>
      </c>
      <c r="B3169" s="222">
        <v>506022</v>
      </c>
      <c r="C3169" s="222" t="s">
        <v>4412</v>
      </c>
      <c r="D3169" s="222" t="s">
        <v>2167</v>
      </c>
    </row>
    <row r="3170" spans="1:4" x14ac:dyDescent="0.25">
      <c r="A3170" s="222" t="s">
        <v>4411</v>
      </c>
      <c r="B3170" s="222">
        <v>542684</v>
      </c>
      <c r="C3170" s="222" t="s">
        <v>4410</v>
      </c>
      <c r="D3170" s="222" t="s">
        <v>1251</v>
      </c>
    </row>
    <row r="3171" spans="1:4" x14ac:dyDescent="0.25">
      <c r="A3171" s="222" t="s">
        <v>4409</v>
      </c>
      <c r="B3171" s="222">
        <v>533239</v>
      </c>
      <c r="C3171" s="222" t="s">
        <v>4408</v>
      </c>
      <c r="D3171" s="222" t="s">
        <v>1248</v>
      </c>
    </row>
    <row r="3172" spans="1:4" x14ac:dyDescent="0.25">
      <c r="A3172" s="222" t="s">
        <v>4407</v>
      </c>
      <c r="B3172" s="222">
        <v>531437</v>
      </c>
      <c r="C3172" s="222" t="s">
        <v>2052</v>
      </c>
      <c r="D3172" s="222" t="s">
        <v>1237</v>
      </c>
    </row>
    <row r="3173" spans="1:4" x14ac:dyDescent="0.25">
      <c r="A3173" s="222" t="s">
        <v>4406</v>
      </c>
      <c r="B3173" s="222">
        <v>531172</v>
      </c>
      <c r="C3173" s="222" t="s">
        <v>2052</v>
      </c>
      <c r="D3173" s="222" t="s">
        <v>1237</v>
      </c>
    </row>
    <row r="3174" spans="1:4" x14ac:dyDescent="0.25">
      <c r="A3174" s="222" t="s">
        <v>4405</v>
      </c>
      <c r="B3174" s="222">
        <v>519014</v>
      </c>
      <c r="C3174" s="222" t="s">
        <v>2052</v>
      </c>
      <c r="D3174" s="222" t="s">
        <v>1237</v>
      </c>
    </row>
    <row r="3175" spans="1:4" x14ac:dyDescent="0.25">
      <c r="A3175" s="222" t="s">
        <v>4404</v>
      </c>
      <c r="B3175" s="222">
        <v>519014</v>
      </c>
      <c r="C3175" s="222" t="s">
        <v>2052</v>
      </c>
      <c r="D3175" s="222" t="s">
        <v>1237</v>
      </c>
    </row>
    <row r="3176" spans="1:4" x14ac:dyDescent="0.25">
      <c r="A3176" s="222" t="s">
        <v>4403</v>
      </c>
      <c r="B3176" s="222">
        <v>540724</v>
      </c>
      <c r="C3176" s="222" t="s">
        <v>4402</v>
      </c>
      <c r="D3176" s="222" t="s">
        <v>1161</v>
      </c>
    </row>
    <row r="3177" spans="1:4" x14ac:dyDescent="0.25">
      <c r="A3177" s="222" t="s">
        <v>4401</v>
      </c>
      <c r="B3177" s="222">
        <v>526490</v>
      </c>
      <c r="C3177" s="222" t="s">
        <v>2052</v>
      </c>
      <c r="D3177" s="222" t="s">
        <v>1272</v>
      </c>
    </row>
    <row r="3178" spans="1:4" x14ac:dyDescent="0.25">
      <c r="A3178" s="222" t="s">
        <v>4400</v>
      </c>
      <c r="B3178" s="222">
        <v>531257</v>
      </c>
      <c r="C3178" s="222" t="s">
        <v>2052</v>
      </c>
      <c r="D3178" s="222" t="s">
        <v>722</v>
      </c>
    </row>
    <row r="3179" spans="1:4" x14ac:dyDescent="0.25">
      <c r="A3179" s="222" t="s">
        <v>4399</v>
      </c>
      <c r="B3179" s="222">
        <v>540901</v>
      </c>
      <c r="C3179" s="222" t="s">
        <v>4398</v>
      </c>
      <c r="D3179" s="222" t="s">
        <v>1569</v>
      </c>
    </row>
    <row r="3180" spans="1:4" x14ac:dyDescent="0.25">
      <c r="A3180" s="222" t="s">
        <v>4397</v>
      </c>
      <c r="B3180" s="222">
        <v>506107</v>
      </c>
      <c r="C3180" s="222" t="s">
        <v>2052</v>
      </c>
      <c r="D3180" s="222" t="s">
        <v>2068</v>
      </c>
    </row>
    <row r="3181" spans="1:4" x14ac:dyDescent="0.25">
      <c r="A3181" s="222" t="s">
        <v>4396</v>
      </c>
      <c r="B3181" s="222">
        <v>539636</v>
      </c>
      <c r="C3181" s="222" t="s">
        <v>4395</v>
      </c>
      <c r="D3181" s="222" t="s">
        <v>1306</v>
      </c>
    </row>
    <row r="3182" spans="1:4" x14ac:dyDescent="0.25">
      <c r="A3182" s="222" t="s">
        <v>4394</v>
      </c>
      <c r="B3182" s="222">
        <v>523874</v>
      </c>
      <c r="C3182" s="222" t="s">
        <v>2052</v>
      </c>
      <c r="D3182" s="222" t="s">
        <v>1529</v>
      </c>
    </row>
    <row r="3183" spans="1:4" x14ac:dyDescent="0.25">
      <c r="A3183" s="222" t="s">
        <v>4393</v>
      </c>
      <c r="B3183" s="222">
        <v>517258</v>
      </c>
      <c r="C3183" s="222" t="s">
        <v>2052</v>
      </c>
      <c r="D3183" s="222" t="s">
        <v>2062</v>
      </c>
    </row>
    <row r="3184" spans="1:4" x14ac:dyDescent="0.25">
      <c r="A3184" s="222" t="s">
        <v>4392</v>
      </c>
      <c r="B3184" s="222">
        <v>523539</v>
      </c>
      <c r="C3184" s="222" t="s">
        <v>4390</v>
      </c>
      <c r="D3184" s="222" t="s">
        <v>1313</v>
      </c>
    </row>
    <row r="3185" spans="1:4" x14ac:dyDescent="0.25">
      <c r="A3185" s="222" t="s">
        <v>4391</v>
      </c>
      <c r="B3185" s="222">
        <v>523539</v>
      </c>
      <c r="C3185" s="222" t="s">
        <v>4390</v>
      </c>
      <c r="D3185" s="222" t="s">
        <v>1313</v>
      </c>
    </row>
    <row r="3186" spans="1:4" x14ac:dyDescent="0.25">
      <c r="A3186" s="222" t="s">
        <v>4389</v>
      </c>
      <c r="B3186" s="222" t="s">
        <v>2052</v>
      </c>
      <c r="C3186" s="222" t="s">
        <v>4388</v>
      </c>
      <c r="D3186" s="222" t="s">
        <v>2197</v>
      </c>
    </row>
    <row r="3187" spans="1:4" x14ac:dyDescent="0.25">
      <c r="A3187" s="222" t="s">
        <v>4387</v>
      </c>
      <c r="B3187" s="222">
        <v>530669</v>
      </c>
      <c r="C3187" s="222" t="s">
        <v>2052</v>
      </c>
      <c r="D3187" s="222" t="s">
        <v>1262</v>
      </c>
    </row>
    <row r="3188" spans="1:4" x14ac:dyDescent="0.25">
      <c r="A3188" s="222" t="s">
        <v>4386</v>
      </c>
      <c r="B3188" s="222">
        <v>530331</v>
      </c>
      <c r="C3188" s="222" t="s">
        <v>2052</v>
      </c>
      <c r="D3188" s="222" t="s">
        <v>1237</v>
      </c>
    </row>
    <row r="3189" spans="1:4" x14ac:dyDescent="0.25">
      <c r="A3189" s="222" t="s">
        <v>4385</v>
      </c>
      <c r="B3189" s="222">
        <v>780007</v>
      </c>
      <c r="C3189" s="222" t="s">
        <v>2052</v>
      </c>
      <c r="D3189" s="222" t="s">
        <v>2197</v>
      </c>
    </row>
    <row r="3190" spans="1:4" x14ac:dyDescent="0.25">
      <c r="A3190" s="222" t="s">
        <v>4384</v>
      </c>
      <c r="B3190" s="222">
        <v>526247</v>
      </c>
      <c r="C3190" s="222" t="s">
        <v>4383</v>
      </c>
      <c r="D3190" s="222" t="s">
        <v>722</v>
      </c>
    </row>
    <row r="3191" spans="1:4" x14ac:dyDescent="0.25">
      <c r="A3191" s="222" t="s">
        <v>4382</v>
      </c>
      <c r="B3191" s="222">
        <v>500540</v>
      </c>
      <c r="C3191" s="222" t="s">
        <v>4381</v>
      </c>
      <c r="D3191" s="222" t="s">
        <v>832</v>
      </c>
    </row>
    <row r="3192" spans="1:4" x14ac:dyDescent="0.25">
      <c r="A3192" s="222" t="s">
        <v>4380</v>
      </c>
      <c r="B3192" s="222">
        <v>513291</v>
      </c>
      <c r="C3192" s="222" t="s">
        <v>2052</v>
      </c>
      <c r="D3192" s="222" t="s">
        <v>740</v>
      </c>
    </row>
    <row r="3193" spans="1:4" x14ac:dyDescent="0.25">
      <c r="A3193" s="222" t="s">
        <v>4379</v>
      </c>
      <c r="B3193" s="222">
        <v>514354</v>
      </c>
      <c r="C3193" s="222" t="s">
        <v>4378</v>
      </c>
      <c r="D3193" s="222" t="s">
        <v>998</v>
      </c>
    </row>
    <row r="3194" spans="1:4" x14ac:dyDescent="0.25">
      <c r="A3194" s="222" t="s">
        <v>4377</v>
      </c>
      <c r="B3194" s="222">
        <v>509835</v>
      </c>
      <c r="C3194" s="222" t="s">
        <v>2052</v>
      </c>
      <c r="D3194" s="222" t="s">
        <v>1237</v>
      </c>
    </row>
    <row r="3195" spans="1:4" x14ac:dyDescent="0.25">
      <c r="A3195" s="222" t="s">
        <v>4376</v>
      </c>
      <c r="B3195" s="222">
        <v>531802</v>
      </c>
      <c r="C3195" s="222" t="s">
        <v>2052</v>
      </c>
      <c r="D3195" s="222" t="s">
        <v>1243</v>
      </c>
    </row>
    <row r="3196" spans="1:4" x14ac:dyDescent="0.25">
      <c r="A3196" s="222" t="s">
        <v>4375</v>
      </c>
      <c r="B3196" s="222">
        <v>509077</v>
      </c>
      <c r="C3196" s="222" t="s">
        <v>4374</v>
      </c>
      <c r="D3196" s="222" t="s">
        <v>1558</v>
      </c>
    </row>
    <row r="3197" spans="1:4" x14ac:dyDescent="0.25">
      <c r="A3197" s="222" t="s">
        <v>4373</v>
      </c>
      <c r="B3197" s="222">
        <v>533274</v>
      </c>
      <c r="C3197" s="222" t="s">
        <v>4372</v>
      </c>
      <c r="D3197" s="222" t="s">
        <v>1243</v>
      </c>
    </row>
    <row r="3198" spans="1:4" x14ac:dyDescent="0.25">
      <c r="A3198" s="222" t="s">
        <v>4371</v>
      </c>
      <c r="B3198" s="222">
        <v>540293</v>
      </c>
      <c r="C3198" s="222" t="s">
        <v>4370</v>
      </c>
      <c r="D3198" s="222" t="s">
        <v>1306</v>
      </c>
    </row>
    <row r="3199" spans="1:4" x14ac:dyDescent="0.25">
      <c r="A3199" s="222" t="s">
        <v>4369</v>
      </c>
      <c r="B3199" s="222">
        <v>519262</v>
      </c>
      <c r="C3199" s="222" t="s">
        <v>2052</v>
      </c>
      <c r="D3199" s="222" t="s">
        <v>731</v>
      </c>
    </row>
    <row r="3200" spans="1:4" x14ac:dyDescent="0.25">
      <c r="A3200" s="222" t="s">
        <v>4368</v>
      </c>
      <c r="B3200" s="222">
        <v>531246</v>
      </c>
      <c r="C3200" s="222" t="s">
        <v>2052</v>
      </c>
      <c r="D3200" s="222" t="s">
        <v>1963</v>
      </c>
    </row>
    <row r="3201" spans="1:4" x14ac:dyDescent="0.25">
      <c r="A3201" s="222" t="s">
        <v>4367</v>
      </c>
      <c r="B3201" s="222">
        <v>530589</v>
      </c>
      <c r="C3201" s="222" t="s">
        <v>2052</v>
      </c>
      <c r="D3201" s="222" t="s">
        <v>1251</v>
      </c>
    </row>
    <row r="3202" spans="1:4" x14ac:dyDescent="0.25">
      <c r="A3202" s="222" t="s">
        <v>4366</v>
      </c>
      <c r="B3202" s="222">
        <v>535514</v>
      </c>
      <c r="C3202" s="222" t="s">
        <v>2052</v>
      </c>
      <c r="D3202" s="222" t="s">
        <v>1321</v>
      </c>
    </row>
    <row r="3203" spans="1:4" x14ac:dyDescent="0.25">
      <c r="A3203" s="222" t="s">
        <v>4365</v>
      </c>
      <c r="B3203" s="222">
        <v>540404</v>
      </c>
      <c r="C3203" s="222" t="s">
        <v>2052</v>
      </c>
      <c r="D3203" s="222" t="s">
        <v>731</v>
      </c>
    </row>
    <row r="3204" spans="1:4" x14ac:dyDescent="0.25">
      <c r="A3204" s="222" t="s">
        <v>4364</v>
      </c>
      <c r="B3204" s="222">
        <v>532748</v>
      </c>
      <c r="C3204" s="222" t="s">
        <v>4363</v>
      </c>
      <c r="D3204" s="222" t="s">
        <v>2264</v>
      </c>
    </row>
    <row r="3205" spans="1:4" x14ac:dyDescent="0.25">
      <c r="A3205" s="222" t="s">
        <v>4362</v>
      </c>
      <c r="B3205" s="222">
        <v>519299</v>
      </c>
      <c r="C3205" s="222" t="s">
        <v>2052</v>
      </c>
      <c r="D3205" s="222" t="s">
        <v>1963</v>
      </c>
    </row>
    <row r="3206" spans="1:4" x14ac:dyDescent="0.25">
      <c r="A3206" s="222" t="s">
        <v>4361</v>
      </c>
      <c r="B3206" s="222">
        <v>530695</v>
      </c>
      <c r="C3206" s="222" t="s">
        <v>2052</v>
      </c>
      <c r="D3206" s="222" t="s">
        <v>1243</v>
      </c>
    </row>
    <row r="3207" spans="1:4" x14ac:dyDescent="0.25">
      <c r="A3207" s="222" t="s">
        <v>4360</v>
      </c>
      <c r="B3207" s="222">
        <v>500337</v>
      </c>
      <c r="C3207" s="222" t="s">
        <v>4359</v>
      </c>
      <c r="D3207" s="222" t="s">
        <v>1262</v>
      </c>
    </row>
    <row r="3208" spans="1:4" x14ac:dyDescent="0.25">
      <c r="A3208" s="222" t="s">
        <v>4358</v>
      </c>
      <c r="B3208" s="222">
        <v>521149</v>
      </c>
      <c r="C3208" s="222" t="s">
        <v>2052</v>
      </c>
      <c r="D3208" s="222" t="s">
        <v>1243</v>
      </c>
    </row>
    <row r="3209" spans="1:4" x14ac:dyDescent="0.25">
      <c r="A3209" s="222" t="s">
        <v>4357</v>
      </c>
      <c r="B3209" s="222">
        <v>521149</v>
      </c>
      <c r="C3209" s="222" t="s">
        <v>2052</v>
      </c>
      <c r="D3209" s="222" t="s">
        <v>1243</v>
      </c>
    </row>
    <row r="3210" spans="1:4" x14ac:dyDescent="0.25">
      <c r="A3210" s="222" t="s">
        <v>4356</v>
      </c>
      <c r="B3210" s="222">
        <v>531735</v>
      </c>
      <c r="C3210" s="222" t="s">
        <v>2052</v>
      </c>
      <c r="D3210" s="222" t="s">
        <v>1321</v>
      </c>
    </row>
    <row r="3211" spans="1:4" x14ac:dyDescent="0.25">
      <c r="A3211" s="222" t="s">
        <v>4355</v>
      </c>
      <c r="B3211" s="222">
        <v>500338</v>
      </c>
      <c r="C3211" s="222" t="s">
        <v>4354</v>
      </c>
      <c r="D3211" s="222" t="s">
        <v>1004</v>
      </c>
    </row>
    <row r="3212" spans="1:4" x14ac:dyDescent="0.25">
      <c r="A3212" s="222" t="s">
        <v>4353</v>
      </c>
      <c r="B3212" s="222">
        <v>512217</v>
      </c>
      <c r="C3212" s="222" t="s">
        <v>2052</v>
      </c>
      <c r="D3212" s="222" t="s">
        <v>1321</v>
      </c>
    </row>
    <row r="3213" spans="1:4" x14ac:dyDescent="0.25">
      <c r="A3213" s="222" t="s">
        <v>4352</v>
      </c>
      <c r="B3213" s="222">
        <v>531688</v>
      </c>
      <c r="C3213" s="222" t="s">
        <v>2052</v>
      </c>
      <c r="D3213" s="222" t="s">
        <v>1942</v>
      </c>
    </row>
    <row r="3214" spans="1:4" x14ac:dyDescent="0.25">
      <c r="A3214" s="222" t="s">
        <v>4351</v>
      </c>
      <c r="B3214" s="222">
        <v>531688</v>
      </c>
      <c r="C3214" s="222" t="s">
        <v>2052</v>
      </c>
      <c r="D3214" s="222" t="s">
        <v>1942</v>
      </c>
    </row>
    <row r="3215" spans="1:4" x14ac:dyDescent="0.25">
      <c r="A3215" s="222" t="s">
        <v>4350</v>
      </c>
      <c r="B3215" s="222" t="s">
        <v>2052</v>
      </c>
      <c r="C3215" s="222" t="s">
        <v>4349</v>
      </c>
      <c r="D3215" s="222" t="s">
        <v>2050</v>
      </c>
    </row>
    <row r="3216" spans="1:4" x14ac:dyDescent="0.25">
      <c r="A3216" s="222" t="s">
        <v>4348</v>
      </c>
      <c r="B3216" s="222">
        <v>539359</v>
      </c>
      <c r="C3216" s="222" t="s">
        <v>2052</v>
      </c>
      <c r="D3216" s="222" t="s">
        <v>1313</v>
      </c>
    </row>
    <row r="3217" spans="1:4" x14ac:dyDescent="0.25">
      <c r="A3217" s="222" t="s">
        <v>4347</v>
      </c>
      <c r="B3217" s="222">
        <v>532387</v>
      </c>
      <c r="C3217" s="222" t="s">
        <v>4346</v>
      </c>
      <c r="D3217" s="222" t="s">
        <v>2264</v>
      </c>
    </row>
    <row r="3218" spans="1:4" x14ac:dyDescent="0.25">
      <c r="A3218" s="222" t="s">
        <v>4345</v>
      </c>
      <c r="B3218" s="222">
        <v>524580</v>
      </c>
      <c r="C3218" s="222" t="s">
        <v>2052</v>
      </c>
      <c r="D3218" s="222" t="s">
        <v>1529</v>
      </c>
    </row>
    <row r="3219" spans="1:4" x14ac:dyDescent="0.25">
      <c r="A3219" s="222" t="s">
        <v>4344</v>
      </c>
      <c r="B3219" s="222">
        <v>511557</v>
      </c>
      <c r="C3219" s="222" t="s">
        <v>2052</v>
      </c>
      <c r="D3219" s="222" t="s">
        <v>2068</v>
      </c>
    </row>
    <row r="3220" spans="1:4" x14ac:dyDescent="0.25">
      <c r="A3220" s="222" t="s">
        <v>4343</v>
      </c>
      <c r="B3220" s="222">
        <v>512105</v>
      </c>
      <c r="C3220" s="222" t="s">
        <v>2052</v>
      </c>
      <c r="D3220" s="222" t="s">
        <v>2068</v>
      </c>
    </row>
    <row r="3221" spans="1:4" x14ac:dyDescent="0.25">
      <c r="A3221" s="222" t="s">
        <v>4342</v>
      </c>
      <c r="B3221" s="222">
        <v>526009</v>
      </c>
      <c r="C3221" s="222" t="s">
        <v>2052</v>
      </c>
      <c r="D3221" s="222" t="s">
        <v>1529</v>
      </c>
    </row>
    <row r="3222" spans="1:4" x14ac:dyDescent="0.25">
      <c r="A3222" s="222" t="s">
        <v>4341</v>
      </c>
      <c r="B3222" s="222">
        <v>526009</v>
      </c>
      <c r="C3222" s="222" t="s">
        <v>2052</v>
      </c>
      <c r="D3222" s="222" t="s">
        <v>1529</v>
      </c>
    </row>
    <row r="3223" spans="1:4" x14ac:dyDescent="0.25">
      <c r="A3223" s="222" t="s">
        <v>4340</v>
      </c>
      <c r="B3223" s="222" t="s">
        <v>2052</v>
      </c>
      <c r="C3223" s="222" t="s">
        <v>4339</v>
      </c>
      <c r="D3223" s="222" t="s">
        <v>1529</v>
      </c>
    </row>
    <row r="3224" spans="1:4" x14ac:dyDescent="0.25">
      <c r="A3224" s="222" t="s">
        <v>4338</v>
      </c>
      <c r="B3224" s="222">
        <v>500459</v>
      </c>
      <c r="C3224" s="222" t="s">
        <v>4337</v>
      </c>
      <c r="D3224" s="222" t="s">
        <v>1542</v>
      </c>
    </row>
    <row r="3225" spans="1:4" x14ac:dyDescent="0.25">
      <c r="A3225" s="222" t="s">
        <v>4336</v>
      </c>
      <c r="B3225" s="222">
        <v>531265</v>
      </c>
      <c r="C3225" s="222" t="s">
        <v>2052</v>
      </c>
      <c r="D3225" s="222" t="s">
        <v>1083</v>
      </c>
    </row>
    <row r="3226" spans="1:4" x14ac:dyDescent="0.25">
      <c r="A3226" s="222" t="s">
        <v>4335</v>
      </c>
      <c r="B3226" s="222" t="s">
        <v>2052</v>
      </c>
      <c r="C3226" s="222" t="s">
        <v>4334</v>
      </c>
      <c r="D3226" s="222" t="s">
        <v>2050</v>
      </c>
    </row>
    <row r="3227" spans="1:4" x14ac:dyDescent="0.25">
      <c r="A3227" s="222" t="s">
        <v>4333</v>
      </c>
      <c r="B3227" s="222">
        <v>526494</v>
      </c>
      <c r="C3227" s="222" t="s">
        <v>2052</v>
      </c>
      <c r="D3227" s="222" t="s">
        <v>1447</v>
      </c>
    </row>
    <row r="3228" spans="1:4" x14ac:dyDescent="0.25">
      <c r="A3228" s="222" t="s">
        <v>4332</v>
      </c>
      <c r="B3228" s="222">
        <v>590057</v>
      </c>
      <c r="C3228" s="222" t="s">
        <v>4330</v>
      </c>
      <c r="D3228" s="222" t="s">
        <v>1942</v>
      </c>
    </row>
    <row r="3229" spans="1:4" x14ac:dyDescent="0.25">
      <c r="A3229" s="222" t="s">
        <v>4331</v>
      </c>
      <c r="B3229" s="222">
        <v>590057</v>
      </c>
      <c r="C3229" s="222" t="s">
        <v>4330</v>
      </c>
      <c r="D3229" s="222" t="s">
        <v>1942</v>
      </c>
    </row>
    <row r="3230" spans="1:4" x14ac:dyDescent="0.25">
      <c r="A3230" s="222" t="s">
        <v>4329</v>
      </c>
      <c r="B3230" s="222">
        <v>540703</v>
      </c>
      <c r="C3230" s="222" t="s">
        <v>2052</v>
      </c>
      <c r="D3230" s="222" t="s">
        <v>911</v>
      </c>
    </row>
    <row r="3231" spans="1:4" x14ac:dyDescent="0.25">
      <c r="A3231" s="222" t="s">
        <v>4328</v>
      </c>
      <c r="B3231" s="222">
        <v>532647</v>
      </c>
      <c r="C3231" s="222" t="s">
        <v>4326</v>
      </c>
      <c r="D3231" s="222" t="s">
        <v>1364</v>
      </c>
    </row>
    <row r="3232" spans="1:4" x14ac:dyDescent="0.25">
      <c r="A3232" s="222" t="s">
        <v>4327</v>
      </c>
      <c r="B3232" s="222">
        <v>532647</v>
      </c>
      <c r="C3232" s="222" t="s">
        <v>4326</v>
      </c>
      <c r="D3232" s="222" t="s">
        <v>1364</v>
      </c>
    </row>
    <row r="3233" spans="1:4" x14ac:dyDescent="0.25">
      <c r="A3233" s="222" t="s">
        <v>4325</v>
      </c>
      <c r="B3233" s="222">
        <v>534675</v>
      </c>
      <c r="C3233" s="222" t="s">
        <v>4324</v>
      </c>
      <c r="D3233" s="222" t="s">
        <v>1243</v>
      </c>
    </row>
    <row r="3234" spans="1:4" x14ac:dyDescent="0.25">
      <c r="A3234" s="222" t="s">
        <v>4323</v>
      </c>
      <c r="B3234" s="222">
        <v>505502</v>
      </c>
      <c r="C3234" s="222" t="s">
        <v>2052</v>
      </c>
      <c r="D3234" s="222" t="s">
        <v>1262</v>
      </c>
    </row>
    <row r="3235" spans="1:4" x14ac:dyDescent="0.25">
      <c r="A3235" s="222" t="s">
        <v>4322</v>
      </c>
      <c r="B3235" s="222">
        <v>526801</v>
      </c>
      <c r="C3235" s="222" t="s">
        <v>4321</v>
      </c>
      <c r="D3235" s="222" t="s">
        <v>1248</v>
      </c>
    </row>
    <row r="3236" spans="1:4" x14ac:dyDescent="0.25">
      <c r="A3236" s="222" t="s">
        <v>4320</v>
      </c>
      <c r="B3236" s="222">
        <v>540544</v>
      </c>
      <c r="C3236" s="222" t="s">
        <v>4319</v>
      </c>
      <c r="D3236" s="222" t="s">
        <v>1248</v>
      </c>
    </row>
    <row r="3237" spans="1:4" x14ac:dyDescent="0.25">
      <c r="A3237" s="222" t="s">
        <v>4318</v>
      </c>
      <c r="B3237" s="222">
        <v>532524</v>
      </c>
      <c r="C3237" s="222" t="s">
        <v>4314</v>
      </c>
      <c r="D3237" s="222" t="s">
        <v>2380</v>
      </c>
    </row>
    <row r="3238" spans="1:4" x14ac:dyDescent="0.25">
      <c r="A3238" s="222" t="s">
        <v>4317</v>
      </c>
      <c r="B3238" s="222">
        <v>533344</v>
      </c>
      <c r="C3238" s="222" t="s">
        <v>4316</v>
      </c>
      <c r="D3238" s="222" t="s">
        <v>1321</v>
      </c>
    </row>
    <row r="3239" spans="1:4" x14ac:dyDescent="0.25">
      <c r="A3239" s="222" t="s">
        <v>4315</v>
      </c>
      <c r="B3239" s="222">
        <v>532524</v>
      </c>
      <c r="C3239" s="222" t="s">
        <v>4314</v>
      </c>
      <c r="D3239" s="222" t="s">
        <v>2380</v>
      </c>
    </row>
    <row r="3240" spans="1:4" x14ac:dyDescent="0.25">
      <c r="A3240" s="222" t="s">
        <v>4313</v>
      </c>
      <c r="B3240" s="222">
        <v>539006</v>
      </c>
      <c r="C3240" s="222" t="s">
        <v>2052</v>
      </c>
      <c r="D3240" s="222" t="s">
        <v>1313</v>
      </c>
    </row>
    <row r="3241" spans="1:4" x14ac:dyDescent="0.25">
      <c r="A3241" s="222" t="s">
        <v>4312</v>
      </c>
      <c r="B3241" s="222">
        <v>509220</v>
      </c>
      <c r="C3241" s="222" t="s">
        <v>4311</v>
      </c>
      <c r="D3241" s="222" t="s">
        <v>1529</v>
      </c>
    </row>
    <row r="3242" spans="1:4" x14ac:dyDescent="0.25">
      <c r="A3242" s="222" t="s">
        <v>4310</v>
      </c>
      <c r="B3242" s="222">
        <v>539785</v>
      </c>
      <c r="C3242" s="222" t="s">
        <v>4309</v>
      </c>
      <c r="D3242" s="222" t="s">
        <v>1972</v>
      </c>
    </row>
    <row r="3243" spans="1:4" x14ac:dyDescent="0.25">
      <c r="A3243" s="222" t="s">
        <v>4308</v>
      </c>
      <c r="B3243" s="222">
        <v>512591</v>
      </c>
      <c r="C3243" s="222" t="s">
        <v>2052</v>
      </c>
      <c r="D3243" s="222" t="s">
        <v>1529</v>
      </c>
    </row>
    <row r="3244" spans="1:4" x14ac:dyDescent="0.25">
      <c r="A3244" s="222" t="s">
        <v>4307</v>
      </c>
      <c r="B3244" s="222" t="s">
        <v>2052</v>
      </c>
      <c r="C3244" s="222" t="s">
        <v>4306</v>
      </c>
      <c r="D3244" s="222" t="s">
        <v>2050</v>
      </c>
    </row>
    <row r="3245" spans="1:4" x14ac:dyDescent="0.25">
      <c r="A3245" s="222" t="s">
        <v>4305</v>
      </c>
      <c r="B3245" s="222">
        <v>512461</v>
      </c>
      <c r="C3245" s="222" t="s">
        <v>2052</v>
      </c>
      <c r="D3245" s="222" t="s">
        <v>1529</v>
      </c>
    </row>
    <row r="3246" spans="1:4" x14ac:dyDescent="0.25">
      <c r="A3246" s="222" t="s">
        <v>4304</v>
      </c>
      <c r="B3246" s="222">
        <v>512099</v>
      </c>
      <c r="C3246" s="222" t="s">
        <v>2052</v>
      </c>
      <c r="D3246" s="222" t="s">
        <v>1364</v>
      </c>
    </row>
    <row r="3247" spans="1:4" x14ac:dyDescent="0.25">
      <c r="A3247" s="222" t="s">
        <v>4303</v>
      </c>
      <c r="B3247" s="222">
        <v>532693</v>
      </c>
      <c r="C3247" s="222" t="s">
        <v>4302</v>
      </c>
      <c r="D3247" s="222" t="s">
        <v>1248</v>
      </c>
    </row>
    <row r="3248" spans="1:4" x14ac:dyDescent="0.25">
      <c r="A3248" s="222" t="s">
        <v>4301</v>
      </c>
      <c r="B3248" s="222">
        <v>533295</v>
      </c>
      <c r="C3248" s="222" t="s">
        <v>4300</v>
      </c>
      <c r="D3248" s="222" t="s">
        <v>1240</v>
      </c>
    </row>
    <row r="3249" spans="1:4" x14ac:dyDescent="0.25">
      <c r="A3249" s="222" t="s">
        <v>4299</v>
      </c>
      <c r="B3249" s="222">
        <v>506852</v>
      </c>
      <c r="C3249" s="222" t="s">
        <v>2052</v>
      </c>
      <c r="D3249" s="222" t="s">
        <v>998</v>
      </c>
    </row>
    <row r="3250" spans="1:4" x14ac:dyDescent="0.25">
      <c r="A3250" s="222" t="s">
        <v>4298</v>
      </c>
      <c r="B3250" s="222">
        <v>506618</v>
      </c>
      <c r="C3250" s="222" t="s">
        <v>4297</v>
      </c>
      <c r="D3250" s="222" t="s">
        <v>1324</v>
      </c>
    </row>
    <row r="3251" spans="1:4" x14ac:dyDescent="0.25">
      <c r="A3251" s="222" t="s">
        <v>4296</v>
      </c>
      <c r="B3251" s="222">
        <v>500346</v>
      </c>
      <c r="C3251" s="222" t="s">
        <v>2052</v>
      </c>
      <c r="D3251" s="222" t="s">
        <v>2114</v>
      </c>
    </row>
    <row r="3252" spans="1:4" x14ac:dyDescent="0.25">
      <c r="A3252" s="222" t="s">
        <v>4295</v>
      </c>
      <c r="B3252" s="222">
        <v>532461</v>
      </c>
      <c r="C3252" s="222" t="s">
        <v>4294</v>
      </c>
      <c r="D3252" s="222" t="s">
        <v>1240</v>
      </c>
    </row>
    <row r="3253" spans="1:4" x14ac:dyDescent="0.25">
      <c r="A3253" s="222" t="s">
        <v>4293</v>
      </c>
      <c r="B3253" s="222">
        <v>532891</v>
      </c>
      <c r="C3253" s="222" t="s">
        <v>4292</v>
      </c>
      <c r="D3253" s="222" t="s">
        <v>1243</v>
      </c>
    </row>
    <row r="3254" spans="1:4" x14ac:dyDescent="0.25">
      <c r="A3254" s="222" t="s">
        <v>4291</v>
      </c>
      <c r="B3254" s="222">
        <v>540492</v>
      </c>
      <c r="C3254" s="222" t="s">
        <v>2052</v>
      </c>
      <c r="D3254" s="222" t="s">
        <v>1529</v>
      </c>
    </row>
    <row r="3255" spans="1:4" x14ac:dyDescent="0.25">
      <c r="A3255" s="222" t="s">
        <v>4290</v>
      </c>
      <c r="B3255" s="222">
        <v>523315</v>
      </c>
      <c r="C3255" s="222" t="s">
        <v>2052</v>
      </c>
      <c r="D3255" s="222" t="s">
        <v>1972</v>
      </c>
    </row>
    <row r="3256" spans="1:4" x14ac:dyDescent="0.25">
      <c r="A3256" s="222" t="s">
        <v>4289</v>
      </c>
      <c r="B3256" s="222">
        <v>538993</v>
      </c>
      <c r="C3256" s="222" t="s">
        <v>2052</v>
      </c>
      <c r="D3256" s="222" t="s">
        <v>1243</v>
      </c>
    </row>
    <row r="3257" spans="1:4" x14ac:dyDescent="0.25">
      <c r="A3257" s="222" t="s">
        <v>4288</v>
      </c>
      <c r="B3257" s="222">
        <v>540159</v>
      </c>
      <c r="C3257" s="222" t="s">
        <v>2052</v>
      </c>
      <c r="D3257" s="222" t="s">
        <v>2264</v>
      </c>
    </row>
    <row r="3258" spans="1:4" x14ac:dyDescent="0.25">
      <c r="A3258" s="222" t="s">
        <v>4287</v>
      </c>
      <c r="B3258" s="222">
        <v>538647</v>
      </c>
      <c r="C3258" s="222" t="s">
        <v>2052</v>
      </c>
      <c r="D3258" s="222" t="s">
        <v>1321</v>
      </c>
    </row>
    <row r="3259" spans="1:4" x14ac:dyDescent="0.25">
      <c r="A3259" s="222" t="s">
        <v>4286</v>
      </c>
      <c r="B3259" s="222" t="s">
        <v>2052</v>
      </c>
      <c r="C3259" s="222" t="s">
        <v>4285</v>
      </c>
      <c r="D3259" s="222" t="s">
        <v>2050</v>
      </c>
    </row>
    <row r="3260" spans="1:4" x14ac:dyDescent="0.25">
      <c r="A3260" s="222" t="s">
        <v>4284</v>
      </c>
      <c r="B3260" s="222">
        <v>531562</v>
      </c>
      <c r="C3260" s="222" t="s">
        <v>2052</v>
      </c>
      <c r="D3260" s="222" t="s">
        <v>1237</v>
      </c>
    </row>
    <row r="3261" spans="1:4" x14ac:dyDescent="0.25">
      <c r="A3261" s="222" t="s">
        <v>4283</v>
      </c>
      <c r="B3261" s="222">
        <v>517556</v>
      </c>
      <c r="C3261" s="222" t="s">
        <v>4282</v>
      </c>
      <c r="D3261" s="222" t="s">
        <v>1243</v>
      </c>
    </row>
    <row r="3262" spans="1:4" x14ac:dyDescent="0.25">
      <c r="A3262" s="222" t="s">
        <v>4281</v>
      </c>
      <c r="B3262" s="222">
        <v>532689</v>
      </c>
      <c r="C3262" s="222" t="s">
        <v>4280</v>
      </c>
      <c r="D3262" s="222" t="s">
        <v>1569</v>
      </c>
    </row>
    <row r="3263" spans="1:4" x14ac:dyDescent="0.25">
      <c r="A3263" s="222" t="s">
        <v>4279</v>
      </c>
      <c r="B3263" s="222">
        <v>536659</v>
      </c>
      <c r="C3263" s="222" t="s">
        <v>2052</v>
      </c>
      <c r="D3263" s="222" t="s">
        <v>1248</v>
      </c>
    </row>
    <row r="3264" spans="1:4" x14ac:dyDescent="0.25">
      <c r="A3264" s="222" t="s">
        <v>4278</v>
      </c>
      <c r="B3264" s="222">
        <v>534109</v>
      </c>
      <c r="C3264" s="222" t="s">
        <v>2052</v>
      </c>
      <c r="D3264" s="222" t="s">
        <v>1321</v>
      </c>
    </row>
    <row r="3265" spans="1:4" x14ac:dyDescent="0.25">
      <c r="A3265" s="222" t="s">
        <v>4277</v>
      </c>
      <c r="B3265" s="222">
        <v>511116</v>
      </c>
      <c r="C3265" s="222" t="s">
        <v>2052</v>
      </c>
      <c r="D3265" s="222" t="s">
        <v>2241</v>
      </c>
    </row>
    <row r="3266" spans="1:4" x14ac:dyDescent="0.25">
      <c r="A3266" s="222" t="s">
        <v>4276</v>
      </c>
      <c r="B3266" s="222">
        <v>538596</v>
      </c>
      <c r="C3266" s="222" t="s">
        <v>2052</v>
      </c>
      <c r="D3266" s="222" t="s">
        <v>1243</v>
      </c>
    </row>
    <row r="3267" spans="1:4" x14ac:dyDescent="0.25">
      <c r="A3267" s="222" t="s">
        <v>4275</v>
      </c>
      <c r="B3267" s="222">
        <v>530281</v>
      </c>
      <c r="C3267" s="222" t="s">
        <v>2052</v>
      </c>
      <c r="D3267" s="222" t="s">
        <v>1447</v>
      </c>
    </row>
    <row r="3268" spans="1:4" x14ac:dyDescent="0.25">
      <c r="A3268" s="222" t="s">
        <v>4274</v>
      </c>
      <c r="B3268" s="222">
        <v>530281</v>
      </c>
      <c r="C3268" s="222" t="s">
        <v>2052</v>
      </c>
      <c r="D3268" s="222" t="s">
        <v>1447</v>
      </c>
    </row>
    <row r="3269" spans="1:4" x14ac:dyDescent="0.25">
      <c r="A3269" s="222" t="s">
        <v>4273</v>
      </c>
      <c r="B3269" s="222">
        <v>590099</v>
      </c>
      <c r="C3269" s="222" t="s">
        <v>4272</v>
      </c>
      <c r="D3269" s="222" t="s">
        <v>1262</v>
      </c>
    </row>
    <row r="3270" spans="1:4" x14ac:dyDescent="0.25">
      <c r="A3270" s="222" t="s">
        <v>4271</v>
      </c>
      <c r="B3270" s="222">
        <v>590110</v>
      </c>
      <c r="C3270" s="222" t="s">
        <v>4270</v>
      </c>
      <c r="D3270" s="222" t="s">
        <v>1262</v>
      </c>
    </row>
    <row r="3271" spans="1:4" x14ac:dyDescent="0.25">
      <c r="A3271" s="222" t="s">
        <v>4269</v>
      </c>
      <c r="B3271" s="222">
        <v>539978</v>
      </c>
      <c r="C3271" s="222" t="s">
        <v>4268</v>
      </c>
      <c r="D3271" s="222" t="s">
        <v>1318</v>
      </c>
    </row>
    <row r="3272" spans="1:4" x14ac:dyDescent="0.25">
      <c r="A3272" s="222" t="s">
        <v>4267</v>
      </c>
      <c r="B3272" s="222">
        <v>539962</v>
      </c>
      <c r="C3272" s="222" t="s">
        <v>2052</v>
      </c>
      <c r="D3272" s="222" t="s">
        <v>1321</v>
      </c>
    </row>
    <row r="3273" spans="1:4" x14ac:dyDescent="0.25">
      <c r="A3273" s="222" t="s">
        <v>4266</v>
      </c>
      <c r="B3273" s="222">
        <v>535719</v>
      </c>
      <c r="C3273" s="222" t="s">
        <v>2052</v>
      </c>
      <c r="D3273" s="222" t="s">
        <v>1265</v>
      </c>
    </row>
    <row r="3274" spans="1:4" x14ac:dyDescent="0.25">
      <c r="A3274" s="222" t="s">
        <v>4265</v>
      </c>
      <c r="B3274" s="222">
        <v>535719</v>
      </c>
      <c r="C3274" s="222" t="s">
        <v>2052</v>
      </c>
      <c r="D3274" s="222" t="s">
        <v>1265</v>
      </c>
    </row>
    <row r="3275" spans="1:4" x14ac:dyDescent="0.25">
      <c r="A3275" s="222" t="s">
        <v>4264</v>
      </c>
      <c r="B3275" s="222">
        <v>539678</v>
      </c>
      <c r="C3275" s="222" t="s">
        <v>4263</v>
      </c>
      <c r="D3275" s="222" t="s">
        <v>1942</v>
      </c>
    </row>
    <row r="3276" spans="1:4" x14ac:dyDescent="0.25">
      <c r="A3276" s="222" t="s">
        <v>4262</v>
      </c>
      <c r="B3276" s="222">
        <v>532866</v>
      </c>
      <c r="C3276" s="222" t="s">
        <v>4261</v>
      </c>
      <c r="D3276" s="222" t="s">
        <v>1265</v>
      </c>
    </row>
    <row r="3277" spans="1:4" x14ac:dyDescent="0.25">
      <c r="A3277" s="222" t="s">
        <v>4260</v>
      </c>
      <c r="B3277" s="222">
        <v>532024</v>
      </c>
      <c r="C3277" s="222" t="s">
        <v>2052</v>
      </c>
      <c r="D3277" s="222" t="s">
        <v>1262</v>
      </c>
    </row>
    <row r="3278" spans="1:4" x14ac:dyDescent="0.25">
      <c r="A3278" s="222" t="s">
        <v>4259</v>
      </c>
      <c r="B3278" s="222">
        <v>536456</v>
      </c>
      <c r="C3278" s="222" t="s">
        <v>2052</v>
      </c>
      <c r="D3278" s="222" t="s">
        <v>731</v>
      </c>
    </row>
    <row r="3279" spans="1:4" x14ac:dyDescent="0.25">
      <c r="A3279" s="222" t="s">
        <v>4258</v>
      </c>
      <c r="B3279" s="222">
        <v>509845</v>
      </c>
      <c r="C3279" s="222" t="s">
        <v>2052</v>
      </c>
      <c r="D3279" s="222" t="s">
        <v>1243</v>
      </c>
    </row>
    <row r="3280" spans="1:4" x14ac:dyDescent="0.25">
      <c r="A3280" s="222" t="s">
        <v>4257</v>
      </c>
      <c r="B3280" s="222" t="s">
        <v>2052</v>
      </c>
      <c r="C3280" s="222" t="s">
        <v>4256</v>
      </c>
      <c r="D3280" s="222" t="s">
        <v>2050</v>
      </c>
    </row>
    <row r="3281" spans="1:4" x14ac:dyDescent="0.25">
      <c r="A3281" s="222" t="s">
        <v>4255</v>
      </c>
      <c r="B3281" s="222">
        <v>533284</v>
      </c>
      <c r="C3281" s="222" t="s">
        <v>4254</v>
      </c>
      <c r="D3281" s="222" t="s">
        <v>1248</v>
      </c>
    </row>
    <row r="3282" spans="1:4" x14ac:dyDescent="0.25">
      <c r="A3282" s="222" t="s">
        <v>4253</v>
      </c>
      <c r="B3282" s="222">
        <v>530917</v>
      </c>
      <c r="C3282" s="222" t="s">
        <v>2052</v>
      </c>
      <c r="D3282" s="222" t="s">
        <v>2068</v>
      </c>
    </row>
    <row r="3283" spans="1:4" x14ac:dyDescent="0.25">
      <c r="A3283" s="222" t="s">
        <v>4252</v>
      </c>
      <c r="B3283" s="222">
        <v>517447</v>
      </c>
      <c r="C3283" s="222" t="s">
        <v>4250</v>
      </c>
      <c r="D3283" s="222" t="s">
        <v>1942</v>
      </c>
    </row>
    <row r="3284" spans="1:4" x14ac:dyDescent="0.25">
      <c r="A3284" s="222" t="s">
        <v>4251</v>
      </c>
      <c r="B3284" s="222">
        <v>517447</v>
      </c>
      <c r="C3284" s="222" t="s">
        <v>4250</v>
      </c>
      <c r="D3284" s="222" t="s">
        <v>1942</v>
      </c>
    </row>
    <row r="3285" spans="1:4" x14ac:dyDescent="0.25">
      <c r="A3285" s="222" t="s">
        <v>4249</v>
      </c>
      <c r="B3285" s="222">
        <v>532735</v>
      </c>
      <c r="C3285" s="222" t="s">
        <v>4248</v>
      </c>
      <c r="D3285" s="222" t="s">
        <v>1265</v>
      </c>
    </row>
    <row r="3286" spans="1:4" x14ac:dyDescent="0.25">
      <c r="A3286" s="222" t="s">
        <v>4247</v>
      </c>
      <c r="B3286" s="222">
        <v>512565</v>
      </c>
      <c r="C3286" s="222" t="s">
        <v>2052</v>
      </c>
      <c r="D3286" s="222" t="s">
        <v>731</v>
      </c>
    </row>
    <row r="3287" spans="1:4" x14ac:dyDescent="0.25">
      <c r="A3287" s="222" t="s">
        <v>4246</v>
      </c>
      <c r="B3287" s="222">
        <v>538119</v>
      </c>
      <c r="C3287" s="222" t="s">
        <v>2052</v>
      </c>
      <c r="D3287" s="222" t="s">
        <v>1237</v>
      </c>
    </row>
    <row r="3288" spans="1:4" x14ac:dyDescent="0.25">
      <c r="A3288" s="222" t="s">
        <v>4245</v>
      </c>
      <c r="B3288" s="222">
        <v>524502</v>
      </c>
      <c r="C3288" s="222" t="s">
        <v>2052</v>
      </c>
      <c r="D3288" s="222" t="s">
        <v>1547</v>
      </c>
    </row>
    <row r="3289" spans="1:4" x14ac:dyDescent="0.25">
      <c r="A3289" s="222" t="s">
        <v>4244</v>
      </c>
      <c r="B3289" s="222">
        <v>524502</v>
      </c>
      <c r="C3289" s="222" t="s">
        <v>2052</v>
      </c>
      <c r="D3289" s="222" t="s">
        <v>1547</v>
      </c>
    </row>
    <row r="3290" spans="1:4" x14ac:dyDescent="0.25">
      <c r="A3290" s="222" t="s">
        <v>4243</v>
      </c>
      <c r="B3290" s="222">
        <v>502271</v>
      </c>
      <c r="C3290" s="222" t="s">
        <v>2052</v>
      </c>
      <c r="D3290" s="222" t="s">
        <v>1395</v>
      </c>
    </row>
    <row r="3291" spans="1:4" x14ac:dyDescent="0.25">
      <c r="A3291" s="222" t="s">
        <v>4242</v>
      </c>
      <c r="B3291" s="222">
        <v>520073</v>
      </c>
      <c r="C3291" s="222" t="s">
        <v>2052</v>
      </c>
      <c r="D3291" s="222" t="s">
        <v>1306</v>
      </c>
    </row>
    <row r="3292" spans="1:4" x14ac:dyDescent="0.25">
      <c r="A3292" s="222" t="s">
        <v>4241</v>
      </c>
      <c r="B3292" s="222">
        <v>590070</v>
      </c>
      <c r="C3292" s="222" t="s">
        <v>4239</v>
      </c>
      <c r="D3292" s="222" t="s">
        <v>2264</v>
      </c>
    </row>
    <row r="3293" spans="1:4" x14ac:dyDescent="0.25">
      <c r="A3293" s="222" t="s">
        <v>4240</v>
      </c>
      <c r="B3293" s="222">
        <v>590070</v>
      </c>
      <c r="C3293" s="222" t="s">
        <v>4239</v>
      </c>
      <c r="D3293" s="222" t="s">
        <v>2264</v>
      </c>
    </row>
    <row r="3294" spans="1:4" x14ac:dyDescent="0.25">
      <c r="A3294" s="222" t="s">
        <v>4238</v>
      </c>
      <c r="B3294" s="222">
        <v>532692</v>
      </c>
      <c r="C3294" s="222" t="s">
        <v>4237</v>
      </c>
      <c r="D3294" s="222" t="s">
        <v>1447</v>
      </c>
    </row>
    <row r="3295" spans="1:4" x14ac:dyDescent="0.25">
      <c r="A3295" s="222" t="s">
        <v>4236</v>
      </c>
      <c r="B3295" s="222">
        <v>539673</v>
      </c>
      <c r="C3295" s="222" t="s">
        <v>2052</v>
      </c>
      <c r="D3295" s="222" t="s">
        <v>1137</v>
      </c>
    </row>
    <row r="3296" spans="1:4" x14ac:dyDescent="0.25">
      <c r="A3296" s="222" t="s">
        <v>4235</v>
      </c>
      <c r="B3296" s="222">
        <v>531273</v>
      </c>
      <c r="C3296" s="222" t="s">
        <v>2052</v>
      </c>
      <c r="D3296" s="222" t="s">
        <v>1243</v>
      </c>
    </row>
    <row r="3297" spans="1:4" x14ac:dyDescent="0.25">
      <c r="A3297" s="222" t="s">
        <v>4234</v>
      </c>
      <c r="B3297" s="222">
        <v>531273</v>
      </c>
      <c r="C3297" s="222" t="s">
        <v>2052</v>
      </c>
      <c r="D3297" s="222" t="s">
        <v>1243</v>
      </c>
    </row>
    <row r="3298" spans="1:4" x14ac:dyDescent="0.25">
      <c r="A3298" s="222" t="s">
        <v>4233</v>
      </c>
      <c r="B3298" s="222">
        <v>539814</v>
      </c>
      <c r="C3298" s="222" t="s">
        <v>2052</v>
      </c>
      <c r="D3298" s="222" t="s">
        <v>1529</v>
      </c>
    </row>
    <row r="3299" spans="1:4" x14ac:dyDescent="0.25">
      <c r="A3299" s="222" t="s">
        <v>4232</v>
      </c>
      <c r="B3299" s="222">
        <v>540125</v>
      </c>
      <c r="C3299" s="222" t="s">
        <v>2052</v>
      </c>
      <c r="D3299" s="222" t="s">
        <v>1364</v>
      </c>
    </row>
    <row r="3300" spans="1:4" x14ac:dyDescent="0.25">
      <c r="A3300" s="222" t="s">
        <v>4231</v>
      </c>
      <c r="B3300" s="222">
        <v>532497</v>
      </c>
      <c r="C3300" s="222" t="s">
        <v>4230</v>
      </c>
      <c r="D3300" s="222" t="s">
        <v>2146</v>
      </c>
    </row>
    <row r="3301" spans="1:4" x14ac:dyDescent="0.25">
      <c r="A3301" s="222" t="s">
        <v>4229</v>
      </c>
      <c r="B3301" s="222">
        <v>531412</v>
      </c>
      <c r="C3301" s="222" t="s">
        <v>2052</v>
      </c>
      <c r="D3301" s="222" t="s">
        <v>1542</v>
      </c>
    </row>
    <row r="3302" spans="1:4" x14ac:dyDescent="0.25">
      <c r="A3302" s="222" t="s">
        <v>4228</v>
      </c>
      <c r="B3302" s="222">
        <v>531412</v>
      </c>
      <c r="C3302" s="222" t="s">
        <v>2052</v>
      </c>
      <c r="D3302" s="222" t="s">
        <v>1542</v>
      </c>
    </row>
    <row r="3303" spans="1:4" x14ac:dyDescent="0.25">
      <c r="A3303" s="222" t="s">
        <v>4227</v>
      </c>
      <c r="B3303" s="222">
        <v>539837</v>
      </c>
      <c r="C3303" s="222" t="s">
        <v>2052</v>
      </c>
      <c r="D3303" s="222" t="s">
        <v>1395</v>
      </c>
    </row>
    <row r="3304" spans="1:4" x14ac:dyDescent="0.25">
      <c r="A3304" s="222" t="s">
        <v>4226</v>
      </c>
      <c r="B3304" s="222">
        <v>526813</v>
      </c>
      <c r="C3304" s="222" t="s">
        <v>2052</v>
      </c>
      <c r="D3304" s="222" t="s">
        <v>2227</v>
      </c>
    </row>
    <row r="3305" spans="1:4" x14ac:dyDescent="0.25">
      <c r="A3305" s="222" t="s">
        <v>4225</v>
      </c>
      <c r="B3305" s="222">
        <v>531552</v>
      </c>
      <c r="C3305" s="222" t="s">
        <v>2052</v>
      </c>
      <c r="D3305" s="222" t="s">
        <v>1243</v>
      </c>
    </row>
    <row r="3306" spans="1:4" x14ac:dyDescent="0.25">
      <c r="A3306" s="222" t="s">
        <v>4224</v>
      </c>
      <c r="B3306" s="222">
        <v>538921</v>
      </c>
      <c r="C3306" s="222" t="s">
        <v>2052</v>
      </c>
      <c r="D3306" s="222" t="s">
        <v>731</v>
      </c>
    </row>
    <row r="3307" spans="1:4" x14ac:dyDescent="0.25">
      <c r="A3307" s="222" t="s">
        <v>4223</v>
      </c>
      <c r="B3307" s="222">
        <v>514316</v>
      </c>
      <c r="C3307" s="222" t="s">
        <v>2052</v>
      </c>
      <c r="D3307" s="222" t="s">
        <v>1237</v>
      </c>
    </row>
    <row r="3308" spans="1:4" x14ac:dyDescent="0.25">
      <c r="A3308" s="222" t="s">
        <v>4222</v>
      </c>
      <c r="B3308" s="222">
        <v>531887</v>
      </c>
      <c r="C3308" s="222" t="s">
        <v>2052</v>
      </c>
      <c r="D3308" s="222" t="s">
        <v>1364</v>
      </c>
    </row>
    <row r="3309" spans="1:4" x14ac:dyDescent="0.25">
      <c r="A3309" s="222" t="s">
        <v>4221</v>
      </c>
      <c r="B3309" s="222">
        <v>540270</v>
      </c>
      <c r="C3309" s="222" t="s">
        <v>2052</v>
      </c>
      <c r="D3309" s="222" t="s">
        <v>1529</v>
      </c>
    </row>
    <row r="3310" spans="1:4" x14ac:dyDescent="0.25">
      <c r="A3310" s="222" t="s">
        <v>4220</v>
      </c>
      <c r="B3310" s="222">
        <v>542649</v>
      </c>
      <c r="C3310" s="222" t="s">
        <v>4219</v>
      </c>
      <c r="D3310" s="222" t="s">
        <v>3282</v>
      </c>
    </row>
    <row r="3311" spans="1:4" x14ac:dyDescent="0.25">
      <c r="A3311" s="222" t="s">
        <v>4218</v>
      </c>
      <c r="B3311" s="222">
        <v>500339</v>
      </c>
      <c r="C3311" s="222" t="s">
        <v>4217</v>
      </c>
      <c r="D3311" s="222" t="s">
        <v>1196</v>
      </c>
    </row>
    <row r="3312" spans="1:4" x14ac:dyDescent="0.25">
      <c r="A3312" s="222" t="s">
        <v>4216</v>
      </c>
      <c r="B3312" s="222">
        <v>532441</v>
      </c>
      <c r="C3312" s="222" t="s">
        <v>2052</v>
      </c>
      <c r="D3312" s="222" t="s">
        <v>1237</v>
      </c>
    </row>
    <row r="3313" spans="1:4" x14ac:dyDescent="0.25">
      <c r="A3313" s="222" t="s">
        <v>4215</v>
      </c>
      <c r="B3313" s="222">
        <v>531694</v>
      </c>
      <c r="C3313" s="222" t="s">
        <v>2052</v>
      </c>
      <c r="D3313" s="222" t="s">
        <v>1243</v>
      </c>
    </row>
    <row r="3314" spans="1:4" x14ac:dyDescent="0.25">
      <c r="A3314" s="222" t="s">
        <v>4214</v>
      </c>
      <c r="B3314" s="222">
        <v>523523</v>
      </c>
      <c r="C3314" s="222" t="s">
        <v>4213</v>
      </c>
      <c r="D3314" s="222" t="s">
        <v>1972</v>
      </c>
    </row>
    <row r="3315" spans="1:4" x14ac:dyDescent="0.25">
      <c r="A3315" s="222" t="s">
        <v>4212</v>
      </c>
      <c r="B3315" s="222">
        <v>530111</v>
      </c>
      <c r="C3315" s="222" t="s">
        <v>2052</v>
      </c>
      <c r="D3315" s="222" t="s">
        <v>1447</v>
      </c>
    </row>
    <row r="3316" spans="1:4" x14ac:dyDescent="0.25">
      <c r="A3316" s="222" t="s">
        <v>4211</v>
      </c>
      <c r="B3316" s="222">
        <v>530699</v>
      </c>
      <c r="C3316" s="222" t="s">
        <v>4210</v>
      </c>
      <c r="D3316" s="222" t="s">
        <v>1237</v>
      </c>
    </row>
    <row r="3317" spans="1:4" x14ac:dyDescent="0.25">
      <c r="A3317" s="222" t="s">
        <v>4209</v>
      </c>
      <c r="B3317" s="222">
        <v>532826</v>
      </c>
      <c r="C3317" s="222" t="s">
        <v>4208</v>
      </c>
      <c r="D3317" s="222" t="s">
        <v>2079</v>
      </c>
    </row>
    <row r="3318" spans="1:4" x14ac:dyDescent="0.25">
      <c r="A3318" s="222" t="s">
        <v>4207</v>
      </c>
      <c r="B3318" s="222">
        <v>503127</v>
      </c>
      <c r="C3318" s="222" t="s">
        <v>2052</v>
      </c>
      <c r="D3318" s="222" t="s">
        <v>1318</v>
      </c>
    </row>
    <row r="3319" spans="1:4" x14ac:dyDescent="0.25">
      <c r="A3319" s="222" t="s">
        <v>4206</v>
      </c>
      <c r="B3319" s="222">
        <v>532503</v>
      </c>
      <c r="C3319" s="222" t="s">
        <v>2052</v>
      </c>
      <c r="D3319" s="222" t="s">
        <v>1237</v>
      </c>
    </row>
    <row r="3320" spans="1:4" x14ac:dyDescent="0.25">
      <c r="A3320" s="222" t="s">
        <v>4205</v>
      </c>
      <c r="B3320" s="222">
        <v>538707</v>
      </c>
      <c r="C3320" s="222" t="s">
        <v>2052</v>
      </c>
      <c r="D3320" s="222" t="s">
        <v>1447</v>
      </c>
    </row>
    <row r="3321" spans="1:4" x14ac:dyDescent="0.25">
      <c r="A3321" s="222" t="s">
        <v>4204</v>
      </c>
      <c r="B3321" s="222">
        <v>526873</v>
      </c>
      <c r="C3321" s="222" t="s">
        <v>2052</v>
      </c>
      <c r="D3321" s="222" t="s">
        <v>2740</v>
      </c>
    </row>
    <row r="3322" spans="1:4" x14ac:dyDescent="0.25">
      <c r="A3322" s="222" t="s">
        <v>4203</v>
      </c>
      <c r="B3322" s="222">
        <v>530253</v>
      </c>
      <c r="C3322" s="222" t="s">
        <v>2052</v>
      </c>
      <c r="D3322" s="222" t="s">
        <v>740</v>
      </c>
    </row>
    <row r="3323" spans="1:4" x14ac:dyDescent="0.25">
      <c r="A3323" s="222" t="s">
        <v>4202</v>
      </c>
      <c r="B3323" s="222">
        <v>507962</v>
      </c>
      <c r="C3323" s="222" t="s">
        <v>2052</v>
      </c>
      <c r="D3323" s="222" t="s">
        <v>1321</v>
      </c>
    </row>
    <row r="3324" spans="1:4" x14ac:dyDescent="0.25">
      <c r="A3324" s="222" t="s">
        <v>4201</v>
      </c>
      <c r="B3324" s="222">
        <v>526662</v>
      </c>
      <c r="C3324" s="222" t="s">
        <v>4200</v>
      </c>
      <c r="D3324" s="222" t="s">
        <v>1248</v>
      </c>
    </row>
    <row r="3325" spans="1:4" x14ac:dyDescent="0.25">
      <c r="A3325" s="222" t="s">
        <v>4199</v>
      </c>
      <c r="B3325" s="222">
        <v>531500</v>
      </c>
      <c r="C3325" s="222" t="s">
        <v>4198</v>
      </c>
      <c r="D3325" s="222" t="s">
        <v>1364</v>
      </c>
    </row>
    <row r="3326" spans="1:4" x14ac:dyDescent="0.25">
      <c r="A3326" s="222" t="s">
        <v>4197</v>
      </c>
      <c r="B3326" s="222">
        <v>526823</v>
      </c>
      <c r="C3326" s="222" t="s">
        <v>2052</v>
      </c>
      <c r="D3326" s="222" t="s">
        <v>1243</v>
      </c>
    </row>
    <row r="3327" spans="1:4" x14ac:dyDescent="0.25">
      <c r="A3327" s="222" t="s">
        <v>4196</v>
      </c>
      <c r="B3327" s="222">
        <v>514028</v>
      </c>
      <c r="C3327" s="222" t="s">
        <v>2052</v>
      </c>
      <c r="D3327" s="222" t="s">
        <v>1237</v>
      </c>
    </row>
    <row r="3328" spans="1:4" x14ac:dyDescent="0.25">
      <c r="A3328" s="222" t="s">
        <v>4195</v>
      </c>
      <c r="B3328" s="222">
        <v>539495</v>
      </c>
      <c r="C3328" s="222" t="s">
        <v>2052</v>
      </c>
      <c r="D3328" s="222" t="s">
        <v>1321</v>
      </c>
    </row>
    <row r="3329" spans="1:4" x14ac:dyDescent="0.25">
      <c r="A3329" s="222" t="s">
        <v>4194</v>
      </c>
      <c r="B3329" s="222">
        <v>513369</v>
      </c>
      <c r="C3329" s="222" t="s">
        <v>2052</v>
      </c>
      <c r="D3329" s="222" t="s">
        <v>1313</v>
      </c>
    </row>
    <row r="3330" spans="1:4" x14ac:dyDescent="0.25">
      <c r="A3330" s="222" t="s">
        <v>4193</v>
      </c>
      <c r="B3330" s="222" t="s">
        <v>2052</v>
      </c>
      <c r="C3330" s="222" t="s">
        <v>4192</v>
      </c>
      <c r="D3330" s="222" t="s">
        <v>2050</v>
      </c>
    </row>
    <row r="3331" spans="1:4" x14ac:dyDescent="0.25">
      <c r="A3331" s="222" t="s">
        <v>4191</v>
      </c>
      <c r="B3331" s="222">
        <v>541601</v>
      </c>
      <c r="C3331" s="222" t="s">
        <v>2052</v>
      </c>
      <c r="D3331" s="222" t="s">
        <v>789</v>
      </c>
    </row>
    <row r="3332" spans="1:4" x14ac:dyDescent="0.25">
      <c r="A3332" s="222" t="s">
        <v>4190</v>
      </c>
      <c r="B3332" s="222">
        <v>522257</v>
      </c>
      <c r="C3332" s="222" t="s">
        <v>2052</v>
      </c>
      <c r="D3332" s="222" t="s">
        <v>832</v>
      </c>
    </row>
    <row r="3333" spans="1:4" x14ac:dyDescent="0.25">
      <c r="A3333" s="222" t="s">
        <v>4189</v>
      </c>
      <c r="B3333" s="222">
        <v>517522</v>
      </c>
      <c r="C3333" s="222" t="s">
        <v>2052</v>
      </c>
      <c r="D3333" s="222" t="s">
        <v>1306</v>
      </c>
    </row>
    <row r="3334" spans="1:4" x14ac:dyDescent="0.25">
      <c r="A3334" s="222" t="s">
        <v>4188</v>
      </c>
      <c r="B3334" s="222">
        <v>512409</v>
      </c>
      <c r="C3334" s="222" t="s">
        <v>2052</v>
      </c>
      <c r="D3334" s="222" t="s">
        <v>1321</v>
      </c>
    </row>
    <row r="3335" spans="1:4" x14ac:dyDescent="0.25">
      <c r="A3335" s="222" t="s">
        <v>4187</v>
      </c>
      <c r="B3335" s="222" t="s">
        <v>2052</v>
      </c>
      <c r="C3335" s="222" t="s">
        <v>4186</v>
      </c>
      <c r="D3335" s="222" t="s">
        <v>2050</v>
      </c>
    </row>
    <row r="3336" spans="1:4" x14ac:dyDescent="0.25">
      <c r="A3336" s="222" t="s">
        <v>4185</v>
      </c>
      <c r="B3336" s="222">
        <v>500354</v>
      </c>
      <c r="C3336" s="222" t="s">
        <v>4184</v>
      </c>
      <c r="D3336" s="222" t="s">
        <v>1124</v>
      </c>
    </row>
    <row r="3337" spans="1:4" x14ac:dyDescent="0.25">
      <c r="A3337" s="222" t="s">
        <v>4183</v>
      </c>
      <c r="B3337" s="222">
        <v>532665</v>
      </c>
      <c r="C3337" s="222" t="s">
        <v>4182</v>
      </c>
      <c r="D3337" s="222" t="s">
        <v>1237</v>
      </c>
    </row>
    <row r="3338" spans="1:4" x14ac:dyDescent="0.25">
      <c r="A3338" s="222" t="s">
        <v>4181</v>
      </c>
      <c r="B3338" s="222">
        <v>500355</v>
      </c>
      <c r="C3338" s="222" t="s">
        <v>4179</v>
      </c>
      <c r="D3338" s="222" t="s">
        <v>1324</v>
      </c>
    </row>
    <row r="3339" spans="1:4" x14ac:dyDescent="0.25">
      <c r="A3339" s="222" t="s">
        <v>4180</v>
      </c>
      <c r="B3339" s="222">
        <v>500355</v>
      </c>
      <c r="C3339" s="222" t="s">
        <v>4179</v>
      </c>
      <c r="D3339" s="222" t="s">
        <v>1324</v>
      </c>
    </row>
    <row r="3340" spans="1:4" x14ac:dyDescent="0.25">
      <c r="A3340" s="222" t="s">
        <v>4178</v>
      </c>
      <c r="B3340" s="222">
        <v>534734</v>
      </c>
      <c r="C3340" s="222" t="s">
        <v>2052</v>
      </c>
      <c r="D3340" s="222" t="s">
        <v>722</v>
      </c>
    </row>
    <row r="3341" spans="1:4" x14ac:dyDescent="0.25">
      <c r="A3341" s="222" t="s">
        <v>4177</v>
      </c>
      <c r="B3341" s="222">
        <v>522281</v>
      </c>
      <c r="C3341" s="222" t="s">
        <v>2052</v>
      </c>
      <c r="D3341" s="222" t="s">
        <v>1275</v>
      </c>
    </row>
    <row r="3342" spans="1:4" x14ac:dyDescent="0.25">
      <c r="A3342" s="222" t="s">
        <v>4176</v>
      </c>
      <c r="B3342" s="222">
        <v>500357</v>
      </c>
      <c r="C3342" s="222" t="s">
        <v>2052</v>
      </c>
      <c r="D3342" s="222" t="s">
        <v>1972</v>
      </c>
    </row>
    <row r="3343" spans="1:4" x14ac:dyDescent="0.25">
      <c r="A3343" s="222" t="s">
        <v>4175</v>
      </c>
      <c r="B3343" s="222">
        <v>500358</v>
      </c>
      <c r="C3343" s="222" t="s">
        <v>2052</v>
      </c>
      <c r="D3343" s="222" t="s">
        <v>1321</v>
      </c>
    </row>
    <row r="3344" spans="1:4" x14ac:dyDescent="0.25">
      <c r="A3344" s="222" t="s">
        <v>4174</v>
      </c>
      <c r="B3344" s="222">
        <v>524037</v>
      </c>
      <c r="C3344" s="222" t="s">
        <v>2052</v>
      </c>
      <c r="D3344" s="222" t="s">
        <v>734</v>
      </c>
    </row>
    <row r="3345" spans="1:4" x14ac:dyDescent="0.25">
      <c r="A3345" s="222" t="s">
        <v>4173</v>
      </c>
      <c r="B3345" s="222">
        <v>502587</v>
      </c>
      <c r="C3345" s="222" t="s">
        <v>2052</v>
      </c>
      <c r="D3345" s="222" t="s">
        <v>1972</v>
      </c>
    </row>
    <row r="3346" spans="1:4" x14ac:dyDescent="0.25">
      <c r="A3346" s="222" t="s">
        <v>4172</v>
      </c>
      <c r="B3346" s="222">
        <v>539309</v>
      </c>
      <c r="C3346" s="222" t="s">
        <v>4171</v>
      </c>
      <c r="D3346" s="222" t="s">
        <v>740</v>
      </c>
    </row>
    <row r="3347" spans="1:4" x14ac:dyDescent="0.25">
      <c r="A3347" s="222" t="s">
        <v>4170</v>
      </c>
      <c r="B3347" s="222">
        <v>523289</v>
      </c>
      <c r="C3347" s="222" t="s">
        <v>2052</v>
      </c>
      <c r="D3347" s="222" t="s">
        <v>1529</v>
      </c>
    </row>
    <row r="3348" spans="1:4" x14ac:dyDescent="0.25">
      <c r="A3348" s="222" t="s">
        <v>4169</v>
      </c>
      <c r="B3348" s="222">
        <v>515127</v>
      </c>
      <c r="C3348" s="222" t="s">
        <v>2052</v>
      </c>
      <c r="D3348" s="222" t="s">
        <v>1529</v>
      </c>
    </row>
    <row r="3349" spans="1:4" x14ac:dyDescent="0.25">
      <c r="A3349" s="222" t="s">
        <v>4168</v>
      </c>
      <c r="B3349" s="222">
        <v>538540</v>
      </c>
      <c r="C3349" s="222" t="s">
        <v>2052</v>
      </c>
      <c r="D3349" s="222" t="s">
        <v>1321</v>
      </c>
    </row>
    <row r="3350" spans="1:4" x14ac:dyDescent="0.25">
      <c r="A3350" s="222" t="s">
        <v>4167</v>
      </c>
      <c r="B3350" s="222">
        <v>532369</v>
      </c>
      <c r="C3350" s="222" t="s">
        <v>4166</v>
      </c>
      <c r="D3350" s="222" t="s">
        <v>2357</v>
      </c>
    </row>
    <row r="3351" spans="1:4" x14ac:dyDescent="0.25">
      <c r="A3351" s="222" t="s">
        <v>4165</v>
      </c>
      <c r="B3351" s="222">
        <v>532370</v>
      </c>
      <c r="C3351" s="222" t="s">
        <v>4164</v>
      </c>
      <c r="D3351" s="222" t="s">
        <v>1265</v>
      </c>
    </row>
    <row r="3352" spans="1:4" x14ac:dyDescent="0.25">
      <c r="A3352" s="222" t="s">
        <v>4163</v>
      </c>
      <c r="B3352" s="222">
        <v>514223</v>
      </c>
      <c r="C3352" s="222" t="s">
        <v>4162</v>
      </c>
      <c r="D3352" s="222" t="s">
        <v>1529</v>
      </c>
    </row>
    <row r="3353" spans="1:4" x14ac:dyDescent="0.25">
      <c r="A3353" s="222" t="s">
        <v>4161</v>
      </c>
      <c r="B3353" s="222">
        <v>530951</v>
      </c>
      <c r="C3353" s="222" t="s">
        <v>2052</v>
      </c>
      <c r="D3353" s="222" t="s">
        <v>1942</v>
      </c>
    </row>
    <row r="3354" spans="1:4" x14ac:dyDescent="0.25">
      <c r="A3354" s="222" t="s">
        <v>4160</v>
      </c>
      <c r="B3354" s="222">
        <v>532527</v>
      </c>
      <c r="C3354" s="222" t="s">
        <v>4159</v>
      </c>
      <c r="D3354" s="222" t="s">
        <v>1313</v>
      </c>
    </row>
    <row r="3355" spans="1:4" x14ac:dyDescent="0.25">
      <c r="A3355" s="222" t="s">
        <v>4158</v>
      </c>
      <c r="B3355" s="222">
        <v>533262</v>
      </c>
      <c r="C3355" s="222" t="s">
        <v>4157</v>
      </c>
      <c r="D3355" s="222" t="s">
        <v>1248</v>
      </c>
    </row>
    <row r="3356" spans="1:4" x14ac:dyDescent="0.25">
      <c r="A3356" s="222" t="s">
        <v>4156</v>
      </c>
      <c r="B3356" s="222">
        <v>532690</v>
      </c>
      <c r="C3356" s="222" t="s">
        <v>4155</v>
      </c>
      <c r="D3356" s="222" t="s">
        <v>2167</v>
      </c>
    </row>
    <row r="3357" spans="1:4" x14ac:dyDescent="0.25">
      <c r="A3357" s="222" t="s">
        <v>4154</v>
      </c>
      <c r="B3357" s="222">
        <v>530925</v>
      </c>
      <c r="C3357" s="222" t="s">
        <v>2052</v>
      </c>
      <c r="D3357" s="222" t="s">
        <v>1321</v>
      </c>
    </row>
    <row r="3358" spans="1:4" x14ac:dyDescent="0.25">
      <c r="A3358" s="222" t="s">
        <v>4153</v>
      </c>
      <c r="B3358" s="222">
        <v>507490</v>
      </c>
      <c r="C3358" s="222" t="s">
        <v>4152</v>
      </c>
      <c r="D3358" s="222" t="s">
        <v>1124</v>
      </c>
    </row>
    <row r="3359" spans="1:4" x14ac:dyDescent="0.25">
      <c r="A3359" s="222" t="s">
        <v>4151</v>
      </c>
      <c r="B3359" s="222">
        <v>531228</v>
      </c>
      <c r="C3359" s="222" t="s">
        <v>2052</v>
      </c>
      <c r="D3359" s="222" t="s">
        <v>1321</v>
      </c>
    </row>
    <row r="3360" spans="1:4" x14ac:dyDescent="0.25">
      <c r="A3360" s="222" t="s">
        <v>4150</v>
      </c>
      <c r="B3360" s="222">
        <v>532987</v>
      </c>
      <c r="C3360" s="222" t="s">
        <v>4149</v>
      </c>
      <c r="D3360" s="222" t="s">
        <v>1306</v>
      </c>
    </row>
    <row r="3361" spans="1:4" x14ac:dyDescent="0.25">
      <c r="A3361" s="222" t="s">
        <v>4148</v>
      </c>
      <c r="B3361" s="222">
        <v>532988</v>
      </c>
      <c r="C3361" s="222" t="s">
        <v>4147</v>
      </c>
      <c r="D3361" s="222" t="s">
        <v>1306</v>
      </c>
    </row>
    <row r="3362" spans="1:4" x14ac:dyDescent="0.25">
      <c r="A3362" s="222" t="s">
        <v>4146</v>
      </c>
      <c r="B3362" s="222">
        <v>505800</v>
      </c>
      <c r="C3362" s="222" t="s">
        <v>4145</v>
      </c>
      <c r="D3362" s="222" t="s">
        <v>1306</v>
      </c>
    </row>
    <row r="3363" spans="1:4" x14ac:dyDescent="0.25">
      <c r="A3363" s="222" t="s">
        <v>4144</v>
      </c>
      <c r="B3363" s="222">
        <v>532661</v>
      </c>
      <c r="C3363" s="222" t="s">
        <v>4143</v>
      </c>
      <c r="D3363" s="222" t="s">
        <v>1306</v>
      </c>
    </row>
    <row r="3364" spans="1:4" x14ac:dyDescent="0.25">
      <c r="A3364" s="222" t="s">
        <v>4142</v>
      </c>
      <c r="B3364" s="222">
        <v>541945</v>
      </c>
      <c r="C3364" s="222" t="s">
        <v>2052</v>
      </c>
      <c r="D3364" s="222" t="s">
        <v>1248</v>
      </c>
    </row>
    <row r="3365" spans="1:4" x14ac:dyDescent="0.25">
      <c r="A3365" s="222" t="s">
        <v>4141</v>
      </c>
      <c r="B3365" s="222">
        <v>531583</v>
      </c>
      <c r="C3365" s="222" t="s">
        <v>2052</v>
      </c>
      <c r="D3365" s="222" t="s">
        <v>1321</v>
      </c>
    </row>
    <row r="3366" spans="1:4" x14ac:dyDescent="0.25">
      <c r="A3366" s="222" t="s">
        <v>4140</v>
      </c>
      <c r="B3366" s="222">
        <v>500360</v>
      </c>
      <c r="C3366" s="222" t="s">
        <v>2052</v>
      </c>
      <c r="D3366" s="222" t="s">
        <v>832</v>
      </c>
    </row>
    <row r="3367" spans="1:4" x14ac:dyDescent="0.25">
      <c r="A3367" s="222" t="s">
        <v>4139</v>
      </c>
      <c r="B3367" s="222">
        <v>501351</v>
      </c>
      <c r="C3367" s="222" t="s">
        <v>2052</v>
      </c>
      <c r="D3367" s="222" t="s">
        <v>2068</v>
      </c>
    </row>
    <row r="3368" spans="1:4" x14ac:dyDescent="0.25">
      <c r="A3368" s="222" t="s">
        <v>4138</v>
      </c>
      <c r="B3368" s="222">
        <v>507966</v>
      </c>
      <c r="C3368" s="222" t="s">
        <v>2052</v>
      </c>
      <c r="D3368" s="222" t="s">
        <v>2128</v>
      </c>
    </row>
    <row r="3369" spans="1:4" x14ac:dyDescent="0.25">
      <c r="A3369" s="222" t="s">
        <v>4137</v>
      </c>
      <c r="B3369" s="222">
        <v>522207</v>
      </c>
      <c r="C3369" s="222" t="s">
        <v>2052</v>
      </c>
      <c r="D3369" s="222" t="s">
        <v>1306</v>
      </c>
    </row>
    <row r="3370" spans="1:4" x14ac:dyDescent="0.25">
      <c r="A3370" s="222" t="s">
        <v>4136</v>
      </c>
      <c r="B3370" s="222">
        <v>522207</v>
      </c>
      <c r="C3370" s="222" t="s">
        <v>2052</v>
      </c>
      <c r="D3370" s="222" t="s">
        <v>1306</v>
      </c>
    </row>
    <row r="3371" spans="1:4" x14ac:dyDescent="0.25">
      <c r="A3371" s="222" t="s">
        <v>4135</v>
      </c>
      <c r="B3371" s="222">
        <v>524230</v>
      </c>
      <c r="C3371" s="222" t="s">
        <v>4134</v>
      </c>
      <c r="D3371" s="222" t="s">
        <v>734</v>
      </c>
    </row>
    <row r="3372" spans="1:4" x14ac:dyDescent="0.25">
      <c r="A3372" s="222" t="s">
        <v>4133</v>
      </c>
      <c r="B3372" s="222">
        <v>531233</v>
      </c>
      <c r="C3372" s="222" t="s">
        <v>2052</v>
      </c>
      <c r="D3372" s="222" t="s">
        <v>1395</v>
      </c>
    </row>
    <row r="3373" spans="1:4" x14ac:dyDescent="0.25">
      <c r="A3373" s="222" t="s">
        <v>4132</v>
      </c>
      <c r="B3373" s="222">
        <v>507649</v>
      </c>
      <c r="C3373" s="222" t="s">
        <v>2052</v>
      </c>
      <c r="D3373" s="222" t="s">
        <v>1963</v>
      </c>
    </row>
    <row r="3374" spans="1:4" x14ac:dyDescent="0.25">
      <c r="A3374" s="222" t="s">
        <v>4131</v>
      </c>
      <c r="B3374" s="222">
        <v>532918</v>
      </c>
      <c r="C3374" s="222" t="s">
        <v>2052</v>
      </c>
      <c r="D3374" s="222" t="s">
        <v>740</v>
      </c>
    </row>
    <row r="3375" spans="1:4" x14ac:dyDescent="0.25">
      <c r="A3375" s="222" t="s">
        <v>4130</v>
      </c>
      <c r="B3375" s="222">
        <v>524610</v>
      </c>
      <c r="C3375" s="222" t="s">
        <v>2052</v>
      </c>
      <c r="D3375" s="222" t="s">
        <v>722</v>
      </c>
    </row>
    <row r="3376" spans="1:4" x14ac:dyDescent="0.25">
      <c r="A3376" s="222" t="s">
        <v>4129</v>
      </c>
      <c r="B3376" s="222">
        <v>540796</v>
      </c>
      <c r="C3376" s="222" t="s">
        <v>2052</v>
      </c>
      <c r="D3376" s="222" t="s">
        <v>1243</v>
      </c>
    </row>
    <row r="3377" spans="1:4" x14ac:dyDescent="0.25">
      <c r="A3377" s="222" t="s">
        <v>4128</v>
      </c>
      <c r="B3377" s="222">
        <v>520111</v>
      </c>
      <c r="C3377" s="222" t="s">
        <v>4127</v>
      </c>
      <c r="D3377" s="222" t="s">
        <v>1248</v>
      </c>
    </row>
    <row r="3378" spans="1:4" x14ac:dyDescent="0.25">
      <c r="A3378" s="222" t="s">
        <v>4126</v>
      </c>
      <c r="B3378" s="222">
        <v>534597</v>
      </c>
      <c r="C3378" s="222" t="s">
        <v>4125</v>
      </c>
      <c r="D3378" s="222" t="s">
        <v>2380</v>
      </c>
    </row>
    <row r="3379" spans="1:4" x14ac:dyDescent="0.25">
      <c r="A3379" s="222" t="s">
        <v>4124</v>
      </c>
      <c r="B3379" s="222">
        <v>533122</v>
      </c>
      <c r="C3379" s="222" t="s">
        <v>4123</v>
      </c>
      <c r="D3379" s="222" t="s">
        <v>2380</v>
      </c>
    </row>
    <row r="3380" spans="1:4" x14ac:dyDescent="0.25">
      <c r="A3380" s="222" t="s">
        <v>4122</v>
      </c>
      <c r="B3380" s="222">
        <v>537840</v>
      </c>
      <c r="C3380" s="222" t="s">
        <v>2052</v>
      </c>
      <c r="D3380" s="222" t="s">
        <v>1248</v>
      </c>
    </row>
    <row r="3381" spans="1:4" x14ac:dyDescent="0.25">
      <c r="A3381" s="222" t="s">
        <v>4121</v>
      </c>
      <c r="B3381" s="222">
        <v>507300</v>
      </c>
      <c r="C3381" s="222" t="s">
        <v>2052</v>
      </c>
      <c r="D3381" s="222" t="s">
        <v>1124</v>
      </c>
    </row>
    <row r="3382" spans="1:4" x14ac:dyDescent="0.25">
      <c r="A3382" s="222" t="s">
        <v>4120</v>
      </c>
      <c r="B3382" s="222">
        <v>533294</v>
      </c>
      <c r="C3382" s="222" t="s">
        <v>4119</v>
      </c>
      <c r="D3382" s="222" t="s">
        <v>2146</v>
      </c>
    </row>
    <row r="3383" spans="1:4" x14ac:dyDescent="0.25">
      <c r="A3383" s="222" t="s">
        <v>4118</v>
      </c>
      <c r="B3383" s="222">
        <v>526095</v>
      </c>
      <c r="C3383" s="222" t="s">
        <v>2052</v>
      </c>
      <c r="D3383" s="222" t="s">
        <v>2357</v>
      </c>
    </row>
    <row r="3384" spans="1:4" x14ac:dyDescent="0.25">
      <c r="A3384" s="222" t="s">
        <v>4117</v>
      </c>
      <c r="B3384" s="222">
        <v>504341</v>
      </c>
      <c r="C3384" s="222" t="s">
        <v>2052</v>
      </c>
      <c r="D3384" s="222" t="s">
        <v>1262</v>
      </c>
    </row>
    <row r="3385" spans="1:4" x14ac:dyDescent="0.25">
      <c r="A3385" s="222" t="s">
        <v>4116</v>
      </c>
      <c r="B3385" s="222">
        <v>541634</v>
      </c>
      <c r="C3385" s="222" t="s">
        <v>2052</v>
      </c>
      <c r="D3385" s="222" t="s">
        <v>2357</v>
      </c>
    </row>
    <row r="3386" spans="1:4" x14ac:dyDescent="0.25">
      <c r="A3386" s="222" t="s">
        <v>4115</v>
      </c>
      <c r="B3386" s="222">
        <v>531207</v>
      </c>
      <c r="C3386" s="222" t="s">
        <v>2052</v>
      </c>
      <c r="D3386" s="222" t="s">
        <v>789</v>
      </c>
    </row>
    <row r="3387" spans="1:4" x14ac:dyDescent="0.25">
      <c r="A3387" s="222" t="s">
        <v>4114</v>
      </c>
      <c r="B3387" s="222">
        <v>500330</v>
      </c>
      <c r="C3387" s="222" t="s">
        <v>4113</v>
      </c>
      <c r="D3387" s="222" t="s">
        <v>1237</v>
      </c>
    </row>
    <row r="3388" spans="1:4" x14ac:dyDescent="0.25">
      <c r="A3388" s="222" t="s">
        <v>4112</v>
      </c>
      <c r="B3388" s="222">
        <v>540065</v>
      </c>
      <c r="C3388" s="222" t="s">
        <v>4111</v>
      </c>
      <c r="D3388" s="222" t="s">
        <v>1240</v>
      </c>
    </row>
    <row r="3389" spans="1:4" x14ac:dyDescent="0.25">
      <c r="A3389" s="222" t="s">
        <v>4110</v>
      </c>
      <c r="B3389" s="222">
        <v>531825</v>
      </c>
      <c r="C3389" s="222" t="s">
        <v>2052</v>
      </c>
      <c r="D3389" s="222" t="s">
        <v>1265</v>
      </c>
    </row>
    <row r="3390" spans="1:4" x14ac:dyDescent="0.25">
      <c r="A3390" s="222" t="s">
        <v>4109</v>
      </c>
      <c r="B3390" s="222">
        <v>537254</v>
      </c>
      <c r="C3390" s="222" t="s">
        <v>2052</v>
      </c>
      <c r="D3390" s="222" t="s">
        <v>1529</v>
      </c>
    </row>
    <row r="3391" spans="1:4" x14ac:dyDescent="0.25">
      <c r="A3391" s="222" t="s">
        <v>4108</v>
      </c>
      <c r="B3391" s="222">
        <v>534708</v>
      </c>
      <c r="C3391" s="222" t="s">
        <v>2052</v>
      </c>
      <c r="D3391" s="222" t="s">
        <v>2247</v>
      </c>
    </row>
    <row r="3392" spans="1:4" x14ac:dyDescent="0.25">
      <c r="A3392" s="222" t="s">
        <v>4107</v>
      </c>
      <c r="B3392" s="222">
        <v>533608</v>
      </c>
      <c r="C3392" s="222" t="s">
        <v>2052</v>
      </c>
      <c r="D3392" s="222" t="s">
        <v>1251</v>
      </c>
    </row>
    <row r="3393" spans="1:4" x14ac:dyDescent="0.25">
      <c r="A3393" s="222" t="s">
        <v>4106</v>
      </c>
      <c r="B3393" s="222">
        <v>533285</v>
      </c>
      <c r="C3393" s="222" t="s">
        <v>2052</v>
      </c>
      <c r="D3393" s="222" t="s">
        <v>1243</v>
      </c>
    </row>
    <row r="3394" spans="1:4" x14ac:dyDescent="0.25">
      <c r="A3394" s="222" t="s">
        <v>4105</v>
      </c>
      <c r="B3394" s="222">
        <v>539691</v>
      </c>
      <c r="C3394" s="222" t="s">
        <v>2052</v>
      </c>
      <c r="D3394" s="222" t="s">
        <v>1529</v>
      </c>
    </row>
    <row r="3395" spans="1:4" x14ac:dyDescent="0.25">
      <c r="A3395" s="222" t="s">
        <v>4104</v>
      </c>
      <c r="B3395" s="222">
        <v>530053</v>
      </c>
      <c r="C3395" s="222" t="s">
        <v>2052</v>
      </c>
      <c r="D3395" s="222" t="s">
        <v>1243</v>
      </c>
    </row>
    <row r="3396" spans="1:4" x14ac:dyDescent="0.25">
      <c r="A3396" s="222" t="s">
        <v>4103</v>
      </c>
      <c r="B3396" s="222">
        <v>513558</v>
      </c>
      <c r="C3396" s="222" t="s">
        <v>2052</v>
      </c>
      <c r="D3396" s="222" t="s">
        <v>2167</v>
      </c>
    </row>
    <row r="3397" spans="1:4" x14ac:dyDescent="0.25">
      <c r="A3397" s="222" t="s">
        <v>4102</v>
      </c>
      <c r="B3397" s="222">
        <v>538611</v>
      </c>
      <c r="C3397" s="222" t="s">
        <v>2052</v>
      </c>
      <c r="D3397" s="222" t="s">
        <v>1262</v>
      </c>
    </row>
    <row r="3398" spans="1:4" x14ac:dyDescent="0.25">
      <c r="A3398" s="222" t="s">
        <v>4101</v>
      </c>
      <c r="B3398" s="222">
        <v>532955</v>
      </c>
      <c r="C3398" s="222" t="s">
        <v>4100</v>
      </c>
      <c r="D3398" s="222" t="s">
        <v>1321</v>
      </c>
    </row>
    <row r="3399" spans="1:4" x14ac:dyDescent="0.25">
      <c r="A3399" s="222" t="s">
        <v>4099</v>
      </c>
      <c r="B3399" s="222">
        <v>523650</v>
      </c>
      <c r="C3399" s="222" t="s">
        <v>2052</v>
      </c>
      <c r="D3399" s="222" t="s">
        <v>832</v>
      </c>
    </row>
    <row r="3400" spans="1:4" x14ac:dyDescent="0.25">
      <c r="A3400" s="222" t="s">
        <v>4098</v>
      </c>
      <c r="B3400" s="222">
        <v>532805</v>
      </c>
      <c r="C3400" s="222" t="s">
        <v>4096</v>
      </c>
      <c r="D3400" s="222" t="s">
        <v>1529</v>
      </c>
    </row>
    <row r="3401" spans="1:4" x14ac:dyDescent="0.25">
      <c r="A3401" s="222" t="s">
        <v>4097</v>
      </c>
      <c r="B3401" s="222">
        <v>532805</v>
      </c>
      <c r="C3401" s="222" t="s">
        <v>4096</v>
      </c>
      <c r="D3401" s="222" t="s">
        <v>1529</v>
      </c>
    </row>
    <row r="3402" spans="1:4" x14ac:dyDescent="0.25">
      <c r="A3402" s="222" t="s">
        <v>4095</v>
      </c>
      <c r="B3402" s="222">
        <v>532884</v>
      </c>
      <c r="C3402" s="222" t="s">
        <v>4094</v>
      </c>
      <c r="D3402" s="222" t="s">
        <v>4093</v>
      </c>
    </row>
    <row r="3403" spans="1:4" x14ac:dyDescent="0.25">
      <c r="A3403" s="222" t="s">
        <v>4092</v>
      </c>
      <c r="B3403" s="222">
        <v>530815</v>
      </c>
      <c r="C3403" s="222" t="s">
        <v>2052</v>
      </c>
      <c r="D3403" s="222" t="s">
        <v>998</v>
      </c>
    </row>
    <row r="3404" spans="1:4" x14ac:dyDescent="0.25">
      <c r="A3404" s="222" t="s">
        <v>4091</v>
      </c>
      <c r="B3404" s="222">
        <v>531033</v>
      </c>
      <c r="C3404" s="222" t="s">
        <v>2052</v>
      </c>
      <c r="D3404" s="222" t="s">
        <v>1321</v>
      </c>
    </row>
    <row r="3405" spans="1:4" x14ac:dyDescent="0.25">
      <c r="A3405" s="222" t="s">
        <v>4090</v>
      </c>
      <c r="B3405" s="222">
        <v>530807</v>
      </c>
      <c r="C3405" s="222" t="s">
        <v>2052</v>
      </c>
      <c r="D3405" s="222" t="s">
        <v>1243</v>
      </c>
    </row>
    <row r="3406" spans="1:4" x14ac:dyDescent="0.25">
      <c r="A3406" s="222" t="s">
        <v>4089</v>
      </c>
      <c r="B3406" s="222">
        <v>515018</v>
      </c>
      <c r="C3406" s="222" t="s">
        <v>4088</v>
      </c>
      <c r="D3406" s="222" t="s">
        <v>2714</v>
      </c>
    </row>
    <row r="3407" spans="1:4" x14ac:dyDescent="0.25">
      <c r="A3407" s="222" t="s">
        <v>4087</v>
      </c>
      <c r="B3407" s="222">
        <v>540175</v>
      </c>
      <c r="C3407" s="222" t="s">
        <v>2052</v>
      </c>
      <c r="D3407" s="222" t="s">
        <v>1262</v>
      </c>
    </row>
    <row r="3408" spans="1:4" x14ac:dyDescent="0.25">
      <c r="A3408" s="222" t="s">
        <v>4086</v>
      </c>
      <c r="B3408" s="222">
        <v>511585</v>
      </c>
      <c r="C3408" s="222" t="s">
        <v>2052</v>
      </c>
      <c r="D3408" s="222" t="s">
        <v>1321</v>
      </c>
    </row>
    <row r="3409" spans="1:4" x14ac:dyDescent="0.25">
      <c r="A3409" s="222" t="s">
        <v>4085</v>
      </c>
      <c r="B3409" s="222">
        <v>512624</v>
      </c>
      <c r="C3409" s="222" t="s">
        <v>2052</v>
      </c>
      <c r="D3409" s="222" t="s">
        <v>1529</v>
      </c>
    </row>
    <row r="3410" spans="1:4" x14ac:dyDescent="0.25">
      <c r="A3410" s="222" t="s">
        <v>4084</v>
      </c>
      <c r="B3410" s="222">
        <v>505817</v>
      </c>
      <c r="C3410" s="222" t="s">
        <v>2052</v>
      </c>
      <c r="D3410" s="222" t="s">
        <v>1306</v>
      </c>
    </row>
    <row r="3411" spans="1:4" x14ac:dyDescent="0.25">
      <c r="A3411" s="222" t="s">
        <v>4083</v>
      </c>
      <c r="B3411" s="222">
        <v>505817</v>
      </c>
      <c r="C3411" s="222" t="s">
        <v>2052</v>
      </c>
      <c r="D3411" s="222" t="s">
        <v>1306</v>
      </c>
    </row>
    <row r="3412" spans="1:4" x14ac:dyDescent="0.25">
      <c r="A3412" s="222" t="s">
        <v>4082</v>
      </c>
      <c r="B3412" s="222">
        <v>526075</v>
      </c>
      <c r="C3412" s="222" t="s">
        <v>2052</v>
      </c>
      <c r="D3412" s="222" t="s">
        <v>789</v>
      </c>
    </row>
    <row r="3413" spans="1:4" x14ac:dyDescent="0.25">
      <c r="A3413" s="222" t="s">
        <v>4081</v>
      </c>
      <c r="B3413" s="222">
        <v>530517</v>
      </c>
      <c r="C3413" s="222" t="s">
        <v>4080</v>
      </c>
      <c r="D3413" s="222" t="s">
        <v>754</v>
      </c>
    </row>
    <row r="3414" spans="1:4" x14ac:dyDescent="0.25">
      <c r="A3414" s="222" t="s">
        <v>4079</v>
      </c>
      <c r="B3414" s="222" t="s">
        <v>2052</v>
      </c>
      <c r="C3414" s="222" t="s">
        <v>4078</v>
      </c>
      <c r="D3414" s="222" t="s">
        <v>2050</v>
      </c>
    </row>
    <row r="3415" spans="1:4" x14ac:dyDescent="0.25">
      <c r="A3415" s="222" t="s">
        <v>4077</v>
      </c>
      <c r="B3415" s="222">
        <v>532124</v>
      </c>
      <c r="C3415" s="222" t="s">
        <v>2052</v>
      </c>
      <c r="D3415" s="222" t="s">
        <v>2128</v>
      </c>
    </row>
    <row r="3416" spans="1:4" x14ac:dyDescent="0.25">
      <c r="A3416" s="222" t="s">
        <v>4076</v>
      </c>
      <c r="B3416" s="222">
        <v>532124</v>
      </c>
      <c r="C3416" s="222" t="s">
        <v>2052</v>
      </c>
      <c r="D3416" s="222" t="s">
        <v>2128</v>
      </c>
    </row>
    <row r="3417" spans="1:4" x14ac:dyDescent="0.25">
      <c r="A3417" s="222" t="s">
        <v>4075</v>
      </c>
      <c r="B3417" s="222">
        <v>500111</v>
      </c>
      <c r="C3417" s="222" t="s">
        <v>4074</v>
      </c>
      <c r="D3417" s="222" t="s">
        <v>1321</v>
      </c>
    </row>
    <row r="3418" spans="1:4" x14ac:dyDescent="0.25">
      <c r="A3418" s="222" t="s">
        <v>4073</v>
      </c>
      <c r="B3418" s="222">
        <v>503162</v>
      </c>
      <c r="C3418" s="222" t="s">
        <v>2052</v>
      </c>
      <c r="D3418" s="222" t="s">
        <v>1237</v>
      </c>
    </row>
    <row r="3419" spans="1:4" x14ac:dyDescent="0.25">
      <c r="A3419" s="222" t="s">
        <v>4072</v>
      </c>
      <c r="B3419" s="222">
        <v>532712</v>
      </c>
      <c r="C3419" s="222" t="s">
        <v>4071</v>
      </c>
      <c r="D3419" s="222" t="s">
        <v>2241</v>
      </c>
    </row>
    <row r="3420" spans="1:4" x14ac:dyDescent="0.25">
      <c r="A3420" s="222" t="s">
        <v>4070</v>
      </c>
      <c r="B3420" s="222">
        <v>590106</v>
      </c>
      <c r="C3420" s="222" t="s">
        <v>4069</v>
      </c>
      <c r="D3420" s="222" t="s">
        <v>1262</v>
      </c>
    </row>
    <row r="3421" spans="1:4" x14ac:dyDescent="0.25">
      <c r="A3421" s="222" t="s">
        <v>4068</v>
      </c>
      <c r="B3421" s="222">
        <v>590095</v>
      </c>
      <c r="C3421" s="222" t="s">
        <v>4067</v>
      </c>
      <c r="D3421" s="222" t="s">
        <v>1262</v>
      </c>
    </row>
    <row r="3422" spans="1:4" x14ac:dyDescent="0.25">
      <c r="A3422" s="222" t="s">
        <v>4066</v>
      </c>
      <c r="B3422" s="222">
        <v>590113</v>
      </c>
      <c r="C3422" s="222" t="s">
        <v>4065</v>
      </c>
      <c r="D3422" s="222" t="s">
        <v>1262</v>
      </c>
    </row>
    <row r="3423" spans="1:4" x14ac:dyDescent="0.25">
      <c r="A3423" s="222" t="s">
        <v>4064</v>
      </c>
      <c r="B3423" s="222">
        <v>590104</v>
      </c>
      <c r="C3423" s="222" t="s">
        <v>4063</v>
      </c>
      <c r="D3423" s="222" t="s">
        <v>1262</v>
      </c>
    </row>
    <row r="3424" spans="1:4" x14ac:dyDescent="0.25">
      <c r="A3424" s="222" t="s">
        <v>4062</v>
      </c>
      <c r="B3424" s="222">
        <v>590103</v>
      </c>
      <c r="C3424" s="222" t="s">
        <v>4061</v>
      </c>
      <c r="D3424" s="222" t="s">
        <v>1262</v>
      </c>
    </row>
    <row r="3425" spans="1:4" x14ac:dyDescent="0.25">
      <c r="A3425" s="222" t="s">
        <v>4060</v>
      </c>
      <c r="B3425" s="222">
        <v>590108</v>
      </c>
      <c r="C3425" s="222" t="s">
        <v>4059</v>
      </c>
      <c r="D3425" s="222" t="s">
        <v>1262</v>
      </c>
    </row>
    <row r="3426" spans="1:4" x14ac:dyDescent="0.25">
      <c r="A3426" s="222" t="s">
        <v>4058</v>
      </c>
      <c r="B3426" s="222">
        <v>590109</v>
      </c>
      <c r="C3426" s="222" t="s">
        <v>4057</v>
      </c>
      <c r="D3426" s="222" t="s">
        <v>1262</v>
      </c>
    </row>
    <row r="3427" spans="1:4" x14ac:dyDescent="0.25">
      <c r="A3427" s="222" t="s">
        <v>4056</v>
      </c>
      <c r="B3427" s="222">
        <v>540709</v>
      </c>
      <c r="C3427" s="222" t="s">
        <v>4055</v>
      </c>
      <c r="D3427" s="222" t="s">
        <v>2520</v>
      </c>
    </row>
    <row r="3428" spans="1:4" x14ac:dyDescent="0.25">
      <c r="A3428" s="222" t="s">
        <v>4054</v>
      </c>
      <c r="B3428" s="222">
        <v>523445</v>
      </c>
      <c r="C3428" s="222" t="s">
        <v>4053</v>
      </c>
      <c r="D3428" s="222" t="s">
        <v>1248</v>
      </c>
    </row>
    <row r="3429" spans="1:4" x14ac:dyDescent="0.25">
      <c r="A3429" s="222" t="s">
        <v>4052</v>
      </c>
      <c r="B3429" s="222">
        <v>500325</v>
      </c>
      <c r="C3429" s="222" t="s">
        <v>4051</v>
      </c>
      <c r="D3429" s="222" t="s">
        <v>4050</v>
      </c>
    </row>
    <row r="3430" spans="1:4" x14ac:dyDescent="0.25">
      <c r="A3430" s="222" t="s">
        <v>4049</v>
      </c>
      <c r="B3430" s="222">
        <v>500390</v>
      </c>
      <c r="C3430" s="222" t="s">
        <v>4048</v>
      </c>
      <c r="D3430" s="222" t="s">
        <v>2380</v>
      </c>
    </row>
    <row r="3431" spans="1:4" x14ac:dyDescent="0.25">
      <c r="A3431" s="222" t="s">
        <v>4047</v>
      </c>
      <c r="B3431" s="222">
        <v>533107</v>
      </c>
      <c r="C3431" s="222" t="s">
        <v>4046</v>
      </c>
      <c r="D3431" s="222" t="s">
        <v>1257</v>
      </c>
    </row>
    <row r="3432" spans="1:4" x14ac:dyDescent="0.25">
      <c r="A3432" s="222" t="s">
        <v>4045</v>
      </c>
      <c r="B3432" s="222">
        <v>540767</v>
      </c>
      <c r="C3432" s="222" t="s">
        <v>4044</v>
      </c>
      <c r="D3432" s="222" t="s">
        <v>1254</v>
      </c>
    </row>
    <row r="3433" spans="1:4" x14ac:dyDescent="0.25">
      <c r="A3433" s="222" t="s">
        <v>4043</v>
      </c>
      <c r="B3433" s="222">
        <v>532939</v>
      </c>
      <c r="C3433" s="222" t="s">
        <v>4042</v>
      </c>
      <c r="D3433" s="222" t="s">
        <v>2380</v>
      </c>
    </row>
    <row r="3434" spans="1:4" x14ac:dyDescent="0.25">
      <c r="A3434" s="222" t="s">
        <v>4041</v>
      </c>
      <c r="B3434" s="222">
        <v>511712</v>
      </c>
      <c r="C3434" s="222" t="s">
        <v>2052</v>
      </c>
      <c r="D3434" s="222" t="s">
        <v>1262</v>
      </c>
    </row>
    <row r="3435" spans="1:4" x14ac:dyDescent="0.25">
      <c r="A3435" s="222" t="s">
        <v>4040</v>
      </c>
      <c r="B3435" s="222">
        <v>539760</v>
      </c>
      <c r="C3435" s="222" t="s">
        <v>2052</v>
      </c>
      <c r="D3435" s="222" t="s">
        <v>1275</v>
      </c>
    </row>
    <row r="3436" spans="1:4" x14ac:dyDescent="0.25">
      <c r="A3436" s="222" t="s">
        <v>4039</v>
      </c>
      <c r="B3436" s="222">
        <v>532915</v>
      </c>
      <c r="C3436" s="222" t="s">
        <v>4038</v>
      </c>
      <c r="D3436" s="222" t="s">
        <v>1262</v>
      </c>
    </row>
    <row r="3437" spans="1:4" x14ac:dyDescent="0.25">
      <c r="A3437" s="222" t="s">
        <v>4037</v>
      </c>
      <c r="B3437" s="222">
        <v>540426</v>
      </c>
      <c r="C3437" s="222" t="s">
        <v>2052</v>
      </c>
      <c r="D3437" s="222" t="s">
        <v>1243</v>
      </c>
    </row>
    <row r="3438" spans="1:4" x14ac:dyDescent="0.25">
      <c r="A3438" s="222" t="s">
        <v>4036</v>
      </c>
      <c r="B3438" s="222">
        <v>513043</v>
      </c>
      <c r="C3438" s="222" t="s">
        <v>2052</v>
      </c>
      <c r="D3438" s="222" t="s">
        <v>740</v>
      </c>
    </row>
    <row r="3439" spans="1:4" x14ac:dyDescent="0.25">
      <c r="A3439" s="222" t="s">
        <v>4035</v>
      </c>
      <c r="B3439" s="222">
        <v>512487</v>
      </c>
      <c r="C3439" s="222" t="s">
        <v>2052</v>
      </c>
      <c r="D3439" s="222" t="s">
        <v>1529</v>
      </c>
    </row>
    <row r="3440" spans="1:4" x14ac:dyDescent="0.25">
      <c r="A3440" s="222" t="s">
        <v>4034</v>
      </c>
      <c r="B3440" s="222">
        <v>505658</v>
      </c>
      <c r="C3440" s="222" t="s">
        <v>2052</v>
      </c>
      <c r="D3440" s="222" t="s">
        <v>832</v>
      </c>
    </row>
    <row r="3441" spans="1:4" x14ac:dyDescent="0.25">
      <c r="A3441" s="222" t="s">
        <v>4033</v>
      </c>
      <c r="B3441" s="222">
        <v>504360</v>
      </c>
      <c r="C3441" s="222" t="s">
        <v>2052</v>
      </c>
      <c r="D3441" s="222" t="s">
        <v>1529</v>
      </c>
    </row>
    <row r="3442" spans="1:4" x14ac:dyDescent="0.25">
      <c r="A3442" s="222" t="s">
        <v>4032</v>
      </c>
      <c r="B3442" s="222">
        <v>511149</v>
      </c>
      <c r="C3442" s="222" t="s">
        <v>2052</v>
      </c>
      <c r="D3442" s="222" t="s">
        <v>2068</v>
      </c>
    </row>
    <row r="3443" spans="1:4" x14ac:dyDescent="0.25">
      <c r="A3443" s="222" t="s">
        <v>4031</v>
      </c>
      <c r="B3443" s="222">
        <v>530919</v>
      </c>
      <c r="C3443" s="222" t="s">
        <v>4030</v>
      </c>
      <c r="D3443" s="222" t="s">
        <v>4027</v>
      </c>
    </row>
    <row r="3444" spans="1:4" x14ac:dyDescent="0.25">
      <c r="A3444" s="222" t="s">
        <v>4029</v>
      </c>
      <c r="B3444" s="222" t="s">
        <v>2052</v>
      </c>
      <c r="C3444" s="222" t="s">
        <v>4028</v>
      </c>
      <c r="D3444" s="222" t="s">
        <v>4027</v>
      </c>
    </row>
    <row r="3445" spans="1:4" x14ac:dyDescent="0.25">
      <c r="A3445" s="222" t="s">
        <v>4026</v>
      </c>
      <c r="B3445" s="222">
        <v>532923</v>
      </c>
      <c r="C3445" s="222" t="s">
        <v>4025</v>
      </c>
      <c r="D3445" s="222" t="s">
        <v>1364</v>
      </c>
    </row>
    <row r="3446" spans="1:4" x14ac:dyDescent="0.25">
      <c r="A3446" s="222" t="s">
        <v>4024</v>
      </c>
      <c r="B3446" s="222">
        <v>535322</v>
      </c>
      <c r="C3446" s="222" t="s">
        <v>4023</v>
      </c>
      <c r="D3446" s="222" t="s">
        <v>2520</v>
      </c>
    </row>
    <row r="3447" spans="1:4" x14ac:dyDescent="0.25">
      <c r="A3447" s="222" t="s">
        <v>4022</v>
      </c>
      <c r="B3447" s="222">
        <v>532687</v>
      </c>
      <c r="C3447" s="222" t="s">
        <v>4020</v>
      </c>
      <c r="D3447" s="222" t="s">
        <v>2542</v>
      </c>
    </row>
    <row r="3448" spans="1:4" x14ac:dyDescent="0.25">
      <c r="A3448" s="222" t="s">
        <v>4021</v>
      </c>
      <c r="B3448" s="222">
        <v>532687</v>
      </c>
      <c r="C3448" s="222" t="s">
        <v>4020</v>
      </c>
      <c r="D3448" s="222" t="s">
        <v>2542</v>
      </c>
    </row>
    <row r="3449" spans="1:4" x14ac:dyDescent="0.25">
      <c r="A3449" s="222" t="s">
        <v>4019</v>
      </c>
      <c r="B3449" s="222">
        <v>524218</v>
      </c>
      <c r="C3449" s="222" t="s">
        <v>2052</v>
      </c>
      <c r="D3449" s="222" t="s">
        <v>789</v>
      </c>
    </row>
    <row r="3450" spans="1:4" x14ac:dyDescent="0.25">
      <c r="A3450" s="222" t="s">
        <v>4018</v>
      </c>
      <c r="B3450" s="222">
        <v>505509</v>
      </c>
      <c r="C3450" s="222" t="s">
        <v>4017</v>
      </c>
      <c r="D3450" s="222" t="s">
        <v>1251</v>
      </c>
    </row>
    <row r="3451" spans="1:4" x14ac:dyDescent="0.25">
      <c r="A3451" s="222" t="s">
        <v>4016</v>
      </c>
      <c r="B3451" s="222">
        <v>515085</v>
      </c>
      <c r="C3451" s="222" t="s">
        <v>2052</v>
      </c>
      <c r="D3451" s="222" t="s">
        <v>2714</v>
      </c>
    </row>
    <row r="3452" spans="1:4" x14ac:dyDescent="0.25">
      <c r="A3452" s="222" t="s">
        <v>4015</v>
      </c>
      <c r="B3452" s="222">
        <v>519191</v>
      </c>
      <c r="C3452" s="222" t="s">
        <v>4014</v>
      </c>
      <c r="D3452" s="222" t="s">
        <v>4013</v>
      </c>
    </row>
    <row r="3453" spans="1:4" x14ac:dyDescent="0.25">
      <c r="A3453" s="222" t="s">
        <v>4012</v>
      </c>
      <c r="B3453" s="222">
        <v>505368</v>
      </c>
      <c r="C3453" s="222" t="s">
        <v>4011</v>
      </c>
      <c r="D3453" s="222" t="s">
        <v>832</v>
      </c>
    </row>
    <row r="3454" spans="1:4" x14ac:dyDescent="0.25">
      <c r="A3454" s="222" t="s">
        <v>4010</v>
      </c>
      <c r="B3454" s="222">
        <v>531888</v>
      </c>
      <c r="C3454" s="222" t="s">
        <v>2052</v>
      </c>
      <c r="D3454" s="222" t="s">
        <v>832</v>
      </c>
    </row>
    <row r="3455" spans="1:4" x14ac:dyDescent="0.25">
      <c r="A3455" s="222" t="s">
        <v>4009</v>
      </c>
      <c r="B3455" s="222">
        <v>539669</v>
      </c>
      <c r="C3455" s="222" t="s">
        <v>2052</v>
      </c>
      <c r="D3455" s="222" t="s">
        <v>1321</v>
      </c>
    </row>
    <row r="3456" spans="1:4" x14ac:dyDescent="0.25">
      <c r="A3456" s="222" t="s">
        <v>4008</v>
      </c>
      <c r="B3456" s="222">
        <v>531952</v>
      </c>
      <c r="C3456" s="222" t="s">
        <v>2052</v>
      </c>
      <c r="D3456" s="222" t="s">
        <v>1237</v>
      </c>
    </row>
    <row r="3457" spans="1:4" x14ac:dyDescent="0.25">
      <c r="A3457" s="222" t="s">
        <v>4007</v>
      </c>
      <c r="B3457" s="222">
        <v>530271</v>
      </c>
      <c r="C3457" s="222" t="s">
        <v>2052</v>
      </c>
      <c r="D3457" s="222" t="s">
        <v>1321</v>
      </c>
    </row>
    <row r="3458" spans="1:4" x14ac:dyDescent="0.25">
      <c r="A3458" s="222" t="s">
        <v>4006</v>
      </c>
      <c r="B3458" s="222">
        <v>532766</v>
      </c>
      <c r="C3458" s="222" t="s">
        <v>2052</v>
      </c>
      <c r="D3458" s="222" t="s">
        <v>1248</v>
      </c>
    </row>
    <row r="3459" spans="1:4" x14ac:dyDescent="0.25">
      <c r="A3459" s="222" t="s">
        <v>4005</v>
      </c>
      <c r="B3459" s="222">
        <v>539435</v>
      </c>
      <c r="C3459" s="222" t="s">
        <v>2052</v>
      </c>
      <c r="D3459" s="222" t="s">
        <v>1262</v>
      </c>
    </row>
    <row r="3460" spans="1:4" x14ac:dyDescent="0.25">
      <c r="A3460" s="222" t="s">
        <v>4004</v>
      </c>
      <c r="B3460" s="222">
        <v>519230</v>
      </c>
      <c r="C3460" s="222" t="s">
        <v>2052</v>
      </c>
      <c r="D3460" s="222" t="s">
        <v>1529</v>
      </c>
    </row>
    <row r="3461" spans="1:4" x14ac:dyDescent="0.25">
      <c r="A3461" s="222" t="s">
        <v>4003</v>
      </c>
      <c r="B3461" s="222">
        <v>520008</v>
      </c>
      <c r="C3461" s="222" t="s">
        <v>4002</v>
      </c>
      <c r="D3461" s="222" t="s">
        <v>1306</v>
      </c>
    </row>
    <row r="3462" spans="1:4" x14ac:dyDescent="0.25">
      <c r="A3462" s="222" t="s">
        <v>4001</v>
      </c>
      <c r="B3462" s="222">
        <v>540590</v>
      </c>
      <c r="C3462" s="222" t="s">
        <v>2052</v>
      </c>
      <c r="D3462" s="222" t="s">
        <v>2120</v>
      </c>
    </row>
    <row r="3463" spans="1:4" x14ac:dyDescent="0.25">
      <c r="A3463" s="222" t="s">
        <v>4000</v>
      </c>
      <c r="B3463" s="222">
        <v>524480</v>
      </c>
      <c r="C3463" s="222" t="s">
        <v>2052</v>
      </c>
      <c r="D3463" s="222" t="s">
        <v>998</v>
      </c>
    </row>
    <row r="3464" spans="1:4" x14ac:dyDescent="0.25">
      <c r="A3464" s="222" t="s">
        <v>3999</v>
      </c>
      <c r="B3464" s="222">
        <v>540082</v>
      </c>
      <c r="C3464" s="222" t="s">
        <v>2052</v>
      </c>
      <c r="D3464" s="222" t="s">
        <v>740</v>
      </c>
    </row>
    <row r="3465" spans="1:4" x14ac:dyDescent="0.25">
      <c r="A3465" s="222" t="s">
        <v>3998</v>
      </c>
      <c r="B3465" s="222">
        <v>504365</v>
      </c>
      <c r="C3465" s="222" t="s">
        <v>2052</v>
      </c>
      <c r="D3465" s="222" t="s">
        <v>1262</v>
      </c>
    </row>
    <row r="3466" spans="1:4" x14ac:dyDescent="0.25">
      <c r="A3466" s="222" t="s">
        <v>3997</v>
      </c>
      <c r="B3466" s="222">
        <v>541151</v>
      </c>
      <c r="C3466" s="222" t="s">
        <v>2052</v>
      </c>
      <c r="D3466" s="222" t="s">
        <v>911</v>
      </c>
    </row>
    <row r="3467" spans="1:4" x14ac:dyDescent="0.25">
      <c r="A3467" s="222" t="s">
        <v>3996</v>
      </c>
      <c r="B3467" s="222">
        <v>541151</v>
      </c>
      <c r="C3467" s="222" t="s">
        <v>2052</v>
      </c>
      <c r="D3467" s="222" t="s">
        <v>911</v>
      </c>
    </row>
    <row r="3468" spans="1:4" x14ac:dyDescent="0.25">
      <c r="A3468" s="222" t="s">
        <v>3995</v>
      </c>
      <c r="B3468" s="222">
        <v>507508</v>
      </c>
      <c r="C3468" s="222" t="s">
        <v>2052</v>
      </c>
      <c r="D3468" s="222" t="s">
        <v>1124</v>
      </c>
    </row>
    <row r="3469" spans="1:4" x14ac:dyDescent="0.25">
      <c r="A3469" s="222" t="s">
        <v>3994</v>
      </c>
      <c r="B3469" s="222">
        <v>530251</v>
      </c>
      <c r="C3469" s="222" t="s">
        <v>2052</v>
      </c>
      <c r="D3469" s="222" t="s">
        <v>1529</v>
      </c>
    </row>
    <row r="3470" spans="1:4" x14ac:dyDescent="0.25">
      <c r="A3470" s="222" t="s">
        <v>3993</v>
      </c>
      <c r="B3470" s="222">
        <v>514177</v>
      </c>
      <c r="C3470" s="222" t="s">
        <v>2052</v>
      </c>
      <c r="D3470" s="222" t="s">
        <v>1237</v>
      </c>
    </row>
    <row r="3471" spans="1:4" x14ac:dyDescent="0.25">
      <c r="A3471" s="222" t="s">
        <v>3992</v>
      </c>
      <c r="B3471" s="222">
        <v>531539</v>
      </c>
      <c r="C3471" s="222" t="s">
        <v>2052</v>
      </c>
      <c r="D3471" s="222" t="s">
        <v>2167</v>
      </c>
    </row>
    <row r="3472" spans="1:4" x14ac:dyDescent="0.25">
      <c r="A3472" s="222" t="s">
        <v>3991</v>
      </c>
      <c r="B3472" s="222">
        <v>526861</v>
      </c>
      <c r="C3472" s="222" t="s">
        <v>2052</v>
      </c>
      <c r="D3472" s="222" t="s">
        <v>832</v>
      </c>
    </row>
    <row r="3473" spans="1:4" x14ac:dyDescent="0.25">
      <c r="A3473" s="222" t="s">
        <v>3990</v>
      </c>
      <c r="B3473" s="222">
        <v>523021</v>
      </c>
      <c r="C3473" s="222" t="s">
        <v>2052</v>
      </c>
      <c r="D3473" s="222" t="s">
        <v>1447</v>
      </c>
    </row>
    <row r="3474" spans="1:4" x14ac:dyDescent="0.25">
      <c r="A3474" s="222" t="s">
        <v>3989</v>
      </c>
      <c r="B3474" s="222">
        <v>526492</v>
      </c>
      <c r="C3474" s="222" t="s">
        <v>2052</v>
      </c>
      <c r="D3474" s="222" t="s">
        <v>1313</v>
      </c>
    </row>
    <row r="3475" spans="1:4" x14ac:dyDescent="0.25">
      <c r="A3475" s="222" t="s">
        <v>3988</v>
      </c>
      <c r="B3475" s="222">
        <v>542383</v>
      </c>
      <c r="C3475" s="222" t="s">
        <v>3987</v>
      </c>
      <c r="D3475" s="222" t="s">
        <v>1329</v>
      </c>
    </row>
    <row r="3476" spans="1:4" x14ac:dyDescent="0.25">
      <c r="A3476" s="222" t="s">
        <v>3986</v>
      </c>
      <c r="B3476" s="222">
        <v>541556</v>
      </c>
      <c r="C3476" s="222" t="s">
        <v>3985</v>
      </c>
      <c r="D3476" s="222" t="s">
        <v>1248</v>
      </c>
    </row>
    <row r="3477" spans="1:4" x14ac:dyDescent="0.25">
      <c r="A3477" s="222" t="s">
        <v>3984</v>
      </c>
      <c r="B3477" s="222">
        <v>519097</v>
      </c>
      <c r="C3477" s="222" t="s">
        <v>2052</v>
      </c>
      <c r="D3477" s="222" t="s">
        <v>998</v>
      </c>
    </row>
    <row r="3478" spans="1:4" x14ac:dyDescent="0.25">
      <c r="A3478" s="222" t="s">
        <v>3983</v>
      </c>
      <c r="B3478" s="222">
        <v>526407</v>
      </c>
      <c r="C3478" s="222" t="s">
        <v>2052</v>
      </c>
      <c r="D3478" s="222" t="s">
        <v>1364</v>
      </c>
    </row>
    <row r="3479" spans="1:4" x14ac:dyDescent="0.25">
      <c r="A3479" s="222" t="s">
        <v>3982</v>
      </c>
      <c r="B3479" s="222">
        <v>540843</v>
      </c>
      <c r="C3479" s="222" t="s">
        <v>2052</v>
      </c>
      <c r="D3479" s="222" t="s">
        <v>2870</v>
      </c>
    </row>
    <row r="3480" spans="1:4" x14ac:dyDescent="0.25">
      <c r="A3480" s="222" t="s">
        <v>3981</v>
      </c>
      <c r="B3480" s="222" t="s">
        <v>2052</v>
      </c>
      <c r="C3480" s="222" t="s">
        <v>3980</v>
      </c>
      <c r="D3480" s="222" t="s">
        <v>2050</v>
      </c>
    </row>
    <row r="3481" spans="1:4" x14ac:dyDescent="0.25">
      <c r="A3481" s="222" t="s">
        <v>3979</v>
      </c>
      <c r="B3481" s="222">
        <v>512618</v>
      </c>
      <c r="C3481" s="222" t="s">
        <v>2052</v>
      </c>
      <c r="D3481" s="222" t="s">
        <v>1237</v>
      </c>
    </row>
    <row r="3482" spans="1:4" x14ac:dyDescent="0.25">
      <c r="A3482" s="222" t="s">
        <v>3978</v>
      </c>
      <c r="B3482" s="222">
        <v>540358</v>
      </c>
      <c r="C3482" s="222" t="s">
        <v>2052</v>
      </c>
      <c r="D3482" s="222" t="s">
        <v>1275</v>
      </c>
    </row>
    <row r="3483" spans="1:4" x14ac:dyDescent="0.25">
      <c r="A3483" s="222" t="s">
        <v>3977</v>
      </c>
      <c r="B3483" s="222">
        <v>500365</v>
      </c>
      <c r="C3483" s="222" t="s">
        <v>2052</v>
      </c>
      <c r="D3483" s="222" t="s">
        <v>2167</v>
      </c>
    </row>
    <row r="3484" spans="1:4" x14ac:dyDescent="0.25">
      <c r="A3484" s="222" t="s">
        <v>3976</v>
      </c>
      <c r="B3484" s="222">
        <v>531447</v>
      </c>
      <c r="C3484" s="222" t="s">
        <v>2052</v>
      </c>
      <c r="D3484" s="222" t="s">
        <v>1529</v>
      </c>
    </row>
    <row r="3485" spans="1:4" x14ac:dyDescent="0.25">
      <c r="A3485" s="222" t="s">
        <v>3975</v>
      </c>
      <c r="B3485" s="222">
        <v>531822</v>
      </c>
      <c r="C3485" s="222" t="s">
        <v>2052</v>
      </c>
      <c r="D3485" s="222" t="s">
        <v>1243</v>
      </c>
    </row>
    <row r="3486" spans="1:4" x14ac:dyDescent="0.25">
      <c r="A3486" s="222" t="s">
        <v>3974</v>
      </c>
      <c r="B3486" s="222">
        <v>532731</v>
      </c>
      <c r="C3486" s="222" t="s">
        <v>3973</v>
      </c>
      <c r="D3486" s="222" t="s">
        <v>2167</v>
      </c>
    </row>
    <row r="3487" spans="1:4" x14ac:dyDescent="0.25">
      <c r="A3487" s="222" t="s">
        <v>3972</v>
      </c>
      <c r="B3487" s="222">
        <v>505807</v>
      </c>
      <c r="C3487" s="222" t="s">
        <v>2052</v>
      </c>
      <c r="D3487" s="222" t="s">
        <v>1313</v>
      </c>
    </row>
    <row r="3488" spans="1:4" x14ac:dyDescent="0.25">
      <c r="A3488" s="222" t="s">
        <v>3971</v>
      </c>
      <c r="B3488" s="222">
        <v>502448</v>
      </c>
      <c r="C3488" s="222" t="s">
        <v>3970</v>
      </c>
      <c r="D3488" s="222" t="s">
        <v>1447</v>
      </c>
    </row>
    <row r="3489" spans="1:4" x14ac:dyDescent="0.25">
      <c r="A3489" s="222" t="s">
        <v>3969</v>
      </c>
      <c r="B3489" s="222">
        <v>500366</v>
      </c>
      <c r="C3489" s="222" t="s">
        <v>3967</v>
      </c>
      <c r="D3489" s="222" t="s">
        <v>1278</v>
      </c>
    </row>
    <row r="3490" spans="1:4" x14ac:dyDescent="0.25">
      <c r="A3490" s="222" t="s">
        <v>3968</v>
      </c>
      <c r="B3490" s="222">
        <v>500366</v>
      </c>
      <c r="C3490" s="222" t="s">
        <v>3967</v>
      </c>
      <c r="D3490" s="222" t="s">
        <v>1278</v>
      </c>
    </row>
    <row r="3491" spans="1:4" x14ac:dyDescent="0.25">
      <c r="A3491" s="222" t="s">
        <v>3966</v>
      </c>
      <c r="B3491" s="222">
        <v>542145</v>
      </c>
      <c r="C3491" s="222" t="s">
        <v>2052</v>
      </c>
      <c r="D3491" s="222" t="s">
        <v>1529</v>
      </c>
    </row>
    <row r="3492" spans="1:4" x14ac:dyDescent="0.25">
      <c r="A3492" s="222" t="s">
        <v>3965</v>
      </c>
      <c r="B3492" s="222">
        <v>530991</v>
      </c>
      <c r="C3492" s="222" t="s">
        <v>2052</v>
      </c>
      <c r="D3492" s="222" t="s">
        <v>789</v>
      </c>
    </row>
    <row r="3493" spans="1:4" x14ac:dyDescent="0.25">
      <c r="A3493" s="222" t="s">
        <v>3964</v>
      </c>
      <c r="B3493" s="222">
        <v>542599</v>
      </c>
      <c r="C3493" s="222" t="s">
        <v>3963</v>
      </c>
      <c r="D3493" s="222" t="s">
        <v>2128</v>
      </c>
    </row>
    <row r="3494" spans="1:4" x14ac:dyDescent="0.25">
      <c r="A3494" s="222" t="s">
        <v>3962</v>
      </c>
      <c r="B3494" s="222">
        <v>531324</v>
      </c>
      <c r="C3494" s="222" t="s">
        <v>2052</v>
      </c>
      <c r="D3494" s="222" t="s">
        <v>1262</v>
      </c>
    </row>
    <row r="3495" spans="1:4" x14ac:dyDescent="0.25">
      <c r="A3495" s="222" t="s">
        <v>3961</v>
      </c>
      <c r="B3495" s="222">
        <v>533168</v>
      </c>
      <c r="C3495" s="222" t="s">
        <v>3959</v>
      </c>
      <c r="D3495" s="222" t="s">
        <v>1400</v>
      </c>
    </row>
    <row r="3496" spans="1:4" x14ac:dyDescent="0.25">
      <c r="A3496" s="222" t="s">
        <v>3960</v>
      </c>
      <c r="B3496" s="222">
        <v>533168</v>
      </c>
      <c r="C3496" s="222" t="s">
        <v>3959</v>
      </c>
      <c r="D3496" s="222" t="s">
        <v>1400</v>
      </c>
    </row>
    <row r="3497" spans="1:4" x14ac:dyDescent="0.25">
      <c r="A3497" s="222" t="s">
        <v>3958</v>
      </c>
      <c r="B3497" s="222">
        <v>517500</v>
      </c>
      <c r="C3497" s="222" t="s">
        <v>2052</v>
      </c>
      <c r="D3497" s="222" t="s">
        <v>832</v>
      </c>
    </row>
    <row r="3498" spans="1:4" x14ac:dyDescent="0.25">
      <c r="A3498" s="222" t="s">
        <v>3957</v>
      </c>
      <c r="B3498" s="222">
        <v>539922</v>
      </c>
      <c r="C3498" s="222" t="s">
        <v>2052</v>
      </c>
      <c r="D3498" s="222" t="s">
        <v>1529</v>
      </c>
    </row>
    <row r="3499" spans="1:4" x14ac:dyDescent="0.25">
      <c r="A3499" s="222" t="s">
        <v>3956</v>
      </c>
      <c r="B3499" s="222">
        <v>539922</v>
      </c>
      <c r="C3499" s="222" t="s">
        <v>2052</v>
      </c>
      <c r="D3499" s="222" t="s">
        <v>1529</v>
      </c>
    </row>
    <row r="3500" spans="1:4" x14ac:dyDescent="0.25">
      <c r="A3500" s="222" t="s">
        <v>3955</v>
      </c>
      <c r="B3500" s="222">
        <v>526193</v>
      </c>
      <c r="C3500" s="222" t="s">
        <v>2052</v>
      </c>
      <c r="D3500" s="222" t="s">
        <v>2714</v>
      </c>
    </row>
    <row r="3501" spans="1:4" x14ac:dyDescent="0.25">
      <c r="A3501" s="222" t="s">
        <v>3954</v>
      </c>
      <c r="B3501" s="222">
        <v>512047</v>
      </c>
      <c r="C3501" s="222" t="s">
        <v>2052</v>
      </c>
      <c r="D3501" s="222" t="s">
        <v>1364</v>
      </c>
    </row>
    <row r="3502" spans="1:4" x14ac:dyDescent="0.25">
      <c r="A3502" s="222" t="s">
        <v>3953</v>
      </c>
      <c r="B3502" s="222">
        <v>532699</v>
      </c>
      <c r="C3502" s="222" t="s">
        <v>3952</v>
      </c>
      <c r="D3502" s="222" t="s">
        <v>2128</v>
      </c>
    </row>
    <row r="3503" spans="1:4" x14ac:dyDescent="0.25">
      <c r="A3503" s="222" t="s">
        <v>3951</v>
      </c>
      <c r="B3503" s="222">
        <v>526640</v>
      </c>
      <c r="C3503" s="222" t="s">
        <v>2052</v>
      </c>
      <c r="D3503" s="222" t="s">
        <v>2128</v>
      </c>
    </row>
    <row r="3504" spans="1:4" x14ac:dyDescent="0.25">
      <c r="A3504" s="222" t="s">
        <v>3950</v>
      </c>
      <c r="B3504" s="222">
        <v>532983</v>
      </c>
      <c r="C3504" s="222" t="s">
        <v>3949</v>
      </c>
      <c r="D3504" s="222" t="s">
        <v>789</v>
      </c>
    </row>
    <row r="3505" spans="1:4" x14ac:dyDescent="0.25">
      <c r="A3505" s="222" t="s">
        <v>3948</v>
      </c>
      <c r="B3505" s="222">
        <v>511626</v>
      </c>
      <c r="C3505" s="222" t="s">
        <v>2052</v>
      </c>
      <c r="D3505" s="222" t="s">
        <v>1321</v>
      </c>
    </row>
    <row r="3506" spans="1:4" x14ac:dyDescent="0.25">
      <c r="A3506" s="222" t="s">
        <v>3947</v>
      </c>
      <c r="B3506" s="222">
        <v>530179</v>
      </c>
      <c r="C3506" s="222" t="s">
        <v>2052</v>
      </c>
      <c r="D3506" s="222" t="s">
        <v>1237</v>
      </c>
    </row>
    <row r="3507" spans="1:4" x14ac:dyDescent="0.25">
      <c r="A3507" s="222" t="s">
        <v>3946</v>
      </c>
      <c r="B3507" s="222">
        <v>539875</v>
      </c>
      <c r="C3507" s="222" t="s">
        <v>2052</v>
      </c>
      <c r="D3507" s="222" t="s">
        <v>2108</v>
      </c>
    </row>
    <row r="3508" spans="1:4" x14ac:dyDescent="0.25">
      <c r="A3508" s="222" t="s">
        <v>3945</v>
      </c>
      <c r="B3508" s="222">
        <v>500350</v>
      </c>
      <c r="C3508" s="222" t="s">
        <v>3944</v>
      </c>
      <c r="D3508" s="222" t="s">
        <v>1237</v>
      </c>
    </row>
    <row r="3509" spans="1:4" x14ac:dyDescent="0.25">
      <c r="A3509" s="222" t="s">
        <v>3943</v>
      </c>
      <c r="B3509" s="222">
        <v>531215</v>
      </c>
      <c r="C3509" s="222" t="s">
        <v>2052</v>
      </c>
      <c r="D3509" s="222" t="s">
        <v>1275</v>
      </c>
    </row>
    <row r="3510" spans="1:4" x14ac:dyDescent="0.25">
      <c r="A3510" s="222" t="s">
        <v>3942</v>
      </c>
      <c r="B3510" s="222">
        <v>500367</v>
      </c>
      <c r="C3510" s="222" t="s">
        <v>2052</v>
      </c>
      <c r="D3510" s="222" t="s">
        <v>1410</v>
      </c>
    </row>
    <row r="3511" spans="1:4" x14ac:dyDescent="0.25">
      <c r="A3511" s="222" t="s">
        <v>3941</v>
      </c>
      <c r="B3511" s="222">
        <v>531099</v>
      </c>
      <c r="C3511" s="222" t="s">
        <v>2052</v>
      </c>
      <c r="D3511" s="222" t="s">
        <v>789</v>
      </c>
    </row>
    <row r="3512" spans="1:4" x14ac:dyDescent="0.25">
      <c r="A3512" s="222" t="s">
        <v>3940</v>
      </c>
      <c r="B3512" s="222">
        <v>509020</v>
      </c>
      <c r="C3512" s="222" t="s">
        <v>3939</v>
      </c>
      <c r="D3512" s="222" t="s">
        <v>1963</v>
      </c>
    </row>
    <row r="3513" spans="1:4" x14ac:dyDescent="0.25">
      <c r="A3513" s="222" t="s">
        <v>3938</v>
      </c>
      <c r="B3513" s="222">
        <v>500368</v>
      </c>
      <c r="C3513" s="222" t="s">
        <v>3937</v>
      </c>
      <c r="D3513" s="222" t="s">
        <v>1963</v>
      </c>
    </row>
    <row r="3514" spans="1:4" x14ac:dyDescent="0.25">
      <c r="A3514" s="222" t="s">
        <v>3936</v>
      </c>
      <c r="B3514" s="222">
        <v>540696</v>
      </c>
      <c r="C3514" s="222" t="s">
        <v>2052</v>
      </c>
      <c r="D3514" s="222" t="s">
        <v>1529</v>
      </c>
    </row>
    <row r="3515" spans="1:4" x14ac:dyDescent="0.25">
      <c r="A3515" s="222" t="s">
        <v>3935</v>
      </c>
      <c r="B3515" s="222">
        <v>540696</v>
      </c>
      <c r="C3515" s="222" t="s">
        <v>2052</v>
      </c>
      <c r="D3515" s="222" t="s">
        <v>1529</v>
      </c>
    </row>
    <row r="3516" spans="1:4" x14ac:dyDescent="0.25">
      <c r="A3516" s="222" t="s">
        <v>3934</v>
      </c>
      <c r="B3516" s="222">
        <v>532785</v>
      </c>
      <c r="C3516" s="222" t="s">
        <v>3933</v>
      </c>
      <c r="D3516" s="222" t="s">
        <v>1972</v>
      </c>
    </row>
    <row r="3517" spans="1:4" x14ac:dyDescent="0.25">
      <c r="A3517" s="222" t="s">
        <v>3932</v>
      </c>
      <c r="B3517" s="222">
        <v>539226</v>
      </c>
      <c r="C3517" s="222" t="s">
        <v>2052</v>
      </c>
      <c r="D3517" s="222" t="s">
        <v>2167</v>
      </c>
    </row>
    <row r="3518" spans="1:4" x14ac:dyDescent="0.25">
      <c r="A3518" s="222" t="s">
        <v>3931</v>
      </c>
      <c r="B3518" s="222" t="s">
        <v>2052</v>
      </c>
      <c r="C3518" s="222" t="s">
        <v>3930</v>
      </c>
      <c r="D3518" s="222" t="s">
        <v>2050</v>
      </c>
    </row>
    <row r="3519" spans="1:4" x14ac:dyDescent="0.25">
      <c r="A3519" s="222" t="s">
        <v>3929</v>
      </c>
      <c r="B3519" s="222">
        <v>519413</v>
      </c>
      <c r="C3519" s="222" t="s">
        <v>2052</v>
      </c>
      <c r="D3519" s="222" t="s">
        <v>1529</v>
      </c>
    </row>
    <row r="3520" spans="1:4" x14ac:dyDescent="0.25">
      <c r="A3520" s="222" t="s">
        <v>3928</v>
      </c>
      <c r="B3520" s="222">
        <v>530449</v>
      </c>
      <c r="C3520" s="222" t="s">
        <v>2052</v>
      </c>
      <c r="D3520" s="222" t="s">
        <v>1251</v>
      </c>
    </row>
    <row r="3521" spans="1:4" x14ac:dyDescent="0.25">
      <c r="A3521" s="222" t="s">
        <v>3927</v>
      </c>
      <c r="B3521" s="222">
        <v>533552</v>
      </c>
      <c r="C3521" s="222" t="s">
        <v>3926</v>
      </c>
      <c r="D3521" s="222" t="s">
        <v>1364</v>
      </c>
    </row>
    <row r="3522" spans="1:4" x14ac:dyDescent="0.25">
      <c r="A3522" s="222" t="s">
        <v>3925</v>
      </c>
      <c r="B3522" s="222">
        <v>533470</v>
      </c>
      <c r="C3522" s="222" t="s">
        <v>3924</v>
      </c>
      <c r="D3522" s="222" t="s">
        <v>1272</v>
      </c>
    </row>
    <row r="3523" spans="1:4" x14ac:dyDescent="0.25">
      <c r="A3523" s="222" t="s">
        <v>3923</v>
      </c>
      <c r="B3523" s="222">
        <v>504335</v>
      </c>
      <c r="C3523" s="222" t="s">
        <v>2052</v>
      </c>
      <c r="D3523" s="222" t="s">
        <v>1529</v>
      </c>
    </row>
    <row r="3524" spans="1:4" x14ac:dyDescent="0.25">
      <c r="A3524" s="222" t="s">
        <v>3922</v>
      </c>
      <c r="B3524" s="222">
        <v>517035</v>
      </c>
      <c r="C3524" s="222" t="s">
        <v>2052</v>
      </c>
      <c r="D3524" s="222" t="s">
        <v>2062</v>
      </c>
    </row>
    <row r="3525" spans="1:4" x14ac:dyDescent="0.25">
      <c r="A3525" s="222" t="s">
        <v>3921</v>
      </c>
      <c r="B3525" s="222">
        <v>542034</v>
      </c>
      <c r="C3525" s="222" t="s">
        <v>2052</v>
      </c>
      <c r="D3525" s="222" t="s">
        <v>1364</v>
      </c>
    </row>
    <row r="3526" spans="1:4" x14ac:dyDescent="0.25">
      <c r="A3526" s="222" t="s">
        <v>3920</v>
      </c>
      <c r="B3526" s="222">
        <v>532604</v>
      </c>
      <c r="C3526" s="222" t="s">
        <v>3919</v>
      </c>
      <c r="D3526" s="222" t="s">
        <v>2167</v>
      </c>
    </row>
    <row r="3527" spans="1:4" x14ac:dyDescent="0.25">
      <c r="A3527" s="222" t="s">
        <v>3918</v>
      </c>
      <c r="B3527" s="222">
        <v>540497</v>
      </c>
      <c r="C3527" s="222" t="s">
        <v>3917</v>
      </c>
      <c r="D3527" s="222" t="s">
        <v>2784</v>
      </c>
    </row>
    <row r="3528" spans="1:4" x14ac:dyDescent="0.25">
      <c r="A3528" s="222" t="s">
        <v>3916</v>
      </c>
      <c r="B3528" s="222">
        <v>534598</v>
      </c>
      <c r="C3528" s="222" t="s">
        <v>3915</v>
      </c>
      <c r="D3528" s="222" t="s">
        <v>2380</v>
      </c>
    </row>
    <row r="3529" spans="1:4" x14ac:dyDescent="0.25">
      <c r="A3529" s="222" t="s">
        <v>3914</v>
      </c>
      <c r="B3529" s="222">
        <v>539450</v>
      </c>
      <c r="C3529" s="222" t="s">
        <v>3913</v>
      </c>
      <c r="D3529" s="222" t="s">
        <v>1542</v>
      </c>
    </row>
    <row r="3530" spans="1:4" x14ac:dyDescent="0.25">
      <c r="A3530" s="222" t="s">
        <v>3912</v>
      </c>
      <c r="B3530" s="222">
        <v>532316</v>
      </c>
      <c r="C3530" s="222" t="s">
        <v>3911</v>
      </c>
      <c r="D3530" s="222" t="s">
        <v>2117</v>
      </c>
    </row>
    <row r="3531" spans="1:4" x14ac:dyDescent="0.25">
      <c r="A3531" s="222" t="s">
        <v>3910</v>
      </c>
      <c r="B3531" s="222">
        <v>540048</v>
      </c>
      <c r="C3531" s="222" t="s">
        <v>3909</v>
      </c>
      <c r="D3531" s="222" t="s">
        <v>1364</v>
      </c>
    </row>
    <row r="3532" spans="1:4" x14ac:dyDescent="0.25">
      <c r="A3532" s="222" t="s">
        <v>3908</v>
      </c>
      <c r="B3532" s="222">
        <v>536710</v>
      </c>
      <c r="C3532" s="222" t="s">
        <v>2052</v>
      </c>
      <c r="D3532" s="222" t="s">
        <v>1321</v>
      </c>
    </row>
    <row r="3533" spans="1:4" x14ac:dyDescent="0.25">
      <c r="A3533" s="222" t="s">
        <v>3907</v>
      </c>
      <c r="B3533" s="222">
        <v>513515</v>
      </c>
      <c r="C3533" s="222" t="s">
        <v>2052</v>
      </c>
      <c r="D3533" s="222" t="s">
        <v>1237</v>
      </c>
    </row>
    <row r="3534" spans="1:4" x14ac:dyDescent="0.25">
      <c r="A3534" s="222" t="s">
        <v>3906</v>
      </c>
      <c r="B3534" s="222">
        <v>531307</v>
      </c>
      <c r="C3534" s="222" t="s">
        <v>2052</v>
      </c>
      <c r="D3534" s="222" t="s">
        <v>1237</v>
      </c>
    </row>
    <row r="3535" spans="1:4" x14ac:dyDescent="0.25">
      <c r="A3535" s="222" t="s">
        <v>3905</v>
      </c>
      <c r="B3535" s="222" t="s">
        <v>2052</v>
      </c>
      <c r="C3535" s="222" t="s">
        <v>3904</v>
      </c>
      <c r="D3535" s="222" t="s">
        <v>2050</v>
      </c>
    </row>
    <row r="3536" spans="1:4" x14ac:dyDescent="0.25">
      <c r="A3536" s="222" t="s">
        <v>3903</v>
      </c>
      <c r="B3536" s="222">
        <v>538876</v>
      </c>
      <c r="C3536" s="222" t="s">
        <v>2052</v>
      </c>
      <c r="D3536" s="222" t="s">
        <v>1321</v>
      </c>
    </row>
    <row r="3537" spans="1:4" x14ac:dyDescent="0.25">
      <c r="A3537" s="222" t="s">
        <v>3902</v>
      </c>
      <c r="B3537" s="222">
        <v>535621</v>
      </c>
      <c r="C3537" s="222" t="s">
        <v>2052</v>
      </c>
      <c r="D3537" s="222" t="s">
        <v>1243</v>
      </c>
    </row>
    <row r="3538" spans="1:4" x14ac:dyDescent="0.25">
      <c r="A3538" s="222" t="s">
        <v>3901</v>
      </c>
      <c r="B3538" s="222">
        <v>503622</v>
      </c>
      <c r="C3538" s="222" t="s">
        <v>2052</v>
      </c>
      <c r="D3538" s="222" t="s">
        <v>1262</v>
      </c>
    </row>
    <row r="3539" spans="1:4" x14ac:dyDescent="0.25">
      <c r="A3539" s="222" t="s">
        <v>3900</v>
      </c>
      <c r="B3539" s="222">
        <v>514197</v>
      </c>
      <c r="C3539" s="222" t="s">
        <v>2052</v>
      </c>
      <c r="D3539" s="222" t="s">
        <v>1237</v>
      </c>
    </row>
    <row r="3540" spans="1:4" x14ac:dyDescent="0.25">
      <c r="A3540" s="222" t="s">
        <v>3899</v>
      </c>
      <c r="B3540" s="222">
        <v>540081</v>
      </c>
      <c r="C3540" s="222" t="s">
        <v>3898</v>
      </c>
      <c r="D3540" s="222" t="s">
        <v>2784</v>
      </c>
    </row>
    <row r="3541" spans="1:4" x14ac:dyDescent="0.25">
      <c r="A3541" s="222" t="s">
        <v>3897</v>
      </c>
      <c r="B3541" s="222">
        <v>539112</v>
      </c>
      <c r="C3541" s="222" t="s">
        <v>2052</v>
      </c>
      <c r="D3541" s="222" t="s">
        <v>1243</v>
      </c>
    </row>
    <row r="3542" spans="1:4" x14ac:dyDescent="0.25">
      <c r="A3542" s="222" t="s">
        <v>3896</v>
      </c>
      <c r="B3542" s="222">
        <v>530267</v>
      </c>
      <c r="C3542" s="222" t="s">
        <v>2052</v>
      </c>
      <c r="D3542" s="222" t="s">
        <v>832</v>
      </c>
    </row>
    <row r="3543" spans="1:4" x14ac:dyDescent="0.25">
      <c r="A3543" s="222" t="s">
        <v>3895</v>
      </c>
      <c r="B3543" s="222">
        <v>530461</v>
      </c>
      <c r="C3543" s="222" t="s">
        <v>2052</v>
      </c>
      <c r="D3543" s="222" t="s">
        <v>1083</v>
      </c>
    </row>
    <row r="3544" spans="1:4" x14ac:dyDescent="0.25">
      <c r="A3544" s="222" t="s">
        <v>3894</v>
      </c>
      <c r="B3544" s="222">
        <v>540132</v>
      </c>
      <c r="C3544" s="222" t="s">
        <v>2052</v>
      </c>
      <c r="D3544" s="222" t="s">
        <v>1529</v>
      </c>
    </row>
    <row r="3545" spans="1:4" x14ac:dyDescent="0.25">
      <c r="A3545" s="222" t="s">
        <v>3893</v>
      </c>
      <c r="B3545" s="222">
        <v>540132</v>
      </c>
      <c r="C3545" s="222" t="s">
        <v>2052</v>
      </c>
      <c r="D3545" s="222" t="s">
        <v>1529</v>
      </c>
    </row>
    <row r="3546" spans="1:4" x14ac:dyDescent="0.25">
      <c r="A3546" s="222" t="s">
        <v>3892</v>
      </c>
      <c r="B3546" s="222">
        <v>531869</v>
      </c>
      <c r="C3546" s="222" t="s">
        <v>2052</v>
      </c>
      <c r="D3546" s="222" t="s">
        <v>2490</v>
      </c>
    </row>
    <row r="3547" spans="1:4" x14ac:dyDescent="0.25">
      <c r="A3547" s="222" t="s">
        <v>3891</v>
      </c>
      <c r="B3547" s="222">
        <v>532710</v>
      </c>
      <c r="C3547" s="222" t="s">
        <v>3890</v>
      </c>
      <c r="D3547" s="222" t="s">
        <v>1248</v>
      </c>
    </row>
    <row r="3548" spans="1:4" x14ac:dyDescent="0.25">
      <c r="A3548" s="222" t="s">
        <v>3889</v>
      </c>
      <c r="B3548" s="222">
        <v>539346</v>
      </c>
      <c r="C3548" s="222" t="s">
        <v>3888</v>
      </c>
      <c r="D3548" s="222" t="s">
        <v>3887</v>
      </c>
    </row>
    <row r="3549" spans="1:4" x14ac:dyDescent="0.25">
      <c r="A3549" s="222" t="s">
        <v>3886</v>
      </c>
      <c r="B3549" s="222">
        <v>506642</v>
      </c>
      <c r="C3549" s="222" t="s">
        <v>2052</v>
      </c>
      <c r="D3549" s="222" t="s">
        <v>998</v>
      </c>
    </row>
    <row r="3550" spans="1:4" x14ac:dyDescent="0.25">
      <c r="A3550" s="222" t="s">
        <v>3885</v>
      </c>
      <c r="B3550" s="222">
        <v>540821</v>
      </c>
      <c r="C3550" s="222" t="s">
        <v>2052</v>
      </c>
      <c r="D3550" s="222" t="s">
        <v>2079</v>
      </c>
    </row>
    <row r="3551" spans="1:4" x14ac:dyDescent="0.25">
      <c r="A3551" s="222" t="s">
        <v>3884</v>
      </c>
      <c r="B3551" s="222">
        <v>532034</v>
      </c>
      <c r="C3551" s="222" t="s">
        <v>2052</v>
      </c>
      <c r="D3551" s="222" t="s">
        <v>1542</v>
      </c>
    </row>
    <row r="3552" spans="1:4" x14ac:dyDescent="0.25">
      <c r="A3552" s="222" t="s">
        <v>3883</v>
      </c>
      <c r="B3552" s="222">
        <v>531448</v>
      </c>
      <c r="C3552" s="222" t="s">
        <v>2052</v>
      </c>
      <c r="D3552" s="222" t="s">
        <v>2068</v>
      </c>
    </row>
    <row r="3553" spans="1:4" x14ac:dyDescent="0.25">
      <c r="A3553" s="222" t="s">
        <v>3882</v>
      </c>
      <c r="B3553" s="222">
        <v>523025</v>
      </c>
      <c r="C3553" s="222" t="s">
        <v>2052</v>
      </c>
      <c r="D3553" s="222" t="s">
        <v>1364</v>
      </c>
    </row>
    <row r="3554" spans="1:4" x14ac:dyDescent="0.25">
      <c r="A3554" s="222" t="s">
        <v>3881</v>
      </c>
      <c r="B3554" s="222">
        <v>523025</v>
      </c>
      <c r="C3554" s="222" t="s">
        <v>2052</v>
      </c>
      <c r="D3554" s="222" t="s">
        <v>1364</v>
      </c>
    </row>
    <row r="3555" spans="1:4" x14ac:dyDescent="0.25">
      <c r="A3555" s="222" t="s">
        <v>3880</v>
      </c>
      <c r="B3555" s="222">
        <v>502090</v>
      </c>
      <c r="C3555" s="222" t="s">
        <v>3879</v>
      </c>
      <c r="D3555" s="222" t="s">
        <v>1004</v>
      </c>
    </row>
    <row r="3556" spans="1:4" x14ac:dyDescent="0.25">
      <c r="A3556" s="222" t="s">
        <v>3878</v>
      </c>
      <c r="B3556" s="222">
        <v>540715</v>
      </c>
      <c r="C3556" s="222" t="s">
        <v>2052</v>
      </c>
      <c r="D3556" s="222" t="s">
        <v>1364</v>
      </c>
    </row>
    <row r="3557" spans="1:4" x14ac:dyDescent="0.25">
      <c r="A3557" s="222" t="s">
        <v>3877</v>
      </c>
      <c r="B3557" s="222">
        <v>532092</v>
      </c>
      <c r="C3557" s="222" t="s">
        <v>2052</v>
      </c>
      <c r="D3557" s="222" t="s">
        <v>1321</v>
      </c>
    </row>
    <row r="3558" spans="1:4" x14ac:dyDescent="0.25">
      <c r="A3558" s="222" t="s">
        <v>3876</v>
      </c>
      <c r="B3558" s="222">
        <v>507663</v>
      </c>
      <c r="C3558" s="222" t="s">
        <v>2052</v>
      </c>
      <c r="D3558" s="222" t="s">
        <v>1963</v>
      </c>
    </row>
    <row r="3559" spans="1:4" x14ac:dyDescent="0.25">
      <c r="A3559" s="222" t="s">
        <v>3875</v>
      </c>
      <c r="B3559" s="222">
        <v>511254</v>
      </c>
      <c r="C3559" s="222" t="s">
        <v>2052</v>
      </c>
      <c r="D3559" s="222" t="s">
        <v>1321</v>
      </c>
    </row>
    <row r="3560" spans="1:4" x14ac:dyDescent="0.25">
      <c r="A3560" s="222" t="s">
        <v>3874</v>
      </c>
      <c r="B3560" s="222">
        <v>526085</v>
      </c>
      <c r="C3560" s="222" t="s">
        <v>2052</v>
      </c>
      <c r="D3560" s="222" t="s">
        <v>2128</v>
      </c>
    </row>
    <row r="3561" spans="1:4" x14ac:dyDescent="0.25">
      <c r="A3561" s="222" t="s">
        <v>3873</v>
      </c>
      <c r="B3561" s="222" t="s">
        <v>2052</v>
      </c>
      <c r="C3561" s="222" t="s">
        <v>3872</v>
      </c>
      <c r="D3561" s="222" t="s">
        <v>2050</v>
      </c>
    </row>
    <row r="3562" spans="1:4" x14ac:dyDescent="0.25">
      <c r="A3562" s="222" t="s">
        <v>3871</v>
      </c>
      <c r="B3562" s="222">
        <v>540143</v>
      </c>
      <c r="C3562" s="222" t="s">
        <v>2052</v>
      </c>
      <c r="D3562" s="222" t="s">
        <v>1265</v>
      </c>
    </row>
    <row r="3563" spans="1:4" x14ac:dyDescent="0.25">
      <c r="A3563" s="222" t="s">
        <v>3870</v>
      </c>
      <c r="B3563" s="222">
        <v>540143</v>
      </c>
      <c r="C3563" s="222" t="s">
        <v>2052</v>
      </c>
      <c r="D3563" s="222" t="s">
        <v>1265</v>
      </c>
    </row>
    <row r="3564" spans="1:4" x14ac:dyDescent="0.25">
      <c r="A3564" s="222" t="s">
        <v>3869</v>
      </c>
      <c r="B3564" s="222">
        <v>511533</v>
      </c>
      <c r="C3564" s="222" t="s">
        <v>2052</v>
      </c>
      <c r="D3564" s="222" t="s">
        <v>2520</v>
      </c>
    </row>
    <row r="3565" spans="1:4" x14ac:dyDescent="0.25">
      <c r="A3565" s="222" t="s">
        <v>3868</v>
      </c>
      <c r="B3565" s="222">
        <v>503691</v>
      </c>
      <c r="C3565" s="222" t="s">
        <v>2052</v>
      </c>
      <c r="D3565" s="222" t="s">
        <v>2079</v>
      </c>
    </row>
    <row r="3566" spans="1:4" x14ac:dyDescent="0.25">
      <c r="A3566" s="222" t="s">
        <v>3867</v>
      </c>
      <c r="B3566" s="222">
        <v>532841</v>
      </c>
      <c r="C3566" s="222" t="s">
        <v>2052</v>
      </c>
      <c r="D3566" s="222" t="s">
        <v>1004</v>
      </c>
    </row>
    <row r="3567" spans="1:4" x14ac:dyDescent="0.25">
      <c r="A3567" s="222" t="s">
        <v>3866</v>
      </c>
      <c r="B3567" s="222">
        <v>539660</v>
      </c>
      <c r="C3567" s="222" t="s">
        <v>2052</v>
      </c>
      <c r="D3567" s="222" t="s">
        <v>1262</v>
      </c>
    </row>
    <row r="3568" spans="1:4" x14ac:dyDescent="0.25">
      <c r="A3568" s="222" t="s">
        <v>3865</v>
      </c>
      <c r="B3568" s="222">
        <v>538557</v>
      </c>
      <c r="C3568" s="222" t="s">
        <v>2052</v>
      </c>
      <c r="D3568" s="222" t="s">
        <v>1529</v>
      </c>
    </row>
    <row r="3569" spans="1:4" x14ac:dyDescent="0.25">
      <c r="A3569" s="222" t="s">
        <v>3864</v>
      </c>
      <c r="B3569" s="222">
        <v>531931</v>
      </c>
      <c r="C3569" s="222" t="s">
        <v>2052</v>
      </c>
      <c r="D3569" s="222" t="s">
        <v>2068</v>
      </c>
    </row>
    <row r="3570" spans="1:4" x14ac:dyDescent="0.25">
      <c r="A3570" s="222" t="s">
        <v>3863</v>
      </c>
      <c r="B3570" s="222">
        <v>530905</v>
      </c>
      <c r="C3570" s="222" t="s">
        <v>2052</v>
      </c>
      <c r="D3570" s="222" t="s">
        <v>1321</v>
      </c>
    </row>
    <row r="3571" spans="1:4" x14ac:dyDescent="0.25">
      <c r="A3571" s="222" t="s">
        <v>3862</v>
      </c>
      <c r="B3571" s="222">
        <v>540066</v>
      </c>
      <c r="C3571" s="222" t="s">
        <v>2052</v>
      </c>
      <c r="D3571" s="222" t="s">
        <v>1306</v>
      </c>
    </row>
    <row r="3572" spans="1:4" x14ac:dyDescent="0.25">
      <c r="A3572" s="222" t="s">
        <v>3861</v>
      </c>
      <c r="B3572" s="222">
        <v>530265</v>
      </c>
      <c r="C3572" s="222" t="s">
        <v>2052</v>
      </c>
      <c r="D3572" s="222" t="s">
        <v>1004</v>
      </c>
    </row>
    <row r="3573" spans="1:4" x14ac:dyDescent="0.25">
      <c r="A3573" s="222" t="s">
        <v>3860</v>
      </c>
      <c r="B3573" s="222">
        <v>515043</v>
      </c>
      <c r="C3573" s="222" t="s">
        <v>2052</v>
      </c>
      <c r="D3573" s="222" t="s">
        <v>2714</v>
      </c>
    </row>
    <row r="3574" spans="1:4" x14ac:dyDescent="0.25">
      <c r="A3574" s="222" t="s">
        <v>3859</v>
      </c>
      <c r="B3574" s="222">
        <v>515043</v>
      </c>
      <c r="C3574" s="222" t="s">
        <v>2052</v>
      </c>
      <c r="D3574" s="222" t="s">
        <v>2714</v>
      </c>
    </row>
    <row r="3575" spans="1:4" x14ac:dyDescent="0.25">
      <c r="A3575" s="222" t="s">
        <v>3858</v>
      </c>
      <c r="B3575" s="222" t="s">
        <v>2052</v>
      </c>
      <c r="C3575" s="222" t="s">
        <v>3857</v>
      </c>
      <c r="D3575" s="222" t="s">
        <v>2050</v>
      </c>
    </row>
    <row r="3576" spans="1:4" x14ac:dyDescent="0.25">
      <c r="A3576" s="222" t="s">
        <v>3856</v>
      </c>
      <c r="B3576" s="222" t="s">
        <v>2052</v>
      </c>
      <c r="C3576" s="222" t="s">
        <v>3855</v>
      </c>
      <c r="D3576" s="222" t="s">
        <v>2050</v>
      </c>
    </row>
    <row r="3577" spans="1:4" x14ac:dyDescent="0.25">
      <c r="A3577" s="222" t="s">
        <v>3854</v>
      </c>
      <c r="B3577" s="222">
        <v>590051</v>
      </c>
      <c r="C3577" s="222" t="s">
        <v>3853</v>
      </c>
      <c r="D3577" s="222" t="s">
        <v>1942</v>
      </c>
    </row>
    <row r="3578" spans="1:4" x14ac:dyDescent="0.25">
      <c r="A3578" s="222" t="s">
        <v>3852</v>
      </c>
      <c r="B3578" s="222">
        <v>511066</v>
      </c>
      <c r="C3578" s="222" t="s">
        <v>2052</v>
      </c>
      <c r="D3578" s="222" t="s">
        <v>1321</v>
      </c>
    </row>
    <row r="3579" spans="1:4" x14ac:dyDescent="0.25">
      <c r="A3579" s="222" t="s">
        <v>3851</v>
      </c>
      <c r="B3579" s="222">
        <v>507315</v>
      </c>
      <c r="C3579" s="222" t="s">
        <v>3850</v>
      </c>
      <c r="D3579" s="222" t="s">
        <v>1124</v>
      </c>
    </row>
    <row r="3580" spans="1:4" x14ac:dyDescent="0.25">
      <c r="A3580" s="222" t="s">
        <v>3849</v>
      </c>
      <c r="B3580" s="222">
        <v>532713</v>
      </c>
      <c r="C3580" s="222" t="s">
        <v>3848</v>
      </c>
      <c r="D3580" s="222" t="s">
        <v>1529</v>
      </c>
    </row>
    <row r="3581" spans="1:4" x14ac:dyDescent="0.25">
      <c r="A3581" s="222" t="s">
        <v>3847</v>
      </c>
      <c r="B3581" s="222">
        <v>540642</v>
      </c>
      <c r="C3581" s="222" t="s">
        <v>3846</v>
      </c>
      <c r="D3581" s="222" t="s">
        <v>1248</v>
      </c>
    </row>
    <row r="3582" spans="1:4" x14ac:dyDescent="0.25">
      <c r="A3582" s="222" t="s">
        <v>3845</v>
      </c>
      <c r="B3582" s="222">
        <v>540181</v>
      </c>
      <c r="C3582" s="222" t="s">
        <v>2052</v>
      </c>
      <c r="D3582" s="222" t="s">
        <v>1321</v>
      </c>
    </row>
    <row r="3583" spans="1:4" x14ac:dyDescent="0.25">
      <c r="A3583" s="222" t="s">
        <v>3844</v>
      </c>
      <c r="B3583" s="222">
        <v>526554</v>
      </c>
      <c r="C3583" s="222" t="s">
        <v>2052</v>
      </c>
      <c r="D3583" s="222" t="s">
        <v>1447</v>
      </c>
    </row>
    <row r="3584" spans="1:4" x14ac:dyDescent="0.25">
      <c r="A3584" s="222" t="s">
        <v>3843</v>
      </c>
      <c r="B3584" s="222">
        <v>590056</v>
      </c>
      <c r="C3584" s="222" t="s">
        <v>3842</v>
      </c>
      <c r="D3584" s="222" t="s">
        <v>1237</v>
      </c>
    </row>
    <row r="3585" spans="1:4" x14ac:dyDescent="0.25">
      <c r="A3585" s="222" t="s">
        <v>3841</v>
      </c>
      <c r="B3585" s="222">
        <v>500370</v>
      </c>
      <c r="C3585" s="222" t="s">
        <v>3840</v>
      </c>
      <c r="D3585" s="222" t="s">
        <v>1529</v>
      </c>
    </row>
    <row r="3586" spans="1:4" x14ac:dyDescent="0.25">
      <c r="A3586" s="222" t="s">
        <v>3839</v>
      </c>
      <c r="B3586" s="222">
        <v>517059</v>
      </c>
      <c r="C3586" s="222" t="s">
        <v>3838</v>
      </c>
      <c r="D3586" s="222" t="s">
        <v>1275</v>
      </c>
    </row>
    <row r="3587" spans="1:4" x14ac:dyDescent="0.25">
      <c r="A3587" s="222" t="s">
        <v>3837</v>
      </c>
      <c r="B3587" s="222">
        <v>532005</v>
      </c>
      <c r="C3587" s="222" t="s">
        <v>2052</v>
      </c>
      <c r="D3587" s="222" t="s">
        <v>1395</v>
      </c>
    </row>
    <row r="3588" spans="1:4" x14ac:dyDescent="0.25">
      <c r="A3588" s="222" t="s">
        <v>3836</v>
      </c>
      <c r="B3588" s="222">
        <v>521240</v>
      </c>
      <c r="C3588" s="222" t="s">
        <v>2052</v>
      </c>
      <c r="D3588" s="222" t="s">
        <v>1237</v>
      </c>
    </row>
    <row r="3589" spans="1:4" x14ac:dyDescent="0.25">
      <c r="A3589" s="222" t="s">
        <v>3835</v>
      </c>
      <c r="B3589" s="222">
        <v>511630</v>
      </c>
      <c r="C3589" s="222" t="s">
        <v>3834</v>
      </c>
      <c r="D3589" s="222" t="s">
        <v>2784</v>
      </c>
    </row>
    <row r="3590" spans="1:4" x14ac:dyDescent="0.25">
      <c r="A3590" s="222" t="s">
        <v>3833</v>
      </c>
      <c r="B3590" s="222">
        <v>520075</v>
      </c>
      <c r="C3590" s="222" t="s">
        <v>2052</v>
      </c>
      <c r="D3590" s="222" t="s">
        <v>1306</v>
      </c>
    </row>
    <row r="3591" spans="1:4" x14ac:dyDescent="0.25">
      <c r="A3591" s="222" t="s">
        <v>3832</v>
      </c>
      <c r="B3591" s="222">
        <v>530617</v>
      </c>
      <c r="C3591" s="222" t="s">
        <v>2052</v>
      </c>
      <c r="D3591" s="222" t="s">
        <v>1161</v>
      </c>
    </row>
    <row r="3592" spans="1:4" x14ac:dyDescent="0.25">
      <c r="A3592" s="222" t="s">
        <v>3831</v>
      </c>
      <c r="B3592" s="222">
        <v>530125</v>
      </c>
      <c r="C3592" s="222" t="s">
        <v>2052</v>
      </c>
      <c r="D3592" s="222" t="s">
        <v>789</v>
      </c>
    </row>
    <row r="3593" spans="1:4" x14ac:dyDescent="0.25">
      <c r="A3593" s="222" t="s">
        <v>3830</v>
      </c>
      <c r="B3593" s="222">
        <v>500371</v>
      </c>
      <c r="C3593" s="222" t="s">
        <v>2052</v>
      </c>
      <c r="D3593" s="222" t="s">
        <v>950</v>
      </c>
    </row>
    <row r="3594" spans="1:4" x14ac:dyDescent="0.25">
      <c r="A3594" s="222" t="s">
        <v>3829</v>
      </c>
      <c r="B3594" s="222">
        <v>500371</v>
      </c>
      <c r="C3594" s="222" t="s">
        <v>2052</v>
      </c>
      <c r="D3594" s="222" t="s">
        <v>950</v>
      </c>
    </row>
    <row r="3595" spans="1:4" x14ac:dyDescent="0.25">
      <c r="A3595" s="222" t="s">
        <v>3828</v>
      </c>
      <c r="B3595" s="222">
        <v>521206</v>
      </c>
      <c r="C3595" s="222" t="s">
        <v>2052</v>
      </c>
      <c r="D3595" s="222" t="s">
        <v>1364</v>
      </c>
    </row>
    <row r="3596" spans="1:4" x14ac:dyDescent="0.25">
      <c r="A3596" s="222" t="s">
        <v>3827</v>
      </c>
      <c r="B3596" s="222">
        <v>530025</v>
      </c>
      <c r="C3596" s="222" t="s">
        <v>2052</v>
      </c>
      <c r="D3596" s="222" t="s">
        <v>2068</v>
      </c>
    </row>
    <row r="3597" spans="1:4" x14ac:dyDescent="0.25">
      <c r="A3597" s="222" t="s">
        <v>3826</v>
      </c>
      <c r="B3597" s="222">
        <v>780015</v>
      </c>
      <c r="C3597" s="222" t="s">
        <v>2052</v>
      </c>
      <c r="D3597" s="222" t="s">
        <v>2197</v>
      </c>
    </row>
    <row r="3598" spans="1:4" x14ac:dyDescent="0.25">
      <c r="A3598" s="222" t="s">
        <v>3825</v>
      </c>
      <c r="B3598" s="222">
        <v>509423</v>
      </c>
      <c r="C3598" s="222" t="s">
        <v>2052</v>
      </c>
      <c r="D3598" s="222" t="s">
        <v>998</v>
      </c>
    </row>
    <row r="3599" spans="1:4" x14ac:dyDescent="0.25">
      <c r="A3599" s="222" t="s">
        <v>3824</v>
      </c>
      <c r="B3599" s="222">
        <v>521222</v>
      </c>
      <c r="C3599" s="222" t="s">
        <v>2052</v>
      </c>
      <c r="D3599" s="222" t="s">
        <v>1364</v>
      </c>
    </row>
    <row r="3600" spans="1:4" x14ac:dyDescent="0.25">
      <c r="A3600" s="222" t="s">
        <v>3823</v>
      </c>
      <c r="B3600" s="222" t="s">
        <v>2052</v>
      </c>
      <c r="C3600" s="222" t="s">
        <v>3822</v>
      </c>
      <c r="D3600" s="222" t="s">
        <v>2197</v>
      </c>
    </row>
    <row r="3601" spans="1:4" x14ac:dyDescent="0.25">
      <c r="A3601" s="222" t="s">
        <v>3821</v>
      </c>
      <c r="B3601" s="222">
        <v>523116</v>
      </c>
      <c r="C3601" s="222" t="s">
        <v>2052</v>
      </c>
      <c r="D3601" s="222" t="s">
        <v>1292</v>
      </c>
    </row>
    <row r="3602" spans="1:4" x14ac:dyDescent="0.25">
      <c r="A3602" s="222" t="s">
        <v>3820</v>
      </c>
      <c r="B3602" s="222">
        <v>541163</v>
      </c>
      <c r="C3602" s="222" t="s">
        <v>3819</v>
      </c>
      <c r="D3602" s="222" t="s">
        <v>1306</v>
      </c>
    </row>
    <row r="3603" spans="1:4" x14ac:dyDescent="0.25">
      <c r="A3603" s="222" t="s">
        <v>3818</v>
      </c>
      <c r="B3603" s="222">
        <v>524703</v>
      </c>
      <c r="C3603" s="222" t="s">
        <v>2052</v>
      </c>
      <c r="D3603" s="222" t="s">
        <v>789</v>
      </c>
    </row>
    <row r="3604" spans="1:4" x14ac:dyDescent="0.25">
      <c r="A3604" s="222" t="s">
        <v>3817</v>
      </c>
      <c r="B3604" s="222">
        <v>504918</v>
      </c>
      <c r="C3604" s="222" t="s">
        <v>2052</v>
      </c>
      <c r="D3604" s="222" t="s">
        <v>2796</v>
      </c>
    </row>
    <row r="3605" spans="1:4" x14ac:dyDescent="0.25">
      <c r="A3605" s="222" t="s">
        <v>3816</v>
      </c>
      <c r="B3605" s="222">
        <v>539392</v>
      </c>
      <c r="C3605" s="222" t="s">
        <v>2052</v>
      </c>
      <c r="D3605" s="222" t="s">
        <v>1529</v>
      </c>
    </row>
    <row r="3606" spans="1:4" x14ac:dyDescent="0.25">
      <c r="A3606" s="222" t="s">
        <v>3815</v>
      </c>
      <c r="B3606" s="222">
        <v>539392</v>
      </c>
      <c r="C3606" s="222" t="s">
        <v>2052</v>
      </c>
      <c r="D3606" s="222" t="s">
        <v>1529</v>
      </c>
    </row>
    <row r="3607" spans="1:4" x14ac:dyDescent="0.25">
      <c r="A3607" s="222" t="s">
        <v>3814</v>
      </c>
      <c r="B3607" s="222">
        <v>516096</v>
      </c>
      <c r="C3607" s="222" t="s">
        <v>2052</v>
      </c>
      <c r="D3607" s="222" t="s">
        <v>1972</v>
      </c>
    </row>
    <row r="3608" spans="1:4" x14ac:dyDescent="0.25">
      <c r="A3608" s="222" t="s">
        <v>3813</v>
      </c>
      <c r="B3608" s="222">
        <v>514234</v>
      </c>
      <c r="C3608" s="222" t="s">
        <v>3811</v>
      </c>
      <c r="D3608" s="222" t="s">
        <v>1237</v>
      </c>
    </row>
    <row r="3609" spans="1:4" x14ac:dyDescent="0.25">
      <c r="A3609" s="222" t="s">
        <v>3812</v>
      </c>
      <c r="B3609" s="222">
        <v>514234</v>
      </c>
      <c r="C3609" s="222" t="s">
        <v>3811</v>
      </c>
      <c r="D3609" s="222" t="s">
        <v>1237</v>
      </c>
    </row>
    <row r="3610" spans="1:4" x14ac:dyDescent="0.25">
      <c r="A3610" s="222" t="s">
        <v>3810</v>
      </c>
      <c r="B3610" s="222">
        <v>534618</v>
      </c>
      <c r="C3610" s="222" t="s">
        <v>2052</v>
      </c>
      <c r="D3610" s="222" t="s">
        <v>2380</v>
      </c>
    </row>
    <row r="3611" spans="1:4" x14ac:dyDescent="0.25">
      <c r="A3611" s="222" t="s">
        <v>3809</v>
      </c>
      <c r="B3611" s="222">
        <v>511640</v>
      </c>
      <c r="C3611" s="222" t="s">
        <v>2052</v>
      </c>
      <c r="D3611" s="222" t="s">
        <v>1321</v>
      </c>
    </row>
    <row r="3612" spans="1:4" x14ac:dyDescent="0.25">
      <c r="A3612" s="222" t="s">
        <v>3808</v>
      </c>
      <c r="B3612" s="222">
        <v>526521</v>
      </c>
      <c r="C3612" s="222" t="s">
        <v>3807</v>
      </c>
      <c r="D3612" s="222" t="s">
        <v>1004</v>
      </c>
    </row>
    <row r="3613" spans="1:4" x14ac:dyDescent="0.25">
      <c r="A3613" s="222" t="s">
        <v>3806</v>
      </c>
      <c r="B3613" s="222">
        <v>540782</v>
      </c>
      <c r="C3613" s="222" t="s">
        <v>2052</v>
      </c>
      <c r="D3613" s="222" t="s">
        <v>2128</v>
      </c>
    </row>
    <row r="3614" spans="1:4" x14ac:dyDescent="0.25">
      <c r="A3614" s="222" t="s">
        <v>3805</v>
      </c>
      <c r="B3614" s="222">
        <v>533411</v>
      </c>
      <c r="C3614" s="222" t="s">
        <v>3804</v>
      </c>
      <c r="D3614" s="222" t="s">
        <v>1313</v>
      </c>
    </row>
    <row r="3615" spans="1:4" x14ac:dyDescent="0.25">
      <c r="A3615" s="222" t="s">
        <v>3803</v>
      </c>
      <c r="B3615" s="222">
        <v>530073</v>
      </c>
      <c r="C3615" s="222" t="s">
        <v>3802</v>
      </c>
      <c r="D3615" s="222" t="s">
        <v>1292</v>
      </c>
    </row>
    <row r="3616" spans="1:4" x14ac:dyDescent="0.25">
      <c r="A3616" s="222" t="s">
        <v>3801</v>
      </c>
      <c r="B3616" s="222" t="s">
        <v>2052</v>
      </c>
      <c r="C3616" s="222" t="s">
        <v>3800</v>
      </c>
      <c r="D3616" s="222" t="s">
        <v>2050</v>
      </c>
    </row>
    <row r="3617" spans="1:4" x14ac:dyDescent="0.25">
      <c r="A3617" s="222" t="s">
        <v>3799</v>
      </c>
      <c r="B3617" s="222">
        <v>531898</v>
      </c>
      <c r="C3617" s="222" t="s">
        <v>2052</v>
      </c>
      <c r="D3617" s="222" t="s">
        <v>2264</v>
      </c>
    </row>
    <row r="3618" spans="1:4" x14ac:dyDescent="0.25">
      <c r="A3618" s="222" t="s">
        <v>3798</v>
      </c>
      <c r="B3618" s="222">
        <v>531569</v>
      </c>
      <c r="C3618" s="222" t="s">
        <v>2052</v>
      </c>
      <c r="D3618" s="222" t="s">
        <v>789</v>
      </c>
    </row>
    <row r="3619" spans="1:4" x14ac:dyDescent="0.25">
      <c r="A3619" s="222" t="s">
        <v>3797</v>
      </c>
      <c r="B3619" s="222">
        <v>532972</v>
      </c>
      <c r="C3619" s="222" t="s">
        <v>2052</v>
      </c>
      <c r="D3619" s="222" t="s">
        <v>1942</v>
      </c>
    </row>
    <row r="3620" spans="1:4" x14ac:dyDescent="0.25">
      <c r="A3620" s="222" t="s">
        <v>3796</v>
      </c>
      <c r="B3620" s="222">
        <v>532435</v>
      </c>
      <c r="C3620" s="222" t="s">
        <v>2052</v>
      </c>
      <c r="D3620" s="222" t="s">
        <v>1243</v>
      </c>
    </row>
    <row r="3621" spans="1:4" x14ac:dyDescent="0.25">
      <c r="A3621" s="222" t="s">
        <v>3795</v>
      </c>
      <c r="B3621" s="222">
        <v>512062</v>
      </c>
      <c r="C3621" s="222" t="s">
        <v>2052</v>
      </c>
      <c r="D3621" s="222" t="s">
        <v>2068</v>
      </c>
    </row>
    <row r="3622" spans="1:4" x14ac:dyDescent="0.25">
      <c r="A3622" s="222" t="s">
        <v>3794</v>
      </c>
      <c r="B3622" s="222">
        <v>500674</v>
      </c>
      <c r="C3622" s="222" t="s">
        <v>3792</v>
      </c>
      <c r="D3622" s="222" t="s">
        <v>789</v>
      </c>
    </row>
    <row r="3623" spans="1:4" x14ac:dyDescent="0.25">
      <c r="A3623" s="222" t="s">
        <v>3793</v>
      </c>
      <c r="B3623" s="222">
        <v>500674</v>
      </c>
      <c r="C3623" s="222" t="s">
        <v>3792</v>
      </c>
      <c r="D3623" s="222" t="s">
        <v>789</v>
      </c>
    </row>
    <row r="3624" spans="1:4" x14ac:dyDescent="0.25">
      <c r="A3624" s="222" t="s">
        <v>3791</v>
      </c>
      <c r="B3624" s="222">
        <v>514280</v>
      </c>
      <c r="C3624" s="222" t="s">
        <v>2052</v>
      </c>
      <c r="D3624" s="222" t="s">
        <v>1237</v>
      </c>
    </row>
    <row r="3625" spans="1:4" x14ac:dyDescent="0.25">
      <c r="A3625" s="222" t="s">
        <v>3790</v>
      </c>
      <c r="B3625" s="222">
        <v>530035</v>
      </c>
      <c r="C3625" s="222" t="s">
        <v>2052</v>
      </c>
      <c r="D3625" s="222" t="s">
        <v>1237</v>
      </c>
    </row>
    <row r="3626" spans="1:4" x14ac:dyDescent="0.25">
      <c r="A3626" s="222" t="s">
        <v>3789</v>
      </c>
      <c r="B3626" s="222">
        <v>540822</v>
      </c>
      <c r="C3626" s="222" t="s">
        <v>2052</v>
      </c>
      <c r="D3626" s="222" t="s">
        <v>1321</v>
      </c>
    </row>
    <row r="3627" spans="1:4" x14ac:dyDescent="0.25">
      <c r="A3627" s="222" t="s">
        <v>3788</v>
      </c>
      <c r="B3627" s="222">
        <v>519260</v>
      </c>
      <c r="C3627" s="222" t="s">
        <v>3787</v>
      </c>
      <c r="D3627" s="222" t="s">
        <v>1963</v>
      </c>
    </row>
    <row r="3628" spans="1:4" x14ac:dyDescent="0.25">
      <c r="A3628" s="222" t="s">
        <v>3786</v>
      </c>
      <c r="B3628" s="222">
        <v>506906</v>
      </c>
      <c r="C3628" s="222" t="s">
        <v>2052</v>
      </c>
      <c r="D3628" s="222" t="s">
        <v>1529</v>
      </c>
    </row>
    <row r="3629" spans="1:4" x14ac:dyDescent="0.25">
      <c r="A3629" s="222" t="s">
        <v>3785</v>
      </c>
      <c r="B3629" s="222">
        <v>519238</v>
      </c>
      <c r="C3629" s="222" t="s">
        <v>2052</v>
      </c>
      <c r="D3629" s="222" t="s">
        <v>731</v>
      </c>
    </row>
    <row r="3630" spans="1:4" x14ac:dyDescent="0.25">
      <c r="A3630" s="222" t="s">
        <v>3784</v>
      </c>
      <c r="B3630" s="222">
        <v>538992</v>
      </c>
      <c r="C3630" s="222" t="s">
        <v>2052</v>
      </c>
      <c r="D3630" s="222" t="s">
        <v>1306</v>
      </c>
    </row>
    <row r="3631" spans="1:4" x14ac:dyDescent="0.25">
      <c r="A3631" s="222" t="s">
        <v>3783</v>
      </c>
      <c r="B3631" s="222">
        <v>512020</v>
      </c>
      <c r="C3631" s="222" t="s">
        <v>2052</v>
      </c>
      <c r="D3631" s="222" t="s">
        <v>1321</v>
      </c>
    </row>
    <row r="3632" spans="1:4" x14ac:dyDescent="0.25">
      <c r="A3632" s="222" t="s">
        <v>3782</v>
      </c>
      <c r="B3632" s="222">
        <v>512020</v>
      </c>
      <c r="C3632" s="222" t="s">
        <v>2052</v>
      </c>
      <c r="D3632" s="222" t="s">
        <v>1321</v>
      </c>
    </row>
    <row r="3633" spans="1:4" x14ac:dyDescent="0.25">
      <c r="A3633" s="222" t="s">
        <v>3781</v>
      </c>
      <c r="B3633" s="222">
        <v>504614</v>
      </c>
      <c r="C3633" s="222" t="s">
        <v>3780</v>
      </c>
      <c r="D3633" s="222" t="s">
        <v>2167</v>
      </c>
    </row>
    <row r="3634" spans="1:4" x14ac:dyDescent="0.25">
      <c r="A3634" s="222" t="s">
        <v>3779</v>
      </c>
      <c r="B3634" s="222">
        <v>516032</v>
      </c>
      <c r="C3634" s="222" t="s">
        <v>2052</v>
      </c>
      <c r="D3634" s="222" t="s">
        <v>1972</v>
      </c>
    </row>
    <row r="3635" spans="1:4" x14ac:dyDescent="0.25">
      <c r="A3635" s="222" t="s">
        <v>3778</v>
      </c>
      <c r="B3635" s="222">
        <v>516003</v>
      </c>
      <c r="C3635" s="222" t="s">
        <v>2052</v>
      </c>
      <c r="D3635" s="222" t="s">
        <v>1272</v>
      </c>
    </row>
    <row r="3636" spans="1:4" x14ac:dyDescent="0.25">
      <c r="A3636" s="222" t="s">
        <v>3777</v>
      </c>
      <c r="B3636" s="222">
        <v>519242</v>
      </c>
      <c r="C3636" s="222" t="s">
        <v>2052</v>
      </c>
      <c r="D3636" s="222" t="s">
        <v>1963</v>
      </c>
    </row>
    <row r="3637" spans="1:4" x14ac:dyDescent="0.25">
      <c r="A3637" s="222" t="s">
        <v>3776</v>
      </c>
      <c r="B3637" s="222">
        <v>532163</v>
      </c>
      <c r="C3637" s="222" t="s">
        <v>3774</v>
      </c>
      <c r="D3637" s="222" t="s">
        <v>2264</v>
      </c>
    </row>
    <row r="3638" spans="1:4" x14ac:dyDescent="0.25">
      <c r="A3638" s="222" t="s">
        <v>3775</v>
      </c>
      <c r="B3638" s="222">
        <v>532163</v>
      </c>
      <c r="C3638" s="222" t="s">
        <v>3774</v>
      </c>
      <c r="D3638" s="222" t="s">
        <v>2264</v>
      </c>
    </row>
    <row r="3639" spans="1:4" x14ac:dyDescent="0.25">
      <c r="A3639" s="222" t="s">
        <v>3773</v>
      </c>
      <c r="B3639" s="222">
        <v>526885</v>
      </c>
      <c r="C3639" s="222" t="s">
        <v>3772</v>
      </c>
      <c r="D3639" s="222" t="s">
        <v>1237</v>
      </c>
    </row>
    <row r="3640" spans="1:4" x14ac:dyDescent="0.25">
      <c r="A3640" s="222" t="s">
        <v>3771</v>
      </c>
      <c r="B3640" s="222">
        <v>530993</v>
      </c>
      <c r="C3640" s="222" t="s">
        <v>2052</v>
      </c>
      <c r="D3640" s="222" t="s">
        <v>1529</v>
      </c>
    </row>
    <row r="3641" spans="1:4" x14ac:dyDescent="0.25">
      <c r="A3641" s="222" t="s">
        <v>3770</v>
      </c>
      <c r="B3641" s="222">
        <v>531930</v>
      </c>
      <c r="C3641" s="222" t="s">
        <v>2052</v>
      </c>
      <c r="D3641" s="222" t="s">
        <v>1313</v>
      </c>
    </row>
    <row r="3642" spans="1:4" x14ac:dyDescent="0.25">
      <c r="A3642" s="222" t="s">
        <v>3769</v>
      </c>
      <c r="B3642" s="222">
        <v>540393</v>
      </c>
      <c r="C3642" s="222" t="s">
        <v>2052</v>
      </c>
      <c r="D3642" s="222" t="s">
        <v>740</v>
      </c>
    </row>
    <row r="3643" spans="1:4" x14ac:dyDescent="0.25">
      <c r="A3643" s="222" t="s">
        <v>3768</v>
      </c>
      <c r="B3643" s="222">
        <v>514412</v>
      </c>
      <c r="C3643" s="222" t="s">
        <v>2052</v>
      </c>
      <c r="D3643" s="222" t="s">
        <v>1364</v>
      </c>
    </row>
    <row r="3644" spans="1:4" x14ac:dyDescent="0.25">
      <c r="A3644" s="222" t="s">
        <v>3767</v>
      </c>
      <c r="B3644" s="222">
        <v>506190</v>
      </c>
      <c r="C3644" s="222" t="s">
        <v>2052</v>
      </c>
      <c r="D3644" s="222" t="s">
        <v>2068</v>
      </c>
    </row>
    <row r="3645" spans="1:4" x14ac:dyDescent="0.25">
      <c r="A3645" s="222" t="s">
        <v>3766</v>
      </c>
      <c r="B3645" s="222" t="s">
        <v>2052</v>
      </c>
      <c r="C3645" s="222" t="s">
        <v>3765</v>
      </c>
      <c r="D3645" s="222" t="s">
        <v>2050</v>
      </c>
    </row>
    <row r="3646" spans="1:4" x14ac:dyDescent="0.25">
      <c r="A3646" s="222" t="s">
        <v>3764</v>
      </c>
      <c r="B3646" s="222">
        <v>539124</v>
      </c>
      <c r="C3646" s="222" t="s">
        <v>2052</v>
      </c>
      <c r="D3646" s="222" t="s">
        <v>1321</v>
      </c>
    </row>
    <row r="3647" spans="1:4" x14ac:dyDescent="0.25">
      <c r="A3647" s="222" t="s">
        <v>3763</v>
      </c>
      <c r="B3647" s="222">
        <v>506313</v>
      </c>
      <c r="C3647" s="222" t="s">
        <v>2052</v>
      </c>
      <c r="D3647" s="222" t="s">
        <v>2357</v>
      </c>
    </row>
    <row r="3648" spans="1:4" x14ac:dyDescent="0.25">
      <c r="A3648" s="222" t="s">
        <v>3762</v>
      </c>
      <c r="B3648" s="222">
        <v>532663</v>
      </c>
      <c r="C3648" s="222" t="s">
        <v>3761</v>
      </c>
      <c r="D3648" s="222" t="s">
        <v>1265</v>
      </c>
    </row>
    <row r="3649" spans="1:4" x14ac:dyDescent="0.25">
      <c r="A3649" s="222" t="s">
        <v>3760</v>
      </c>
      <c r="B3649" s="222">
        <v>533259</v>
      </c>
      <c r="C3649" s="222" t="s">
        <v>3759</v>
      </c>
      <c r="D3649" s="222" t="s">
        <v>1425</v>
      </c>
    </row>
    <row r="3650" spans="1:4" x14ac:dyDescent="0.25">
      <c r="A3650" s="222" t="s">
        <v>3758</v>
      </c>
      <c r="B3650" s="222">
        <v>511076</v>
      </c>
      <c r="C3650" s="222" t="s">
        <v>2052</v>
      </c>
      <c r="D3650" s="222" t="s">
        <v>1529</v>
      </c>
    </row>
    <row r="3651" spans="1:4" x14ac:dyDescent="0.25">
      <c r="A3651" s="222" t="s">
        <v>3757</v>
      </c>
      <c r="B3651" s="222">
        <v>526093</v>
      </c>
      <c r="C3651" s="222" t="s">
        <v>3756</v>
      </c>
      <c r="D3651" s="222" t="s">
        <v>2167</v>
      </c>
    </row>
    <row r="3652" spans="1:4" x14ac:dyDescent="0.25">
      <c r="A3652" s="222" t="s">
        <v>3755</v>
      </c>
      <c r="B3652" s="222">
        <v>539201</v>
      </c>
      <c r="C3652" s="222" t="s">
        <v>2052</v>
      </c>
      <c r="D3652" s="222" t="s">
        <v>1972</v>
      </c>
    </row>
    <row r="3653" spans="1:4" x14ac:dyDescent="0.25">
      <c r="A3653" s="222" t="s">
        <v>3754</v>
      </c>
      <c r="B3653" s="222">
        <v>539404</v>
      </c>
      <c r="C3653" s="222" t="s">
        <v>3753</v>
      </c>
      <c r="D3653" s="222" t="s">
        <v>1321</v>
      </c>
    </row>
    <row r="3654" spans="1:4" x14ac:dyDescent="0.25">
      <c r="A3654" s="222" t="s">
        <v>3752</v>
      </c>
      <c r="B3654" s="222">
        <v>536592</v>
      </c>
      <c r="C3654" s="222" t="s">
        <v>2052</v>
      </c>
      <c r="D3654" s="222" t="s">
        <v>1321</v>
      </c>
    </row>
    <row r="3655" spans="1:4" x14ac:dyDescent="0.25">
      <c r="A3655" s="222" t="s">
        <v>3751</v>
      </c>
      <c r="B3655" s="222">
        <v>508996</v>
      </c>
      <c r="C3655" s="222" t="s">
        <v>3750</v>
      </c>
      <c r="D3655" s="222" t="s">
        <v>1243</v>
      </c>
    </row>
    <row r="3656" spans="1:4" x14ac:dyDescent="0.25">
      <c r="A3656" s="222" t="s">
        <v>3749</v>
      </c>
      <c r="B3656" s="222">
        <v>503893</v>
      </c>
      <c r="C3656" s="222" t="s">
        <v>2052</v>
      </c>
      <c r="D3656" s="222" t="s">
        <v>1262</v>
      </c>
    </row>
    <row r="3657" spans="1:4" x14ac:dyDescent="0.25">
      <c r="A3657" s="222" t="s">
        <v>3748</v>
      </c>
      <c r="B3657" s="222">
        <v>539218</v>
      </c>
      <c r="C3657" s="222" t="s">
        <v>2052</v>
      </c>
      <c r="D3657" s="222" t="s">
        <v>1321</v>
      </c>
    </row>
    <row r="3658" spans="1:4" x14ac:dyDescent="0.25">
      <c r="A3658" s="222" t="s">
        <v>3747</v>
      </c>
      <c r="B3658" s="222">
        <v>502175</v>
      </c>
      <c r="C3658" s="222" t="s">
        <v>2052</v>
      </c>
      <c r="D3658" s="222" t="s">
        <v>1004</v>
      </c>
    </row>
    <row r="3659" spans="1:4" x14ac:dyDescent="0.25">
      <c r="A3659" s="222" t="s">
        <v>3746</v>
      </c>
      <c r="B3659" s="222">
        <v>511577</v>
      </c>
      <c r="C3659" s="222" t="s">
        <v>2052</v>
      </c>
      <c r="D3659" s="222" t="s">
        <v>1321</v>
      </c>
    </row>
    <row r="3660" spans="1:4" x14ac:dyDescent="0.25">
      <c r="A3660" s="222" t="s">
        <v>3745</v>
      </c>
      <c r="B3660" s="222">
        <v>517320</v>
      </c>
      <c r="C3660" s="222" t="s">
        <v>2052</v>
      </c>
      <c r="D3660" s="222" t="s">
        <v>1275</v>
      </c>
    </row>
    <row r="3661" spans="1:4" x14ac:dyDescent="0.25">
      <c r="A3661" s="222" t="s">
        <v>3744</v>
      </c>
      <c r="B3661" s="222">
        <v>532404</v>
      </c>
      <c r="C3661" s="222" t="s">
        <v>2052</v>
      </c>
      <c r="D3661" s="222" t="s">
        <v>1942</v>
      </c>
    </row>
    <row r="3662" spans="1:4" x14ac:dyDescent="0.25">
      <c r="A3662" s="222" t="s">
        <v>3743</v>
      </c>
      <c r="B3662" s="222">
        <v>512634</v>
      </c>
      <c r="C3662" s="222" t="s">
        <v>2052</v>
      </c>
      <c r="D3662" s="222" t="s">
        <v>2128</v>
      </c>
    </row>
    <row r="3663" spans="1:4" x14ac:dyDescent="0.25">
      <c r="A3663" s="222" t="s">
        <v>3742</v>
      </c>
      <c r="B3663" s="222">
        <v>524667</v>
      </c>
      <c r="C3663" s="222" t="s">
        <v>3741</v>
      </c>
      <c r="D3663" s="222" t="s">
        <v>3740</v>
      </c>
    </row>
    <row r="3664" spans="1:4" x14ac:dyDescent="0.25">
      <c r="A3664" s="222" t="s">
        <v>3739</v>
      </c>
      <c r="B3664" s="222">
        <v>531893</v>
      </c>
      <c r="C3664" s="222" t="s">
        <v>2052</v>
      </c>
      <c r="D3664" s="222" t="s">
        <v>2068</v>
      </c>
    </row>
    <row r="3665" spans="1:4" x14ac:dyDescent="0.25">
      <c r="A3665" s="222" t="s">
        <v>3738</v>
      </c>
      <c r="B3665" s="222">
        <v>523710</v>
      </c>
      <c r="C3665" s="222" t="s">
        <v>2052</v>
      </c>
      <c r="D3665" s="222" t="s">
        <v>2128</v>
      </c>
    </row>
    <row r="3666" spans="1:4" x14ac:dyDescent="0.25">
      <c r="A3666" s="222" t="s">
        <v>3737</v>
      </c>
      <c r="B3666" s="222">
        <v>540728</v>
      </c>
      <c r="C3666" s="222" t="s">
        <v>2052</v>
      </c>
      <c r="D3666" s="222" t="s">
        <v>1318</v>
      </c>
    </row>
    <row r="3667" spans="1:4" x14ac:dyDescent="0.25">
      <c r="A3667" s="222" t="s">
        <v>3736</v>
      </c>
      <c r="B3667" s="222">
        <v>532102</v>
      </c>
      <c r="C3667" s="222" t="s">
        <v>2052</v>
      </c>
      <c r="D3667" s="222" t="s">
        <v>1124</v>
      </c>
    </row>
    <row r="3668" spans="1:4" x14ac:dyDescent="0.25">
      <c r="A3668" s="222" t="s">
        <v>3735</v>
      </c>
      <c r="B3668" s="222">
        <v>540719</v>
      </c>
      <c r="C3668" s="222" t="s">
        <v>3734</v>
      </c>
      <c r="D3668" s="222" t="s">
        <v>746</v>
      </c>
    </row>
    <row r="3669" spans="1:4" x14ac:dyDescent="0.25">
      <c r="A3669" s="222" t="s">
        <v>3733</v>
      </c>
      <c r="B3669" s="222">
        <v>590098</v>
      </c>
      <c r="C3669" s="222" t="s">
        <v>3732</v>
      </c>
      <c r="D3669" s="222" t="s">
        <v>1262</v>
      </c>
    </row>
    <row r="3670" spans="1:4" x14ac:dyDescent="0.25">
      <c r="A3670" s="222" t="s">
        <v>3731</v>
      </c>
      <c r="B3670" s="222">
        <v>526081</v>
      </c>
      <c r="C3670" s="222" t="s">
        <v>3730</v>
      </c>
      <c r="D3670" s="222" t="s">
        <v>1161</v>
      </c>
    </row>
    <row r="3671" spans="1:4" x14ac:dyDescent="0.25">
      <c r="A3671" s="222" t="s">
        <v>3729</v>
      </c>
      <c r="B3671" s="222">
        <v>531797</v>
      </c>
      <c r="C3671" s="222" t="s">
        <v>2052</v>
      </c>
      <c r="D3671" s="222" t="s">
        <v>1004</v>
      </c>
    </row>
    <row r="3672" spans="1:4" x14ac:dyDescent="0.25">
      <c r="A3672" s="222" t="s">
        <v>3728</v>
      </c>
      <c r="B3672" s="222">
        <v>511672</v>
      </c>
      <c r="C3672" s="222" t="s">
        <v>2052</v>
      </c>
      <c r="D3672" s="222" t="s">
        <v>2167</v>
      </c>
    </row>
    <row r="3673" spans="1:4" x14ac:dyDescent="0.25">
      <c r="A3673" s="222" t="s">
        <v>3727</v>
      </c>
      <c r="B3673" s="222">
        <v>516110</v>
      </c>
      <c r="C3673" s="222" t="s">
        <v>3726</v>
      </c>
      <c r="D3673" s="222" t="s">
        <v>1425</v>
      </c>
    </row>
    <row r="3674" spans="1:4" x14ac:dyDescent="0.25">
      <c r="A3674" s="222" t="s">
        <v>3725</v>
      </c>
      <c r="B3674" s="222">
        <v>526544</v>
      </c>
      <c r="C3674" s="222" t="s">
        <v>2052</v>
      </c>
      <c r="D3674" s="222" t="s">
        <v>1278</v>
      </c>
    </row>
    <row r="3675" spans="1:4" x14ac:dyDescent="0.25">
      <c r="A3675" s="222" t="s">
        <v>3724</v>
      </c>
      <c r="B3675" s="222">
        <v>507894</v>
      </c>
      <c r="C3675" s="222" t="s">
        <v>2052</v>
      </c>
      <c r="D3675" s="222" t="s">
        <v>2714</v>
      </c>
    </row>
    <row r="3676" spans="1:4" x14ac:dyDescent="0.25">
      <c r="A3676" s="222" t="s">
        <v>3723</v>
      </c>
      <c r="B3676" s="222">
        <v>507894</v>
      </c>
      <c r="C3676" s="222" t="s">
        <v>2052</v>
      </c>
      <c r="D3676" s="222" t="s">
        <v>2714</v>
      </c>
    </row>
    <row r="3677" spans="1:4" x14ac:dyDescent="0.25">
      <c r="A3677" s="222" t="s">
        <v>3722</v>
      </c>
      <c r="B3677" s="222">
        <v>505790</v>
      </c>
      <c r="C3677" s="222" t="s">
        <v>3720</v>
      </c>
      <c r="D3677" s="222" t="s">
        <v>832</v>
      </c>
    </row>
    <row r="3678" spans="1:4" x14ac:dyDescent="0.25">
      <c r="A3678" s="222" t="s">
        <v>3721</v>
      </c>
      <c r="B3678" s="222">
        <v>505790</v>
      </c>
      <c r="C3678" s="222" t="s">
        <v>3720</v>
      </c>
      <c r="D3678" s="222" t="s">
        <v>832</v>
      </c>
    </row>
    <row r="3679" spans="1:4" x14ac:dyDescent="0.25">
      <c r="A3679" s="222" t="s">
        <v>3719</v>
      </c>
      <c r="B3679" s="222">
        <v>534139</v>
      </c>
      <c r="C3679" s="222" t="s">
        <v>3718</v>
      </c>
      <c r="D3679" s="222" t="s">
        <v>1066</v>
      </c>
    </row>
    <row r="3680" spans="1:4" x14ac:dyDescent="0.25">
      <c r="A3680" s="222" t="s">
        <v>3717</v>
      </c>
      <c r="B3680" s="222">
        <v>538857</v>
      </c>
      <c r="C3680" s="222" t="s">
        <v>2052</v>
      </c>
      <c r="D3680" s="222" t="s">
        <v>1321</v>
      </c>
    </row>
    <row r="3681" spans="1:4" x14ac:dyDescent="0.25">
      <c r="A3681" s="222" t="s">
        <v>3716</v>
      </c>
      <c r="B3681" s="222">
        <v>505141</v>
      </c>
      <c r="C3681" s="222" t="s">
        <v>2052</v>
      </c>
      <c r="D3681" s="222" t="s">
        <v>2582</v>
      </c>
    </row>
    <row r="3682" spans="1:4" x14ac:dyDescent="0.25">
      <c r="A3682" s="222" t="s">
        <v>3715</v>
      </c>
      <c r="B3682" s="222">
        <v>505141</v>
      </c>
      <c r="C3682" s="222" t="s">
        <v>2052</v>
      </c>
      <c r="D3682" s="222" t="s">
        <v>2582</v>
      </c>
    </row>
    <row r="3683" spans="1:4" x14ac:dyDescent="0.25">
      <c r="A3683" s="222" t="s">
        <v>3714</v>
      </c>
      <c r="B3683" s="222">
        <v>530361</v>
      </c>
      <c r="C3683" s="222" t="s">
        <v>2052</v>
      </c>
      <c r="D3683" s="222" t="s">
        <v>1161</v>
      </c>
    </row>
    <row r="3684" spans="1:4" x14ac:dyDescent="0.25">
      <c r="A3684" s="222" t="s">
        <v>3713</v>
      </c>
      <c r="B3684" s="222">
        <v>533268</v>
      </c>
      <c r="C3684" s="222" t="s">
        <v>2052</v>
      </c>
      <c r="D3684" s="222" t="s">
        <v>2079</v>
      </c>
    </row>
    <row r="3685" spans="1:4" x14ac:dyDescent="0.25">
      <c r="A3685" s="222" t="s">
        <v>3712</v>
      </c>
      <c r="B3685" s="222">
        <v>526807</v>
      </c>
      <c r="C3685" s="222" t="s">
        <v>3711</v>
      </c>
      <c r="D3685" s="222" t="s">
        <v>1112</v>
      </c>
    </row>
    <row r="3686" spans="1:4" x14ac:dyDescent="0.25">
      <c r="A3686" s="222" t="s">
        <v>3710</v>
      </c>
      <c r="B3686" s="222">
        <v>521182</v>
      </c>
      <c r="C3686" s="222" t="s">
        <v>2052</v>
      </c>
      <c r="D3686" s="222" t="s">
        <v>1529</v>
      </c>
    </row>
    <row r="3687" spans="1:4" x14ac:dyDescent="0.25">
      <c r="A3687" s="222" t="s">
        <v>3709</v>
      </c>
      <c r="B3687" s="222">
        <v>514264</v>
      </c>
      <c r="C3687" s="222" t="s">
        <v>2052</v>
      </c>
      <c r="D3687" s="222" t="s">
        <v>1237</v>
      </c>
    </row>
    <row r="3688" spans="1:4" x14ac:dyDescent="0.25">
      <c r="A3688" s="222" t="s">
        <v>3708</v>
      </c>
      <c r="B3688" s="222" t="s">
        <v>2052</v>
      </c>
      <c r="C3688" s="222" t="s">
        <v>3707</v>
      </c>
      <c r="D3688" s="222" t="s">
        <v>2050</v>
      </c>
    </row>
    <row r="3689" spans="1:4" x14ac:dyDescent="0.25">
      <c r="A3689" s="222" t="s">
        <v>3706</v>
      </c>
      <c r="B3689" s="222">
        <v>540673</v>
      </c>
      <c r="C3689" s="222" t="s">
        <v>3704</v>
      </c>
      <c r="D3689" s="222" t="s">
        <v>2870</v>
      </c>
    </row>
    <row r="3690" spans="1:4" x14ac:dyDescent="0.25">
      <c r="A3690" s="222" t="s">
        <v>3705</v>
      </c>
      <c r="B3690" s="222">
        <v>540673</v>
      </c>
      <c r="C3690" s="222" t="s">
        <v>3704</v>
      </c>
      <c r="D3690" s="222" t="s">
        <v>2870</v>
      </c>
    </row>
    <row r="3691" spans="1:4" x14ac:dyDescent="0.25">
      <c r="A3691" s="222" t="s">
        <v>3703</v>
      </c>
      <c r="B3691" s="222">
        <v>532886</v>
      </c>
      <c r="C3691" s="222" t="s">
        <v>3702</v>
      </c>
      <c r="D3691" s="222" t="s">
        <v>1237</v>
      </c>
    </row>
    <row r="3692" spans="1:4" x14ac:dyDescent="0.25">
      <c r="A3692" s="222" t="s">
        <v>3701</v>
      </c>
      <c r="B3692" s="222">
        <v>530075</v>
      </c>
      <c r="C3692" s="222" t="s">
        <v>3700</v>
      </c>
      <c r="D3692" s="222" t="s">
        <v>3699</v>
      </c>
    </row>
    <row r="3693" spans="1:4" x14ac:dyDescent="0.25">
      <c r="A3693" s="222" t="s">
        <v>3698</v>
      </c>
      <c r="B3693" s="222">
        <v>538875</v>
      </c>
      <c r="C3693" s="222" t="s">
        <v>2052</v>
      </c>
      <c r="D3693" s="222" t="s">
        <v>2068</v>
      </c>
    </row>
    <row r="3694" spans="1:4" x14ac:dyDescent="0.25">
      <c r="A3694" s="222" t="s">
        <v>3697</v>
      </c>
      <c r="B3694" s="222">
        <v>532021</v>
      </c>
      <c r="C3694" s="222" t="s">
        <v>2052</v>
      </c>
      <c r="D3694" s="222" t="s">
        <v>789</v>
      </c>
    </row>
    <row r="3695" spans="1:4" x14ac:dyDescent="0.25">
      <c r="A3695" s="222" t="s">
        <v>3696</v>
      </c>
      <c r="B3695" s="222">
        <v>531980</v>
      </c>
      <c r="C3695" s="222" t="s">
        <v>2052</v>
      </c>
      <c r="D3695" s="222" t="s">
        <v>1265</v>
      </c>
    </row>
    <row r="3696" spans="1:4" x14ac:dyDescent="0.25">
      <c r="A3696" s="222" t="s">
        <v>3695</v>
      </c>
      <c r="B3696" s="222">
        <v>512529</v>
      </c>
      <c r="C3696" s="222" t="s">
        <v>3694</v>
      </c>
      <c r="D3696" s="222" t="s">
        <v>789</v>
      </c>
    </row>
    <row r="3697" spans="1:4" x14ac:dyDescent="0.25">
      <c r="A3697" s="222" t="s">
        <v>3693</v>
      </c>
      <c r="B3697" s="222" t="s">
        <v>2052</v>
      </c>
      <c r="C3697" s="222" t="s">
        <v>3692</v>
      </c>
      <c r="D3697" s="222" t="s">
        <v>2050</v>
      </c>
    </row>
    <row r="3698" spans="1:4" x14ac:dyDescent="0.25">
      <c r="A3698" s="222" t="s">
        <v>3691</v>
      </c>
      <c r="B3698" s="222">
        <v>502450</v>
      </c>
      <c r="C3698" s="222" t="s">
        <v>3690</v>
      </c>
      <c r="D3698" s="222" t="s">
        <v>1972</v>
      </c>
    </row>
    <row r="3699" spans="1:4" x14ac:dyDescent="0.25">
      <c r="A3699" s="222" t="s">
        <v>3689</v>
      </c>
      <c r="B3699" s="222">
        <v>505075</v>
      </c>
      <c r="C3699" s="222" t="s">
        <v>3688</v>
      </c>
      <c r="D3699" s="222" t="s">
        <v>1306</v>
      </c>
    </row>
    <row r="3700" spans="1:4" x14ac:dyDescent="0.25">
      <c r="A3700" s="222" t="s">
        <v>3687</v>
      </c>
      <c r="B3700" s="222">
        <v>511760</v>
      </c>
      <c r="C3700" s="222" t="s">
        <v>2052</v>
      </c>
      <c r="D3700" s="222" t="s">
        <v>1321</v>
      </c>
    </row>
    <row r="3701" spans="1:4" x14ac:dyDescent="0.25">
      <c r="A3701" s="222" t="s">
        <v>3686</v>
      </c>
      <c r="B3701" s="222">
        <v>524324</v>
      </c>
      <c r="C3701" s="222" t="s">
        <v>2052</v>
      </c>
      <c r="D3701" s="222" t="s">
        <v>722</v>
      </c>
    </row>
    <row r="3702" spans="1:4" x14ac:dyDescent="0.25">
      <c r="A3702" s="222" t="s">
        <v>3685</v>
      </c>
      <c r="B3702" s="222">
        <v>532993</v>
      </c>
      <c r="C3702" s="222" t="s">
        <v>3684</v>
      </c>
      <c r="D3702" s="222" t="s">
        <v>2357</v>
      </c>
    </row>
    <row r="3703" spans="1:4" x14ac:dyDescent="0.25">
      <c r="A3703" s="222" t="s">
        <v>3683</v>
      </c>
      <c r="B3703" s="222">
        <v>530867</v>
      </c>
      <c r="C3703" s="222" t="s">
        <v>2052</v>
      </c>
      <c r="D3703" s="222" t="s">
        <v>1262</v>
      </c>
    </row>
    <row r="3704" spans="1:4" x14ac:dyDescent="0.25">
      <c r="A3704" s="222" t="s">
        <v>3682</v>
      </c>
      <c r="B3704" s="222">
        <v>524546</v>
      </c>
      <c r="C3704" s="222" t="s">
        <v>2052</v>
      </c>
      <c r="D3704" s="222" t="s">
        <v>789</v>
      </c>
    </row>
    <row r="3705" spans="1:4" x14ac:dyDescent="0.25">
      <c r="A3705" s="222" t="s">
        <v>3681</v>
      </c>
      <c r="B3705" s="222">
        <v>513436</v>
      </c>
      <c r="C3705" s="222" t="s">
        <v>3680</v>
      </c>
      <c r="D3705" s="222" t="s">
        <v>2167</v>
      </c>
    </row>
    <row r="3706" spans="1:4" x14ac:dyDescent="0.25">
      <c r="A3706" s="222" t="s">
        <v>3679</v>
      </c>
      <c r="B3706" s="222">
        <v>509870</v>
      </c>
      <c r="C3706" s="222" t="s">
        <v>2052</v>
      </c>
      <c r="D3706" s="222" t="s">
        <v>1243</v>
      </c>
    </row>
    <row r="3707" spans="1:4" x14ac:dyDescent="0.25">
      <c r="A3707" s="222" t="s">
        <v>3678</v>
      </c>
      <c r="B3707" s="222">
        <v>519031</v>
      </c>
      <c r="C3707" s="222" t="s">
        <v>2052</v>
      </c>
      <c r="D3707" s="222" t="s">
        <v>1161</v>
      </c>
    </row>
    <row r="3708" spans="1:4" x14ac:dyDescent="0.25">
      <c r="A3708" s="222" t="s">
        <v>3677</v>
      </c>
      <c r="B3708" s="222">
        <v>526508</v>
      </c>
      <c r="C3708" s="222" t="s">
        <v>2052</v>
      </c>
      <c r="D3708" s="222" t="s">
        <v>1112</v>
      </c>
    </row>
    <row r="3709" spans="1:4" x14ac:dyDescent="0.25">
      <c r="A3709" s="222" t="s">
        <v>3676</v>
      </c>
      <c r="B3709" s="222">
        <v>539520</v>
      </c>
      <c r="C3709" s="222" t="s">
        <v>2052</v>
      </c>
      <c r="D3709" s="222" t="s">
        <v>1529</v>
      </c>
    </row>
    <row r="3710" spans="1:4" x14ac:dyDescent="0.25">
      <c r="A3710" s="222" t="s">
        <v>3675</v>
      </c>
      <c r="B3710" s="222">
        <v>501423</v>
      </c>
      <c r="C3710" s="222" t="s">
        <v>2052</v>
      </c>
      <c r="D3710" s="222" t="s">
        <v>1251</v>
      </c>
    </row>
    <row r="3711" spans="1:4" x14ac:dyDescent="0.25">
      <c r="A3711" s="222" t="s">
        <v>3674</v>
      </c>
      <c r="B3711" s="222" t="s">
        <v>2052</v>
      </c>
      <c r="C3711" s="222" t="s">
        <v>3673</v>
      </c>
      <c r="D3711" s="222" t="s">
        <v>2050</v>
      </c>
    </row>
    <row r="3712" spans="1:4" x14ac:dyDescent="0.25">
      <c r="A3712" s="222" t="s">
        <v>3672</v>
      </c>
      <c r="B3712" s="222">
        <v>531431</v>
      </c>
      <c r="C3712" s="222" t="s">
        <v>3670</v>
      </c>
      <c r="D3712" s="222" t="s">
        <v>832</v>
      </c>
    </row>
    <row r="3713" spans="1:4" x14ac:dyDescent="0.25">
      <c r="A3713" s="222" t="s">
        <v>3671</v>
      </c>
      <c r="B3713" s="222">
        <v>531431</v>
      </c>
      <c r="C3713" s="222" t="s">
        <v>3670</v>
      </c>
      <c r="D3713" s="222" t="s">
        <v>832</v>
      </c>
    </row>
    <row r="3714" spans="1:4" x14ac:dyDescent="0.25">
      <c r="A3714" s="222" t="s">
        <v>3669</v>
      </c>
      <c r="B3714" s="222">
        <v>540797</v>
      </c>
      <c r="C3714" s="222" t="s">
        <v>3668</v>
      </c>
      <c r="D3714" s="222" t="s">
        <v>1297</v>
      </c>
    </row>
    <row r="3715" spans="1:4" x14ac:dyDescent="0.25">
      <c r="A3715" s="222" t="s">
        <v>3667</v>
      </c>
      <c r="B3715" s="222">
        <v>511754</v>
      </c>
      <c r="C3715" s="222" t="s">
        <v>2052</v>
      </c>
      <c r="D3715" s="222" t="s">
        <v>1321</v>
      </c>
    </row>
    <row r="3716" spans="1:4" x14ac:dyDescent="0.25">
      <c r="A3716" s="222" t="s">
        <v>3666</v>
      </c>
      <c r="B3716" s="222">
        <v>539895</v>
      </c>
      <c r="C3716" s="222" t="s">
        <v>2052</v>
      </c>
      <c r="D3716" s="222" t="s">
        <v>1262</v>
      </c>
    </row>
    <row r="3717" spans="1:4" x14ac:dyDescent="0.25">
      <c r="A3717" s="222" t="s">
        <v>3665</v>
      </c>
      <c r="B3717" s="222">
        <v>509874</v>
      </c>
      <c r="C3717" s="222" t="s">
        <v>3664</v>
      </c>
      <c r="D3717" s="222" t="s">
        <v>2714</v>
      </c>
    </row>
    <row r="3718" spans="1:4" x14ac:dyDescent="0.25">
      <c r="A3718" s="222" t="s">
        <v>3663</v>
      </c>
      <c r="B3718" s="222">
        <v>512499</v>
      </c>
      <c r="C3718" s="222" t="s">
        <v>2052</v>
      </c>
      <c r="D3718" s="222" t="s">
        <v>1262</v>
      </c>
    </row>
    <row r="3719" spans="1:4" x14ac:dyDescent="0.25">
      <c r="A3719" s="222" t="s">
        <v>3662</v>
      </c>
      <c r="B3719" s="222">
        <v>532455</v>
      </c>
      <c r="C3719" s="222" t="s">
        <v>2052</v>
      </c>
      <c r="D3719" s="222" t="s">
        <v>3661</v>
      </c>
    </row>
    <row r="3720" spans="1:4" x14ac:dyDescent="0.25">
      <c r="A3720" s="222" t="s">
        <v>3660</v>
      </c>
      <c r="B3720" s="222">
        <v>540259</v>
      </c>
      <c r="C3720" s="222" t="s">
        <v>2052</v>
      </c>
      <c r="D3720" s="222" t="s">
        <v>2870</v>
      </c>
    </row>
    <row r="3721" spans="1:4" x14ac:dyDescent="0.25">
      <c r="A3721" s="222" t="s">
        <v>3659</v>
      </c>
      <c r="B3721" s="222">
        <v>542232</v>
      </c>
      <c r="C3721" s="222" t="s">
        <v>3658</v>
      </c>
      <c r="D3721" s="222" t="s">
        <v>2156</v>
      </c>
    </row>
    <row r="3722" spans="1:4" x14ac:dyDescent="0.25">
      <c r="A3722" s="222" t="s">
        <v>3657</v>
      </c>
      <c r="B3722" s="222">
        <v>540425</v>
      </c>
      <c r="C3722" s="222" t="s">
        <v>3656</v>
      </c>
      <c r="D3722" s="222" t="s">
        <v>740</v>
      </c>
    </row>
    <row r="3723" spans="1:4" x14ac:dyDescent="0.25">
      <c r="A3723" s="222" t="s">
        <v>3655</v>
      </c>
      <c r="B3723" s="222">
        <v>512297</v>
      </c>
      <c r="C3723" s="222" t="s">
        <v>2052</v>
      </c>
      <c r="D3723" s="222" t="s">
        <v>832</v>
      </c>
    </row>
    <row r="3724" spans="1:4" x14ac:dyDescent="0.25">
      <c r="A3724" s="222" t="s">
        <v>3654</v>
      </c>
      <c r="B3724" s="222">
        <v>531925</v>
      </c>
      <c r="C3724" s="222" t="s">
        <v>2052</v>
      </c>
      <c r="D3724" s="222" t="s">
        <v>1161</v>
      </c>
    </row>
    <row r="3725" spans="1:4" x14ac:dyDescent="0.25">
      <c r="A3725" s="222" t="s">
        <v>3653</v>
      </c>
      <c r="B3725" s="222">
        <v>522034</v>
      </c>
      <c r="C3725" s="222" t="s">
        <v>3652</v>
      </c>
      <c r="D3725" s="222" t="s">
        <v>1306</v>
      </c>
    </row>
    <row r="3726" spans="1:4" x14ac:dyDescent="0.25">
      <c r="A3726" s="222" t="s">
        <v>3651</v>
      </c>
      <c r="B3726" s="222">
        <v>539921</v>
      </c>
      <c r="C3726" s="222" t="s">
        <v>2052</v>
      </c>
      <c r="D3726" s="222" t="s">
        <v>854</v>
      </c>
    </row>
    <row r="3727" spans="1:4" x14ac:dyDescent="0.25">
      <c r="A3727" s="222" t="s">
        <v>3650</v>
      </c>
      <c r="B3727" s="222" t="s">
        <v>2052</v>
      </c>
      <c r="C3727" s="222" t="s">
        <v>3648</v>
      </c>
      <c r="D3727" s="222" t="s">
        <v>2050</v>
      </c>
    </row>
    <row r="3728" spans="1:4" x14ac:dyDescent="0.25">
      <c r="A3728" s="222" t="s">
        <v>3649</v>
      </c>
      <c r="B3728" s="222" t="s">
        <v>2052</v>
      </c>
      <c r="C3728" s="222" t="s">
        <v>3648</v>
      </c>
      <c r="D3728" s="222" t="s">
        <v>2050</v>
      </c>
    </row>
    <row r="3729" spans="1:4" x14ac:dyDescent="0.25">
      <c r="A3729" s="222" t="s">
        <v>3647</v>
      </c>
      <c r="B3729" s="222">
        <v>514402</v>
      </c>
      <c r="C3729" s="222" t="s">
        <v>2052</v>
      </c>
      <c r="D3729" s="222" t="s">
        <v>1237</v>
      </c>
    </row>
    <row r="3730" spans="1:4" x14ac:dyDescent="0.25">
      <c r="A3730" s="222" t="s">
        <v>3646</v>
      </c>
      <c r="B3730" s="222">
        <v>539584</v>
      </c>
      <c r="C3730" s="222" t="s">
        <v>2052</v>
      </c>
      <c r="D3730" s="222" t="s">
        <v>1529</v>
      </c>
    </row>
    <row r="3731" spans="1:4" x14ac:dyDescent="0.25">
      <c r="A3731" s="222" t="s">
        <v>3645</v>
      </c>
      <c r="B3731" s="222">
        <v>538666</v>
      </c>
      <c r="C3731" s="222" t="s">
        <v>3644</v>
      </c>
      <c r="D3731" s="222" t="s">
        <v>1324</v>
      </c>
    </row>
    <row r="3732" spans="1:4" x14ac:dyDescent="0.25">
      <c r="A3732" s="222" t="s">
        <v>3643</v>
      </c>
      <c r="B3732" s="222">
        <v>513548</v>
      </c>
      <c r="C3732" s="222" t="s">
        <v>2052</v>
      </c>
      <c r="D3732" s="222" t="s">
        <v>2167</v>
      </c>
    </row>
    <row r="3733" spans="1:4" x14ac:dyDescent="0.25">
      <c r="A3733" s="222" t="s">
        <v>3642</v>
      </c>
      <c r="B3733" s="222">
        <v>535602</v>
      </c>
      <c r="C3733" s="222" t="s">
        <v>3641</v>
      </c>
      <c r="D3733" s="222" t="s">
        <v>1306</v>
      </c>
    </row>
    <row r="3734" spans="1:4" x14ac:dyDescent="0.25">
      <c r="A3734" s="222" t="s">
        <v>3640</v>
      </c>
      <c r="B3734" s="222">
        <v>512393</v>
      </c>
      <c r="C3734" s="222" t="s">
        <v>2052</v>
      </c>
      <c r="D3734" s="222" t="s">
        <v>1262</v>
      </c>
    </row>
    <row r="3735" spans="1:4" x14ac:dyDescent="0.25">
      <c r="A3735" s="222" t="s">
        <v>3639</v>
      </c>
      <c r="B3735" s="222">
        <v>540725</v>
      </c>
      <c r="C3735" s="222" t="s">
        <v>2052</v>
      </c>
      <c r="D3735" s="222" t="s">
        <v>1262</v>
      </c>
    </row>
    <row r="3736" spans="1:4" x14ac:dyDescent="0.25">
      <c r="A3736" s="222" t="s">
        <v>3638</v>
      </c>
      <c r="B3736" s="222">
        <v>540786</v>
      </c>
      <c r="C3736" s="222" t="s">
        <v>2052</v>
      </c>
      <c r="D3736" s="222" t="s">
        <v>1275</v>
      </c>
    </row>
    <row r="3737" spans="1:4" x14ac:dyDescent="0.25">
      <c r="A3737" s="222" t="s">
        <v>3637</v>
      </c>
      <c r="B3737" s="222">
        <v>532908</v>
      </c>
      <c r="C3737" s="222" t="s">
        <v>3636</v>
      </c>
      <c r="D3737" s="222" t="s">
        <v>789</v>
      </c>
    </row>
    <row r="3738" spans="1:4" x14ac:dyDescent="0.25">
      <c r="A3738" s="222" t="s">
        <v>3635</v>
      </c>
      <c r="B3738" s="222">
        <v>523449</v>
      </c>
      <c r="C3738" s="222" t="s">
        <v>2052</v>
      </c>
      <c r="D3738" s="222" t="s">
        <v>950</v>
      </c>
    </row>
    <row r="3739" spans="1:4" x14ac:dyDescent="0.25">
      <c r="A3739" s="222" t="s">
        <v>3634</v>
      </c>
      <c r="B3739" s="222">
        <v>523449</v>
      </c>
      <c r="C3739" s="222" t="s">
        <v>2052</v>
      </c>
      <c r="D3739" s="222" t="s">
        <v>950</v>
      </c>
    </row>
    <row r="3740" spans="1:4" x14ac:dyDescent="0.25">
      <c r="A3740" s="222" t="s">
        <v>3633</v>
      </c>
      <c r="B3740" s="222">
        <v>538212</v>
      </c>
      <c r="C3740" s="222" t="s">
        <v>2052</v>
      </c>
      <c r="D3740" s="222" t="s">
        <v>1321</v>
      </c>
    </row>
    <row r="3741" spans="1:4" x14ac:dyDescent="0.25">
      <c r="A3741" s="222" t="s">
        <v>3632</v>
      </c>
      <c r="B3741" s="222">
        <v>540221</v>
      </c>
      <c r="C3741" s="222" t="s">
        <v>2052</v>
      </c>
      <c r="D3741" s="222" t="s">
        <v>1529</v>
      </c>
    </row>
    <row r="3742" spans="1:4" x14ac:dyDescent="0.25">
      <c r="A3742" s="222" t="s">
        <v>3631</v>
      </c>
      <c r="B3742" s="222">
        <v>540147</v>
      </c>
      <c r="C3742" s="222" t="s">
        <v>2052</v>
      </c>
      <c r="D3742" s="222" t="s">
        <v>1248</v>
      </c>
    </row>
    <row r="3743" spans="1:4" x14ac:dyDescent="0.25">
      <c r="A3743" s="222" t="s">
        <v>3630</v>
      </c>
      <c r="B3743" s="222">
        <v>540203</v>
      </c>
      <c r="C3743" s="222" t="s">
        <v>3629</v>
      </c>
      <c r="D3743" s="222" t="s">
        <v>2714</v>
      </c>
    </row>
    <row r="3744" spans="1:4" x14ac:dyDescent="0.25">
      <c r="A3744" s="222" t="s">
        <v>3628</v>
      </c>
      <c r="B3744" s="222">
        <v>540757</v>
      </c>
      <c r="C3744" s="222" t="s">
        <v>2052</v>
      </c>
      <c r="D3744" s="222" t="s">
        <v>1161</v>
      </c>
    </row>
    <row r="3745" spans="1:4" x14ac:dyDescent="0.25">
      <c r="A3745" s="222" t="s">
        <v>3627</v>
      </c>
      <c r="B3745" s="222">
        <v>530525</v>
      </c>
      <c r="C3745" s="222" t="s">
        <v>2052</v>
      </c>
      <c r="D3745" s="222" t="s">
        <v>1364</v>
      </c>
    </row>
    <row r="3746" spans="1:4" x14ac:dyDescent="0.25">
      <c r="A3746" s="222" t="s">
        <v>3626</v>
      </c>
      <c r="B3746" s="222">
        <v>533301</v>
      </c>
      <c r="C3746" s="222" t="s">
        <v>3625</v>
      </c>
      <c r="D3746" s="222" t="s">
        <v>1237</v>
      </c>
    </row>
    <row r="3747" spans="1:4" x14ac:dyDescent="0.25">
      <c r="A3747" s="222" t="s">
        <v>3624</v>
      </c>
      <c r="B3747" s="222">
        <v>526839</v>
      </c>
      <c r="C3747" s="222" t="s">
        <v>2052</v>
      </c>
      <c r="D3747" s="222" t="s">
        <v>1248</v>
      </c>
    </row>
    <row r="3748" spans="1:4" x14ac:dyDescent="0.25">
      <c r="A3748" s="222" t="s">
        <v>3623</v>
      </c>
      <c r="B3748" s="222">
        <v>538685</v>
      </c>
      <c r="C3748" s="222" t="s">
        <v>3622</v>
      </c>
      <c r="D3748" s="222" t="s">
        <v>2264</v>
      </c>
    </row>
    <row r="3749" spans="1:4" x14ac:dyDescent="0.25">
      <c r="A3749" s="222" t="s">
        <v>3621</v>
      </c>
      <c r="B3749" s="222">
        <v>512367</v>
      </c>
      <c r="C3749" s="222" t="s">
        <v>2052</v>
      </c>
      <c r="D3749" s="222" t="s">
        <v>1262</v>
      </c>
    </row>
    <row r="3750" spans="1:4" x14ac:dyDescent="0.25">
      <c r="A3750" s="222" t="s">
        <v>3620</v>
      </c>
      <c r="B3750" s="222">
        <v>526117</v>
      </c>
      <c r="C3750" s="222" t="s">
        <v>2052</v>
      </c>
      <c r="D3750" s="222" t="s">
        <v>2696</v>
      </c>
    </row>
    <row r="3751" spans="1:4" x14ac:dyDescent="0.25">
      <c r="A3751" s="222" t="s">
        <v>3619</v>
      </c>
      <c r="B3751" s="222">
        <v>539111</v>
      </c>
      <c r="C3751" s="222" t="s">
        <v>2052</v>
      </c>
      <c r="D3751" s="222" t="s">
        <v>1237</v>
      </c>
    </row>
    <row r="3752" spans="1:4" x14ac:dyDescent="0.25">
      <c r="A3752" s="222" t="s">
        <v>3618</v>
      </c>
      <c r="B3752" s="222">
        <v>526137</v>
      </c>
      <c r="C3752" s="222" t="s">
        <v>2052</v>
      </c>
      <c r="D3752" s="222" t="s">
        <v>1447</v>
      </c>
    </row>
    <row r="3753" spans="1:4" x14ac:dyDescent="0.25">
      <c r="A3753" s="222" t="s">
        <v>3617</v>
      </c>
      <c r="B3753" s="222">
        <v>507952</v>
      </c>
      <c r="C3753" s="222" t="s">
        <v>2052</v>
      </c>
      <c r="D3753" s="222" t="s">
        <v>1321</v>
      </c>
    </row>
    <row r="3754" spans="1:4" x14ac:dyDescent="0.25">
      <c r="A3754" s="222" t="s">
        <v>3616</v>
      </c>
      <c r="B3754" s="222">
        <v>531201</v>
      </c>
      <c r="C3754" s="222" t="s">
        <v>2052</v>
      </c>
      <c r="D3754" s="222" t="s">
        <v>1275</v>
      </c>
    </row>
    <row r="3755" spans="1:4" x14ac:dyDescent="0.25">
      <c r="A3755" s="222" t="s">
        <v>3615</v>
      </c>
      <c r="B3755" s="222">
        <v>513709</v>
      </c>
      <c r="C3755" s="222" t="s">
        <v>2052</v>
      </c>
      <c r="D3755" s="222" t="s">
        <v>832</v>
      </c>
    </row>
    <row r="3756" spans="1:4" x14ac:dyDescent="0.25">
      <c r="A3756" s="222" t="s">
        <v>3614</v>
      </c>
      <c r="B3756" s="222">
        <v>530549</v>
      </c>
      <c r="C3756" s="222" t="s">
        <v>3613</v>
      </c>
      <c r="D3756" s="222" t="s">
        <v>789</v>
      </c>
    </row>
    <row r="3757" spans="1:4" x14ac:dyDescent="0.25">
      <c r="A3757" s="222" t="s">
        <v>3612</v>
      </c>
      <c r="B3757" s="222">
        <v>533389</v>
      </c>
      <c r="C3757" s="222" t="s">
        <v>3611</v>
      </c>
      <c r="D3757" s="222" t="s">
        <v>1275</v>
      </c>
    </row>
    <row r="3758" spans="1:4" x14ac:dyDescent="0.25">
      <c r="A3758" s="222" t="s">
        <v>3610</v>
      </c>
      <c r="B3758" s="222">
        <v>523598</v>
      </c>
      <c r="C3758" s="222" t="s">
        <v>3608</v>
      </c>
      <c r="D3758" s="222" t="s">
        <v>1112</v>
      </c>
    </row>
    <row r="3759" spans="1:4" x14ac:dyDescent="0.25">
      <c r="A3759" s="222" t="s">
        <v>3609</v>
      </c>
      <c r="B3759" s="222">
        <v>523598</v>
      </c>
      <c r="C3759" s="222" t="s">
        <v>3608</v>
      </c>
      <c r="D3759" s="222" t="s">
        <v>1112</v>
      </c>
    </row>
    <row r="3760" spans="1:4" x14ac:dyDescent="0.25">
      <c r="A3760" s="222" t="s">
        <v>3607</v>
      </c>
      <c r="B3760" s="222">
        <v>512289</v>
      </c>
      <c r="C3760" s="222" t="s">
        <v>3606</v>
      </c>
      <c r="D3760" s="222" t="s">
        <v>3218</v>
      </c>
    </row>
    <row r="3761" spans="1:4" x14ac:dyDescent="0.25">
      <c r="A3761" s="222" t="s">
        <v>3605</v>
      </c>
      <c r="B3761" s="222">
        <v>540693</v>
      </c>
      <c r="C3761" s="222" t="s">
        <v>2052</v>
      </c>
      <c r="D3761" s="222" t="s">
        <v>1251</v>
      </c>
    </row>
    <row r="3762" spans="1:4" x14ac:dyDescent="0.25">
      <c r="A3762" s="222" t="s">
        <v>3604</v>
      </c>
      <c r="B3762" s="222">
        <v>532323</v>
      </c>
      <c r="C3762" s="222" t="s">
        <v>2052</v>
      </c>
      <c r="D3762" s="222" t="s">
        <v>1004</v>
      </c>
    </row>
    <row r="3763" spans="1:4" x14ac:dyDescent="0.25">
      <c r="A3763" s="222" t="s">
        <v>3603</v>
      </c>
      <c r="B3763" s="222">
        <v>530433</v>
      </c>
      <c r="C3763" s="222" t="s">
        <v>2052</v>
      </c>
      <c r="D3763" s="222" t="s">
        <v>734</v>
      </c>
    </row>
    <row r="3764" spans="1:4" x14ac:dyDescent="0.25">
      <c r="A3764" s="222" t="s">
        <v>3602</v>
      </c>
      <c r="B3764" s="222">
        <v>540072</v>
      </c>
      <c r="C3764" s="222" t="s">
        <v>2052</v>
      </c>
      <c r="D3764" s="222" t="s">
        <v>2357</v>
      </c>
    </row>
    <row r="3765" spans="1:4" x14ac:dyDescent="0.25">
      <c r="A3765" s="222" t="s">
        <v>3601</v>
      </c>
      <c r="B3765" s="222">
        <v>524602</v>
      </c>
      <c r="C3765" s="222" t="s">
        <v>3600</v>
      </c>
      <c r="D3765" s="222" t="s">
        <v>1425</v>
      </c>
    </row>
    <row r="3766" spans="1:4" x14ac:dyDescent="0.25">
      <c r="A3766" s="222" t="s">
        <v>3599</v>
      </c>
      <c r="B3766" s="222">
        <v>540961</v>
      </c>
      <c r="C3766" s="222" t="s">
        <v>3598</v>
      </c>
      <c r="D3766" s="222" t="s">
        <v>1237</v>
      </c>
    </row>
    <row r="3767" spans="1:4" x14ac:dyDescent="0.25">
      <c r="A3767" s="222" t="s">
        <v>3597</v>
      </c>
      <c r="B3767" s="222">
        <v>521003</v>
      </c>
      <c r="C3767" s="222" t="s">
        <v>2052</v>
      </c>
      <c r="D3767" s="222" t="s">
        <v>1529</v>
      </c>
    </row>
    <row r="3768" spans="1:4" x14ac:dyDescent="0.25">
      <c r="A3768" s="222" t="s">
        <v>3596</v>
      </c>
      <c r="B3768" s="222">
        <v>511108</v>
      </c>
      <c r="C3768" s="222" t="s">
        <v>3595</v>
      </c>
      <c r="D3768" s="222" t="s">
        <v>1237</v>
      </c>
    </row>
    <row r="3769" spans="1:4" x14ac:dyDescent="0.25">
      <c r="A3769" s="222" t="s">
        <v>3594</v>
      </c>
      <c r="B3769" s="222">
        <v>522237</v>
      </c>
      <c r="C3769" s="222" t="s">
        <v>2052</v>
      </c>
      <c r="D3769" s="222" t="s">
        <v>832</v>
      </c>
    </row>
    <row r="3770" spans="1:4" x14ac:dyDescent="0.25">
      <c r="A3770" s="222" t="s">
        <v>3593</v>
      </c>
      <c r="B3770" s="222">
        <v>513097</v>
      </c>
      <c r="C3770" s="222" t="s">
        <v>2052</v>
      </c>
      <c r="D3770" s="222" t="s">
        <v>2062</v>
      </c>
    </row>
    <row r="3771" spans="1:4" x14ac:dyDescent="0.25">
      <c r="A3771" s="222" t="s">
        <v>3592</v>
      </c>
      <c r="B3771" s="222">
        <v>539148</v>
      </c>
      <c r="C3771" s="222" t="s">
        <v>2052</v>
      </c>
      <c r="D3771" s="222" t="s">
        <v>1324</v>
      </c>
    </row>
    <row r="3772" spans="1:4" x14ac:dyDescent="0.25">
      <c r="A3772" s="222" t="s">
        <v>3591</v>
      </c>
      <c r="B3772" s="222">
        <v>532776</v>
      </c>
      <c r="C3772" s="222" t="s">
        <v>3590</v>
      </c>
      <c r="D3772" s="222" t="s">
        <v>1306</v>
      </c>
    </row>
    <row r="3773" spans="1:4" x14ac:dyDescent="0.25">
      <c r="A3773" s="222" t="s">
        <v>3589</v>
      </c>
      <c r="B3773" s="222">
        <v>539593</v>
      </c>
      <c r="C3773" s="222" t="s">
        <v>2052</v>
      </c>
      <c r="D3773" s="222" t="s">
        <v>1262</v>
      </c>
    </row>
    <row r="3774" spans="1:4" x14ac:dyDescent="0.25">
      <c r="A3774" s="222" t="s">
        <v>3588</v>
      </c>
      <c r="B3774" s="222">
        <v>539683</v>
      </c>
      <c r="C3774" s="222" t="s">
        <v>2052</v>
      </c>
      <c r="D3774" s="222" t="s">
        <v>1321</v>
      </c>
    </row>
    <row r="3775" spans="1:4" x14ac:dyDescent="0.25">
      <c r="A3775" s="222" t="s">
        <v>3587</v>
      </c>
      <c r="B3775" s="222">
        <v>539833</v>
      </c>
      <c r="C3775" s="222" t="s">
        <v>2052</v>
      </c>
      <c r="D3775" s="222" t="s">
        <v>1321</v>
      </c>
    </row>
    <row r="3776" spans="1:4" x14ac:dyDescent="0.25">
      <c r="A3776" s="222" t="s">
        <v>3586</v>
      </c>
      <c r="B3776" s="222">
        <v>532638</v>
      </c>
      <c r="C3776" s="222" t="s">
        <v>3585</v>
      </c>
      <c r="D3776" s="222" t="s">
        <v>2247</v>
      </c>
    </row>
    <row r="3777" spans="1:4" x14ac:dyDescent="0.25">
      <c r="A3777" s="222" t="s">
        <v>3584</v>
      </c>
      <c r="B3777" s="222" t="s">
        <v>2052</v>
      </c>
      <c r="C3777" s="222" t="s">
        <v>3583</v>
      </c>
      <c r="D3777" s="222" t="s">
        <v>2050</v>
      </c>
    </row>
    <row r="3778" spans="1:4" x14ac:dyDescent="0.25">
      <c r="A3778" s="222" t="s">
        <v>3582</v>
      </c>
      <c r="B3778" s="222">
        <v>538795</v>
      </c>
      <c r="C3778" s="222" t="s">
        <v>2052</v>
      </c>
      <c r="D3778" s="222" t="s">
        <v>1972</v>
      </c>
    </row>
    <row r="3779" spans="1:4" x14ac:dyDescent="0.25">
      <c r="A3779" s="222" t="s">
        <v>3581</v>
      </c>
      <c r="B3779" s="222">
        <v>521131</v>
      </c>
      <c r="C3779" s="222" t="s">
        <v>2052</v>
      </c>
      <c r="D3779" s="222" t="s">
        <v>1237</v>
      </c>
    </row>
    <row r="3780" spans="1:4" x14ac:dyDescent="0.25">
      <c r="A3780" s="222" t="s">
        <v>3580</v>
      </c>
      <c r="B3780" s="222">
        <v>502563</v>
      </c>
      <c r="C3780" s="222" t="s">
        <v>2052</v>
      </c>
      <c r="D3780" s="222" t="s">
        <v>1972</v>
      </c>
    </row>
    <row r="3781" spans="1:4" x14ac:dyDescent="0.25">
      <c r="A3781" s="222" t="s">
        <v>3579</v>
      </c>
      <c r="B3781" s="222">
        <v>500387</v>
      </c>
      <c r="C3781" s="222" t="s">
        <v>3578</v>
      </c>
      <c r="D3781" s="222" t="s">
        <v>1004</v>
      </c>
    </row>
    <row r="3782" spans="1:4" x14ac:dyDescent="0.25">
      <c r="A3782" s="222" t="s">
        <v>3577</v>
      </c>
      <c r="B3782" s="222">
        <v>502180</v>
      </c>
      <c r="C3782" s="222" t="s">
        <v>2052</v>
      </c>
      <c r="D3782" s="222" t="s">
        <v>1004</v>
      </c>
    </row>
    <row r="3783" spans="1:4" x14ac:dyDescent="0.25">
      <c r="A3783" s="222" t="s">
        <v>3576</v>
      </c>
      <c r="B3783" s="222">
        <v>539470</v>
      </c>
      <c r="C3783" s="222" t="s">
        <v>2052</v>
      </c>
      <c r="D3783" s="222" t="s">
        <v>2254</v>
      </c>
    </row>
    <row r="3784" spans="1:4" x14ac:dyDescent="0.25">
      <c r="A3784" s="222" t="s">
        <v>3575</v>
      </c>
      <c r="B3784" s="222">
        <v>539470</v>
      </c>
      <c r="C3784" s="222" t="s">
        <v>2052</v>
      </c>
      <c r="D3784" s="222" t="s">
        <v>2254</v>
      </c>
    </row>
    <row r="3785" spans="1:4" x14ac:dyDescent="0.25">
      <c r="A3785" s="222" t="s">
        <v>3574</v>
      </c>
      <c r="B3785" s="222">
        <v>530797</v>
      </c>
      <c r="C3785" s="222" t="s">
        <v>2052</v>
      </c>
      <c r="D3785" s="222" t="s">
        <v>1529</v>
      </c>
    </row>
    <row r="3786" spans="1:4" x14ac:dyDescent="0.25">
      <c r="A3786" s="222" t="s">
        <v>3573</v>
      </c>
      <c r="B3786" s="222">
        <v>532643</v>
      </c>
      <c r="C3786" s="222" t="s">
        <v>3572</v>
      </c>
      <c r="D3786" s="222" t="s">
        <v>1313</v>
      </c>
    </row>
    <row r="3787" spans="1:4" x14ac:dyDescent="0.25">
      <c r="A3787" s="222" t="s">
        <v>3571</v>
      </c>
      <c r="B3787" s="222">
        <v>540737</v>
      </c>
      <c r="C3787" s="222" t="s">
        <v>2052</v>
      </c>
      <c r="D3787" s="222" t="s">
        <v>789</v>
      </c>
    </row>
    <row r="3788" spans="1:4" x14ac:dyDescent="0.25">
      <c r="A3788" s="222" t="s">
        <v>3570</v>
      </c>
      <c r="B3788" s="222">
        <v>512463</v>
      </c>
      <c r="C3788" s="222" t="s">
        <v>2052</v>
      </c>
      <c r="D3788" s="222" t="s">
        <v>1321</v>
      </c>
    </row>
    <row r="3789" spans="1:4" x14ac:dyDescent="0.25">
      <c r="A3789" s="222" t="s">
        <v>3569</v>
      </c>
      <c r="B3789" s="222">
        <v>524336</v>
      </c>
      <c r="C3789" s="222" t="s">
        <v>2052</v>
      </c>
      <c r="D3789" s="222" t="s">
        <v>998</v>
      </c>
    </row>
    <row r="3790" spans="1:4" x14ac:dyDescent="0.25">
      <c r="A3790" s="222" t="s">
        <v>3568</v>
      </c>
      <c r="B3790" s="222">
        <v>516106</v>
      </c>
      <c r="C3790" s="222" t="s">
        <v>2052</v>
      </c>
      <c r="D3790" s="222" t="s">
        <v>1972</v>
      </c>
    </row>
    <row r="3791" spans="1:4" x14ac:dyDescent="0.25">
      <c r="A3791" s="222" t="s">
        <v>3567</v>
      </c>
      <c r="B3791" s="222">
        <v>542146</v>
      </c>
      <c r="C3791" s="222" t="s">
        <v>2052</v>
      </c>
      <c r="D3791" s="222" t="s">
        <v>1243</v>
      </c>
    </row>
    <row r="3792" spans="1:4" x14ac:dyDescent="0.25">
      <c r="A3792" s="222" t="s">
        <v>3566</v>
      </c>
      <c r="B3792" s="222">
        <v>500388</v>
      </c>
      <c r="C3792" s="222" t="s">
        <v>2052</v>
      </c>
      <c r="D3792" s="222" t="s">
        <v>1972</v>
      </c>
    </row>
    <row r="3793" spans="1:4" x14ac:dyDescent="0.25">
      <c r="A3793" s="222" t="s">
        <v>3565</v>
      </c>
      <c r="B3793" s="222">
        <v>503863</v>
      </c>
      <c r="C3793" s="222" t="s">
        <v>2052</v>
      </c>
      <c r="D3793" s="222" t="s">
        <v>1237</v>
      </c>
    </row>
    <row r="3794" spans="1:4" x14ac:dyDescent="0.25">
      <c r="A3794" s="222" t="s">
        <v>3564</v>
      </c>
      <c r="B3794" s="222">
        <v>531962</v>
      </c>
      <c r="C3794" s="222" t="s">
        <v>2052</v>
      </c>
      <c r="D3794" s="222" t="s">
        <v>1321</v>
      </c>
    </row>
    <row r="3795" spans="1:4" x14ac:dyDescent="0.25">
      <c r="A3795" s="222" t="s">
        <v>3563</v>
      </c>
      <c r="B3795" s="222">
        <v>540253</v>
      </c>
      <c r="C3795" s="222" t="s">
        <v>2052</v>
      </c>
      <c r="D3795" s="222" t="s">
        <v>1262</v>
      </c>
    </row>
    <row r="3796" spans="1:4" x14ac:dyDescent="0.25">
      <c r="A3796" s="222" t="s">
        <v>3562</v>
      </c>
      <c r="B3796" s="222">
        <v>506180</v>
      </c>
      <c r="C3796" s="222" t="s">
        <v>2052</v>
      </c>
      <c r="D3796" s="222" t="s">
        <v>1529</v>
      </c>
    </row>
    <row r="3797" spans="1:4" x14ac:dyDescent="0.25">
      <c r="A3797" s="222" t="s">
        <v>3561</v>
      </c>
      <c r="B3797" s="222">
        <v>527005</v>
      </c>
      <c r="C3797" s="222" t="s">
        <v>2052</v>
      </c>
      <c r="D3797" s="222" t="s">
        <v>3560</v>
      </c>
    </row>
    <row r="3798" spans="1:4" x14ac:dyDescent="0.25">
      <c r="A3798" s="222" t="s">
        <v>3559</v>
      </c>
      <c r="B3798" s="222">
        <v>533110</v>
      </c>
      <c r="C3798" s="222" t="s">
        <v>2052</v>
      </c>
      <c r="D3798" s="222" t="s">
        <v>740</v>
      </c>
    </row>
    <row r="3799" spans="1:4" x14ac:dyDescent="0.25">
      <c r="A3799" s="222" t="s">
        <v>3558</v>
      </c>
      <c r="B3799" s="222">
        <v>539334</v>
      </c>
      <c r="C3799" s="222" t="s">
        <v>3557</v>
      </c>
      <c r="D3799" s="222" t="s">
        <v>722</v>
      </c>
    </row>
    <row r="3800" spans="1:4" x14ac:dyDescent="0.25">
      <c r="A3800" s="222" t="s">
        <v>3556</v>
      </c>
      <c r="B3800" s="222">
        <v>503837</v>
      </c>
      <c r="C3800" s="222" t="s">
        <v>2052</v>
      </c>
      <c r="D3800" s="222" t="s">
        <v>1237</v>
      </c>
    </row>
    <row r="3801" spans="1:4" x14ac:dyDescent="0.25">
      <c r="A3801" s="222" t="s">
        <v>3555</v>
      </c>
      <c r="B3801" s="222">
        <v>516086</v>
      </c>
      <c r="C3801" s="222" t="s">
        <v>2052</v>
      </c>
      <c r="D3801" s="222" t="s">
        <v>1972</v>
      </c>
    </row>
    <row r="3802" spans="1:4" x14ac:dyDescent="0.25">
      <c r="A3802" s="222" t="s">
        <v>3554</v>
      </c>
      <c r="B3802" s="222" t="s">
        <v>2052</v>
      </c>
      <c r="C3802" s="222" t="s">
        <v>3553</v>
      </c>
      <c r="D3802" s="222" t="s">
        <v>2050</v>
      </c>
    </row>
    <row r="3803" spans="1:4" x14ac:dyDescent="0.25">
      <c r="A3803" s="222" t="s">
        <v>3552</v>
      </c>
      <c r="B3803" s="222">
        <v>532310</v>
      </c>
      <c r="C3803" s="222" t="s">
        <v>3551</v>
      </c>
      <c r="D3803" s="222" t="s">
        <v>1447</v>
      </c>
    </row>
    <row r="3804" spans="1:4" x14ac:dyDescent="0.25">
      <c r="A3804" s="222" t="s">
        <v>3550</v>
      </c>
      <c r="B3804" s="222">
        <v>500356</v>
      </c>
      <c r="C3804" s="222" t="s">
        <v>3549</v>
      </c>
      <c r="D3804" s="222" t="s">
        <v>1972</v>
      </c>
    </row>
    <row r="3805" spans="1:4" x14ac:dyDescent="0.25">
      <c r="A3805" s="222" t="s">
        <v>3548</v>
      </c>
      <c r="B3805" s="222">
        <v>532670</v>
      </c>
      <c r="C3805" s="222" t="s">
        <v>3547</v>
      </c>
      <c r="D3805" s="222" t="s">
        <v>1124</v>
      </c>
    </row>
    <row r="3806" spans="1:4" x14ac:dyDescent="0.25">
      <c r="A3806" s="222" t="s">
        <v>3546</v>
      </c>
      <c r="B3806" s="222">
        <v>503635</v>
      </c>
      <c r="C3806" s="222" t="s">
        <v>2052</v>
      </c>
      <c r="D3806" s="222" t="s">
        <v>1262</v>
      </c>
    </row>
    <row r="3807" spans="1:4" x14ac:dyDescent="0.25">
      <c r="A3807" s="222" t="s">
        <v>3545</v>
      </c>
      <c r="B3807" s="222">
        <v>538975</v>
      </c>
      <c r="C3807" s="222" t="s">
        <v>2052</v>
      </c>
      <c r="D3807" s="222" t="s">
        <v>1321</v>
      </c>
    </row>
    <row r="3808" spans="1:4" x14ac:dyDescent="0.25">
      <c r="A3808" s="222" t="s">
        <v>3544</v>
      </c>
      <c r="B3808" s="222">
        <v>513488</v>
      </c>
      <c r="C3808" s="222" t="s">
        <v>2052</v>
      </c>
      <c r="D3808" s="222" t="s">
        <v>740</v>
      </c>
    </row>
    <row r="3809" spans="1:4" x14ac:dyDescent="0.25">
      <c r="A3809" s="222" t="s">
        <v>3543</v>
      </c>
      <c r="B3809" s="222">
        <v>531667</v>
      </c>
      <c r="C3809" s="222" t="s">
        <v>2052</v>
      </c>
      <c r="D3809" s="222" t="s">
        <v>1529</v>
      </c>
    </row>
    <row r="3810" spans="1:4" x14ac:dyDescent="0.25">
      <c r="A3810" s="222" t="s">
        <v>3542</v>
      </c>
      <c r="B3810" s="222" t="s">
        <v>2052</v>
      </c>
      <c r="C3810" s="222" t="s">
        <v>3541</v>
      </c>
      <c r="D3810" s="222" t="s">
        <v>2050</v>
      </c>
    </row>
    <row r="3811" spans="1:4" x14ac:dyDescent="0.25">
      <c r="A3811" s="222" t="s">
        <v>3540</v>
      </c>
      <c r="B3811" s="222">
        <v>590128</v>
      </c>
      <c r="C3811" s="222" t="s">
        <v>2052</v>
      </c>
      <c r="D3811" s="222" t="s">
        <v>1265</v>
      </c>
    </row>
    <row r="3812" spans="1:4" x14ac:dyDescent="0.25">
      <c r="A3812" s="222" t="s">
        <v>3539</v>
      </c>
      <c r="B3812" s="222" t="s">
        <v>2052</v>
      </c>
      <c r="C3812" s="222" t="s">
        <v>3538</v>
      </c>
      <c r="D3812" s="222" t="s">
        <v>2050</v>
      </c>
    </row>
    <row r="3813" spans="1:4" x14ac:dyDescent="0.25">
      <c r="A3813" s="222" t="s">
        <v>3537</v>
      </c>
      <c r="B3813" s="222">
        <v>541358</v>
      </c>
      <c r="C3813" s="222" t="s">
        <v>2052</v>
      </c>
      <c r="D3813" s="222" t="s">
        <v>1321</v>
      </c>
    </row>
    <row r="3814" spans="1:4" x14ac:dyDescent="0.25">
      <c r="A3814" s="222" t="s">
        <v>3536</v>
      </c>
      <c r="B3814" s="222">
        <v>540738</v>
      </c>
      <c r="C3814" s="222" t="s">
        <v>2052</v>
      </c>
      <c r="D3814" s="222" t="s">
        <v>1329</v>
      </c>
    </row>
    <row r="3815" spans="1:4" x14ac:dyDescent="0.25">
      <c r="A3815" s="222" t="s">
        <v>3535</v>
      </c>
      <c r="B3815" s="222">
        <v>503696</v>
      </c>
      <c r="C3815" s="222" t="s">
        <v>2052</v>
      </c>
      <c r="D3815" s="222" t="s">
        <v>2068</v>
      </c>
    </row>
    <row r="3816" spans="1:4" x14ac:dyDescent="0.25">
      <c r="A3816" s="222" t="s">
        <v>3534</v>
      </c>
      <c r="B3816" s="222" t="s">
        <v>2052</v>
      </c>
      <c r="C3816" s="222" t="s">
        <v>3533</v>
      </c>
      <c r="D3816" s="222" t="s">
        <v>2050</v>
      </c>
    </row>
    <row r="3817" spans="1:4" x14ac:dyDescent="0.25">
      <c r="A3817" s="222" t="s">
        <v>3532</v>
      </c>
      <c r="B3817" s="222">
        <v>541112</v>
      </c>
      <c r="C3817" s="222" t="s">
        <v>2052</v>
      </c>
      <c r="D3817" s="222" t="s">
        <v>1248</v>
      </c>
    </row>
    <row r="3818" spans="1:4" x14ac:dyDescent="0.25">
      <c r="A3818" s="222" t="s">
        <v>3531</v>
      </c>
      <c r="B3818" s="222">
        <v>532007</v>
      </c>
      <c r="C3818" s="222" t="s">
        <v>2052</v>
      </c>
      <c r="D3818" s="222" t="s">
        <v>2068</v>
      </c>
    </row>
    <row r="3819" spans="1:4" x14ac:dyDescent="0.25">
      <c r="A3819" s="222" t="s">
        <v>3530</v>
      </c>
      <c r="B3819" s="222" t="s">
        <v>2052</v>
      </c>
      <c r="C3819" s="222" t="s">
        <v>3529</v>
      </c>
      <c r="D3819" s="222" t="s">
        <v>2050</v>
      </c>
    </row>
    <row r="3820" spans="1:4" x14ac:dyDescent="0.25">
      <c r="A3820" s="222" t="s">
        <v>3528</v>
      </c>
      <c r="B3820" s="222">
        <v>516016</v>
      </c>
      <c r="C3820" s="222" t="s">
        <v>3527</v>
      </c>
      <c r="D3820" s="222" t="s">
        <v>1972</v>
      </c>
    </row>
    <row r="3821" spans="1:4" x14ac:dyDescent="0.25">
      <c r="A3821" s="222" t="s">
        <v>3526</v>
      </c>
      <c r="B3821" s="222">
        <v>526335</v>
      </c>
      <c r="C3821" s="222" t="s">
        <v>2052</v>
      </c>
      <c r="D3821" s="222" t="s">
        <v>998</v>
      </c>
    </row>
    <row r="3822" spans="1:4" x14ac:dyDescent="0.25">
      <c r="A3822" s="222" t="s">
        <v>3525</v>
      </c>
      <c r="B3822" s="222">
        <v>520151</v>
      </c>
      <c r="C3822" s="222" t="s">
        <v>3524</v>
      </c>
      <c r="D3822" s="222" t="s">
        <v>1112</v>
      </c>
    </row>
    <row r="3823" spans="1:4" x14ac:dyDescent="0.25">
      <c r="A3823" s="222" t="s">
        <v>3523</v>
      </c>
      <c r="B3823" s="222">
        <v>526981</v>
      </c>
      <c r="C3823" s="222" t="s">
        <v>2052</v>
      </c>
      <c r="D3823" s="222" t="s">
        <v>740</v>
      </c>
    </row>
    <row r="3824" spans="1:4" x14ac:dyDescent="0.25">
      <c r="A3824" s="222" t="s">
        <v>3522</v>
      </c>
      <c r="B3824" s="222">
        <v>530841</v>
      </c>
      <c r="C3824" s="222" t="s">
        <v>2052</v>
      </c>
      <c r="D3824" s="222" t="s">
        <v>2714</v>
      </c>
    </row>
    <row r="3825" spans="1:4" x14ac:dyDescent="0.25">
      <c r="A3825" s="222" t="s">
        <v>3521</v>
      </c>
      <c r="B3825" s="222">
        <v>503804</v>
      </c>
      <c r="C3825" s="222" t="s">
        <v>2052</v>
      </c>
      <c r="D3825" s="222" t="s">
        <v>1237</v>
      </c>
    </row>
    <row r="3826" spans="1:4" x14ac:dyDescent="0.25">
      <c r="A3826" s="222" t="s">
        <v>3520</v>
      </c>
      <c r="B3826" s="222">
        <v>512453</v>
      </c>
      <c r="C3826" s="222" t="s">
        <v>2052</v>
      </c>
      <c r="D3826" s="222" t="s">
        <v>1447</v>
      </c>
    </row>
    <row r="3827" spans="1:4" x14ac:dyDescent="0.25">
      <c r="A3827" s="222" t="s">
        <v>3519</v>
      </c>
      <c r="B3827" s="222">
        <v>532083</v>
      </c>
      <c r="C3827" s="222" t="s">
        <v>2052</v>
      </c>
      <c r="D3827" s="222" t="s">
        <v>2068</v>
      </c>
    </row>
    <row r="3828" spans="1:4" x14ac:dyDescent="0.25">
      <c r="A3828" s="222" t="s">
        <v>3518</v>
      </c>
      <c r="B3828" s="222">
        <v>530977</v>
      </c>
      <c r="C3828" s="222" t="s">
        <v>2052</v>
      </c>
      <c r="D3828" s="222" t="s">
        <v>1004</v>
      </c>
    </row>
    <row r="3829" spans="1:4" x14ac:dyDescent="0.25">
      <c r="A3829" s="222" t="s">
        <v>3517</v>
      </c>
      <c r="B3829" s="222">
        <v>531080</v>
      </c>
      <c r="C3829" s="222" t="s">
        <v>2052</v>
      </c>
      <c r="D3829" s="222" t="s">
        <v>1243</v>
      </c>
    </row>
    <row r="3830" spans="1:4" x14ac:dyDescent="0.25">
      <c r="A3830" s="222" t="s">
        <v>3516</v>
      </c>
      <c r="B3830" s="222">
        <v>538897</v>
      </c>
      <c r="C3830" s="222" t="s">
        <v>2052</v>
      </c>
      <c r="D3830" s="222" t="s">
        <v>1321</v>
      </c>
    </row>
    <row r="3831" spans="1:4" x14ac:dyDescent="0.25">
      <c r="A3831" s="222" t="s">
        <v>3515</v>
      </c>
      <c r="B3831" s="222" t="s">
        <v>2052</v>
      </c>
      <c r="C3831" s="222" t="s">
        <v>3514</v>
      </c>
      <c r="D3831" s="222" t="s">
        <v>2050</v>
      </c>
    </row>
    <row r="3832" spans="1:4" x14ac:dyDescent="0.25">
      <c r="A3832" s="222" t="s">
        <v>3513</v>
      </c>
      <c r="B3832" s="222">
        <v>508961</v>
      </c>
      <c r="C3832" s="222" t="s">
        <v>2052</v>
      </c>
      <c r="D3832" s="222" t="s">
        <v>1321</v>
      </c>
    </row>
    <row r="3833" spans="1:4" x14ac:dyDescent="0.25">
      <c r="A3833" s="222" t="s">
        <v>3512</v>
      </c>
      <c r="B3833" s="222">
        <v>531359</v>
      </c>
      <c r="C3833" s="222" t="s">
        <v>2052</v>
      </c>
      <c r="D3833" s="222" t="s">
        <v>1254</v>
      </c>
    </row>
    <row r="3834" spans="1:4" x14ac:dyDescent="0.25">
      <c r="A3834" s="222" t="s">
        <v>3511</v>
      </c>
      <c r="B3834" s="222">
        <v>532498</v>
      </c>
      <c r="C3834" s="222" t="s">
        <v>3510</v>
      </c>
      <c r="D3834" s="222" t="s">
        <v>1321</v>
      </c>
    </row>
    <row r="3835" spans="1:4" x14ac:dyDescent="0.25">
      <c r="A3835" s="222" t="s">
        <v>3509</v>
      </c>
      <c r="B3835" s="222">
        <v>532945</v>
      </c>
      <c r="C3835" s="222" t="s">
        <v>3508</v>
      </c>
      <c r="D3835" s="222" t="s">
        <v>1248</v>
      </c>
    </row>
    <row r="3836" spans="1:4" x14ac:dyDescent="0.25">
      <c r="A3836" s="222" t="s">
        <v>3507</v>
      </c>
      <c r="B3836" s="222" t="s">
        <v>2052</v>
      </c>
      <c r="C3836" s="222" t="s">
        <v>3506</v>
      </c>
      <c r="D3836" s="222" t="s">
        <v>2197</v>
      </c>
    </row>
    <row r="3837" spans="1:4" x14ac:dyDescent="0.25">
      <c r="A3837" s="222" t="s">
        <v>3505</v>
      </c>
      <c r="B3837" s="222">
        <v>511218</v>
      </c>
      <c r="C3837" s="222" t="s">
        <v>3504</v>
      </c>
      <c r="D3837" s="222" t="s">
        <v>1321</v>
      </c>
    </row>
    <row r="3838" spans="1:4" x14ac:dyDescent="0.25">
      <c r="A3838" s="222" t="s">
        <v>3503</v>
      </c>
      <c r="B3838" s="222">
        <v>511411</v>
      </c>
      <c r="C3838" s="222" t="s">
        <v>2052</v>
      </c>
      <c r="D3838" s="222" t="s">
        <v>1248</v>
      </c>
    </row>
    <row r="3839" spans="1:4" x14ac:dyDescent="0.25">
      <c r="A3839" s="222" t="s">
        <v>3502</v>
      </c>
      <c r="B3839" s="222">
        <v>542019</v>
      </c>
      <c r="C3839" s="222" t="s">
        <v>2052</v>
      </c>
      <c r="D3839" s="222" t="s">
        <v>1237</v>
      </c>
    </row>
    <row r="3840" spans="1:4" x14ac:dyDescent="0.25">
      <c r="A3840" s="222" t="s">
        <v>3501</v>
      </c>
      <c r="B3840" s="222" t="s">
        <v>2052</v>
      </c>
      <c r="C3840" s="222" t="s">
        <v>3500</v>
      </c>
      <c r="D3840" s="222" t="s">
        <v>2050</v>
      </c>
    </row>
    <row r="3841" spans="1:4" x14ac:dyDescent="0.25">
      <c r="A3841" s="222" t="s">
        <v>3499</v>
      </c>
      <c r="B3841" s="222">
        <v>531506</v>
      </c>
      <c r="C3841" s="222" t="s">
        <v>3498</v>
      </c>
      <c r="D3841" s="222" t="s">
        <v>2068</v>
      </c>
    </row>
    <row r="3842" spans="1:4" x14ac:dyDescent="0.25">
      <c r="A3842" s="222" t="s">
        <v>3497</v>
      </c>
      <c r="B3842" s="222">
        <v>523790</v>
      </c>
      <c r="C3842" s="222" t="s">
        <v>2052</v>
      </c>
      <c r="D3842" s="222" t="s">
        <v>1364</v>
      </c>
    </row>
    <row r="3843" spans="1:4" x14ac:dyDescent="0.25">
      <c r="A3843" s="222" t="s">
        <v>3496</v>
      </c>
      <c r="B3843" s="222">
        <v>524632</v>
      </c>
      <c r="C3843" s="222" t="s">
        <v>2052</v>
      </c>
      <c r="D3843" s="222" t="s">
        <v>789</v>
      </c>
    </row>
    <row r="3844" spans="1:4" x14ac:dyDescent="0.25">
      <c r="A3844" s="222" t="s">
        <v>3495</v>
      </c>
      <c r="B3844" s="222">
        <v>539252</v>
      </c>
      <c r="C3844" s="222" t="s">
        <v>3494</v>
      </c>
      <c r="D3844" s="222" t="s">
        <v>2167</v>
      </c>
    </row>
    <row r="3845" spans="1:4" x14ac:dyDescent="0.25">
      <c r="A3845" s="222" t="s">
        <v>3493</v>
      </c>
      <c r="B3845" s="222">
        <v>517411</v>
      </c>
      <c r="C3845" s="222" t="s">
        <v>3492</v>
      </c>
      <c r="D3845" s="222" t="s">
        <v>2114</v>
      </c>
    </row>
    <row r="3846" spans="1:4" x14ac:dyDescent="0.25">
      <c r="A3846" s="222" t="s">
        <v>3491</v>
      </c>
      <c r="B3846" s="222">
        <v>531219</v>
      </c>
      <c r="C3846" s="222" t="s">
        <v>2052</v>
      </c>
      <c r="D3846" s="222" t="s">
        <v>789</v>
      </c>
    </row>
    <row r="3847" spans="1:4" x14ac:dyDescent="0.25">
      <c r="A3847" s="222" t="s">
        <v>3490</v>
      </c>
      <c r="B3847" s="222">
        <v>505515</v>
      </c>
      <c r="C3847" s="222" t="s">
        <v>2052</v>
      </c>
      <c r="D3847" s="222" t="s">
        <v>1262</v>
      </c>
    </row>
    <row r="3848" spans="1:4" x14ac:dyDescent="0.25">
      <c r="A3848" s="222" t="s">
        <v>3489</v>
      </c>
      <c r="B3848" s="222">
        <v>530907</v>
      </c>
      <c r="C3848" s="222" t="s">
        <v>2052</v>
      </c>
      <c r="D3848" s="222" t="s">
        <v>2068</v>
      </c>
    </row>
    <row r="3849" spans="1:4" x14ac:dyDescent="0.25">
      <c r="A3849" s="222" t="s">
        <v>3488</v>
      </c>
      <c r="B3849" s="222">
        <v>520141</v>
      </c>
      <c r="C3849" s="222" t="s">
        <v>2052</v>
      </c>
      <c r="D3849" s="222" t="s">
        <v>1306</v>
      </c>
    </row>
    <row r="3850" spans="1:4" x14ac:dyDescent="0.25">
      <c r="A3850" s="222" t="s">
        <v>3487</v>
      </c>
      <c r="B3850" s="222">
        <v>533014</v>
      </c>
      <c r="C3850" s="222" t="s">
        <v>3485</v>
      </c>
      <c r="D3850" s="222" t="s">
        <v>1529</v>
      </c>
    </row>
    <row r="3851" spans="1:4" x14ac:dyDescent="0.25">
      <c r="A3851" s="222" t="s">
        <v>3486</v>
      </c>
      <c r="B3851" s="222">
        <v>533014</v>
      </c>
      <c r="C3851" s="222" t="s">
        <v>3485</v>
      </c>
      <c r="D3851" s="222" t="s">
        <v>1529</v>
      </c>
    </row>
    <row r="3852" spans="1:4" x14ac:dyDescent="0.25">
      <c r="A3852" s="222" t="s">
        <v>3484</v>
      </c>
      <c r="B3852" s="222">
        <v>520086</v>
      </c>
      <c r="C3852" s="222" t="s">
        <v>3483</v>
      </c>
      <c r="D3852" s="222" t="s">
        <v>1329</v>
      </c>
    </row>
    <row r="3853" spans="1:4" x14ac:dyDescent="0.25">
      <c r="A3853" s="222" t="s">
        <v>3482</v>
      </c>
      <c r="B3853" s="222">
        <v>540736</v>
      </c>
      <c r="C3853" s="222" t="s">
        <v>2052</v>
      </c>
      <c r="D3853" s="222" t="s">
        <v>854</v>
      </c>
    </row>
    <row r="3854" spans="1:4" x14ac:dyDescent="0.25">
      <c r="A3854" s="222" t="s">
        <v>3481</v>
      </c>
      <c r="B3854" s="222">
        <v>539983</v>
      </c>
      <c r="C3854" s="222" t="s">
        <v>2052</v>
      </c>
      <c r="D3854" s="222" t="s">
        <v>1262</v>
      </c>
    </row>
    <row r="3855" spans="1:4" x14ac:dyDescent="0.25">
      <c r="A3855" s="222" t="s">
        <v>3480</v>
      </c>
      <c r="B3855" s="222">
        <v>532217</v>
      </c>
      <c r="C3855" s="222" t="s">
        <v>2052</v>
      </c>
      <c r="D3855" s="222" t="s">
        <v>1262</v>
      </c>
    </row>
    <row r="3856" spans="1:4" x14ac:dyDescent="0.25">
      <c r="A3856" s="222" t="s">
        <v>3479</v>
      </c>
      <c r="B3856" s="222">
        <v>500550</v>
      </c>
      <c r="C3856" s="222" t="s">
        <v>3478</v>
      </c>
      <c r="D3856" s="222" t="s">
        <v>1066</v>
      </c>
    </row>
    <row r="3857" spans="1:4" x14ac:dyDescent="0.25">
      <c r="A3857" s="222" t="s">
        <v>3477</v>
      </c>
      <c r="B3857" s="222">
        <v>512131</v>
      </c>
      <c r="C3857" s="222" t="s">
        <v>3476</v>
      </c>
      <c r="D3857" s="222" t="s">
        <v>1251</v>
      </c>
    </row>
    <row r="3858" spans="1:4" x14ac:dyDescent="0.25">
      <c r="A3858" s="222" t="s">
        <v>3475</v>
      </c>
      <c r="B3858" s="222">
        <v>523606</v>
      </c>
      <c r="C3858" s="222" t="s">
        <v>2052</v>
      </c>
      <c r="D3858" s="222" t="s">
        <v>1257</v>
      </c>
    </row>
    <row r="3859" spans="1:4" x14ac:dyDescent="0.25">
      <c r="A3859" s="222" t="s">
        <v>3474</v>
      </c>
      <c r="B3859" s="222" t="s">
        <v>2052</v>
      </c>
      <c r="C3859" s="222" t="s">
        <v>3473</v>
      </c>
      <c r="D3859" s="222" t="s">
        <v>2050</v>
      </c>
    </row>
    <row r="3860" spans="1:4" x14ac:dyDescent="0.25">
      <c r="A3860" s="222" t="s">
        <v>3472</v>
      </c>
      <c r="B3860" s="222">
        <v>524642</v>
      </c>
      <c r="C3860" s="222" t="s">
        <v>2052</v>
      </c>
      <c r="D3860" s="222" t="s">
        <v>1243</v>
      </c>
    </row>
    <row r="3861" spans="1:4" x14ac:dyDescent="0.25">
      <c r="A3861" s="222" t="s">
        <v>3471</v>
      </c>
      <c r="B3861" s="222">
        <v>521194</v>
      </c>
      <c r="C3861" s="222" t="s">
        <v>3470</v>
      </c>
      <c r="D3861" s="222" t="s">
        <v>1262</v>
      </c>
    </row>
    <row r="3862" spans="1:4" x14ac:dyDescent="0.25">
      <c r="A3862" s="222" t="s">
        <v>3469</v>
      </c>
      <c r="B3862" s="222" t="s">
        <v>2052</v>
      </c>
      <c r="C3862" s="222" t="s">
        <v>3468</v>
      </c>
      <c r="D3862" s="222" t="s">
        <v>2050</v>
      </c>
    </row>
    <row r="3863" spans="1:4" x14ac:dyDescent="0.25">
      <c r="A3863" s="222" t="s">
        <v>3467</v>
      </c>
      <c r="B3863" s="222" t="s">
        <v>2052</v>
      </c>
      <c r="C3863" s="222" t="s">
        <v>3466</v>
      </c>
      <c r="D3863" s="222" t="s">
        <v>2050</v>
      </c>
    </row>
    <row r="3864" spans="1:4" x14ac:dyDescent="0.25">
      <c r="A3864" s="222" t="s">
        <v>3465</v>
      </c>
      <c r="B3864" s="222">
        <v>531635</v>
      </c>
      <c r="C3864" s="222" t="s">
        <v>2052</v>
      </c>
      <c r="D3864" s="222" t="s">
        <v>2146</v>
      </c>
    </row>
    <row r="3865" spans="1:4" x14ac:dyDescent="0.25">
      <c r="A3865" s="222" t="s">
        <v>3464</v>
      </c>
      <c r="B3865" s="222">
        <v>512197</v>
      </c>
      <c r="C3865" s="222" t="s">
        <v>2052</v>
      </c>
      <c r="D3865" s="222" t="s">
        <v>1321</v>
      </c>
    </row>
    <row r="3866" spans="1:4" x14ac:dyDescent="0.25">
      <c r="A3866" s="222" t="s">
        <v>3463</v>
      </c>
      <c r="B3866" s="222">
        <v>531635</v>
      </c>
      <c r="C3866" s="222" t="s">
        <v>2052</v>
      </c>
      <c r="D3866" s="222" t="s">
        <v>2146</v>
      </c>
    </row>
    <row r="3867" spans="1:4" x14ac:dyDescent="0.25">
      <c r="A3867" s="222" t="s">
        <v>3462</v>
      </c>
      <c r="B3867" s="222" t="s">
        <v>2052</v>
      </c>
      <c r="C3867" s="222" t="s">
        <v>749</v>
      </c>
      <c r="D3867" s="222" t="s">
        <v>2050</v>
      </c>
    </row>
    <row r="3868" spans="1:4" x14ac:dyDescent="0.25">
      <c r="A3868" s="222" t="s">
        <v>3461</v>
      </c>
      <c r="B3868" s="222">
        <v>536073</v>
      </c>
      <c r="C3868" s="222" t="s">
        <v>2052</v>
      </c>
      <c r="D3868" s="222" t="s">
        <v>1248</v>
      </c>
    </row>
    <row r="3869" spans="1:4" x14ac:dyDescent="0.25">
      <c r="A3869" s="222" t="s">
        <v>3460</v>
      </c>
      <c r="B3869" s="222">
        <v>539742</v>
      </c>
      <c r="C3869" s="222" t="s">
        <v>3459</v>
      </c>
      <c r="D3869" s="222" t="s">
        <v>1124</v>
      </c>
    </row>
    <row r="3870" spans="1:4" x14ac:dyDescent="0.25">
      <c r="A3870" s="222" t="s">
        <v>3458</v>
      </c>
      <c r="B3870" s="222">
        <v>507998</v>
      </c>
      <c r="C3870" s="222" t="s">
        <v>2052</v>
      </c>
      <c r="D3870" s="222" t="s">
        <v>1306</v>
      </c>
    </row>
    <row r="3871" spans="1:4" x14ac:dyDescent="0.25">
      <c r="A3871" s="222" t="s">
        <v>3457</v>
      </c>
      <c r="B3871" s="222">
        <v>513472</v>
      </c>
      <c r="C3871" s="222" t="s">
        <v>2052</v>
      </c>
      <c r="D3871" s="222" t="s">
        <v>1313</v>
      </c>
    </row>
    <row r="3872" spans="1:4" x14ac:dyDescent="0.25">
      <c r="A3872" s="222" t="s">
        <v>3456</v>
      </c>
      <c r="B3872" s="222">
        <v>523838</v>
      </c>
      <c r="C3872" s="222" t="s">
        <v>3455</v>
      </c>
      <c r="D3872" s="222" t="s">
        <v>1248</v>
      </c>
    </row>
    <row r="3873" spans="1:4" x14ac:dyDescent="0.25">
      <c r="A3873" s="222" t="s">
        <v>3454</v>
      </c>
      <c r="B3873" s="222">
        <v>533018</v>
      </c>
      <c r="C3873" s="222" t="s">
        <v>2052</v>
      </c>
      <c r="D3873" s="222" t="s">
        <v>1237</v>
      </c>
    </row>
    <row r="3874" spans="1:4" x14ac:dyDescent="0.25">
      <c r="A3874" s="222" t="s">
        <v>3453</v>
      </c>
      <c r="B3874" s="222">
        <v>533019</v>
      </c>
      <c r="C3874" s="222" t="s">
        <v>2052</v>
      </c>
      <c r="D3874" s="222" t="s">
        <v>1972</v>
      </c>
    </row>
    <row r="3875" spans="1:4" x14ac:dyDescent="0.25">
      <c r="A3875" s="222" t="s">
        <v>3452</v>
      </c>
      <c r="B3875" s="222">
        <v>503229</v>
      </c>
      <c r="C3875" s="222" t="s">
        <v>2052</v>
      </c>
      <c r="D3875" s="222" t="s">
        <v>1243</v>
      </c>
    </row>
    <row r="3876" spans="1:4" x14ac:dyDescent="0.25">
      <c r="A3876" s="222" t="s">
        <v>3451</v>
      </c>
      <c r="B3876" s="222">
        <v>519566</v>
      </c>
      <c r="C3876" s="222" t="s">
        <v>2052</v>
      </c>
      <c r="D3876" s="222" t="s">
        <v>1161</v>
      </c>
    </row>
    <row r="3877" spans="1:4" x14ac:dyDescent="0.25">
      <c r="A3877" s="222" t="s">
        <v>3450</v>
      </c>
      <c r="B3877" s="222">
        <v>523023</v>
      </c>
      <c r="C3877" s="222" t="s">
        <v>2052</v>
      </c>
      <c r="D3877" s="222" t="s">
        <v>2128</v>
      </c>
    </row>
    <row r="3878" spans="1:4" x14ac:dyDescent="0.25">
      <c r="A3878" s="222" t="s">
        <v>3449</v>
      </c>
      <c r="B3878" s="222">
        <v>532029</v>
      </c>
      <c r="C3878" s="222" t="s">
        <v>2052</v>
      </c>
      <c r="D3878" s="222" t="s">
        <v>2068</v>
      </c>
    </row>
    <row r="3879" spans="1:4" x14ac:dyDescent="0.25">
      <c r="A3879" s="222" t="s">
        <v>3448</v>
      </c>
      <c r="B3879" s="222">
        <v>505504</v>
      </c>
      <c r="C3879" s="222" t="s">
        <v>2052</v>
      </c>
      <c r="D3879" s="222" t="s">
        <v>1265</v>
      </c>
    </row>
    <row r="3880" spans="1:4" x14ac:dyDescent="0.25">
      <c r="A3880" s="222" t="s">
        <v>3447</v>
      </c>
      <c r="B3880" s="222">
        <v>505729</v>
      </c>
      <c r="C3880" s="222" t="s">
        <v>2052</v>
      </c>
      <c r="D3880" s="222" t="s">
        <v>832</v>
      </c>
    </row>
    <row r="3881" spans="1:4" x14ac:dyDescent="0.25">
      <c r="A3881" s="222" t="s">
        <v>3446</v>
      </c>
      <c r="B3881" s="222">
        <v>505729</v>
      </c>
      <c r="C3881" s="222" t="s">
        <v>2052</v>
      </c>
      <c r="D3881" s="222" t="s">
        <v>832</v>
      </c>
    </row>
    <row r="3882" spans="1:4" x14ac:dyDescent="0.25">
      <c r="A3882" s="222" t="s">
        <v>3445</v>
      </c>
      <c r="B3882" s="222">
        <v>509887</v>
      </c>
      <c r="C3882" s="222" t="s">
        <v>2052</v>
      </c>
      <c r="D3882" s="222" t="s">
        <v>2227</v>
      </c>
    </row>
    <row r="3883" spans="1:4" x14ac:dyDescent="0.25">
      <c r="A3883" s="222" t="s">
        <v>3444</v>
      </c>
      <c r="B3883" s="222">
        <v>539410</v>
      </c>
      <c r="C3883" s="222" t="s">
        <v>2052</v>
      </c>
      <c r="D3883" s="222" t="s">
        <v>1529</v>
      </c>
    </row>
    <row r="3884" spans="1:4" x14ac:dyDescent="0.25">
      <c r="A3884" s="222" t="s">
        <v>3443</v>
      </c>
      <c r="B3884" s="222">
        <v>539410</v>
      </c>
      <c r="C3884" s="222" t="s">
        <v>2052</v>
      </c>
      <c r="D3884" s="222" t="s">
        <v>1529</v>
      </c>
    </row>
    <row r="3885" spans="1:4" x14ac:dyDescent="0.25">
      <c r="A3885" s="222" t="s">
        <v>3442</v>
      </c>
      <c r="B3885" s="222" t="s">
        <v>2052</v>
      </c>
      <c r="C3885" s="222" t="s">
        <v>3440</v>
      </c>
      <c r="D3885" s="222" t="s">
        <v>2050</v>
      </c>
    </row>
    <row r="3886" spans="1:4" x14ac:dyDescent="0.25">
      <c r="A3886" s="222" t="s">
        <v>3441</v>
      </c>
      <c r="B3886" s="222" t="s">
        <v>2052</v>
      </c>
      <c r="C3886" s="222" t="s">
        <v>3440</v>
      </c>
      <c r="D3886" s="222" t="s">
        <v>2050</v>
      </c>
    </row>
    <row r="3887" spans="1:4" x14ac:dyDescent="0.25">
      <c r="A3887" s="222" t="s">
        <v>3439</v>
      </c>
      <c r="B3887" s="222">
        <v>502742</v>
      </c>
      <c r="C3887" s="222" t="s">
        <v>3438</v>
      </c>
      <c r="D3887" s="222" t="s">
        <v>1237</v>
      </c>
    </row>
    <row r="3888" spans="1:4" x14ac:dyDescent="0.25">
      <c r="A3888" s="222" t="s">
        <v>3437</v>
      </c>
      <c r="B3888" s="222">
        <v>540653</v>
      </c>
      <c r="C3888" s="222" t="s">
        <v>3436</v>
      </c>
      <c r="D3888" s="222" t="s">
        <v>1251</v>
      </c>
    </row>
    <row r="3889" spans="1:4" x14ac:dyDescent="0.25">
      <c r="A3889" s="222" t="s">
        <v>3435</v>
      </c>
      <c r="B3889" s="222">
        <v>523164</v>
      </c>
      <c r="C3889" s="222" t="s">
        <v>2052</v>
      </c>
      <c r="D3889" s="222" t="s">
        <v>731</v>
      </c>
    </row>
    <row r="3890" spans="1:4" x14ac:dyDescent="0.25">
      <c r="A3890" s="222" t="s">
        <v>3434</v>
      </c>
      <c r="B3890" s="222">
        <v>532879</v>
      </c>
      <c r="C3890" s="222" t="s">
        <v>2052</v>
      </c>
      <c r="D3890" s="222" t="s">
        <v>1124</v>
      </c>
    </row>
    <row r="3891" spans="1:4" x14ac:dyDescent="0.25">
      <c r="A3891" s="222" t="s">
        <v>3433</v>
      </c>
      <c r="B3891" s="222" t="s">
        <v>2052</v>
      </c>
      <c r="C3891" s="222" t="s">
        <v>3431</v>
      </c>
      <c r="D3891" s="222" t="s">
        <v>2050</v>
      </c>
    </row>
    <row r="3892" spans="1:4" x14ac:dyDescent="0.25">
      <c r="A3892" s="222" t="s">
        <v>3432</v>
      </c>
      <c r="B3892" s="222" t="s">
        <v>2052</v>
      </c>
      <c r="C3892" s="222" t="s">
        <v>3431</v>
      </c>
      <c r="D3892" s="222" t="s">
        <v>2050</v>
      </c>
    </row>
    <row r="3893" spans="1:4" x14ac:dyDescent="0.25">
      <c r="A3893" s="222" t="s">
        <v>3430</v>
      </c>
      <c r="B3893" s="222">
        <v>538667</v>
      </c>
      <c r="C3893" s="222" t="s">
        <v>2052</v>
      </c>
      <c r="D3893" s="222" t="s">
        <v>1529</v>
      </c>
    </row>
    <row r="3894" spans="1:4" x14ac:dyDescent="0.25">
      <c r="A3894" s="222" t="s">
        <v>3429</v>
      </c>
      <c r="B3894" s="222">
        <v>512589</v>
      </c>
      <c r="C3894" s="222" t="s">
        <v>2052</v>
      </c>
      <c r="D3894" s="222" t="s">
        <v>1529</v>
      </c>
    </row>
    <row r="3895" spans="1:4" x14ac:dyDescent="0.25">
      <c r="A3895" s="222" t="s">
        <v>3428</v>
      </c>
      <c r="B3895" s="222">
        <v>532961</v>
      </c>
      <c r="C3895" s="222" t="s">
        <v>3427</v>
      </c>
      <c r="D3895" s="222" t="s">
        <v>1083</v>
      </c>
    </row>
    <row r="3896" spans="1:4" x14ac:dyDescent="0.25">
      <c r="A3896" s="222" t="s">
        <v>3426</v>
      </c>
      <c r="B3896" s="222">
        <v>532795</v>
      </c>
      <c r="C3896" s="222" t="s">
        <v>3425</v>
      </c>
      <c r="D3896" s="222" t="s">
        <v>2079</v>
      </c>
    </row>
    <row r="3897" spans="1:4" x14ac:dyDescent="0.25">
      <c r="A3897" s="222" t="s">
        <v>3424</v>
      </c>
      <c r="B3897" s="222">
        <v>503811</v>
      </c>
      <c r="C3897" s="222" t="s">
        <v>3423</v>
      </c>
      <c r="D3897" s="222" t="s">
        <v>1237</v>
      </c>
    </row>
    <row r="3898" spans="1:4" x14ac:dyDescent="0.25">
      <c r="A3898" s="222" t="s">
        <v>3422</v>
      </c>
      <c r="B3898" s="222">
        <v>504398</v>
      </c>
      <c r="C3898" s="222" t="s">
        <v>2052</v>
      </c>
      <c r="D3898" s="222" t="s">
        <v>1364</v>
      </c>
    </row>
    <row r="3899" spans="1:4" x14ac:dyDescent="0.25">
      <c r="A3899" s="222" t="s">
        <v>3421</v>
      </c>
      <c r="B3899" s="222">
        <v>533206</v>
      </c>
      <c r="C3899" s="222" t="s">
        <v>3420</v>
      </c>
      <c r="D3899" s="222" t="s">
        <v>2380</v>
      </c>
    </row>
    <row r="3900" spans="1:4" x14ac:dyDescent="0.25">
      <c r="A3900" s="222" t="s">
        <v>3419</v>
      </c>
      <c r="B3900" s="222">
        <v>500472</v>
      </c>
      <c r="C3900" s="222" t="s">
        <v>3418</v>
      </c>
      <c r="D3900" s="222" t="s">
        <v>1395</v>
      </c>
    </row>
    <row r="3901" spans="1:4" x14ac:dyDescent="0.25">
      <c r="A3901" s="222" t="s">
        <v>3417</v>
      </c>
      <c r="B3901" s="222">
        <v>500472</v>
      </c>
      <c r="C3901" s="222" t="s">
        <v>3416</v>
      </c>
      <c r="D3901" s="222" t="s">
        <v>1395</v>
      </c>
    </row>
    <row r="3902" spans="1:4" x14ac:dyDescent="0.25">
      <c r="A3902" s="222" t="s">
        <v>3415</v>
      </c>
      <c r="B3902" s="222">
        <v>539861</v>
      </c>
      <c r="C3902" s="222" t="s">
        <v>3414</v>
      </c>
      <c r="D3902" s="222" t="s">
        <v>1248</v>
      </c>
    </row>
    <row r="3903" spans="1:4" x14ac:dyDescent="0.25">
      <c r="A3903" s="222" t="s">
        <v>3413</v>
      </c>
      <c r="B3903" s="222">
        <v>538562</v>
      </c>
      <c r="C3903" s="222" t="s">
        <v>3412</v>
      </c>
      <c r="D3903" s="222" t="s">
        <v>1248</v>
      </c>
    </row>
    <row r="3904" spans="1:4" x14ac:dyDescent="0.25">
      <c r="A3904" s="222" t="s">
        <v>3411</v>
      </c>
      <c r="B3904" s="222">
        <v>532143</v>
      </c>
      <c r="C3904" s="222" t="s">
        <v>3409</v>
      </c>
      <c r="D3904" s="222" t="s">
        <v>1083</v>
      </c>
    </row>
    <row r="3905" spans="1:4" x14ac:dyDescent="0.25">
      <c r="A3905" s="222" t="s">
        <v>3410</v>
      </c>
      <c r="B3905" s="222">
        <v>532143</v>
      </c>
      <c r="C3905" s="222" t="s">
        <v>3409</v>
      </c>
      <c r="D3905" s="222" t="s">
        <v>1083</v>
      </c>
    </row>
    <row r="3906" spans="1:4" x14ac:dyDescent="0.25">
      <c r="A3906" s="222" t="s">
        <v>3408</v>
      </c>
      <c r="B3906" s="222">
        <v>531169</v>
      </c>
      <c r="C3906" s="222" t="s">
        <v>2052</v>
      </c>
      <c r="D3906" s="222" t="s">
        <v>1321</v>
      </c>
    </row>
    <row r="3907" spans="1:4" x14ac:dyDescent="0.25">
      <c r="A3907" s="222" t="s">
        <v>3407</v>
      </c>
      <c r="B3907" s="222" t="s">
        <v>2052</v>
      </c>
      <c r="C3907" s="222" t="s">
        <v>3406</v>
      </c>
      <c r="D3907" s="222" t="s">
        <v>2050</v>
      </c>
    </row>
    <row r="3908" spans="1:4" x14ac:dyDescent="0.25">
      <c r="A3908" s="222" t="s">
        <v>3405</v>
      </c>
      <c r="B3908" s="222">
        <v>541967</v>
      </c>
      <c r="C3908" s="222" t="s">
        <v>2052</v>
      </c>
      <c r="D3908" s="222" t="s">
        <v>1364</v>
      </c>
    </row>
    <row r="3909" spans="1:4" x14ac:dyDescent="0.25">
      <c r="A3909" s="222" t="s">
        <v>3404</v>
      </c>
      <c r="B3909" s="222">
        <v>526479</v>
      </c>
      <c r="C3909" s="222" t="s">
        <v>2052</v>
      </c>
      <c r="D3909" s="222" t="s">
        <v>1237</v>
      </c>
    </row>
    <row r="3910" spans="1:4" x14ac:dyDescent="0.25">
      <c r="A3910" s="222" t="s">
        <v>3403</v>
      </c>
      <c r="B3910" s="222">
        <v>505650</v>
      </c>
      <c r="C3910" s="222" t="s">
        <v>2052</v>
      </c>
      <c r="D3910" s="222" t="s">
        <v>2450</v>
      </c>
    </row>
    <row r="3911" spans="1:4" x14ac:dyDescent="0.25">
      <c r="A3911" s="222" t="s">
        <v>3402</v>
      </c>
      <c r="B3911" s="222">
        <v>538919</v>
      </c>
      <c r="C3911" s="222" t="s">
        <v>2052</v>
      </c>
      <c r="D3911" s="222" t="s">
        <v>1243</v>
      </c>
    </row>
    <row r="3912" spans="1:4" x14ac:dyDescent="0.25">
      <c r="A3912" s="222" t="s">
        <v>3401</v>
      </c>
      <c r="B3912" s="222">
        <v>538919</v>
      </c>
      <c r="C3912" s="222" t="s">
        <v>2052</v>
      </c>
      <c r="D3912" s="222" t="s">
        <v>1243</v>
      </c>
    </row>
    <row r="3913" spans="1:4" x14ac:dyDescent="0.25">
      <c r="A3913" s="222" t="s">
        <v>3400</v>
      </c>
      <c r="B3913" s="222">
        <v>539494</v>
      </c>
      <c r="C3913" s="222" t="s">
        <v>2052</v>
      </c>
      <c r="D3913" s="222" t="s">
        <v>1321</v>
      </c>
    </row>
    <row r="3914" spans="1:4" x14ac:dyDescent="0.25">
      <c r="A3914" s="222" t="s">
        <v>3399</v>
      </c>
      <c r="B3914" s="222">
        <v>532419</v>
      </c>
      <c r="C3914" s="222" t="s">
        <v>3398</v>
      </c>
      <c r="D3914" s="222" t="s">
        <v>2387</v>
      </c>
    </row>
    <row r="3915" spans="1:4" x14ac:dyDescent="0.25">
      <c r="A3915" s="222" t="s">
        <v>3397</v>
      </c>
      <c r="B3915" s="222">
        <v>508905</v>
      </c>
      <c r="C3915" s="222" t="s">
        <v>2052</v>
      </c>
      <c r="D3915" s="222" t="s">
        <v>1262</v>
      </c>
    </row>
    <row r="3916" spans="1:4" x14ac:dyDescent="0.25">
      <c r="A3916" s="222" t="s">
        <v>3396</v>
      </c>
      <c r="B3916" s="222">
        <v>505192</v>
      </c>
      <c r="C3916" s="222" t="s">
        <v>3395</v>
      </c>
      <c r="D3916" s="222" t="s">
        <v>2450</v>
      </c>
    </row>
    <row r="3917" spans="1:4" x14ac:dyDescent="0.25">
      <c r="A3917" s="222" t="s">
        <v>3394</v>
      </c>
      <c r="B3917" s="222">
        <v>540686</v>
      </c>
      <c r="C3917" s="222" t="s">
        <v>2052</v>
      </c>
      <c r="D3917" s="222" t="s">
        <v>789</v>
      </c>
    </row>
    <row r="3918" spans="1:4" x14ac:dyDescent="0.25">
      <c r="A3918" s="222" t="s">
        <v>3393</v>
      </c>
      <c r="B3918" s="222">
        <v>540679</v>
      </c>
      <c r="C3918" s="222" t="s">
        <v>3391</v>
      </c>
      <c r="D3918" s="222" t="s">
        <v>789</v>
      </c>
    </row>
    <row r="3919" spans="1:4" x14ac:dyDescent="0.25">
      <c r="A3919" s="222" t="s">
        <v>3392</v>
      </c>
      <c r="B3919" s="222">
        <v>540679</v>
      </c>
      <c r="C3919" s="222" t="s">
        <v>3391</v>
      </c>
      <c r="D3919" s="222" t="s">
        <v>789</v>
      </c>
    </row>
    <row r="3920" spans="1:4" x14ac:dyDescent="0.25">
      <c r="A3920" s="222" t="s">
        <v>3390</v>
      </c>
      <c r="B3920" s="222">
        <v>532815</v>
      </c>
      <c r="C3920" s="222" t="s">
        <v>3389</v>
      </c>
      <c r="D3920" s="222" t="s">
        <v>789</v>
      </c>
    </row>
    <row r="3921" spans="1:4" x14ac:dyDescent="0.25">
      <c r="A3921" s="222" t="s">
        <v>3388</v>
      </c>
      <c r="B3921" s="222" t="s">
        <v>2052</v>
      </c>
      <c r="C3921" s="222" t="s">
        <v>3387</v>
      </c>
      <c r="D3921" s="222" t="s">
        <v>2050</v>
      </c>
    </row>
    <row r="3922" spans="1:4" x14ac:dyDescent="0.25">
      <c r="A3922" s="222" t="s">
        <v>3386</v>
      </c>
      <c r="B3922" s="222">
        <v>505827</v>
      </c>
      <c r="C3922" s="222" t="s">
        <v>2052</v>
      </c>
      <c r="D3922" s="222" t="s">
        <v>1395</v>
      </c>
    </row>
    <row r="3923" spans="1:4" x14ac:dyDescent="0.25">
      <c r="A3923" s="222" t="s">
        <v>3385</v>
      </c>
      <c r="B3923" s="222">
        <v>538635</v>
      </c>
      <c r="C3923" s="222" t="s">
        <v>3384</v>
      </c>
      <c r="D3923" s="222" t="s">
        <v>1329</v>
      </c>
    </row>
    <row r="3924" spans="1:4" x14ac:dyDescent="0.25">
      <c r="A3924" s="222" t="s">
        <v>3383</v>
      </c>
      <c r="B3924" s="222">
        <v>532784</v>
      </c>
      <c r="C3924" s="222" t="s">
        <v>3382</v>
      </c>
      <c r="D3924" s="222" t="s">
        <v>1243</v>
      </c>
    </row>
    <row r="3925" spans="1:4" x14ac:dyDescent="0.25">
      <c r="A3925" s="222" t="s">
        <v>3381</v>
      </c>
      <c r="B3925" s="222">
        <v>512014</v>
      </c>
      <c r="C3925" s="222" t="s">
        <v>2052</v>
      </c>
      <c r="D3925" s="222" t="s">
        <v>2068</v>
      </c>
    </row>
    <row r="3926" spans="1:4" x14ac:dyDescent="0.25">
      <c r="A3926" s="222" t="s">
        <v>3380</v>
      </c>
      <c r="B3926" s="222">
        <v>538923</v>
      </c>
      <c r="C3926" s="222" t="s">
        <v>2052</v>
      </c>
      <c r="D3926" s="222" t="s">
        <v>1265</v>
      </c>
    </row>
    <row r="3927" spans="1:4" x14ac:dyDescent="0.25">
      <c r="A3927" s="222" t="s">
        <v>3379</v>
      </c>
      <c r="B3927" s="222">
        <v>504375</v>
      </c>
      <c r="C3927" s="222" t="s">
        <v>2052</v>
      </c>
      <c r="D3927" s="222" t="s">
        <v>1265</v>
      </c>
    </row>
    <row r="3928" spans="1:4" x14ac:dyDescent="0.25">
      <c r="A3928" s="222" t="s">
        <v>3378</v>
      </c>
      <c r="B3928" s="222">
        <v>532344</v>
      </c>
      <c r="C3928" s="222" t="s">
        <v>2052</v>
      </c>
      <c r="D3928" s="222" t="s">
        <v>1942</v>
      </c>
    </row>
    <row r="3929" spans="1:4" x14ac:dyDescent="0.25">
      <c r="A3929" s="222" t="s">
        <v>3377</v>
      </c>
      <c r="B3929" s="222">
        <v>532344</v>
      </c>
      <c r="C3929" s="222" t="s">
        <v>2052</v>
      </c>
      <c r="D3929" s="222" t="s">
        <v>1942</v>
      </c>
    </row>
    <row r="3930" spans="1:4" x14ac:dyDescent="0.25">
      <c r="A3930" s="222" t="s">
        <v>3376</v>
      </c>
      <c r="B3930" s="222" t="s">
        <v>2052</v>
      </c>
      <c r="C3930" s="222" t="s">
        <v>818</v>
      </c>
      <c r="D3930" s="222" t="s">
        <v>2050</v>
      </c>
    </row>
    <row r="3931" spans="1:4" x14ac:dyDescent="0.25">
      <c r="A3931" s="222" t="s">
        <v>3375</v>
      </c>
      <c r="B3931" s="222">
        <v>532725</v>
      </c>
      <c r="C3931" s="222" t="s">
        <v>3373</v>
      </c>
      <c r="D3931" s="222" t="s">
        <v>722</v>
      </c>
    </row>
    <row r="3932" spans="1:4" x14ac:dyDescent="0.25">
      <c r="A3932" s="222" t="s">
        <v>3374</v>
      </c>
      <c r="B3932" s="222">
        <v>532725</v>
      </c>
      <c r="C3932" s="222" t="s">
        <v>3373</v>
      </c>
      <c r="D3932" s="222" t="s">
        <v>722</v>
      </c>
    </row>
    <row r="3933" spans="1:4" x14ac:dyDescent="0.25">
      <c r="A3933" s="222" t="s">
        <v>3372</v>
      </c>
      <c r="B3933" s="222">
        <v>541540</v>
      </c>
      <c r="C3933" s="222" t="s">
        <v>3371</v>
      </c>
      <c r="D3933" s="222" t="s">
        <v>789</v>
      </c>
    </row>
    <row r="3934" spans="1:4" x14ac:dyDescent="0.25">
      <c r="A3934" s="222" t="s">
        <v>3370</v>
      </c>
      <c r="B3934" s="222" t="s">
        <v>2052</v>
      </c>
      <c r="C3934" s="222" t="s">
        <v>3369</v>
      </c>
      <c r="D3934" s="222" t="s">
        <v>2050</v>
      </c>
    </row>
    <row r="3935" spans="1:4" x14ac:dyDescent="0.25">
      <c r="A3935" s="222" t="s">
        <v>3368</v>
      </c>
      <c r="B3935" s="222">
        <v>500394</v>
      </c>
      <c r="C3935" s="222" t="s">
        <v>2052</v>
      </c>
      <c r="D3935" s="222" t="s">
        <v>1395</v>
      </c>
    </row>
    <row r="3936" spans="1:4" x14ac:dyDescent="0.25">
      <c r="A3936" s="222" t="s">
        <v>3367</v>
      </c>
      <c r="B3936" s="222">
        <v>502460</v>
      </c>
      <c r="C3936" s="222" t="s">
        <v>2052</v>
      </c>
      <c r="D3936" s="222" t="s">
        <v>1972</v>
      </c>
    </row>
    <row r="3937" spans="1:4" x14ac:dyDescent="0.25">
      <c r="A3937" s="222" t="s">
        <v>3366</v>
      </c>
      <c r="B3937" s="222">
        <v>513699</v>
      </c>
      <c r="C3937" s="222" t="s">
        <v>2052</v>
      </c>
      <c r="D3937" s="222" t="s">
        <v>2357</v>
      </c>
    </row>
    <row r="3938" spans="1:4" x14ac:dyDescent="0.25">
      <c r="A3938" s="222" t="s">
        <v>3365</v>
      </c>
      <c r="B3938" s="222">
        <v>538575</v>
      </c>
      <c r="C3938" s="222" t="s">
        <v>2052</v>
      </c>
      <c r="D3938" s="222" t="s">
        <v>1529</v>
      </c>
    </row>
    <row r="3939" spans="1:4" x14ac:dyDescent="0.25">
      <c r="A3939" s="222" t="s">
        <v>3364</v>
      </c>
      <c r="B3939" s="222">
        <v>522152</v>
      </c>
      <c r="C3939" s="222" t="s">
        <v>2052</v>
      </c>
      <c r="D3939" s="222" t="s">
        <v>832</v>
      </c>
    </row>
    <row r="3940" spans="1:4" x14ac:dyDescent="0.25">
      <c r="A3940" s="222" t="s">
        <v>3363</v>
      </c>
      <c r="B3940" s="222">
        <v>511571</v>
      </c>
      <c r="C3940" s="222" t="s">
        <v>2052</v>
      </c>
      <c r="D3940" s="222" t="s">
        <v>1321</v>
      </c>
    </row>
    <row r="3941" spans="1:4" x14ac:dyDescent="0.25">
      <c r="A3941" s="222" t="s">
        <v>3362</v>
      </c>
      <c r="B3941" s="222">
        <v>507514</v>
      </c>
      <c r="C3941" s="222" t="s">
        <v>3361</v>
      </c>
      <c r="D3941" s="222" t="s">
        <v>2146</v>
      </c>
    </row>
    <row r="3942" spans="1:4" x14ac:dyDescent="0.25">
      <c r="A3942" s="222" t="s">
        <v>3360</v>
      </c>
      <c r="B3942" s="222">
        <v>521034</v>
      </c>
      <c r="C3942" s="222" t="s">
        <v>3359</v>
      </c>
      <c r="D3942" s="222" t="s">
        <v>1237</v>
      </c>
    </row>
    <row r="3943" spans="1:4" x14ac:dyDescent="0.25">
      <c r="A3943" s="222" t="s">
        <v>3358</v>
      </c>
      <c r="B3943" s="222">
        <v>531548</v>
      </c>
      <c r="C3943" s="222" t="s">
        <v>3357</v>
      </c>
      <c r="D3943" s="222" t="s">
        <v>2714</v>
      </c>
    </row>
    <row r="3944" spans="1:4" x14ac:dyDescent="0.25">
      <c r="A3944" s="222" t="s">
        <v>3356</v>
      </c>
      <c r="B3944" s="222">
        <v>533001</v>
      </c>
      <c r="C3944" s="222" t="s">
        <v>3355</v>
      </c>
      <c r="D3944" s="222" t="s">
        <v>832</v>
      </c>
    </row>
    <row r="3945" spans="1:4" x14ac:dyDescent="0.25">
      <c r="A3945" s="222" t="s">
        <v>3354</v>
      </c>
      <c r="B3945" s="222">
        <v>526901</v>
      </c>
      <c r="C3945" s="222" t="s">
        <v>2052</v>
      </c>
      <c r="D3945" s="222" t="s">
        <v>998</v>
      </c>
    </row>
    <row r="3946" spans="1:4" x14ac:dyDescent="0.25">
      <c r="A3946" s="222" t="s">
        <v>3353</v>
      </c>
      <c r="B3946" s="222">
        <v>538943</v>
      </c>
      <c r="C3946" s="222" t="s">
        <v>2052</v>
      </c>
      <c r="D3946" s="222" t="s">
        <v>1321</v>
      </c>
    </row>
    <row r="3947" spans="1:4" x14ac:dyDescent="0.25">
      <c r="A3947" s="222" t="s">
        <v>3352</v>
      </c>
      <c r="B3947" s="222" t="s">
        <v>2052</v>
      </c>
      <c r="C3947" s="222" t="s">
        <v>3351</v>
      </c>
      <c r="D3947" s="222" t="s">
        <v>2050</v>
      </c>
    </row>
    <row r="3948" spans="1:4" x14ac:dyDescent="0.25">
      <c r="A3948" s="222" t="s">
        <v>3350</v>
      </c>
      <c r="B3948" s="222">
        <v>532221</v>
      </c>
      <c r="C3948" s="222" t="s">
        <v>3349</v>
      </c>
      <c r="D3948" s="222" t="s">
        <v>1265</v>
      </c>
    </row>
    <row r="3949" spans="1:4" x14ac:dyDescent="0.25">
      <c r="A3949" s="222" t="s">
        <v>3348</v>
      </c>
      <c r="B3949" s="222">
        <v>539378</v>
      </c>
      <c r="C3949" s="222" t="s">
        <v>2052</v>
      </c>
      <c r="D3949" s="222" t="s">
        <v>1297</v>
      </c>
    </row>
    <row r="3950" spans="1:4" x14ac:dyDescent="0.25">
      <c r="A3950" s="222" t="s">
        <v>3347</v>
      </c>
      <c r="B3950" s="222" t="s">
        <v>2052</v>
      </c>
      <c r="C3950" s="222" t="s">
        <v>3346</v>
      </c>
      <c r="D3950" s="222" t="s">
        <v>2050</v>
      </c>
    </row>
    <row r="3951" spans="1:4" x14ac:dyDescent="0.25">
      <c r="A3951" s="222" t="s">
        <v>3345</v>
      </c>
      <c r="B3951" s="222">
        <v>541633</v>
      </c>
      <c r="C3951" s="222" t="s">
        <v>2052</v>
      </c>
      <c r="D3951" s="222" t="s">
        <v>1972</v>
      </c>
    </row>
    <row r="3952" spans="1:4" x14ac:dyDescent="0.25">
      <c r="A3952" s="222" t="s">
        <v>3344</v>
      </c>
      <c r="B3952" s="222">
        <v>532679</v>
      </c>
      <c r="C3952" s="222" t="s">
        <v>3343</v>
      </c>
      <c r="D3952" s="222" t="s">
        <v>1318</v>
      </c>
    </row>
    <row r="3953" spans="1:4" x14ac:dyDescent="0.25">
      <c r="A3953" s="222" t="s">
        <v>3342</v>
      </c>
      <c r="B3953" s="222">
        <v>521036</v>
      </c>
      <c r="C3953" s="222" t="s">
        <v>2052</v>
      </c>
      <c r="D3953" s="222" t="s">
        <v>1237</v>
      </c>
    </row>
    <row r="3954" spans="1:4" x14ac:dyDescent="0.25">
      <c r="A3954" s="222" t="s">
        <v>3341</v>
      </c>
      <c r="B3954" s="222">
        <v>521036</v>
      </c>
      <c r="C3954" s="222" t="s">
        <v>2052</v>
      </c>
      <c r="D3954" s="222" t="s">
        <v>1237</v>
      </c>
    </row>
    <row r="3955" spans="1:4" x14ac:dyDescent="0.25">
      <c r="A3955" s="222" t="s">
        <v>3340</v>
      </c>
      <c r="B3955" s="222">
        <v>531398</v>
      </c>
      <c r="C3955" s="222" t="s">
        <v>2052</v>
      </c>
      <c r="D3955" s="222" t="s">
        <v>789</v>
      </c>
    </row>
    <row r="3956" spans="1:4" x14ac:dyDescent="0.25">
      <c r="A3956" s="222" t="s">
        <v>3339</v>
      </c>
      <c r="B3956" s="222">
        <v>526477</v>
      </c>
      <c r="C3956" s="222" t="s">
        <v>2052</v>
      </c>
      <c r="D3956" s="222" t="s">
        <v>2130</v>
      </c>
    </row>
    <row r="3957" spans="1:4" x14ac:dyDescent="0.25">
      <c r="A3957" s="222" t="s">
        <v>3338</v>
      </c>
      <c r="B3957" s="222">
        <v>516108</v>
      </c>
      <c r="C3957" s="222" t="s">
        <v>2052</v>
      </c>
      <c r="D3957" s="222" t="s">
        <v>1972</v>
      </c>
    </row>
    <row r="3958" spans="1:4" x14ac:dyDescent="0.25">
      <c r="A3958" s="222" t="s">
        <v>3337</v>
      </c>
      <c r="B3958" s="222">
        <v>538891</v>
      </c>
      <c r="C3958" s="222" t="s">
        <v>2052</v>
      </c>
      <c r="D3958" s="222" t="s">
        <v>1321</v>
      </c>
    </row>
    <row r="3959" spans="1:4" x14ac:dyDescent="0.25">
      <c r="A3959" s="222" t="s">
        <v>3336</v>
      </c>
      <c r="B3959" s="222" t="s">
        <v>2052</v>
      </c>
      <c r="C3959" s="222" t="s">
        <v>3335</v>
      </c>
      <c r="D3959" s="222" t="s">
        <v>2050</v>
      </c>
    </row>
    <row r="3960" spans="1:4" x14ac:dyDescent="0.25">
      <c r="A3960" s="222" t="s">
        <v>3334</v>
      </c>
      <c r="B3960" s="222">
        <v>509910</v>
      </c>
      <c r="C3960" s="222" t="s">
        <v>2052</v>
      </c>
      <c r="D3960" s="222" t="s">
        <v>998</v>
      </c>
    </row>
    <row r="3961" spans="1:4" x14ac:dyDescent="0.25">
      <c r="A3961" s="222" t="s">
        <v>3333</v>
      </c>
      <c r="B3961" s="222">
        <v>540174</v>
      </c>
      <c r="C3961" s="222" t="s">
        <v>2052</v>
      </c>
      <c r="D3961" s="222" t="s">
        <v>1265</v>
      </c>
    </row>
    <row r="3962" spans="1:4" x14ac:dyDescent="0.25">
      <c r="A3962" s="222" t="s">
        <v>3332</v>
      </c>
      <c r="B3962" s="222">
        <v>514454</v>
      </c>
      <c r="C3962" s="222" t="s">
        <v>2052</v>
      </c>
      <c r="D3962" s="222" t="s">
        <v>1237</v>
      </c>
    </row>
    <row r="3963" spans="1:4" x14ac:dyDescent="0.25">
      <c r="A3963" s="222" t="s">
        <v>3331</v>
      </c>
      <c r="B3963" s="222">
        <v>513498</v>
      </c>
      <c r="C3963" s="222" t="s">
        <v>2052</v>
      </c>
      <c r="D3963" s="222" t="s">
        <v>2796</v>
      </c>
    </row>
    <row r="3964" spans="1:4" x14ac:dyDescent="0.25">
      <c r="A3964" s="222" t="s">
        <v>3330</v>
      </c>
      <c r="B3964" s="222">
        <v>532669</v>
      </c>
      <c r="C3964" s="222" t="s">
        <v>2052</v>
      </c>
      <c r="D3964" s="222" t="s">
        <v>998</v>
      </c>
    </row>
    <row r="3965" spans="1:4" x14ac:dyDescent="0.25">
      <c r="A3965" s="222" t="s">
        <v>3329</v>
      </c>
      <c r="B3965" s="222">
        <v>590030</v>
      </c>
      <c r="C3965" s="222" t="s">
        <v>3328</v>
      </c>
      <c r="D3965" s="222" t="s">
        <v>734</v>
      </c>
    </row>
    <row r="3966" spans="1:4" x14ac:dyDescent="0.25">
      <c r="A3966" s="222" t="s">
        <v>3327</v>
      </c>
      <c r="B3966" s="222">
        <v>523826</v>
      </c>
      <c r="C3966" s="222" t="s">
        <v>2052</v>
      </c>
      <c r="D3966" s="222" t="s">
        <v>1364</v>
      </c>
    </row>
    <row r="3967" spans="1:4" x14ac:dyDescent="0.25">
      <c r="A3967" s="222" t="s">
        <v>3326</v>
      </c>
      <c r="B3967" s="222">
        <v>532025</v>
      </c>
      <c r="C3967" s="222" t="s">
        <v>2052</v>
      </c>
      <c r="D3967" s="222" t="s">
        <v>2264</v>
      </c>
    </row>
    <row r="3968" spans="1:4" x14ac:dyDescent="0.25">
      <c r="A3968" s="222" t="s">
        <v>3325</v>
      </c>
      <c r="B3968" s="222">
        <v>530289</v>
      </c>
      <c r="C3968" s="222" t="s">
        <v>2052</v>
      </c>
      <c r="D3968" s="222" t="s">
        <v>2068</v>
      </c>
    </row>
    <row r="3969" spans="1:4" x14ac:dyDescent="0.25">
      <c r="A3969" s="222" t="s">
        <v>3324</v>
      </c>
      <c r="B3969" s="222">
        <v>542376</v>
      </c>
      <c r="C3969" s="222" t="s">
        <v>3323</v>
      </c>
      <c r="D3969" s="222" t="s">
        <v>1262</v>
      </c>
    </row>
    <row r="3970" spans="1:4" x14ac:dyDescent="0.25">
      <c r="A3970" s="222" t="s">
        <v>3322</v>
      </c>
      <c r="B3970" s="222">
        <v>541890</v>
      </c>
      <c r="C3970" s="222" t="s">
        <v>2052</v>
      </c>
      <c r="D3970" s="222" t="s">
        <v>1265</v>
      </c>
    </row>
    <row r="3971" spans="1:4" x14ac:dyDescent="0.25">
      <c r="A3971" s="222" t="s">
        <v>3321</v>
      </c>
      <c r="B3971" s="222">
        <v>538920</v>
      </c>
      <c r="C3971" s="222" t="s">
        <v>2052</v>
      </c>
      <c r="D3971" s="222" t="s">
        <v>1529</v>
      </c>
    </row>
    <row r="3972" spans="1:4" x14ac:dyDescent="0.25">
      <c r="A3972" s="222" t="s">
        <v>3320</v>
      </c>
      <c r="B3972" s="222" t="s">
        <v>2052</v>
      </c>
      <c r="C3972" s="222" t="s">
        <v>3318</v>
      </c>
      <c r="D3972" s="222" t="s">
        <v>2197</v>
      </c>
    </row>
    <row r="3973" spans="1:4" x14ac:dyDescent="0.25">
      <c r="A3973" s="222" t="s">
        <v>3319</v>
      </c>
      <c r="B3973" s="222" t="s">
        <v>2052</v>
      </c>
      <c r="C3973" s="222" t="s">
        <v>3318</v>
      </c>
      <c r="D3973" s="222" t="s">
        <v>2197</v>
      </c>
    </row>
    <row r="3974" spans="1:4" x14ac:dyDescent="0.25">
      <c r="A3974" s="222" t="s">
        <v>3317</v>
      </c>
      <c r="B3974" s="222">
        <v>524727</v>
      </c>
      <c r="C3974" s="222" t="s">
        <v>2052</v>
      </c>
      <c r="D3974" s="222" t="s">
        <v>789</v>
      </c>
    </row>
    <row r="3975" spans="1:4" x14ac:dyDescent="0.25">
      <c r="A3975" s="222" t="s">
        <v>3316</v>
      </c>
      <c r="B3975" s="222">
        <v>531370</v>
      </c>
      <c r="C3975" s="222" t="s">
        <v>2052</v>
      </c>
      <c r="D3975" s="222" t="s">
        <v>1265</v>
      </c>
    </row>
    <row r="3976" spans="1:4" x14ac:dyDescent="0.25">
      <c r="A3976" s="222" t="s">
        <v>3315</v>
      </c>
      <c r="B3976" s="222">
        <v>540211</v>
      </c>
      <c r="C3976" s="222" t="s">
        <v>2052</v>
      </c>
      <c r="D3976" s="222" t="s">
        <v>1321</v>
      </c>
    </row>
    <row r="3977" spans="1:4" x14ac:dyDescent="0.25">
      <c r="A3977" s="222" t="s">
        <v>3314</v>
      </c>
      <c r="B3977" s="222">
        <v>534425</v>
      </c>
      <c r="C3977" s="222" t="s">
        <v>3313</v>
      </c>
      <c r="D3977" s="222" t="s">
        <v>924</v>
      </c>
    </row>
    <row r="3978" spans="1:4" x14ac:dyDescent="0.25">
      <c r="A3978" s="222" t="s">
        <v>3312</v>
      </c>
      <c r="B3978" s="222">
        <v>513687</v>
      </c>
      <c r="C3978" s="222" t="s">
        <v>2052</v>
      </c>
      <c r="D3978" s="222" t="s">
        <v>1306</v>
      </c>
    </row>
    <row r="3979" spans="1:4" x14ac:dyDescent="0.25">
      <c r="A3979" s="222" t="s">
        <v>3311</v>
      </c>
      <c r="B3979" s="222" t="s">
        <v>2052</v>
      </c>
      <c r="C3979" s="222" t="s">
        <v>3310</v>
      </c>
      <c r="D3979" s="222" t="s">
        <v>2050</v>
      </c>
    </row>
    <row r="3980" spans="1:4" x14ac:dyDescent="0.25">
      <c r="A3980" s="222" t="s">
        <v>3309</v>
      </c>
      <c r="B3980" s="222">
        <v>531982</v>
      </c>
      <c r="C3980" s="222" t="s">
        <v>2052</v>
      </c>
      <c r="D3980" s="222" t="s">
        <v>1083</v>
      </c>
    </row>
    <row r="3981" spans="1:4" x14ac:dyDescent="0.25">
      <c r="A3981" s="222" t="s">
        <v>3308</v>
      </c>
      <c r="B3981" s="222">
        <v>512153</v>
      </c>
      <c r="C3981" s="222" t="s">
        <v>2052</v>
      </c>
      <c r="D3981" s="222" t="s">
        <v>2068</v>
      </c>
    </row>
    <row r="3982" spans="1:4" x14ac:dyDescent="0.25">
      <c r="A3982" s="222" t="s">
        <v>3307</v>
      </c>
      <c r="B3982" s="222">
        <v>512291</v>
      </c>
      <c r="C3982" s="222" t="s">
        <v>2052</v>
      </c>
      <c r="D3982" s="222" t="s">
        <v>1262</v>
      </c>
    </row>
    <row r="3983" spans="1:4" x14ac:dyDescent="0.25">
      <c r="A3983" s="222" t="s">
        <v>3306</v>
      </c>
      <c r="B3983" s="222">
        <v>517166</v>
      </c>
      <c r="C3983" s="222" t="s">
        <v>2052</v>
      </c>
      <c r="D3983" s="222" t="s">
        <v>2062</v>
      </c>
    </row>
    <row r="3984" spans="1:4" x14ac:dyDescent="0.25">
      <c r="A3984" s="222" t="s">
        <v>3305</v>
      </c>
      <c r="B3984" s="222">
        <v>542337</v>
      </c>
      <c r="C3984" s="222" t="s">
        <v>3304</v>
      </c>
      <c r="D3984" s="222" t="s">
        <v>2247</v>
      </c>
    </row>
    <row r="3985" spans="1:4" x14ac:dyDescent="0.25">
      <c r="A3985" s="222" t="s">
        <v>3303</v>
      </c>
      <c r="B3985" s="222" t="s">
        <v>2052</v>
      </c>
      <c r="C3985" s="222" t="s">
        <v>3302</v>
      </c>
      <c r="D3985" s="222" t="s">
        <v>2247</v>
      </c>
    </row>
    <row r="3986" spans="1:4" x14ac:dyDescent="0.25">
      <c r="A3986" s="222" t="s">
        <v>3301</v>
      </c>
      <c r="B3986" s="222">
        <v>526161</v>
      </c>
      <c r="C3986" s="222" t="s">
        <v>2052</v>
      </c>
      <c r="D3986" s="222" t="s">
        <v>1364</v>
      </c>
    </row>
    <row r="3987" spans="1:4" x14ac:dyDescent="0.25">
      <c r="A3987" s="222" t="s">
        <v>3300</v>
      </c>
      <c r="B3987" s="222">
        <v>521082</v>
      </c>
      <c r="C3987" s="222" t="s">
        <v>3299</v>
      </c>
      <c r="D3987" s="222" t="s">
        <v>1237</v>
      </c>
    </row>
    <row r="3988" spans="1:4" x14ac:dyDescent="0.25">
      <c r="A3988" s="222" t="s">
        <v>3298</v>
      </c>
      <c r="B3988" s="222">
        <v>526827</v>
      </c>
      <c r="C3988" s="222" t="s">
        <v>2052</v>
      </c>
      <c r="D3988" s="222" t="s">
        <v>1364</v>
      </c>
    </row>
    <row r="3989" spans="1:4" x14ac:dyDescent="0.25">
      <c r="A3989" s="222" t="s">
        <v>3297</v>
      </c>
      <c r="B3989" s="222">
        <v>517214</v>
      </c>
      <c r="C3989" s="222" t="s">
        <v>3296</v>
      </c>
      <c r="D3989" s="222" t="s">
        <v>2114</v>
      </c>
    </row>
    <row r="3990" spans="1:4" x14ac:dyDescent="0.25">
      <c r="A3990" s="222" t="s">
        <v>3295</v>
      </c>
      <c r="B3990" s="222">
        <v>500285</v>
      </c>
      <c r="C3990" s="222" t="s">
        <v>2052</v>
      </c>
      <c r="D3990" s="222" t="s">
        <v>2972</v>
      </c>
    </row>
    <row r="3991" spans="1:4" x14ac:dyDescent="0.25">
      <c r="A3991" s="222" t="s">
        <v>3294</v>
      </c>
      <c r="B3991" s="222">
        <v>540084</v>
      </c>
      <c r="C3991" s="222" t="s">
        <v>2052</v>
      </c>
      <c r="D3991" s="222" t="s">
        <v>2264</v>
      </c>
    </row>
    <row r="3992" spans="1:4" x14ac:dyDescent="0.25">
      <c r="A3992" s="222" t="s">
        <v>3293</v>
      </c>
      <c r="B3992" s="222">
        <v>532651</v>
      </c>
      <c r="C3992" s="222" t="s">
        <v>3292</v>
      </c>
      <c r="D3992" s="222" t="s">
        <v>1364</v>
      </c>
    </row>
    <row r="3993" spans="1:4" x14ac:dyDescent="0.25">
      <c r="A3993" s="222" t="s">
        <v>3291</v>
      </c>
      <c r="B3993" s="222">
        <v>513414</v>
      </c>
      <c r="C3993" s="222" t="s">
        <v>3290</v>
      </c>
      <c r="D3993" s="222" t="s">
        <v>2167</v>
      </c>
    </row>
    <row r="3994" spans="1:4" x14ac:dyDescent="0.25">
      <c r="A3994" s="222" t="s">
        <v>3289</v>
      </c>
      <c r="B3994" s="222">
        <v>500402</v>
      </c>
      <c r="C3994" s="222" t="s">
        <v>3288</v>
      </c>
      <c r="D3994" s="222" t="s">
        <v>1248</v>
      </c>
    </row>
    <row r="3995" spans="1:4" x14ac:dyDescent="0.25">
      <c r="A3995" s="222" t="s">
        <v>3287</v>
      </c>
      <c r="B3995" s="222">
        <v>539221</v>
      </c>
      <c r="C3995" s="222" t="s">
        <v>2052</v>
      </c>
      <c r="D3995" s="222" t="s">
        <v>1237</v>
      </c>
    </row>
    <row r="3996" spans="1:4" x14ac:dyDescent="0.25">
      <c r="A3996" s="222" t="s">
        <v>3286</v>
      </c>
      <c r="B3996" s="222">
        <v>539221</v>
      </c>
      <c r="C3996" s="222" t="s">
        <v>2052</v>
      </c>
      <c r="D3996" s="222" t="s">
        <v>1237</v>
      </c>
    </row>
    <row r="3997" spans="1:4" x14ac:dyDescent="0.25">
      <c r="A3997" s="222" t="s">
        <v>3285</v>
      </c>
      <c r="B3997" s="222">
        <v>540079</v>
      </c>
      <c r="C3997" s="222" t="s">
        <v>2052</v>
      </c>
      <c r="D3997" s="222" t="s">
        <v>1313</v>
      </c>
    </row>
    <row r="3998" spans="1:4" x14ac:dyDescent="0.25">
      <c r="A3998" s="222" t="s">
        <v>3284</v>
      </c>
      <c r="B3998" s="222">
        <v>540570</v>
      </c>
      <c r="C3998" s="222" t="s">
        <v>3283</v>
      </c>
      <c r="D3998" s="222" t="s">
        <v>3282</v>
      </c>
    </row>
    <row r="3999" spans="1:4" x14ac:dyDescent="0.25">
      <c r="A3999" s="222" t="s">
        <v>3281</v>
      </c>
      <c r="B3999" s="222">
        <v>538402</v>
      </c>
      <c r="C3999" s="222" t="s">
        <v>2052</v>
      </c>
      <c r="D3999" s="222" t="s">
        <v>1321</v>
      </c>
    </row>
    <row r="4000" spans="1:4" x14ac:dyDescent="0.25">
      <c r="A4000" s="222" t="s">
        <v>3280</v>
      </c>
      <c r="B4000" s="222">
        <v>530177</v>
      </c>
      <c r="C4000" s="222" t="s">
        <v>2052</v>
      </c>
      <c r="D4000" s="222" t="s">
        <v>1529</v>
      </c>
    </row>
    <row r="4001" spans="1:4" x14ac:dyDescent="0.25">
      <c r="A4001" s="222" t="s">
        <v>3279</v>
      </c>
      <c r="B4001" s="222">
        <v>533121</v>
      </c>
      <c r="C4001" s="222" t="s">
        <v>3278</v>
      </c>
      <c r="D4001" s="222" t="s">
        <v>1265</v>
      </c>
    </row>
    <row r="4002" spans="1:4" x14ac:dyDescent="0.25">
      <c r="A4002" s="222" t="s">
        <v>3277</v>
      </c>
      <c r="B4002" s="222">
        <v>526532</v>
      </c>
      <c r="C4002" s="222" t="s">
        <v>2052</v>
      </c>
      <c r="D4002" s="222" t="s">
        <v>998</v>
      </c>
    </row>
    <row r="4003" spans="1:4" x14ac:dyDescent="0.25">
      <c r="A4003" s="222" t="s">
        <v>3276</v>
      </c>
      <c r="B4003" s="222">
        <v>526532</v>
      </c>
      <c r="C4003" s="222" t="s">
        <v>2052</v>
      </c>
      <c r="D4003" s="222" t="s">
        <v>998</v>
      </c>
    </row>
    <row r="4004" spans="1:4" x14ac:dyDescent="0.25">
      <c r="A4004" s="222" t="s">
        <v>3275</v>
      </c>
      <c r="B4004" s="222">
        <v>530037</v>
      </c>
      <c r="C4004" s="222" t="s">
        <v>2052</v>
      </c>
      <c r="D4004" s="222" t="s">
        <v>1237</v>
      </c>
    </row>
    <row r="4005" spans="1:4" x14ac:dyDescent="0.25">
      <c r="A4005" s="222" t="s">
        <v>3274</v>
      </c>
      <c r="B4005" s="222">
        <v>532842</v>
      </c>
      <c r="C4005" s="222" t="s">
        <v>3273</v>
      </c>
      <c r="D4005" s="222" t="s">
        <v>998</v>
      </c>
    </row>
    <row r="4006" spans="1:4" x14ac:dyDescent="0.25">
      <c r="A4006" s="222" t="s">
        <v>3272</v>
      </c>
      <c r="B4006" s="222">
        <v>514248</v>
      </c>
      <c r="C4006" s="222" t="s">
        <v>2052</v>
      </c>
      <c r="D4006" s="222" t="s">
        <v>998</v>
      </c>
    </row>
    <row r="4007" spans="1:4" x14ac:dyDescent="0.25">
      <c r="A4007" s="222" t="s">
        <v>3271</v>
      </c>
      <c r="B4007" s="222">
        <v>535601</v>
      </c>
      <c r="C4007" s="222" t="s">
        <v>3270</v>
      </c>
      <c r="D4007" s="222" t="s">
        <v>754</v>
      </c>
    </row>
    <row r="4008" spans="1:4" x14ac:dyDescent="0.25">
      <c r="A4008" s="222" t="s">
        <v>3269</v>
      </c>
      <c r="B4008" s="222">
        <v>523756</v>
      </c>
      <c r="C4008" s="222" t="s">
        <v>3268</v>
      </c>
      <c r="D4008" s="222" t="s">
        <v>1321</v>
      </c>
    </row>
    <row r="4009" spans="1:4" x14ac:dyDescent="0.25">
      <c r="A4009" s="222" t="s">
        <v>3267</v>
      </c>
      <c r="B4009" s="222">
        <v>539217</v>
      </c>
      <c r="C4009" s="222" t="s">
        <v>2052</v>
      </c>
      <c r="D4009" s="222" t="s">
        <v>2108</v>
      </c>
    </row>
    <row r="4010" spans="1:4" x14ac:dyDescent="0.25">
      <c r="A4010" s="222" t="s">
        <v>3266</v>
      </c>
      <c r="B4010" s="222">
        <v>503806</v>
      </c>
      <c r="C4010" s="222" t="s">
        <v>3265</v>
      </c>
      <c r="D4010" s="222" t="s">
        <v>1237</v>
      </c>
    </row>
    <row r="4011" spans="1:4" x14ac:dyDescent="0.25">
      <c r="A4011" s="222" t="s">
        <v>3264</v>
      </c>
      <c r="B4011" s="222">
        <v>534680</v>
      </c>
      <c r="C4011" s="222" t="s">
        <v>2052</v>
      </c>
      <c r="D4011" s="222" t="s">
        <v>2520</v>
      </c>
    </row>
    <row r="4012" spans="1:4" x14ac:dyDescent="0.25">
      <c r="A4012" s="222" t="s">
        <v>3263</v>
      </c>
      <c r="B4012" s="222">
        <v>530943</v>
      </c>
      <c r="C4012" s="222" t="s">
        <v>3262</v>
      </c>
      <c r="D4012" s="222" t="s">
        <v>2264</v>
      </c>
    </row>
    <row r="4013" spans="1:4" x14ac:dyDescent="0.25">
      <c r="A4013" s="222" t="s">
        <v>3261</v>
      </c>
      <c r="B4013" s="222">
        <v>538863</v>
      </c>
      <c r="C4013" s="222" t="s">
        <v>2052</v>
      </c>
      <c r="D4013" s="222" t="s">
        <v>1321</v>
      </c>
    </row>
    <row r="4014" spans="1:4" x14ac:dyDescent="0.25">
      <c r="A4014" s="222" t="s">
        <v>3260</v>
      </c>
      <c r="B4014" s="222">
        <v>531322</v>
      </c>
      <c r="C4014" s="222" t="s">
        <v>3259</v>
      </c>
      <c r="D4014" s="222" t="s">
        <v>2740</v>
      </c>
    </row>
    <row r="4015" spans="1:4" x14ac:dyDescent="0.25">
      <c r="A4015" s="222" t="s">
        <v>3258</v>
      </c>
      <c r="B4015" s="222">
        <v>514442</v>
      </c>
      <c r="C4015" s="222" t="s">
        <v>2052</v>
      </c>
      <c r="D4015" s="222" t="s">
        <v>1251</v>
      </c>
    </row>
    <row r="4016" spans="1:4" x14ac:dyDescent="0.25">
      <c r="A4016" s="222" t="s">
        <v>3257</v>
      </c>
      <c r="B4016" s="222">
        <v>539363</v>
      </c>
      <c r="C4016" s="222" t="s">
        <v>2052</v>
      </c>
      <c r="D4016" s="222" t="s">
        <v>1243</v>
      </c>
    </row>
    <row r="4017" spans="1:4" x14ac:dyDescent="0.25">
      <c r="A4017" s="222" t="s">
        <v>3256</v>
      </c>
      <c r="B4017" s="222">
        <v>539363</v>
      </c>
      <c r="C4017" s="222" t="s">
        <v>2052</v>
      </c>
      <c r="D4017" s="222" t="s">
        <v>1243</v>
      </c>
    </row>
    <row r="4018" spans="1:4" x14ac:dyDescent="0.25">
      <c r="A4018" s="222" t="s">
        <v>3255</v>
      </c>
      <c r="B4018" s="222" t="s">
        <v>2052</v>
      </c>
      <c r="C4018" s="222" t="s">
        <v>3254</v>
      </c>
      <c r="D4018" s="222" t="s">
        <v>2050</v>
      </c>
    </row>
    <row r="4019" spans="1:4" x14ac:dyDescent="0.25">
      <c r="A4019" s="222" t="s">
        <v>3253</v>
      </c>
      <c r="B4019" s="222">
        <v>521161</v>
      </c>
      <c r="C4019" s="222" t="s">
        <v>2052</v>
      </c>
      <c r="D4019" s="222" t="s">
        <v>1237</v>
      </c>
    </row>
    <row r="4020" spans="1:4" x14ac:dyDescent="0.25">
      <c r="A4020" s="222" t="s">
        <v>3252</v>
      </c>
      <c r="B4020" s="222">
        <v>521234</v>
      </c>
      <c r="C4020" s="222" t="s">
        <v>2052</v>
      </c>
      <c r="D4020" s="222" t="s">
        <v>1237</v>
      </c>
    </row>
    <row r="4021" spans="1:4" x14ac:dyDescent="0.25">
      <c r="A4021" s="222" t="s">
        <v>3251</v>
      </c>
      <c r="B4021" s="222">
        <v>521178</v>
      </c>
      <c r="C4021" s="222" t="s">
        <v>2052</v>
      </c>
      <c r="D4021" s="222" t="s">
        <v>1237</v>
      </c>
    </row>
    <row r="4022" spans="1:4" x14ac:dyDescent="0.25">
      <c r="A4022" s="222" t="s">
        <v>3250</v>
      </c>
      <c r="B4022" s="222">
        <v>515081</v>
      </c>
      <c r="C4022" s="222" t="s">
        <v>2052</v>
      </c>
      <c r="D4022" s="222" t="s">
        <v>2357</v>
      </c>
    </row>
    <row r="4023" spans="1:4" x14ac:dyDescent="0.25">
      <c r="A4023" s="222" t="s">
        <v>3249</v>
      </c>
      <c r="B4023" s="222">
        <v>513605</v>
      </c>
      <c r="C4023" s="222" t="s">
        <v>3248</v>
      </c>
      <c r="D4023" s="222" t="s">
        <v>740</v>
      </c>
    </row>
    <row r="4024" spans="1:4" x14ac:dyDescent="0.25">
      <c r="A4024" s="222" t="s">
        <v>3247</v>
      </c>
      <c r="B4024" s="222">
        <v>523222</v>
      </c>
      <c r="C4024" s="222" t="s">
        <v>2052</v>
      </c>
      <c r="D4024" s="222" t="s">
        <v>2380</v>
      </c>
    </row>
    <row r="4025" spans="1:4" x14ac:dyDescent="0.25">
      <c r="A4025" s="222" t="s">
        <v>3246</v>
      </c>
      <c r="B4025" s="222">
        <v>536799</v>
      </c>
      <c r="C4025" s="222" t="s">
        <v>2052</v>
      </c>
      <c r="D4025" s="222" t="s">
        <v>1321</v>
      </c>
    </row>
    <row r="4026" spans="1:4" x14ac:dyDescent="0.25">
      <c r="A4026" s="222" t="s">
        <v>3245</v>
      </c>
      <c r="B4026" s="222">
        <v>533569</v>
      </c>
      <c r="C4026" s="222" t="s">
        <v>3244</v>
      </c>
      <c r="D4026" s="222" t="s">
        <v>1364</v>
      </c>
    </row>
    <row r="4027" spans="1:4" x14ac:dyDescent="0.25">
      <c r="A4027" s="222" t="s">
        <v>3243</v>
      </c>
      <c r="B4027" s="222">
        <v>540914</v>
      </c>
      <c r="C4027" s="222" t="s">
        <v>2052</v>
      </c>
      <c r="D4027" s="222" t="s">
        <v>1529</v>
      </c>
    </row>
    <row r="4028" spans="1:4" x14ac:dyDescent="0.25">
      <c r="A4028" s="222" t="s">
        <v>3242</v>
      </c>
      <c r="B4028" s="222">
        <v>524636</v>
      </c>
      <c r="C4028" s="222" t="s">
        <v>2052</v>
      </c>
      <c r="D4028" s="222" t="s">
        <v>789</v>
      </c>
    </row>
    <row r="4029" spans="1:4" x14ac:dyDescent="0.25">
      <c r="A4029" s="222" t="s">
        <v>3241</v>
      </c>
      <c r="B4029" s="222">
        <v>530821</v>
      </c>
      <c r="C4029" s="222" t="s">
        <v>2052</v>
      </c>
      <c r="D4029" s="222" t="s">
        <v>1243</v>
      </c>
    </row>
    <row r="4030" spans="1:4" x14ac:dyDescent="0.25">
      <c r="A4030" s="222" t="s">
        <v>3240</v>
      </c>
      <c r="B4030" s="222">
        <v>539026</v>
      </c>
      <c r="C4030" s="222" t="s">
        <v>2052</v>
      </c>
      <c r="D4030" s="222" t="s">
        <v>1262</v>
      </c>
    </row>
    <row r="4031" spans="1:4" x14ac:dyDescent="0.25">
      <c r="A4031" s="222" t="s">
        <v>3238</v>
      </c>
      <c r="B4031" s="222">
        <v>531723</v>
      </c>
      <c r="C4031" s="222" t="s">
        <v>3239</v>
      </c>
      <c r="D4031" s="222" t="s">
        <v>1262</v>
      </c>
    </row>
    <row r="4032" spans="1:4" x14ac:dyDescent="0.25">
      <c r="A4032" s="222" t="s">
        <v>3238</v>
      </c>
      <c r="B4032" s="222">
        <v>570005</v>
      </c>
      <c r="C4032" s="222" t="s">
        <v>3237</v>
      </c>
      <c r="D4032" s="222" t="s">
        <v>1262</v>
      </c>
    </row>
    <row r="4033" spans="1:4" x14ac:dyDescent="0.25">
      <c r="A4033" s="222" t="s">
        <v>3236</v>
      </c>
      <c r="B4033" s="222">
        <v>504180</v>
      </c>
      <c r="C4033" s="222" t="s">
        <v>2052</v>
      </c>
      <c r="D4033" s="222" t="s">
        <v>1321</v>
      </c>
    </row>
    <row r="4034" spans="1:4" x14ac:dyDescent="0.25">
      <c r="A4034" s="222" t="s">
        <v>3235</v>
      </c>
      <c r="B4034" s="222">
        <v>511700</v>
      </c>
      <c r="C4034" s="222" t="s">
        <v>2052</v>
      </c>
      <c r="D4034" s="222" t="s">
        <v>1321</v>
      </c>
    </row>
    <row r="4035" spans="1:4" x14ac:dyDescent="0.25">
      <c r="A4035" s="222" t="s">
        <v>3234</v>
      </c>
      <c r="B4035" s="222">
        <v>580001</v>
      </c>
      <c r="C4035" s="222" t="s">
        <v>2052</v>
      </c>
      <c r="D4035" s="222" t="s">
        <v>1240</v>
      </c>
    </row>
    <row r="4036" spans="1:4" x14ac:dyDescent="0.25">
      <c r="A4036" s="222" t="s">
        <v>3233</v>
      </c>
      <c r="B4036" s="222">
        <v>530017</v>
      </c>
      <c r="C4036" s="222" t="s">
        <v>3232</v>
      </c>
      <c r="D4036" s="222" t="s">
        <v>998</v>
      </c>
    </row>
    <row r="4037" spans="1:4" x14ac:dyDescent="0.25">
      <c r="A4037" s="222" t="s">
        <v>3231</v>
      </c>
      <c r="B4037" s="222">
        <v>523351</v>
      </c>
      <c r="C4037" s="222" t="s">
        <v>2052</v>
      </c>
      <c r="D4037" s="222" t="s">
        <v>722</v>
      </c>
    </row>
    <row r="4038" spans="1:4" x14ac:dyDescent="0.25">
      <c r="A4038" s="222" t="s">
        <v>3230</v>
      </c>
      <c r="B4038" s="222">
        <v>523351</v>
      </c>
      <c r="C4038" s="222" t="s">
        <v>2052</v>
      </c>
      <c r="D4038" s="222" t="s">
        <v>722</v>
      </c>
    </row>
    <row r="4039" spans="1:4" x14ac:dyDescent="0.25">
      <c r="A4039" s="222" t="s">
        <v>3229</v>
      </c>
      <c r="B4039" s="222">
        <v>526231</v>
      </c>
      <c r="C4039" s="222" t="s">
        <v>2052</v>
      </c>
      <c r="D4039" s="222" t="s">
        <v>998</v>
      </c>
    </row>
    <row r="4040" spans="1:4" x14ac:dyDescent="0.25">
      <c r="A4040" s="222" t="s">
        <v>3228</v>
      </c>
      <c r="B4040" s="222">
        <v>530931</v>
      </c>
      <c r="C4040" s="222" t="s">
        <v>2052</v>
      </c>
      <c r="D4040" s="222" t="s">
        <v>1447</v>
      </c>
    </row>
    <row r="4041" spans="1:4" x14ac:dyDescent="0.25">
      <c r="A4041" s="222" t="s">
        <v>3227</v>
      </c>
      <c r="B4041" s="222">
        <v>530931</v>
      </c>
      <c r="C4041" s="222" t="s">
        <v>2052</v>
      </c>
      <c r="D4041" s="222" t="s">
        <v>1447</v>
      </c>
    </row>
    <row r="4042" spans="1:4" x14ac:dyDescent="0.25">
      <c r="A4042" s="222" t="s">
        <v>3226</v>
      </c>
      <c r="B4042" s="222">
        <v>506105</v>
      </c>
      <c r="C4042" s="222" t="s">
        <v>2052</v>
      </c>
      <c r="D4042" s="222" t="s">
        <v>2108</v>
      </c>
    </row>
    <row r="4043" spans="1:4" x14ac:dyDescent="0.25">
      <c r="A4043" s="222" t="s">
        <v>3225</v>
      </c>
      <c r="B4043" s="222">
        <v>540575</v>
      </c>
      <c r="C4043" s="222" t="s">
        <v>3224</v>
      </c>
      <c r="D4043" s="222" t="s">
        <v>1004</v>
      </c>
    </row>
    <row r="4044" spans="1:4" x14ac:dyDescent="0.25">
      <c r="A4044" s="222" t="s">
        <v>3223</v>
      </c>
      <c r="B4044" s="222">
        <v>539255</v>
      </c>
      <c r="C4044" s="222" t="s">
        <v>2052</v>
      </c>
      <c r="D4044" s="222" t="s">
        <v>1066</v>
      </c>
    </row>
    <row r="4045" spans="1:4" x14ac:dyDescent="0.25">
      <c r="A4045" s="222" t="s">
        <v>3222</v>
      </c>
      <c r="B4045" s="222">
        <v>516022</v>
      </c>
      <c r="C4045" s="222" t="s">
        <v>3221</v>
      </c>
      <c r="D4045" s="222" t="s">
        <v>1972</v>
      </c>
    </row>
    <row r="4046" spans="1:4" x14ac:dyDescent="0.25">
      <c r="A4046" s="222" t="s">
        <v>3220</v>
      </c>
      <c r="B4046" s="222">
        <v>531616</v>
      </c>
      <c r="C4046" s="222" t="s">
        <v>2052</v>
      </c>
      <c r="D4046" s="222" t="s">
        <v>1265</v>
      </c>
    </row>
    <row r="4047" spans="1:4" x14ac:dyDescent="0.25">
      <c r="A4047" s="222" t="s">
        <v>3219</v>
      </c>
      <c r="B4047" s="222">
        <v>538733</v>
      </c>
      <c r="C4047" s="222" t="s">
        <v>2052</v>
      </c>
      <c r="D4047" s="222" t="s">
        <v>3218</v>
      </c>
    </row>
    <row r="4048" spans="1:4" x14ac:dyDescent="0.25">
      <c r="A4048" s="222" t="s">
        <v>3217</v>
      </c>
      <c r="B4048" s="222">
        <v>517548</v>
      </c>
      <c r="C4048" s="222" t="s">
        <v>2052</v>
      </c>
      <c r="D4048" s="222" t="s">
        <v>1529</v>
      </c>
    </row>
    <row r="4049" spans="1:4" x14ac:dyDescent="0.25">
      <c r="A4049" s="222" t="s">
        <v>3216</v>
      </c>
      <c r="B4049" s="222">
        <v>520155</v>
      </c>
      <c r="C4049" s="222" t="s">
        <v>2052</v>
      </c>
      <c r="D4049" s="222" t="s">
        <v>2245</v>
      </c>
    </row>
    <row r="4050" spans="1:4" x14ac:dyDescent="0.25">
      <c r="A4050" s="222" t="s">
        <v>3215</v>
      </c>
      <c r="B4050" s="222">
        <v>500112</v>
      </c>
      <c r="C4050" s="222" t="s">
        <v>3214</v>
      </c>
      <c r="D4050" s="222" t="s">
        <v>1240</v>
      </c>
    </row>
    <row r="4051" spans="1:4" x14ac:dyDescent="0.25">
      <c r="A4051" s="222" t="s">
        <v>3213</v>
      </c>
      <c r="B4051" s="222">
        <v>500113</v>
      </c>
      <c r="C4051" s="222" t="s">
        <v>3211</v>
      </c>
      <c r="D4051" s="222" t="s">
        <v>2167</v>
      </c>
    </row>
    <row r="4052" spans="1:4" x14ac:dyDescent="0.25">
      <c r="A4052" s="222" t="s">
        <v>3212</v>
      </c>
      <c r="B4052" s="222">
        <v>500113</v>
      </c>
      <c r="C4052" s="222" t="s">
        <v>3211</v>
      </c>
      <c r="D4052" s="222" t="s">
        <v>2167</v>
      </c>
    </row>
    <row r="4053" spans="1:4" x14ac:dyDescent="0.25">
      <c r="A4053" s="222" t="s">
        <v>3210</v>
      </c>
      <c r="B4053" s="222" t="s">
        <v>2052</v>
      </c>
      <c r="C4053" s="222" t="s">
        <v>3209</v>
      </c>
      <c r="D4053" s="222" t="s">
        <v>2050</v>
      </c>
    </row>
    <row r="4054" spans="1:4" x14ac:dyDescent="0.25">
      <c r="A4054" s="222" t="s">
        <v>3208</v>
      </c>
      <c r="B4054" s="222">
        <v>534748</v>
      </c>
      <c r="C4054" s="222" t="s">
        <v>3206</v>
      </c>
      <c r="D4054" s="222" t="s">
        <v>2167</v>
      </c>
    </row>
    <row r="4055" spans="1:4" x14ac:dyDescent="0.25">
      <c r="A4055" s="222" t="s">
        <v>3207</v>
      </c>
      <c r="B4055" s="222">
        <v>534748</v>
      </c>
      <c r="C4055" s="222" t="s">
        <v>3206</v>
      </c>
      <c r="D4055" s="222" t="s">
        <v>2167</v>
      </c>
    </row>
    <row r="4056" spans="1:4" x14ac:dyDescent="0.25">
      <c r="A4056" s="222" t="s">
        <v>3205</v>
      </c>
      <c r="B4056" s="222">
        <v>513173</v>
      </c>
      <c r="C4056" s="222" t="s">
        <v>2052</v>
      </c>
      <c r="D4056" s="222" t="s">
        <v>1243</v>
      </c>
    </row>
    <row r="4057" spans="1:4" x14ac:dyDescent="0.25">
      <c r="A4057" s="222" t="s">
        <v>3204</v>
      </c>
      <c r="B4057" s="222">
        <v>504717</v>
      </c>
      <c r="C4057" s="222" t="s">
        <v>3203</v>
      </c>
      <c r="D4057" s="222" t="s">
        <v>3202</v>
      </c>
    </row>
    <row r="4058" spans="1:4" x14ac:dyDescent="0.25">
      <c r="A4058" s="222" t="s">
        <v>3201</v>
      </c>
      <c r="B4058" s="222">
        <v>513262</v>
      </c>
      <c r="C4058" s="222" t="s">
        <v>3200</v>
      </c>
      <c r="D4058" s="222" t="s">
        <v>1306</v>
      </c>
    </row>
    <row r="4059" spans="1:4" x14ac:dyDescent="0.25">
      <c r="A4059" s="222" t="s">
        <v>3199</v>
      </c>
      <c r="B4059" s="222">
        <v>513517</v>
      </c>
      <c r="C4059" s="222" t="s">
        <v>2052</v>
      </c>
      <c r="D4059" s="222" t="s">
        <v>1313</v>
      </c>
    </row>
    <row r="4060" spans="1:4" x14ac:dyDescent="0.25">
      <c r="A4060" s="222" t="s">
        <v>3198</v>
      </c>
      <c r="B4060" s="222">
        <v>500399</v>
      </c>
      <c r="C4060" s="222" t="s">
        <v>2052</v>
      </c>
      <c r="D4060" s="222" t="s">
        <v>2167</v>
      </c>
    </row>
    <row r="4061" spans="1:4" x14ac:dyDescent="0.25">
      <c r="A4061" s="222" t="s">
        <v>3197</v>
      </c>
      <c r="B4061" s="222">
        <v>533316</v>
      </c>
      <c r="C4061" s="222" t="s">
        <v>3196</v>
      </c>
      <c r="D4061" s="222" t="s">
        <v>1289</v>
      </c>
    </row>
    <row r="4062" spans="1:4" x14ac:dyDescent="0.25">
      <c r="A4062" s="222" t="s">
        <v>3195</v>
      </c>
      <c r="B4062" s="222">
        <v>526071</v>
      </c>
      <c r="C4062" s="222" t="s">
        <v>2052</v>
      </c>
      <c r="D4062" s="222" t="s">
        <v>1262</v>
      </c>
    </row>
    <row r="4063" spans="1:4" x14ac:dyDescent="0.25">
      <c r="A4063" s="222" t="s">
        <v>3194</v>
      </c>
      <c r="B4063" s="222">
        <v>526071</v>
      </c>
      <c r="C4063" s="222" t="s">
        <v>2052</v>
      </c>
      <c r="D4063" s="222" t="s">
        <v>1262</v>
      </c>
    </row>
    <row r="4064" spans="1:4" x14ac:dyDescent="0.25">
      <c r="A4064" s="222" t="s">
        <v>3193</v>
      </c>
      <c r="B4064" s="222">
        <v>536738</v>
      </c>
      <c r="C4064" s="222" t="s">
        <v>2052</v>
      </c>
      <c r="D4064" s="222" t="s">
        <v>1262</v>
      </c>
    </row>
    <row r="4065" spans="1:4" x14ac:dyDescent="0.25">
      <c r="A4065" s="222" t="s">
        <v>3192</v>
      </c>
      <c r="B4065" s="222">
        <v>531509</v>
      </c>
      <c r="C4065" s="222" t="s">
        <v>2052</v>
      </c>
      <c r="D4065" s="222" t="s">
        <v>1262</v>
      </c>
    </row>
    <row r="4066" spans="1:4" x14ac:dyDescent="0.25">
      <c r="A4066" s="222" t="s">
        <v>3191</v>
      </c>
      <c r="B4066" s="222">
        <v>526500</v>
      </c>
      <c r="C4066" s="222" t="s">
        <v>2052</v>
      </c>
      <c r="D4066" s="222" t="s">
        <v>2128</v>
      </c>
    </row>
    <row r="4067" spans="1:4" x14ac:dyDescent="0.25">
      <c r="A4067" s="222" t="s">
        <v>3190</v>
      </c>
      <c r="B4067" s="222">
        <v>508963</v>
      </c>
      <c r="C4067" s="222" t="s">
        <v>3189</v>
      </c>
      <c r="D4067" s="222" t="s">
        <v>1321</v>
      </c>
    </row>
    <row r="4068" spans="1:4" x14ac:dyDescent="0.25">
      <c r="A4068" s="222" t="s">
        <v>3188</v>
      </c>
      <c r="B4068" s="222">
        <v>531628</v>
      </c>
      <c r="C4068" s="222" t="s">
        <v>2052</v>
      </c>
      <c r="D4068" s="222" t="s">
        <v>1237</v>
      </c>
    </row>
    <row r="4069" spans="1:4" x14ac:dyDescent="0.25">
      <c r="A4069" s="222" t="s">
        <v>3187</v>
      </c>
      <c r="B4069" s="222">
        <v>530759</v>
      </c>
      <c r="C4069" s="222" t="s">
        <v>3186</v>
      </c>
      <c r="D4069" s="222" t="s">
        <v>1306</v>
      </c>
    </row>
    <row r="4070" spans="1:4" x14ac:dyDescent="0.25">
      <c r="A4070" s="222" t="s">
        <v>3185</v>
      </c>
      <c r="B4070" s="222">
        <v>532374</v>
      </c>
      <c r="C4070" s="222" t="s">
        <v>3184</v>
      </c>
      <c r="D4070" s="222" t="s">
        <v>1129</v>
      </c>
    </row>
    <row r="4071" spans="1:4" x14ac:dyDescent="0.25">
      <c r="A4071" s="222" t="s">
        <v>3183</v>
      </c>
      <c r="B4071" s="222">
        <v>513151</v>
      </c>
      <c r="C4071" s="222" t="s">
        <v>3182</v>
      </c>
      <c r="D4071" s="222" t="s">
        <v>1237</v>
      </c>
    </row>
    <row r="4072" spans="1:4" x14ac:dyDescent="0.25">
      <c r="A4072" s="222" t="s">
        <v>3181</v>
      </c>
      <c r="B4072" s="222">
        <v>513151</v>
      </c>
      <c r="C4072" s="222" t="s">
        <v>3180</v>
      </c>
      <c r="D4072" s="222" t="s">
        <v>1237</v>
      </c>
    </row>
    <row r="4073" spans="1:4" x14ac:dyDescent="0.25">
      <c r="A4073" s="222" t="s">
        <v>3179</v>
      </c>
      <c r="B4073" s="222">
        <v>532730</v>
      </c>
      <c r="C4073" s="222" t="s">
        <v>3178</v>
      </c>
      <c r="D4073" s="222" t="s">
        <v>1237</v>
      </c>
    </row>
    <row r="4074" spans="1:4" x14ac:dyDescent="0.25">
      <c r="A4074" s="222" t="s">
        <v>3177</v>
      </c>
      <c r="B4074" s="222">
        <v>504959</v>
      </c>
      <c r="C4074" s="222" t="s">
        <v>2052</v>
      </c>
      <c r="D4074" s="222" t="s">
        <v>832</v>
      </c>
    </row>
    <row r="4075" spans="1:4" x14ac:dyDescent="0.25">
      <c r="A4075" s="222" t="s">
        <v>3176</v>
      </c>
      <c r="B4075" s="222">
        <v>530495</v>
      </c>
      <c r="C4075" s="222" t="s">
        <v>2052</v>
      </c>
      <c r="D4075" s="222" t="s">
        <v>1529</v>
      </c>
    </row>
    <row r="4076" spans="1:4" x14ac:dyDescent="0.25">
      <c r="A4076" s="222" t="s">
        <v>3175</v>
      </c>
      <c r="B4076" s="222">
        <v>532531</v>
      </c>
      <c r="C4076" s="222" t="s">
        <v>3174</v>
      </c>
      <c r="D4076" s="222" t="s">
        <v>789</v>
      </c>
    </row>
    <row r="4077" spans="1:4" x14ac:dyDescent="0.25">
      <c r="A4077" s="222" t="s">
        <v>3173</v>
      </c>
      <c r="B4077" s="222">
        <v>530611</v>
      </c>
      <c r="C4077" s="222" t="s">
        <v>2052</v>
      </c>
      <c r="D4077" s="222" t="s">
        <v>1251</v>
      </c>
    </row>
    <row r="4078" spans="1:4" x14ac:dyDescent="0.25">
      <c r="A4078" s="222" t="s">
        <v>3172</v>
      </c>
      <c r="B4078" s="222">
        <v>526951</v>
      </c>
      <c r="C4078" s="222" t="s">
        <v>2052</v>
      </c>
      <c r="D4078" s="222" t="s">
        <v>1272</v>
      </c>
    </row>
    <row r="4079" spans="1:4" x14ac:dyDescent="0.25">
      <c r="A4079" s="222" t="s">
        <v>3171</v>
      </c>
      <c r="B4079" s="222" t="s">
        <v>2052</v>
      </c>
      <c r="C4079" s="222" t="s">
        <v>3170</v>
      </c>
      <c r="D4079" s="222" t="s">
        <v>1272</v>
      </c>
    </row>
    <row r="4080" spans="1:4" x14ac:dyDescent="0.25">
      <c r="A4080" s="222" t="s">
        <v>3169</v>
      </c>
      <c r="B4080" s="222">
        <v>532348</v>
      </c>
      <c r="C4080" s="222" t="s">
        <v>2052</v>
      </c>
      <c r="D4080" s="222" t="s">
        <v>1942</v>
      </c>
    </row>
    <row r="4081" spans="1:4" x14ac:dyDescent="0.25">
      <c r="A4081" s="222" t="s">
        <v>3168</v>
      </c>
      <c r="B4081" s="222">
        <v>530231</v>
      </c>
      <c r="C4081" s="222" t="s">
        <v>2052</v>
      </c>
      <c r="D4081" s="222" t="s">
        <v>1237</v>
      </c>
    </row>
    <row r="4082" spans="1:4" x14ac:dyDescent="0.25">
      <c r="A4082" s="222" t="s">
        <v>3167</v>
      </c>
      <c r="B4082" s="222">
        <v>517168</v>
      </c>
      <c r="C4082" s="222" t="s">
        <v>3166</v>
      </c>
      <c r="D4082" s="222" t="s">
        <v>1306</v>
      </c>
    </row>
    <row r="4083" spans="1:4" x14ac:dyDescent="0.25">
      <c r="A4083" s="222" t="s">
        <v>3165</v>
      </c>
      <c r="B4083" s="222">
        <v>511024</v>
      </c>
      <c r="C4083" s="222" t="s">
        <v>2052</v>
      </c>
      <c r="D4083" s="222" t="s">
        <v>2068</v>
      </c>
    </row>
    <row r="4084" spans="1:4" x14ac:dyDescent="0.25">
      <c r="A4084" s="222" t="s">
        <v>3164</v>
      </c>
      <c r="B4084" s="222">
        <v>538714</v>
      </c>
      <c r="C4084" s="222" t="s">
        <v>2052</v>
      </c>
      <c r="D4084" s="222" t="s">
        <v>1321</v>
      </c>
    </row>
    <row r="4085" spans="1:4" x14ac:dyDescent="0.25">
      <c r="A4085" s="222" t="s">
        <v>3163</v>
      </c>
      <c r="B4085" s="222">
        <v>506003</v>
      </c>
      <c r="C4085" s="222" t="s">
        <v>2052</v>
      </c>
      <c r="D4085" s="222" t="s">
        <v>2490</v>
      </c>
    </row>
    <row r="4086" spans="1:4" x14ac:dyDescent="0.25">
      <c r="A4086" s="222" t="s">
        <v>3162</v>
      </c>
      <c r="B4086" s="222">
        <v>506655</v>
      </c>
      <c r="C4086" s="222" t="s">
        <v>3161</v>
      </c>
      <c r="D4086" s="222" t="s">
        <v>722</v>
      </c>
    </row>
    <row r="4087" spans="1:4" x14ac:dyDescent="0.25">
      <c r="A4087" s="222" t="s">
        <v>3160</v>
      </c>
      <c r="B4087" s="222">
        <v>521113</v>
      </c>
      <c r="C4087" s="222" t="s">
        <v>2052</v>
      </c>
      <c r="D4087" s="222" t="s">
        <v>1237</v>
      </c>
    </row>
    <row r="4088" spans="1:4" x14ac:dyDescent="0.25">
      <c r="A4088" s="222" t="s">
        <v>3159</v>
      </c>
      <c r="B4088" s="222">
        <v>540318</v>
      </c>
      <c r="C4088" s="222" t="s">
        <v>2052</v>
      </c>
      <c r="D4088" s="222" t="s">
        <v>1237</v>
      </c>
    </row>
    <row r="4089" spans="1:4" x14ac:dyDescent="0.25">
      <c r="A4089" s="222" t="s">
        <v>3158</v>
      </c>
      <c r="B4089" s="222">
        <v>511654</v>
      </c>
      <c r="C4089" s="222" t="s">
        <v>2052</v>
      </c>
      <c r="D4089" s="222" t="s">
        <v>1321</v>
      </c>
    </row>
    <row r="4090" spans="1:4" x14ac:dyDescent="0.25">
      <c r="A4090" s="222" t="s">
        <v>3157</v>
      </c>
      <c r="B4090" s="222">
        <v>542683</v>
      </c>
      <c r="C4090" s="222" t="s">
        <v>3156</v>
      </c>
      <c r="D4090" s="222" t="s">
        <v>2114</v>
      </c>
    </row>
    <row r="4091" spans="1:4" x14ac:dyDescent="0.25">
      <c r="A4091" s="222" t="s">
        <v>3155</v>
      </c>
      <c r="B4091" s="222">
        <v>539117</v>
      </c>
      <c r="C4091" s="222" t="s">
        <v>2052</v>
      </c>
      <c r="D4091" s="222" t="s">
        <v>1321</v>
      </c>
    </row>
    <row r="4092" spans="1:4" x14ac:dyDescent="0.25">
      <c r="A4092" s="222" t="s">
        <v>3154</v>
      </c>
      <c r="B4092" s="222">
        <v>517224</v>
      </c>
      <c r="C4092" s="222" t="s">
        <v>3153</v>
      </c>
      <c r="D4092" s="222" t="s">
        <v>1313</v>
      </c>
    </row>
    <row r="4093" spans="1:4" x14ac:dyDescent="0.25">
      <c r="A4093" s="222" t="s">
        <v>3152</v>
      </c>
      <c r="B4093" s="222">
        <v>524542</v>
      </c>
      <c r="C4093" s="222" t="s">
        <v>2052</v>
      </c>
      <c r="D4093" s="222" t="s">
        <v>731</v>
      </c>
    </row>
    <row r="4094" spans="1:4" x14ac:dyDescent="0.25">
      <c r="A4094" s="222" t="s">
        <v>3151</v>
      </c>
      <c r="B4094" s="222">
        <v>508969</v>
      </c>
      <c r="C4094" s="222" t="s">
        <v>2052</v>
      </c>
      <c r="D4094" s="222" t="s">
        <v>1321</v>
      </c>
    </row>
    <row r="4095" spans="1:4" x14ac:dyDescent="0.25">
      <c r="A4095" s="222" t="s">
        <v>3150</v>
      </c>
      <c r="B4095" s="222">
        <v>530419</v>
      </c>
      <c r="C4095" s="222" t="s">
        <v>2052</v>
      </c>
      <c r="D4095" s="222" t="s">
        <v>1262</v>
      </c>
    </row>
    <row r="4096" spans="1:4" x14ac:dyDescent="0.25">
      <c r="A4096" s="222" t="s">
        <v>3149</v>
      </c>
      <c r="B4096" s="222">
        <v>514211</v>
      </c>
      <c r="C4096" s="222" t="s">
        <v>3148</v>
      </c>
      <c r="D4096" s="222" t="s">
        <v>1237</v>
      </c>
    </row>
    <row r="4097" spans="1:4" x14ac:dyDescent="0.25">
      <c r="A4097" s="222" t="s">
        <v>3147</v>
      </c>
      <c r="B4097" s="222">
        <v>530445</v>
      </c>
      <c r="C4097" s="222" t="s">
        <v>2052</v>
      </c>
      <c r="D4097" s="222" t="s">
        <v>1529</v>
      </c>
    </row>
    <row r="4098" spans="1:4" x14ac:dyDescent="0.25">
      <c r="A4098" s="222" t="s">
        <v>3146</v>
      </c>
      <c r="B4098" s="222" t="s">
        <v>2052</v>
      </c>
      <c r="C4098" s="222" t="s">
        <v>3145</v>
      </c>
      <c r="D4098" s="222" t="s">
        <v>2050</v>
      </c>
    </row>
    <row r="4099" spans="1:4" x14ac:dyDescent="0.25">
      <c r="A4099" s="222" t="s">
        <v>3144</v>
      </c>
      <c r="B4099" s="222">
        <v>533306</v>
      </c>
      <c r="C4099" s="222" t="s">
        <v>3143</v>
      </c>
      <c r="D4099" s="222" t="s">
        <v>2108</v>
      </c>
    </row>
    <row r="4100" spans="1:4" x14ac:dyDescent="0.25">
      <c r="A4100" s="222" t="s">
        <v>3142</v>
      </c>
      <c r="B4100" s="222">
        <v>532154</v>
      </c>
      <c r="C4100" s="222" t="s">
        <v>2052</v>
      </c>
      <c r="D4100" s="222" t="s">
        <v>2068</v>
      </c>
    </row>
    <row r="4101" spans="1:4" x14ac:dyDescent="0.25">
      <c r="A4101" s="222" t="s">
        <v>3141</v>
      </c>
      <c r="B4101" s="222">
        <v>532872</v>
      </c>
      <c r="C4101" s="222" t="s">
        <v>3140</v>
      </c>
      <c r="D4101" s="222" t="s">
        <v>789</v>
      </c>
    </row>
    <row r="4102" spans="1:4" x14ac:dyDescent="0.25">
      <c r="A4102" s="222" t="s">
        <v>3139</v>
      </c>
      <c r="B4102" s="222">
        <v>524715</v>
      </c>
      <c r="C4102" s="222" t="s">
        <v>3138</v>
      </c>
      <c r="D4102" s="222" t="s">
        <v>789</v>
      </c>
    </row>
    <row r="4103" spans="1:4" x14ac:dyDescent="0.25">
      <c r="A4103" s="222" t="s">
        <v>3137</v>
      </c>
      <c r="B4103" s="222">
        <v>542025</v>
      </c>
      <c r="C4103" s="222" t="s">
        <v>2052</v>
      </c>
      <c r="D4103" s="222" t="s">
        <v>1529</v>
      </c>
    </row>
    <row r="4104" spans="1:4" x14ac:dyDescent="0.25">
      <c r="A4104" s="222" t="s">
        <v>3136</v>
      </c>
      <c r="B4104" s="222">
        <v>517403</v>
      </c>
      <c r="C4104" s="222" t="s">
        <v>2052</v>
      </c>
      <c r="D4104" s="222" t="s">
        <v>2380</v>
      </c>
    </row>
    <row r="4105" spans="1:4" x14ac:dyDescent="0.25">
      <c r="A4105" s="222" t="s">
        <v>3135</v>
      </c>
      <c r="B4105" s="222">
        <v>517403</v>
      </c>
      <c r="C4105" s="222" t="s">
        <v>2052</v>
      </c>
      <c r="D4105" s="222" t="s">
        <v>2380</v>
      </c>
    </row>
    <row r="4106" spans="1:4" x14ac:dyDescent="0.25">
      <c r="A4106" s="222" t="s">
        <v>3134</v>
      </c>
      <c r="B4106" s="222">
        <v>531752</v>
      </c>
      <c r="C4106" s="222" t="s">
        <v>2052</v>
      </c>
      <c r="D4106" s="222" t="s">
        <v>1529</v>
      </c>
    </row>
    <row r="4107" spans="1:4" x14ac:dyDescent="0.25">
      <c r="A4107" s="222" t="s">
        <v>3133</v>
      </c>
      <c r="B4107" s="222">
        <v>532733</v>
      </c>
      <c r="C4107" s="222" t="s">
        <v>3132</v>
      </c>
      <c r="D4107" s="222" t="s">
        <v>2079</v>
      </c>
    </row>
    <row r="4108" spans="1:4" x14ac:dyDescent="0.25">
      <c r="A4108" s="222" t="s">
        <v>3131</v>
      </c>
      <c r="B4108" s="222">
        <v>539526</v>
      </c>
      <c r="C4108" s="222" t="s">
        <v>2052</v>
      </c>
      <c r="D4108" s="222" t="s">
        <v>1137</v>
      </c>
    </row>
    <row r="4109" spans="1:4" x14ac:dyDescent="0.25">
      <c r="A4109" s="222" t="s">
        <v>3130</v>
      </c>
      <c r="B4109" s="222">
        <v>530795</v>
      </c>
      <c r="C4109" s="222" t="s">
        <v>2052</v>
      </c>
      <c r="D4109" s="222" t="s">
        <v>1237</v>
      </c>
    </row>
    <row r="4110" spans="1:4" x14ac:dyDescent="0.25">
      <c r="A4110" s="222" t="s">
        <v>3129</v>
      </c>
      <c r="B4110" s="222">
        <v>590072</v>
      </c>
      <c r="C4110" s="222" t="s">
        <v>3128</v>
      </c>
      <c r="D4110" s="222" t="s">
        <v>1306</v>
      </c>
    </row>
    <row r="4111" spans="1:4" x14ac:dyDescent="0.25">
      <c r="A4111" s="222" t="s">
        <v>3127</v>
      </c>
      <c r="B4111" s="222">
        <v>520056</v>
      </c>
      <c r="C4111" s="222" t="s">
        <v>3126</v>
      </c>
      <c r="D4111" s="222" t="s">
        <v>1306</v>
      </c>
    </row>
    <row r="4112" spans="1:4" x14ac:dyDescent="0.25">
      <c r="A4112" s="222" t="s">
        <v>3125</v>
      </c>
      <c r="B4112" s="222" t="s">
        <v>2052</v>
      </c>
      <c r="C4112" s="222" t="s">
        <v>3124</v>
      </c>
      <c r="D4112" s="222" t="s">
        <v>2197</v>
      </c>
    </row>
    <row r="4113" spans="1:4" x14ac:dyDescent="0.25">
      <c r="A4113" s="222" t="s">
        <v>3123</v>
      </c>
      <c r="B4113" s="222">
        <v>590071</v>
      </c>
      <c r="C4113" s="222" t="s">
        <v>3122</v>
      </c>
      <c r="D4113" s="222" t="s">
        <v>1321</v>
      </c>
    </row>
    <row r="4114" spans="1:4" x14ac:dyDescent="0.25">
      <c r="A4114" s="222" t="s">
        <v>3121</v>
      </c>
      <c r="B4114" s="222">
        <v>533166</v>
      </c>
      <c r="C4114" s="222" t="s">
        <v>3120</v>
      </c>
      <c r="D4114" s="222" t="s">
        <v>2542</v>
      </c>
    </row>
    <row r="4115" spans="1:4" x14ac:dyDescent="0.25">
      <c r="A4115" s="222" t="s">
        <v>3119</v>
      </c>
      <c r="B4115" s="222">
        <v>500403</v>
      </c>
      <c r="C4115" s="222" t="s">
        <v>3118</v>
      </c>
      <c r="D4115" s="222" t="s">
        <v>1306</v>
      </c>
    </row>
    <row r="4116" spans="1:4" x14ac:dyDescent="0.25">
      <c r="A4116" s="222" t="s">
        <v>3117</v>
      </c>
      <c r="B4116" s="222">
        <v>500404</v>
      </c>
      <c r="C4116" s="222" t="s">
        <v>3116</v>
      </c>
      <c r="D4116" s="222" t="s">
        <v>2167</v>
      </c>
    </row>
    <row r="4117" spans="1:4" x14ac:dyDescent="0.25">
      <c r="A4117" s="222" t="s">
        <v>3115</v>
      </c>
      <c r="B4117" s="222">
        <v>531433</v>
      </c>
      <c r="C4117" s="222" t="s">
        <v>2052</v>
      </c>
      <c r="D4117" s="222" t="s">
        <v>1321</v>
      </c>
    </row>
    <row r="4118" spans="1:4" x14ac:dyDescent="0.25">
      <c r="A4118" s="222" t="s">
        <v>3114</v>
      </c>
      <c r="B4118" s="222">
        <v>541799</v>
      </c>
      <c r="C4118" s="222" t="s">
        <v>2052</v>
      </c>
      <c r="D4118" s="222" t="s">
        <v>1558</v>
      </c>
    </row>
    <row r="4119" spans="1:4" x14ac:dyDescent="0.25">
      <c r="A4119" s="222" t="s">
        <v>3113</v>
      </c>
      <c r="B4119" s="222">
        <v>530953</v>
      </c>
      <c r="C4119" s="222" t="s">
        <v>2052</v>
      </c>
      <c r="D4119" s="222" t="s">
        <v>1161</v>
      </c>
    </row>
    <row r="4120" spans="1:4" x14ac:dyDescent="0.25">
      <c r="A4120" s="222" t="s">
        <v>3112</v>
      </c>
      <c r="B4120" s="222">
        <v>537253</v>
      </c>
      <c r="C4120" s="222" t="s">
        <v>2052</v>
      </c>
      <c r="D4120" s="222" t="s">
        <v>789</v>
      </c>
    </row>
    <row r="4121" spans="1:4" x14ac:dyDescent="0.25">
      <c r="A4121" s="222" t="s">
        <v>3111</v>
      </c>
      <c r="B4121" s="222">
        <v>532711</v>
      </c>
      <c r="C4121" s="222" t="s">
        <v>3110</v>
      </c>
      <c r="D4121" s="222" t="s">
        <v>1248</v>
      </c>
    </row>
    <row r="4122" spans="1:4" x14ac:dyDescent="0.25">
      <c r="A4122" s="222" t="s">
        <v>3109</v>
      </c>
      <c r="B4122" s="222">
        <v>521232</v>
      </c>
      <c r="C4122" s="222" t="s">
        <v>2052</v>
      </c>
      <c r="D4122" s="222" t="s">
        <v>1529</v>
      </c>
    </row>
    <row r="4123" spans="1:4" x14ac:dyDescent="0.25">
      <c r="A4123" s="222" t="s">
        <v>3108</v>
      </c>
      <c r="B4123" s="222">
        <v>523425</v>
      </c>
      <c r="C4123" s="222" t="s">
        <v>3107</v>
      </c>
      <c r="D4123" s="222" t="s">
        <v>2536</v>
      </c>
    </row>
    <row r="4124" spans="1:4" x14ac:dyDescent="0.25">
      <c r="A4124" s="222" t="s">
        <v>3106</v>
      </c>
      <c r="B4124" s="222">
        <v>501110</v>
      </c>
      <c r="C4124" s="222" t="s">
        <v>2052</v>
      </c>
      <c r="D4124" s="222" t="s">
        <v>1262</v>
      </c>
    </row>
    <row r="4125" spans="1:4" x14ac:dyDescent="0.25">
      <c r="A4125" s="222" t="s">
        <v>3105</v>
      </c>
      <c r="B4125" s="222">
        <v>530845</v>
      </c>
      <c r="C4125" s="222" t="s">
        <v>2052</v>
      </c>
      <c r="D4125" s="222" t="s">
        <v>998</v>
      </c>
    </row>
    <row r="4126" spans="1:4" x14ac:dyDescent="0.25">
      <c r="A4126" s="222" t="s">
        <v>3104</v>
      </c>
      <c r="B4126" s="222">
        <v>539574</v>
      </c>
      <c r="C4126" s="222" t="s">
        <v>2052</v>
      </c>
      <c r="D4126" s="222" t="s">
        <v>1321</v>
      </c>
    </row>
    <row r="4127" spans="1:4" x14ac:dyDescent="0.25">
      <c r="A4127" s="222" t="s">
        <v>3103</v>
      </c>
      <c r="B4127" s="222">
        <v>535141</v>
      </c>
      <c r="C4127" s="222" t="s">
        <v>2052</v>
      </c>
      <c r="D4127" s="222" t="s">
        <v>1243</v>
      </c>
    </row>
    <row r="4128" spans="1:4" x14ac:dyDescent="0.25">
      <c r="A4128" s="222" t="s">
        <v>3102</v>
      </c>
      <c r="B4128" s="222">
        <v>512179</v>
      </c>
      <c r="C4128" s="222" t="s">
        <v>3101</v>
      </c>
      <c r="D4128" s="222" t="s">
        <v>1243</v>
      </c>
    </row>
    <row r="4129" spans="1:4" x14ac:dyDescent="0.25">
      <c r="A4129" s="222" t="s">
        <v>3100</v>
      </c>
      <c r="B4129" s="222">
        <v>530735</v>
      </c>
      <c r="C4129" s="222" t="s">
        <v>2052</v>
      </c>
      <c r="D4129" s="222" t="s">
        <v>1161</v>
      </c>
    </row>
    <row r="4130" spans="1:4" x14ac:dyDescent="0.25">
      <c r="A4130" s="222" t="s">
        <v>3099</v>
      </c>
      <c r="B4130" s="222">
        <v>530735</v>
      </c>
      <c r="C4130" s="222" t="s">
        <v>2052</v>
      </c>
      <c r="D4130" s="222" t="s">
        <v>1161</v>
      </c>
    </row>
    <row r="4131" spans="1:4" x14ac:dyDescent="0.25">
      <c r="A4131" s="222" t="s">
        <v>3098</v>
      </c>
      <c r="B4131" s="222">
        <v>530883</v>
      </c>
      <c r="C4131" s="222" t="s">
        <v>2052</v>
      </c>
      <c r="D4131" s="222" t="s">
        <v>1324</v>
      </c>
    </row>
    <row r="4132" spans="1:4" x14ac:dyDescent="0.25">
      <c r="A4132" s="222" t="s">
        <v>3097</v>
      </c>
      <c r="B4132" s="222">
        <v>531699</v>
      </c>
      <c r="C4132" s="222" t="s">
        <v>2052</v>
      </c>
      <c r="D4132" s="222" t="s">
        <v>802</v>
      </c>
    </row>
    <row r="4133" spans="1:4" x14ac:dyDescent="0.25">
      <c r="A4133" s="222" t="s">
        <v>3096</v>
      </c>
      <c r="B4133" s="222">
        <v>540269</v>
      </c>
      <c r="C4133" s="222" t="s">
        <v>2052</v>
      </c>
      <c r="D4133" s="222" t="s">
        <v>1364</v>
      </c>
    </row>
    <row r="4134" spans="1:4" x14ac:dyDescent="0.25">
      <c r="A4134" s="222" t="s">
        <v>3095</v>
      </c>
      <c r="B4134" s="222">
        <v>512527</v>
      </c>
      <c r="C4134" s="222" t="s">
        <v>2052</v>
      </c>
      <c r="D4134" s="222" t="s">
        <v>1237</v>
      </c>
    </row>
    <row r="4135" spans="1:4" x14ac:dyDescent="0.25">
      <c r="A4135" s="222" t="s">
        <v>3094</v>
      </c>
      <c r="B4135" s="222">
        <v>512527</v>
      </c>
      <c r="C4135" s="222" t="s">
        <v>2052</v>
      </c>
      <c r="D4135" s="222" t="s">
        <v>1237</v>
      </c>
    </row>
    <row r="4136" spans="1:4" x14ac:dyDescent="0.25">
      <c r="A4136" s="222" t="s">
        <v>3093</v>
      </c>
      <c r="B4136" s="222">
        <v>521180</v>
      </c>
      <c r="C4136" s="222" t="s">
        <v>3092</v>
      </c>
      <c r="D4136" s="222" t="s">
        <v>1237</v>
      </c>
    </row>
    <row r="4137" spans="1:4" x14ac:dyDescent="0.25">
      <c r="A4137" s="222" t="s">
        <v>3091</v>
      </c>
      <c r="B4137" s="222">
        <v>523842</v>
      </c>
      <c r="C4137" s="222" t="s">
        <v>2052</v>
      </c>
      <c r="D4137" s="222" t="s">
        <v>1364</v>
      </c>
    </row>
    <row r="4138" spans="1:4" x14ac:dyDescent="0.25">
      <c r="A4138" s="222" t="s">
        <v>3090</v>
      </c>
      <c r="B4138" s="222">
        <v>532070</v>
      </c>
      <c r="C4138" s="222" t="s">
        <v>2052</v>
      </c>
      <c r="D4138" s="222" t="s">
        <v>1972</v>
      </c>
    </row>
    <row r="4139" spans="1:4" x14ac:dyDescent="0.25">
      <c r="A4139" s="222" t="s">
        <v>3089</v>
      </c>
      <c r="B4139" s="222">
        <v>523283</v>
      </c>
      <c r="C4139" s="222" t="s">
        <v>3088</v>
      </c>
      <c r="D4139" s="222" t="s">
        <v>754</v>
      </c>
    </row>
    <row r="4140" spans="1:4" x14ac:dyDescent="0.25">
      <c r="A4140" s="222" t="s">
        <v>3087</v>
      </c>
      <c r="B4140" s="222">
        <v>539835</v>
      </c>
      <c r="C4140" s="222" t="s">
        <v>2052</v>
      </c>
      <c r="D4140" s="222" t="s">
        <v>1321</v>
      </c>
    </row>
    <row r="4141" spans="1:4" x14ac:dyDescent="0.25">
      <c r="A4141" s="222" t="s">
        <v>3086</v>
      </c>
      <c r="B4141" s="222">
        <v>519234</v>
      </c>
      <c r="C4141" s="222" t="s">
        <v>3085</v>
      </c>
      <c r="D4141" s="222" t="s">
        <v>1963</v>
      </c>
    </row>
    <row r="4142" spans="1:4" x14ac:dyDescent="0.25">
      <c r="A4142" s="222" t="s">
        <v>3084</v>
      </c>
      <c r="B4142" s="222">
        <v>780008</v>
      </c>
      <c r="C4142" s="222" t="s">
        <v>2052</v>
      </c>
      <c r="D4142" s="222" t="s">
        <v>2197</v>
      </c>
    </row>
    <row r="4143" spans="1:4" x14ac:dyDescent="0.25">
      <c r="A4143" s="222" t="s">
        <v>3083</v>
      </c>
      <c r="B4143" s="222">
        <v>541701</v>
      </c>
      <c r="C4143" s="222" t="s">
        <v>2052</v>
      </c>
      <c r="D4143" s="222" t="s">
        <v>740</v>
      </c>
    </row>
    <row r="4144" spans="1:4" x14ac:dyDescent="0.25">
      <c r="A4144" s="222" t="s">
        <v>3082</v>
      </c>
      <c r="B4144" s="222">
        <v>526133</v>
      </c>
      <c r="C4144" s="222" t="s">
        <v>2052</v>
      </c>
      <c r="D4144" s="222" t="s">
        <v>1237</v>
      </c>
    </row>
    <row r="4145" spans="1:4" x14ac:dyDescent="0.25">
      <c r="A4145" s="222" t="s">
        <v>3081</v>
      </c>
      <c r="B4145" s="222">
        <v>540168</v>
      </c>
      <c r="C4145" s="222" t="s">
        <v>2052</v>
      </c>
      <c r="D4145" s="222" t="s">
        <v>1321</v>
      </c>
    </row>
    <row r="4146" spans="1:4" x14ac:dyDescent="0.25">
      <c r="A4146" s="222" t="s">
        <v>3080</v>
      </c>
      <c r="B4146" s="222">
        <v>511539</v>
      </c>
      <c r="C4146" s="222" t="s">
        <v>2052</v>
      </c>
      <c r="D4146" s="222" t="s">
        <v>1262</v>
      </c>
    </row>
    <row r="4147" spans="1:4" x14ac:dyDescent="0.25">
      <c r="A4147" s="222" t="s">
        <v>3079</v>
      </c>
      <c r="B4147" s="222">
        <v>532509</v>
      </c>
      <c r="C4147" s="222" t="s">
        <v>3078</v>
      </c>
      <c r="D4147" s="222" t="s">
        <v>1306</v>
      </c>
    </row>
    <row r="4148" spans="1:4" x14ac:dyDescent="0.25">
      <c r="A4148" s="222" t="s">
        <v>3077</v>
      </c>
      <c r="B4148" s="222" t="s">
        <v>2052</v>
      </c>
      <c r="C4148" s="222" t="s">
        <v>3076</v>
      </c>
      <c r="D4148" s="222" t="s">
        <v>2050</v>
      </c>
    </row>
    <row r="4149" spans="1:4" x14ac:dyDescent="0.25">
      <c r="A4149" s="222" t="s">
        <v>3075</v>
      </c>
      <c r="B4149" s="222">
        <v>530677</v>
      </c>
      <c r="C4149" s="222" t="s">
        <v>2052</v>
      </c>
      <c r="D4149" s="222" t="s">
        <v>1243</v>
      </c>
    </row>
    <row r="4150" spans="1:4" x14ac:dyDescent="0.25">
      <c r="A4150" s="222" t="s">
        <v>3074</v>
      </c>
      <c r="B4150" s="222">
        <v>530677</v>
      </c>
      <c r="C4150" s="222" t="s">
        <v>2052</v>
      </c>
      <c r="D4150" s="222" t="s">
        <v>1243</v>
      </c>
    </row>
    <row r="4151" spans="1:4" x14ac:dyDescent="0.25">
      <c r="A4151" s="222" t="s">
        <v>3073</v>
      </c>
      <c r="B4151" s="222" t="s">
        <v>2052</v>
      </c>
      <c r="C4151" s="222" t="s">
        <v>3072</v>
      </c>
      <c r="D4151" s="222" t="s">
        <v>2050</v>
      </c>
    </row>
    <row r="4152" spans="1:4" x14ac:dyDescent="0.25">
      <c r="A4152" s="222" t="s">
        <v>3071</v>
      </c>
      <c r="B4152" s="222">
        <v>509930</v>
      </c>
      <c r="C4152" s="222" t="s">
        <v>3070</v>
      </c>
      <c r="D4152" s="222" t="s">
        <v>1251</v>
      </c>
    </row>
    <row r="4153" spans="1:4" x14ac:dyDescent="0.25">
      <c r="A4153" s="222" t="s">
        <v>3069</v>
      </c>
      <c r="B4153" s="222">
        <v>532904</v>
      </c>
      <c r="C4153" s="222" t="s">
        <v>3067</v>
      </c>
      <c r="D4153" s="222" t="s">
        <v>1248</v>
      </c>
    </row>
    <row r="4154" spans="1:4" x14ac:dyDescent="0.25">
      <c r="A4154" s="222" t="s">
        <v>3068</v>
      </c>
      <c r="B4154" s="222">
        <v>532904</v>
      </c>
      <c r="C4154" s="222" t="s">
        <v>3067</v>
      </c>
      <c r="D4154" s="222" t="s">
        <v>1248</v>
      </c>
    </row>
    <row r="4155" spans="1:4" x14ac:dyDescent="0.25">
      <c r="A4155" s="222" t="s">
        <v>3066</v>
      </c>
      <c r="B4155" s="222">
        <v>500405</v>
      </c>
      <c r="C4155" s="222" t="s">
        <v>3065</v>
      </c>
      <c r="D4155" s="222" t="s">
        <v>1196</v>
      </c>
    </row>
    <row r="4156" spans="1:4" x14ac:dyDescent="0.25">
      <c r="A4156" s="222" t="s">
        <v>3064</v>
      </c>
      <c r="B4156" s="222">
        <v>534733</v>
      </c>
      <c r="C4156" s="222" t="s">
        <v>2052</v>
      </c>
      <c r="D4156" s="222" t="s">
        <v>2167</v>
      </c>
    </row>
    <row r="4157" spans="1:4" x14ac:dyDescent="0.25">
      <c r="A4157" s="222" t="s">
        <v>3063</v>
      </c>
      <c r="B4157" s="222">
        <v>531638</v>
      </c>
      <c r="C4157" s="222" t="s">
        <v>2052</v>
      </c>
      <c r="D4157" s="222" t="s">
        <v>740</v>
      </c>
    </row>
    <row r="4158" spans="1:4" x14ac:dyDescent="0.25">
      <c r="A4158" s="222" t="s">
        <v>3062</v>
      </c>
      <c r="B4158" s="222">
        <v>518075</v>
      </c>
      <c r="C4158" s="222" t="s">
        <v>2052</v>
      </c>
      <c r="D4158" s="222" t="s">
        <v>2167</v>
      </c>
    </row>
    <row r="4159" spans="1:4" x14ac:dyDescent="0.25">
      <c r="A4159" s="222" t="s">
        <v>3061</v>
      </c>
      <c r="B4159" s="222">
        <v>533298</v>
      </c>
      <c r="C4159" s="222" t="s">
        <v>3060</v>
      </c>
      <c r="D4159" s="222" t="s">
        <v>2062</v>
      </c>
    </row>
    <row r="4160" spans="1:4" x14ac:dyDescent="0.25">
      <c r="A4160" s="222" t="s">
        <v>3059</v>
      </c>
      <c r="B4160" s="222">
        <v>517530</v>
      </c>
      <c r="C4160" s="222" t="s">
        <v>3058</v>
      </c>
      <c r="D4160" s="222" t="s">
        <v>2307</v>
      </c>
    </row>
    <row r="4161" spans="1:4" x14ac:dyDescent="0.25">
      <c r="A4161" s="222" t="s">
        <v>3057</v>
      </c>
      <c r="B4161" s="222">
        <v>530185</v>
      </c>
      <c r="C4161" s="222" t="s">
        <v>2052</v>
      </c>
      <c r="D4161" s="222" t="s">
        <v>1237</v>
      </c>
    </row>
    <row r="4162" spans="1:4" x14ac:dyDescent="0.25">
      <c r="A4162" s="222" t="s">
        <v>3056</v>
      </c>
      <c r="B4162" s="222" t="s">
        <v>2052</v>
      </c>
      <c r="C4162" s="222" t="s">
        <v>3055</v>
      </c>
      <c r="D4162" s="222" t="s">
        <v>2050</v>
      </c>
    </row>
    <row r="4163" spans="1:4" x14ac:dyDescent="0.25">
      <c r="A4163" s="222" t="s">
        <v>3054</v>
      </c>
      <c r="B4163" s="222">
        <v>539253</v>
      </c>
      <c r="C4163" s="222" t="s">
        <v>2052</v>
      </c>
      <c r="D4163" s="222" t="s">
        <v>1321</v>
      </c>
    </row>
    <row r="4164" spans="1:4" x14ac:dyDescent="0.25">
      <c r="A4164" s="222" t="s">
        <v>3053</v>
      </c>
      <c r="B4164" s="222">
        <v>539253</v>
      </c>
      <c r="C4164" s="222" t="s">
        <v>2052</v>
      </c>
      <c r="D4164" s="222" t="s">
        <v>1321</v>
      </c>
    </row>
    <row r="4165" spans="1:4" x14ac:dyDescent="0.25">
      <c r="A4165" s="222" t="s">
        <v>3052</v>
      </c>
      <c r="B4165" s="222">
        <v>500336</v>
      </c>
      <c r="C4165" s="222" t="s">
        <v>3051</v>
      </c>
      <c r="D4165" s="222" t="s">
        <v>1318</v>
      </c>
    </row>
    <row r="4166" spans="1:4" x14ac:dyDescent="0.25">
      <c r="A4166" s="222" t="s">
        <v>3050</v>
      </c>
      <c r="B4166" s="222">
        <v>533101</v>
      </c>
      <c r="C4166" s="222" t="s">
        <v>2052</v>
      </c>
      <c r="D4166" s="222" t="s">
        <v>1237</v>
      </c>
    </row>
    <row r="4167" spans="1:4" x14ac:dyDescent="0.25">
      <c r="A4167" s="222" t="s">
        <v>3049</v>
      </c>
      <c r="B4167" s="222">
        <v>532874</v>
      </c>
      <c r="C4167" s="222" t="s">
        <v>2052</v>
      </c>
      <c r="D4167" s="222" t="s">
        <v>2380</v>
      </c>
    </row>
    <row r="4168" spans="1:4" x14ac:dyDescent="0.25">
      <c r="A4168" s="222" t="s">
        <v>3048</v>
      </c>
      <c r="B4168" s="222">
        <v>511185</v>
      </c>
      <c r="C4168" s="222" t="s">
        <v>2052</v>
      </c>
      <c r="D4168" s="222" t="s">
        <v>1329</v>
      </c>
    </row>
    <row r="4169" spans="1:4" x14ac:dyDescent="0.25">
      <c r="A4169" s="222" t="s">
        <v>3047</v>
      </c>
      <c r="B4169" s="222">
        <v>521200</v>
      </c>
      <c r="C4169" s="222" t="s">
        <v>3046</v>
      </c>
      <c r="D4169" s="222" t="s">
        <v>1237</v>
      </c>
    </row>
    <row r="4170" spans="1:4" x14ac:dyDescent="0.25">
      <c r="A4170" s="222" t="s">
        <v>3045</v>
      </c>
      <c r="B4170" s="222">
        <v>514138</v>
      </c>
      <c r="C4170" s="222" t="s">
        <v>2052</v>
      </c>
      <c r="D4170" s="222" t="s">
        <v>1237</v>
      </c>
    </row>
    <row r="4171" spans="1:4" x14ac:dyDescent="0.25">
      <c r="A4171" s="222" t="s">
        <v>3044</v>
      </c>
      <c r="B4171" s="222">
        <v>514140</v>
      </c>
      <c r="C4171" s="222" t="s">
        <v>2052</v>
      </c>
      <c r="D4171" s="222" t="s">
        <v>1237</v>
      </c>
    </row>
    <row r="4172" spans="1:4" x14ac:dyDescent="0.25">
      <c r="A4172" s="222" t="s">
        <v>3043</v>
      </c>
      <c r="B4172" s="222">
        <v>519604</v>
      </c>
      <c r="C4172" s="222" t="s">
        <v>3042</v>
      </c>
      <c r="D4172" s="222" t="s">
        <v>1161</v>
      </c>
    </row>
    <row r="4173" spans="1:4" x14ac:dyDescent="0.25">
      <c r="A4173" s="222" t="s">
        <v>3041</v>
      </c>
      <c r="B4173" s="222">
        <v>532782</v>
      </c>
      <c r="C4173" s="222" t="s">
        <v>3040</v>
      </c>
      <c r="D4173" s="222" t="s">
        <v>1237</v>
      </c>
    </row>
    <row r="4174" spans="1:4" x14ac:dyDescent="0.25">
      <c r="A4174" s="222" t="s">
        <v>3039</v>
      </c>
      <c r="B4174" s="222" t="s">
        <v>2052</v>
      </c>
      <c r="C4174" s="222" t="s">
        <v>3038</v>
      </c>
      <c r="D4174" s="222" t="s">
        <v>2050</v>
      </c>
    </row>
    <row r="4175" spans="1:4" x14ac:dyDescent="0.25">
      <c r="A4175" s="222" t="s">
        <v>3037</v>
      </c>
      <c r="B4175" s="222">
        <v>530239</v>
      </c>
      <c r="C4175" s="222" t="s">
        <v>3036</v>
      </c>
      <c r="D4175" s="222" t="s">
        <v>789</v>
      </c>
    </row>
    <row r="4176" spans="1:4" x14ac:dyDescent="0.25">
      <c r="A4176" s="222" t="s">
        <v>3035</v>
      </c>
      <c r="B4176" s="222">
        <v>531640</v>
      </c>
      <c r="C4176" s="222" t="s">
        <v>2052</v>
      </c>
      <c r="D4176" s="222" t="s">
        <v>1243</v>
      </c>
    </row>
    <row r="4177" spans="1:4" x14ac:dyDescent="0.25">
      <c r="A4177" s="222" t="s">
        <v>3034</v>
      </c>
      <c r="B4177" s="222">
        <v>537259</v>
      </c>
      <c r="C4177" s="222" t="s">
        <v>2052</v>
      </c>
      <c r="D4177" s="222" t="s">
        <v>1129</v>
      </c>
    </row>
    <row r="4178" spans="1:4" x14ac:dyDescent="0.25">
      <c r="A4178" s="222" t="s">
        <v>3033</v>
      </c>
      <c r="B4178" s="222">
        <v>532667</v>
      </c>
      <c r="C4178" s="222" t="s">
        <v>3032</v>
      </c>
      <c r="D4178" s="222" t="s">
        <v>1066</v>
      </c>
    </row>
    <row r="4179" spans="1:4" x14ac:dyDescent="0.25">
      <c r="A4179" s="222" t="s">
        <v>3031</v>
      </c>
      <c r="B4179" s="222">
        <v>531885</v>
      </c>
      <c r="C4179" s="222" t="s">
        <v>2052</v>
      </c>
      <c r="D4179" s="222" t="s">
        <v>1529</v>
      </c>
    </row>
    <row r="4180" spans="1:4" x14ac:dyDescent="0.25">
      <c r="A4180" s="222" t="s">
        <v>3030</v>
      </c>
      <c r="B4180" s="222">
        <v>531885</v>
      </c>
      <c r="C4180" s="222" t="s">
        <v>2052</v>
      </c>
      <c r="D4180" s="222" t="s">
        <v>1529</v>
      </c>
    </row>
    <row r="4181" spans="1:4" x14ac:dyDescent="0.25">
      <c r="A4181" s="222" t="s">
        <v>3029</v>
      </c>
      <c r="B4181" s="222">
        <v>523722</v>
      </c>
      <c r="C4181" s="222" t="s">
        <v>2052</v>
      </c>
      <c r="D4181" s="222" t="s">
        <v>1942</v>
      </c>
    </row>
    <row r="4182" spans="1:4" x14ac:dyDescent="0.25">
      <c r="A4182" s="222" t="s">
        <v>3028</v>
      </c>
      <c r="B4182" s="222">
        <v>503624</v>
      </c>
      <c r="C4182" s="222" t="s">
        <v>2052</v>
      </c>
      <c r="D4182" s="222" t="s">
        <v>1262</v>
      </c>
    </row>
    <row r="4183" spans="1:4" x14ac:dyDescent="0.25">
      <c r="A4183" s="222" t="s">
        <v>3027</v>
      </c>
      <c r="B4183" s="222">
        <v>539911</v>
      </c>
      <c r="C4183" s="222" t="s">
        <v>2052</v>
      </c>
      <c r="D4183" s="222" t="s">
        <v>1529</v>
      </c>
    </row>
    <row r="4184" spans="1:4" x14ac:dyDescent="0.25">
      <c r="A4184" s="222" t="s">
        <v>3026</v>
      </c>
      <c r="B4184" s="222">
        <v>524488</v>
      </c>
      <c r="C4184" s="222" t="s">
        <v>3025</v>
      </c>
      <c r="D4184" s="222" t="s">
        <v>998</v>
      </c>
    </row>
    <row r="4185" spans="1:4" x14ac:dyDescent="0.25">
      <c r="A4185" s="222" t="s">
        <v>3024</v>
      </c>
      <c r="B4185" s="222">
        <v>512449</v>
      </c>
      <c r="C4185" s="222" t="s">
        <v>2052</v>
      </c>
      <c r="D4185" s="222" t="s">
        <v>2796</v>
      </c>
    </row>
    <row r="4186" spans="1:4" x14ac:dyDescent="0.25">
      <c r="A4186" s="222" t="s">
        <v>3023</v>
      </c>
      <c r="B4186" s="222">
        <v>505590</v>
      </c>
      <c r="C4186" s="222" t="s">
        <v>2052</v>
      </c>
      <c r="D4186" s="222" t="s">
        <v>1237</v>
      </c>
    </row>
    <row r="4187" spans="1:4" x14ac:dyDescent="0.25">
      <c r="A4187" s="222" t="s">
        <v>3022</v>
      </c>
      <c r="B4187" s="222">
        <v>539041</v>
      </c>
      <c r="C4187" s="222" t="s">
        <v>2052</v>
      </c>
      <c r="D4187" s="222" t="s">
        <v>1529</v>
      </c>
    </row>
    <row r="4188" spans="1:4" x14ac:dyDescent="0.25">
      <c r="A4188" s="222" t="s">
        <v>3021</v>
      </c>
      <c r="B4188" s="222">
        <v>503659</v>
      </c>
      <c r="C4188" s="222" t="s">
        <v>2052</v>
      </c>
      <c r="D4188" s="222" t="s">
        <v>2068</v>
      </c>
    </row>
    <row r="4189" spans="1:4" x14ac:dyDescent="0.25">
      <c r="A4189" s="222" t="s">
        <v>3020</v>
      </c>
      <c r="B4189" s="222">
        <v>506863</v>
      </c>
      <c r="C4189" s="222" t="s">
        <v>2052</v>
      </c>
      <c r="D4189" s="222" t="s">
        <v>1447</v>
      </c>
    </row>
    <row r="4190" spans="1:4" x14ac:dyDescent="0.25">
      <c r="A4190" s="222" t="s">
        <v>3019</v>
      </c>
      <c r="B4190" s="222">
        <v>503816</v>
      </c>
      <c r="C4190" s="222" t="s">
        <v>2052</v>
      </c>
      <c r="D4190" s="222" t="s">
        <v>1237</v>
      </c>
    </row>
    <row r="4191" spans="1:4" x14ac:dyDescent="0.25">
      <c r="A4191" s="222" t="s">
        <v>3018</v>
      </c>
      <c r="B4191" s="222">
        <v>531909</v>
      </c>
      <c r="C4191" s="222" t="s">
        <v>2052</v>
      </c>
      <c r="D4191" s="222" t="s">
        <v>1243</v>
      </c>
    </row>
    <row r="4192" spans="1:4" x14ac:dyDescent="0.25">
      <c r="A4192" s="222" t="s">
        <v>3017</v>
      </c>
      <c r="B4192" s="222">
        <v>539406</v>
      </c>
      <c r="C4192" s="222" t="s">
        <v>2052</v>
      </c>
      <c r="D4192" s="222" t="s">
        <v>1529</v>
      </c>
    </row>
    <row r="4193" spans="1:4" x14ac:dyDescent="0.25">
      <c r="A4193" s="222" t="s">
        <v>3016</v>
      </c>
      <c r="B4193" s="222">
        <v>503310</v>
      </c>
      <c r="C4193" s="222" t="s">
        <v>3015</v>
      </c>
      <c r="D4193" s="222" t="s">
        <v>1237</v>
      </c>
    </row>
    <row r="4194" spans="1:4" x14ac:dyDescent="0.25">
      <c r="A4194" s="222" t="s">
        <v>3014</v>
      </c>
      <c r="B4194" s="222">
        <v>539353</v>
      </c>
      <c r="C4194" s="222" t="s">
        <v>2052</v>
      </c>
      <c r="D4194" s="222" t="s">
        <v>1306</v>
      </c>
    </row>
    <row r="4195" spans="1:4" x14ac:dyDescent="0.25">
      <c r="A4195" s="222" t="s">
        <v>3013</v>
      </c>
      <c r="B4195" s="222">
        <v>500407</v>
      </c>
      <c r="C4195" s="222" t="s">
        <v>3012</v>
      </c>
      <c r="D4195" s="222" t="s">
        <v>1306</v>
      </c>
    </row>
    <row r="4196" spans="1:4" x14ac:dyDescent="0.25">
      <c r="A4196" s="222" t="s">
        <v>3011</v>
      </c>
      <c r="B4196" s="222">
        <v>531003</v>
      </c>
      <c r="C4196" s="222" t="s">
        <v>2052</v>
      </c>
      <c r="D4196" s="222" t="s">
        <v>1321</v>
      </c>
    </row>
    <row r="4197" spans="1:4" x14ac:dyDescent="0.25">
      <c r="A4197" s="222" t="s">
        <v>3010</v>
      </c>
      <c r="B4197" s="222">
        <v>526365</v>
      </c>
      <c r="C4197" s="222" t="s">
        <v>2052</v>
      </c>
      <c r="D4197" s="222" t="s">
        <v>1364</v>
      </c>
    </row>
    <row r="4198" spans="1:4" x14ac:dyDescent="0.25">
      <c r="A4198" s="222" t="s">
        <v>3009</v>
      </c>
      <c r="B4198" s="222">
        <v>512257</v>
      </c>
      <c r="C4198" s="222" t="s">
        <v>2052</v>
      </c>
      <c r="D4198" s="222" t="s">
        <v>1318</v>
      </c>
    </row>
    <row r="4199" spans="1:4" x14ac:dyDescent="0.25">
      <c r="A4199" s="222" t="s">
        <v>3008</v>
      </c>
      <c r="B4199" s="222">
        <v>510245</v>
      </c>
      <c r="C4199" s="222" t="s">
        <v>2052</v>
      </c>
      <c r="D4199" s="222" t="s">
        <v>1529</v>
      </c>
    </row>
    <row r="4200" spans="1:4" x14ac:dyDescent="0.25">
      <c r="A4200" s="222" t="s">
        <v>3007</v>
      </c>
      <c r="B4200" s="222">
        <v>501386</v>
      </c>
      <c r="C4200" s="222" t="s">
        <v>2052</v>
      </c>
      <c r="D4200" s="222" t="s">
        <v>1262</v>
      </c>
    </row>
    <row r="4201" spans="1:4" x14ac:dyDescent="0.25">
      <c r="A4201" s="222" t="s">
        <v>3006</v>
      </c>
      <c r="B4201" s="222">
        <v>530585</v>
      </c>
      <c r="C4201" s="222" t="s">
        <v>2052</v>
      </c>
      <c r="D4201" s="222" t="s">
        <v>1262</v>
      </c>
    </row>
    <row r="4202" spans="1:4" x14ac:dyDescent="0.25">
      <c r="A4202" s="222" t="s">
        <v>3005</v>
      </c>
      <c r="B4202" s="222">
        <v>532051</v>
      </c>
      <c r="C4202" s="222" t="s">
        <v>3004</v>
      </c>
      <c r="D4202" s="222" t="s">
        <v>1066</v>
      </c>
    </row>
    <row r="4203" spans="1:4" x14ac:dyDescent="0.25">
      <c r="A4203" s="222" t="s">
        <v>3003</v>
      </c>
      <c r="B4203" s="222">
        <v>522215</v>
      </c>
      <c r="C4203" s="222" t="s">
        <v>2052</v>
      </c>
      <c r="D4203" s="222" t="s">
        <v>832</v>
      </c>
    </row>
    <row r="4204" spans="1:4" x14ac:dyDescent="0.25">
      <c r="A4204" s="222" t="s">
        <v>3002</v>
      </c>
      <c r="B4204" s="222">
        <v>517201</v>
      </c>
      <c r="C4204" s="222" t="s">
        <v>2052</v>
      </c>
      <c r="D4204" s="222" t="s">
        <v>2062</v>
      </c>
    </row>
    <row r="4205" spans="1:4" x14ac:dyDescent="0.25">
      <c r="A4205" s="222" t="s">
        <v>3001</v>
      </c>
      <c r="B4205" s="222">
        <v>531637</v>
      </c>
      <c r="C4205" s="222" t="s">
        <v>2052</v>
      </c>
      <c r="D4205" s="222" t="s">
        <v>789</v>
      </c>
    </row>
    <row r="4206" spans="1:4" x14ac:dyDescent="0.25">
      <c r="A4206" s="222" t="s">
        <v>3000</v>
      </c>
      <c r="B4206" s="222">
        <v>512359</v>
      </c>
      <c r="C4206" s="222" t="s">
        <v>2052</v>
      </c>
      <c r="D4206" s="222" t="s">
        <v>1529</v>
      </c>
    </row>
    <row r="4207" spans="1:4" x14ac:dyDescent="0.25">
      <c r="A4207" s="222" t="s">
        <v>2999</v>
      </c>
      <c r="B4207" s="222">
        <v>531499</v>
      </c>
      <c r="C4207" s="222" t="s">
        <v>2052</v>
      </c>
      <c r="D4207" s="222" t="s">
        <v>1237</v>
      </c>
    </row>
    <row r="4208" spans="1:4" x14ac:dyDescent="0.25">
      <c r="A4208" s="222" t="s">
        <v>2998</v>
      </c>
      <c r="B4208" s="222">
        <v>539682</v>
      </c>
      <c r="C4208" s="222" t="s">
        <v>2052</v>
      </c>
      <c r="D4208" s="222" t="s">
        <v>854</v>
      </c>
    </row>
    <row r="4209" spans="1:4" x14ac:dyDescent="0.25">
      <c r="A4209" s="222" t="s">
        <v>2997</v>
      </c>
      <c r="B4209" s="222">
        <v>511447</v>
      </c>
      <c r="C4209" s="222" t="s">
        <v>2052</v>
      </c>
      <c r="D4209" s="222" t="s">
        <v>1278</v>
      </c>
    </row>
    <row r="4210" spans="1:4" x14ac:dyDescent="0.25">
      <c r="A4210" s="222" t="s">
        <v>2996</v>
      </c>
      <c r="B4210" s="222">
        <v>539278</v>
      </c>
      <c r="C4210" s="222" t="s">
        <v>2052</v>
      </c>
      <c r="D4210" s="222" t="s">
        <v>1262</v>
      </c>
    </row>
    <row r="4211" spans="1:4" x14ac:dyDescent="0.25">
      <c r="A4211" s="222" t="s">
        <v>2995</v>
      </c>
      <c r="B4211" s="222">
        <v>517385</v>
      </c>
      <c r="C4211" s="222" t="s">
        <v>2994</v>
      </c>
      <c r="D4211" s="222" t="s">
        <v>950</v>
      </c>
    </row>
    <row r="4212" spans="1:4" x14ac:dyDescent="0.25">
      <c r="A4212" s="222" t="s">
        <v>2993</v>
      </c>
      <c r="B4212" s="222">
        <v>524470</v>
      </c>
      <c r="C4212" s="222" t="s">
        <v>2052</v>
      </c>
      <c r="D4212" s="222" t="s">
        <v>789</v>
      </c>
    </row>
    <row r="4213" spans="1:4" x14ac:dyDescent="0.25">
      <c r="A4213" s="222" t="s">
        <v>2992</v>
      </c>
      <c r="B4213" s="222">
        <v>524470</v>
      </c>
      <c r="C4213" s="222" t="s">
        <v>2052</v>
      </c>
      <c r="D4213" s="222" t="s">
        <v>789</v>
      </c>
    </row>
    <row r="4214" spans="1:4" x14ac:dyDescent="0.25">
      <c r="A4214" s="222" t="s">
        <v>2991</v>
      </c>
      <c r="B4214" s="222">
        <v>533157</v>
      </c>
      <c r="C4214" s="222" t="s">
        <v>2990</v>
      </c>
      <c r="D4214" s="222" t="s">
        <v>789</v>
      </c>
    </row>
    <row r="4215" spans="1:4" x14ac:dyDescent="0.25">
      <c r="A4215" s="222" t="s">
        <v>2989</v>
      </c>
      <c r="B4215" s="222">
        <v>532276</v>
      </c>
      <c r="C4215" s="222" t="s">
        <v>2988</v>
      </c>
      <c r="D4215" s="222" t="s">
        <v>1240</v>
      </c>
    </row>
    <row r="4216" spans="1:4" x14ac:dyDescent="0.25">
      <c r="A4216" s="222" t="s">
        <v>2987</v>
      </c>
      <c r="B4216" s="222">
        <v>541929</v>
      </c>
      <c r="C4216" s="222" t="s">
        <v>2052</v>
      </c>
      <c r="D4216" s="222" t="s">
        <v>1313</v>
      </c>
    </row>
    <row r="4217" spans="1:4" x14ac:dyDescent="0.25">
      <c r="A4217" s="222" t="s">
        <v>2986</v>
      </c>
      <c r="B4217" s="222">
        <v>539268</v>
      </c>
      <c r="C4217" s="222" t="s">
        <v>2985</v>
      </c>
      <c r="D4217" s="222" t="s">
        <v>789</v>
      </c>
    </row>
    <row r="4218" spans="1:4" x14ac:dyDescent="0.25">
      <c r="A4218" s="222" t="s">
        <v>2984</v>
      </c>
      <c r="B4218" s="222">
        <v>513307</v>
      </c>
      <c r="C4218" s="222" t="s">
        <v>2052</v>
      </c>
      <c r="D4218" s="222" t="s">
        <v>2490</v>
      </c>
    </row>
    <row r="4219" spans="1:4" x14ac:dyDescent="0.25">
      <c r="A4219" s="222" t="s">
        <v>2983</v>
      </c>
      <c r="B4219" s="222">
        <v>531173</v>
      </c>
      <c r="C4219" s="222" t="s">
        <v>2052</v>
      </c>
      <c r="D4219" s="222" t="s">
        <v>789</v>
      </c>
    </row>
    <row r="4220" spans="1:4" x14ac:dyDescent="0.25">
      <c r="A4220" s="222" t="s">
        <v>2982</v>
      </c>
      <c r="B4220" s="222">
        <v>531173</v>
      </c>
      <c r="C4220" s="222" t="s">
        <v>2052</v>
      </c>
      <c r="D4220" s="222" t="s">
        <v>789</v>
      </c>
    </row>
    <row r="4221" spans="1:4" x14ac:dyDescent="0.25">
      <c r="A4221" s="222" t="s">
        <v>2981</v>
      </c>
      <c r="B4221" s="222">
        <v>539842</v>
      </c>
      <c r="C4221" s="222" t="s">
        <v>2052</v>
      </c>
      <c r="D4221" s="222" t="s">
        <v>1447</v>
      </c>
    </row>
    <row r="4222" spans="1:4" x14ac:dyDescent="0.25">
      <c r="A4222" s="222" t="s">
        <v>2980</v>
      </c>
      <c r="B4222" s="222">
        <v>526506</v>
      </c>
      <c r="C4222" s="222" t="s">
        <v>2052</v>
      </c>
      <c r="D4222" s="222" t="s">
        <v>1262</v>
      </c>
    </row>
    <row r="4223" spans="1:4" x14ac:dyDescent="0.25">
      <c r="A4223" s="222" t="s">
        <v>2979</v>
      </c>
      <c r="B4223" s="222">
        <v>531432</v>
      </c>
      <c r="C4223" s="222" t="s">
        <v>2052</v>
      </c>
      <c r="D4223" s="222" t="s">
        <v>1321</v>
      </c>
    </row>
    <row r="4224" spans="1:4" x14ac:dyDescent="0.25">
      <c r="A4224" s="222" t="s">
        <v>2978</v>
      </c>
      <c r="B4224" s="222">
        <v>522294</v>
      </c>
      <c r="C4224" s="222" t="s">
        <v>2052</v>
      </c>
      <c r="D4224" s="222" t="s">
        <v>832</v>
      </c>
    </row>
    <row r="4225" spans="1:4" x14ac:dyDescent="0.25">
      <c r="A4225" s="222" t="s">
        <v>2977</v>
      </c>
      <c r="B4225" s="222">
        <v>533553</v>
      </c>
      <c r="C4225" s="222" t="s">
        <v>2052</v>
      </c>
      <c r="D4225" s="222" t="s">
        <v>1066</v>
      </c>
    </row>
    <row r="4226" spans="1:4" x14ac:dyDescent="0.25">
      <c r="A4226" s="222" t="s">
        <v>2976</v>
      </c>
      <c r="B4226" s="222">
        <v>532444</v>
      </c>
      <c r="C4226" s="222" t="s">
        <v>2052</v>
      </c>
      <c r="D4226" s="222" t="s">
        <v>1942</v>
      </c>
    </row>
    <row r="4227" spans="1:4" x14ac:dyDescent="0.25">
      <c r="A4227" s="222" t="s">
        <v>2975</v>
      </c>
      <c r="B4227" s="222">
        <v>514142</v>
      </c>
      <c r="C4227" s="222" t="s">
        <v>2974</v>
      </c>
      <c r="D4227" s="222" t="s">
        <v>1237</v>
      </c>
    </row>
    <row r="4228" spans="1:4" x14ac:dyDescent="0.25">
      <c r="A4228" s="222" t="s">
        <v>2973</v>
      </c>
      <c r="B4228" s="222">
        <v>539956</v>
      </c>
      <c r="C4228" s="222" t="s">
        <v>2052</v>
      </c>
      <c r="D4228" s="222" t="s">
        <v>2972</v>
      </c>
    </row>
    <row r="4229" spans="1:4" x14ac:dyDescent="0.25">
      <c r="A4229" s="222" t="s">
        <v>2971</v>
      </c>
      <c r="B4229" s="222">
        <v>537392</v>
      </c>
      <c r="C4229" s="222" t="s">
        <v>2052</v>
      </c>
      <c r="D4229" s="222" t="s">
        <v>2247</v>
      </c>
    </row>
    <row r="4230" spans="1:4" x14ac:dyDescent="0.25">
      <c r="A4230" s="222" t="s">
        <v>2970</v>
      </c>
      <c r="B4230" s="222">
        <v>519483</v>
      </c>
      <c r="C4230" s="222" t="s">
        <v>2052</v>
      </c>
      <c r="D4230" s="222" t="s">
        <v>1529</v>
      </c>
    </row>
    <row r="4231" spans="1:4" x14ac:dyDescent="0.25">
      <c r="A4231" s="222" t="s">
        <v>2969</v>
      </c>
      <c r="B4231" s="222">
        <v>507785</v>
      </c>
      <c r="C4231" s="222" t="s">
        <v>2968</v>
      </c>
      <c r="D4231" s="222" t="s">
        <v>1251</v>
      </c>
    </row>
    <row r="4232" spans="1:4" x14ac:dyDescent="0.25">
      <c r="A4232" s="222" t="s">
        <v>2967</v>
      </c>
      <c r="B4232" s="222">
        <v>532390</v>
      </c>
      <c r="C4232" s="222" t="s">
        <v>2966</v>
      </c>
      <c r="D4232" s="222" t="s">
        <v>2128</v>
      </c>
    </row>
    <row r="4233" spans="1:4" x14ac:dyDescent="0.25">
      <c r="A4233" s="222" t="s">
        <v>2965</v>
      </c>
      <c r="B4233" s="222">
        <v>532890</v>
      </c>
      <c r="C4233" s="222" t="s">
        <v>2964</v>
      </c>
      <c r="D4233" s="222" t="s">
        <v>1265</v>
      </c>
    </row>
    <row r="4234" spans="1:4" x14ac:dyDescent="0.25">
      <c r="A4234" s="222" t="s">
        <v>2963</v>
      </c>
      <c r="B4234" s="222">
        <v>505160</v>
      </c>
      <c r="C4234" s="222" t="s">
        <v>2962</v>
      </c>
      <c r="D4234" s="222" t="s">
        <v>1306</v>
      </c>
    </row>
    <row r="4235" spans="1:4" x14ac:dyDescent="0.25">
      <c r="A4235" s="222" t="s">
        <v>2961</v>
      </c>
      <c r="B4235" s="222">
        <v>538987</v>
      </c>
      <c r="C4235" s="222" t="s">
        <v>2052</v>
      </c>
      <c r="D4235" s="222" t="s">
        <v>1306</v>
      </c>
    </row>
    <row r="4236" spans="1:4" x14ac:dyDescent="0.25">
      <c r="A4236" s="222" t="s">
        <v>2960</v>
      </c>
      <c r="B4236" s="222">
        <v>533200</v>
      </c>
      <c r="C4236" s="222" t="s">
        <v>2959</v>
      </c>
      <c r="D4236" s="222" t="s">
        <v>2130</v>
      </c>
    </row>
    <row r="4237" spans="1:4" x14ac:dyDescent="0.25">
      <c r="A4237" s="222" t="s">
        <v>2958</v>
      </c>
      <c r="B4237" s="222">
        <v>541545</v>
      </c>
      <c r="C4237" s="222" t="s">
        <v>2957</v>
      </c>
      <c r="D4237" s="222" t="s">
        <v>2130</v>
      </c>
    </row>
    <row r="4238" spans="1:4" x14ac:dyDescent="0.25">
      <c r="A4238" s="222" t="s">
        <v>2956</v>
      </c>
      <c r="B4238" s="222">
        <v>533170</v>
      </c>
      <c r="C4238" s="222" t="s">
        <v>2052</v>
      </c>
      <c r="D4238" s="222" t="s">
        <v>2108</v>
      </c>
    </row>
    <row r="4239" spans="1:4" x14ac:dyDescent="0.25">
      <c r="A4239" s="222" t="s">
        <v>2955</v>
      </c>
      <c r="B4239" s="222">
        <v>531426</v>
      </c>
      <c r="C4239" s="222" t="s">
        <v>2954</v>
      </c>
      <c r="D4239" s="222" t="s">
        <v>1972</v>
      </c>
    </row>
    <row r="4240" spans="1:4" x14ac:dyDescent="0.25">
      <c r="A4240" s="222" t="s">
        <v>2953</v>
      </c>
      <c r="B4240" s="222">
        <v>521038</v>
      </c>
      <c r="C4240" s="222" t="s">
        <v>2052</v>
      </c>
      <c r="D4240" s="222" t="s">
        <v>1237</v>
      </c>
    </row>
    <row r="4241" spans="1:4" x14ac:dyDescent="0.25">
      <c r="A4241" s="222" t="s">
        <v>2952</v>
      </c>
      <c r="B4241" s="222">
        <v>500777</v>
      </c>
      <c r="C4241" s="222" t="s">
        <v>2951</v>
      </c>
      <c r="D4241" s="222" t="s">
        <v>998</v>
      </c>
    </row>
    <row r="4242" spans="1:4" x14ac:dyDescent="0.25">
      <c r="A4242" s="222" t="s">
        <v>2950</v>
      </c>
      <c r="B4242" s="222">
        <v>513540</v>
      </c>
      <c r="C4242" s="222" t="s">
        <v>2052</v>
      </c>
      <c r="D4242" s="222" t="s">
        <v>740</v>
      </c>
    </row>
    <row r="4243" spans="1:4" x14ac:dyDescent="0.25">
      <c r="A4243" s="222" t="s">
        <v>2949</v>
      </c>
      <c r="B4243" s="222">
        <v>523419</v>
      </c>
      <c r="C4243" s="222" t="s">
        <v>2948</v>
      </c>
      <c r="D4243" s="222" t="s">
        <v>2307</v>
      </c>
    </row>
    <row r="4244" spans="1:4" x14ac:dyDescent="0.25">
      <c r="A4244" s="222" t="s">
        <v>2947</v>
      </c>
      <c r="B4244" s="222">
        <v>522229</v>
      </c>
      <c r="C4244" s="222" t="s">
        <v>2052</v>
      </c>
      <c r="D4244" s="222" t="s">
        <v>2946</v>
      </c>
    </row>
    <row r="4245" spans="1:4" x14ac:dyDescent="0.25">
      <c r="A4245" s="222" t="s">
        <v>2945</v>
      </c>
      <c r="B4245" s="222">
        <v>506854</v>
      </c>
      <c r="C4245" s="222" t="s">
        <v>2052</v>
      </c>
      <c r="D4245" s="222" t="s">
        <v>998</v>
      </c>
    </row>
    <row r="4246" spans="1:4" x14ac:dyDescent="0.25">
      <c r="A4246" s="222" t="s">
        <v>2944</v>
      </c>
      <c r="B4246" s="222">
        <v>532790</v>
      </c>
      <c r="C4246" s="222" t="s">
        <v>2943</v>
      </c>
      <c r="D4246" s="222" t="s">
        <v>1942</v>
      </c>
    </row>
    <row r="4247" spans="1:4" x14ac:dyDescent="0.25">
      <c r="A4247" s="222" t="s">
        <v>2942</v>
      </c>
      <c r="B4247" s="222">
        <v>532738</v>
      </c>
      <c r="C4247" s="222" t="s">
        <v>2941</v>
      </c>
      <c r="D4247" s="222" t="s">
        <v>1248</v>
      </c>
    </row>
    <row r="4248" spans="1:4" x14ac:dyDescent="0.25">
      <c r="A4248" s="222" t="s">
        <v>2940</v>
      </c>
      <c r="B4248" s="222">
        <v>540332</v>
      </c>
      <c r="C4248" s="222" t="s">
        <v>2052</v>
      </c>
      <c r="D4248" s="222" t="s">
        <v>1529</v>
      </c>
    </row>
    <row r="4249" spans="1:4" x14ac:dyDescent="0.25">
      <c r="A4249" s="222" t="s">
        <v>2939</v>
      </c>
      <c r="B4249" s="222">
        <v>540332</v>
      </c>
      <c r="C4249" s="222" t="s">
        <v>2052</v>
      </c>
      <c r="D4249" s="222" t="s">
        <v>1529</v>
      </c>
    </row>
    <row r="4250" spans="1:4" x14ac:dyDescent="0.25">
      <c r="A4250" s="222" t="s">
        <v>2938</v>
      </c>
      <c r="B4250" s="222">
        <v>505685</v>
      </c>
      <c r="C4250" s="222" t="s">
        <v>2052</v>
      </c>
      <c r="D4250" s="222" t="s">
        <v>740</v>
      </c>
    </row>
    <row r="4251" spans="1:4" x14ac:dyDescent="0.25">
      <c r="A4251" s="222" t="s">
        <v>2937</v>
      </c>
      <c r="B4251" s="222" t="s">
        <v>2052</v>
      </c>
      <c r="C4251" s="222" t="s">
        <v>2936</v>
      </c>
      <c r="D4251" s="222" t="s">
        <v>2050</v>
      </c>
    </row>
    <row r="4252" spans="1:4" x14ac:dyDescent="0.25">
      <c r="A4252" s="222" t="s">
        <v>2935</v>
      </c>
      <c r="B4252" s="222">
        <v>534756</v>
      </c>
      <c r="C4252" s="222" t="s">
        <v>2934</v>
      </c>
      <c r="D4252" s="222" t="s">
        <v>1364</v>
      </c>
    </row>
    <row r="4253" spans="1:4" x14ac:dyDescent="0.25">
      <c r="A4253" s="222" t="s">
        <v>2933</v>
      </c>
      <c r="B4253" s="222">
        <v>519285</v>
      </c>
      <c r="C4253" s="222" t="s">
        <v>2052</v>
      </c>
      <c r="D4253" s="222" t="s">
        <v>731</v>
      </c>
    </row>
    <row r="4254" spans="1:4" x14ac:dyDescent="0.25">
      <c r="A4254" s="222" t="s">
        <v>2932</v>
      </c>
      <c r="B4254" s="222">
        <v>533203</v>
      </c>
      <c r="C4254" s="222" t="s">
        <v>2931</v>
      </c>
      <c r="D4254" s="222" t="s">
        <v>1066</v>
      </c>
    </row>
    <row r="4255" spans="1:4" x14ac:dyDescent="0.25">
      <c r="A4255" s="222" t="s">
        <v>2930</v>
      </c>
      <c r="B4255" s="222">
        <v>538496</v>
      </c>
      <c r="C4255" s="222" t="s">
        <v>2052</v>
      </c>
      <c r="D4255" s="222" t="s">
        <v>911</v>
      </c>
    </row>
    <row r="4256" spans="1:4" x14ac:dyDescent="0.25">
      <c r="A4256" s="222" t="s">
        <v>2929</v>
      </c>
      <c r="B4256" s="222">
        <v>532869</v>
      </c>
      <c r="C4256" s="222" t="s">
        <v>2928</v>
      </c>
      <c r="D4256" s="222" t="s">
        <v>1248</v>
      </c>
    </row>
    <row r="4257" spans="1:4" x14ac:dyDescent="0.25">
      <c r="A4257" s="222" t="s">
        <v>2927</v>
      </c>
      <c r="B4257" s="222">
        <v>512271</v>
      </c>
      <c r="C4257" s="222" t="s">
        <v>2052</v>
      </c>
      <c r="D4257" s="222" t="s">
        <v>2068</v>
      </c>
    </row>
    <row r="4258" spans="1:4" x14ac:dyDescent="0.25">
      <c r="A4258" s="222" t="s">
        <v>2926</v>
      </c>
      <c r="B4258" s="222">
        <v>512271</v>
      </c>
      <c r="C4258" s="222" t="s">
        <v>2052</v>
      </c>
      <c r="D4258" s="222" t="s">
        <v>2068</v>
      </c>
    </row>
    <row r="4259" spans="1:4" x14ac:dyDescent="0.25">
      <c r="A4259" s="222" t="s">
        <v>2925</v>
      </c>
      <c r="B4259" s="222">
        <v>519091</v>
      </c>
      <c r="C4259" s="222" t="s">
        <v>2924</v>
      </c>
      <c r="D4259" s="222" t="s">
        <v>1161</v>
      </c>
    </row>
    <row r="4260" spans="1:4" x14ac:dyDescent="0.25">
      <c r="A4260" s="222" t="s">
        <v>2923</v>
      </c>
      <c r="B4260" s="222">
        <v>540955</v>
      </c>
      <c r="C4260" s="222" t="s">
        <v>2052</v>
      </c>
      <c r="D4260" s="222" t="s">
        <v>1161</v>
      </c>
    </row>
    <row r="4261" spans="1:4" x14ac:dyDescent="0.25">
      <c r="A4261" s="222" t="s">
        <v>2922</v>
      </c>
      <c r="B4261" s="222">
        <v>500770</v>
      </c>
      <c r="C4261" s="222" t="s">
        <v>2921</v>
      </c>
      <c r="D4261" s="222" t="s">
        <v>998</v>
      </c>
    </row>
    <row r="4262" spans="1:4" x14ac:dyDescent="0.25">
      <c r="A4262" s="222" t="s">
        <v>2920</v>
      </c>
      <c r="B4262" s="222">
        <v>532301</v>
      </c>
      <c r="C4262" s="222" t="s">
        <v>2919</v>
      </c>
      <c r="D4262" s="222" t="s">
        <v>1400</v>
      </c>
    </row>
    <row r="4263" spans="1:4" x14ac:dyDescent="0.25">
      <c r="A4263" s="222" t="s">
        <v>2918</v>
      </c>
      <c r="B4263" s="222">
        <v>500483</v>
      </c>
      <c r="C4263" s="222" t="s">
        <v>2917</v>
      </c>
      <c r="D4263" s="222" t="s">
        <v>2916</v>
      </c>
    </row>
    <row r="4264" spans="1:4" x14ac:dyDescent="0.25">
      <c r="A4264" s="222" t="s">
        <v>2915</v>
      </c>
      <c r="B4264" s="222">
        <v>532540</v>
      </c>
      <c r="C4264" s="222" t="s">
        <v>2914</v>
      </c>
      <c r="D4264" s="222" t="s">
        <v>1265</v>
      </c>
    </row>
    <row r="4265" spans="1:4" x14ac:dyDescent="0.25">
      <c r="A4265" s="222" t="s">
        <v>2913</v>
      </c>
      <c r="B4265" s="222">
        <v>500408</v>
      </c>
      <c r="C4265" s="222" t="s">
        <v>2912</v>
      </c>
      <c r="D4265" s="222" t="s">
        <v>1942</v>
      </c>
    </row>
    <row r="4266" spans="1:4" x14ac:dyDescent="0.25">
      <c r="A4266" s="222" t="s">
        <v>2911</v>
      </c>
      <c r="B4266" s="222">
        <v>500800</v>
      </c>
      <c r="C4266" s="222" t="s">
        <v>2910</v>
      </c>
      <c r="D4266" s="222" t="s">
        <v>1400</v>
      </c>
    </row>
    <row r="4267" spans="1:4" x14ac:dyDescent="0.25">
      <c r="A4267" s="222" t="s">
        <v>2909</v>
      </c>
      <c r="B4267" s="222">
        <v>501301</v>
      </c>
      <c r="C4267" s="222" t="s">
        <v>2908</v>
      </c>
      <c r="D4267" s="222" t="s">
        <v>1289</v>
      </c>
    </row>
    <row r="4268" spans="1:4" x14ac:dyDescent="0.25">
      <c r="A4268" s="222" t="s">
        <v>2907</v>
      </c>
      <c r="B4268" s="222">
        <v>513434</v>
      </c>
      <c r="C4268" s="222" t="s">
        <v>2906</v>
      </c>
      <c r="D4268" s="222" t="s">
        <v>2167</v>
      </c>
    </row>
    <row r="4269" spans="1:4" x14ac:dyDescent="0.25">
      <c r="A4269" s="222" t="s">
        <v>2904</v>
      </c>
      <c r="B4269" s="222">
        <v>500570</v>
      </c>
      <c r="C4269" s="222" t="s">
        <v>2905</v>
      </c>
      <c r="D4269" s="222" t="s">
        <v>2450</v>
      </c>
    </row>
    <row r="4270" spans="1:4" x14ac:dyDescent="0.25">
      <c r="A4270" s="222" t="s">
        <v>2904</v>
      </c>
      <c r="B4270" s="222">
        <v>570001</v>
      </c>
      <c r="C4270" s="222" t="s">
        <v>2903</v>
      </c>
      <c r="D4270" s="222" t="s">
        <v>2450</v>
      </c>
    </row>
    <row r="4271" spans="1:4" x14ac:dyDescent="0.25">
      <c r="A4271" s="222" t="s">
        <v>2902</v>
      </c>
      <c r="B4271" s="222">
        <v>500400</v>
      </c>
      <c r="C4271" s="222" t="s">
        <v>2901</v>
      </c>
      <c r="D4271" s="222" t="s">
        <v>2380</v>
      </c>
    </row>
    <row r="4272" spans="1:4" x14ac:dyDescent="0.25">
      <c r="A4272" s="222" t="s">
        <v>2900</v>
      </c>
      <c r="B4272" s="222">
        <v>513010</v>
      </c>
      <c r="C4272" s="222" t="s">
        <v>2899</v>
      </c>
      <c r="D4272" s="222" t="s">
        <v>2167</v>
      </c>
    </row>
    <row r="4273" spans="1:4" x14ac:dyDescent="0.25">
      <c r="A4273" s="222" t="s">
        <v>2898</v>
      </c>
      <c r="B4273" s="222" t="s">
        <v>2052</v>
      </c>
      <c r="C4273" s="222" t="s">
        <v>2897</v>
      </c>
      <c r="D4273" s="222" t="s">
        <v>2167</v>
      </c>
    </row>
    <row r="4274" spans="1:4" x14ac:dyDescent="0.25">
      <c r="A4274" s="222" t="s">
        <v>2896</v>
      </c>
      <c r="B4274" s="222">
        <v>500470</v>
      </c>
      <c r="C4274" s="222" t="s">
        <v>2895</v>
      </c>
      <c r="D4274" s="222" t="s">
        <v>2167</v>
      </c>
    </row>
    <row r="4275" spans="1:4" x14ac:dyDescent="0.25">
      <c r="A4275" s="222" t="s">
        <v>2894</v>
      </c>
      <c r="B4275" s="222">
        <v>532371</v>
      </c>
      <c r="C4275" s="222" t="s">
        <v>2893</v>
      </c>
      <c r="D4275" s="222" t="s">
        <v>2241</v>
      </c>
    </row>
    <row r="4276" spans="1:4" x14ac:dyDescent="0.25">
      <c r="A4276" s="222" t="s">
        <v>2892</v>
      </c>
      <c r="B4276" s="222">
        <v>521228</v>
      </c>
      <c r="C4276" s="222" t="s">
        <v>2052</v>
      </c>
      <c r="D4276" s="222" t="s">
        <v>1364</v>
      </c>
    </row>
    <row r="4277" spans="1:4" x14ac:dyDescent="0.25">
      <c r="A4277" s="222" t="s">
        <v>2891</v>
      </c>
      <c r="B4277" s="222">
        <v>531190</v>
      </c>
      <c r="C4277" s="222" t="s">
        <v>2052</v>
      </c>
      <c r="D4277" s="222" t="s">
        <v>1237</v>
      </c>
    </row>
    <row r="4278" spans="1:4" x14ac:dyDescent="0.25">
      <c r="A4278" s="222" t="s">
        <v>2890</v>
      </c>
      <c r="B4278" s="222">
        <v>541228</v>
      </c>
      <c r="C4278" s="222" t="s">
        <v>2052</v>
      </c>
      <c r="D4278" s="222" t="s">
        <v>832</v>
      </c>
    </row>
    <row r="4279" spans="1:4" x14ac:dyDescent="0.25">
      <c r="A4279" s="222" t="s">
        <v>2889</v>
      </c>
      <c r="B4279" s="222">
        <v>504961</v>
      </c>
      <c r="C4279" s="222" t="s">
        <v>2052</v>
      </c>
      <c r="D4279" s="222" t="s">
        <v>2167</v>
      </c>
    </row>
    <row r="4280" spans="1:4" x14ac:dyDescent="0.25">
      <c r="A4280" s="222" t="s">
        <v>2888</v>
      </c>
      <c r="B4280" s="222">
        <v>532284</v>
      </c>
      <c r="C4280" s="222" t="s">
        <v>2052</v>
      </c>
      <c r="D4280" s="222" t="s">
        <v>1262</v>
      </c>
    </row>
    <row r="4281" spans="1:4" x14ac:dyDescent="0.25">
      <c r="A4281" s="222" t="s">
        <v>2887</v>
      </c>
      <c r="B4281" s="222">
        <v>533393</v>
      </c>
      <c r="C4281" s="222" t="s">
        <v>2886</v>
      </c>
      <c r="D4281" s="222" t="s">
        <v>1243</v>
      </c>
    </row>
    <row r="4282" spans="1:4" x14ac:dyDescent="0.25">
      <c r="A4282" s="222" t="s">
        <v>2885</v>
      </c>
      <c r="B4282" s="222">
        <v>540212</v>
      </c>
      <c r="C4282" s="222" t="s">
        <v>2884</v>
      </c>
      <c r="D4282" s="222" t="s">
        <v>1329</v>
      </c>
    </row>
    <row r="4283" spans="1:4" x14ac:dyDescent="0.25">
      <c r="A4283" s="222" t="s">
        <v>2883</v>
      </c>
      <c r="B4283" s="222">
        <v>501242</v>
      </c>
      <c r="C4283" s="222" t="s">
        <v>2882</v>
      </c>
      <c r="D4283" s="222" t="s">
        <v>1321</v>
      </c>
    </row>
    <row r="4284" spans="1:4" x14ac:dyDescent="0.25">
      <c r="A4284" s="222" t="s">
        <v>2881</v>
      </c>
      <c r="B4284" s="222">
        <v>532262</v>
      </c>
      <c r="C4284" s="222" t="s">
        <v>2052</v>
      </c>
      <c r="D4284" s="222" t="s">
        <v>1329</v>
      </c>
    </row>
    <row r="4285" spans="1:4" x14ac:dyDescent="0.25">
      <c r="A4285" s="222" t="s">
        <v>2880</v>
      </c>
      <c r="B4285" s="222">
        <v>524156</v>
      </c>
      <c r="C4285" s="222" t="s">
        <v>2052</v>
      </c>
      <c r="D4285" s="222" t="s">
        <v>998</v>
      </c>
    </row>
    <row r="4286" spans="1:4" x14ac:dyDescent="0.25">
      <c r="A4286" s="222" t="s">
        <v>2879</v>
      </c>
      <c r="B4286" s="222">
        <v>541700</v>
      </c>
      <c r="C4286" s="222" t="s">
        <v>2878</v>
      </c>
      <c r="D4286" s="222" t="s">
        <v>1364</v>
      </c>
    </row>
    <row r="4287" spans="1:4" x14ac:dyDescent="0.25">
      <c r="A4287" s="222" t="s">
        <v>2877</v>
      </c>
      <c r="B4287" s="222">
        <v>523301</v>
      </c>
      <c r="C4287" s="222" t="s">
        <v>2876</v>
      </c>
      <c r="D4287" s="222" t="s">
        <v>1972</v>
      </c>
    </row>
    <row r="4288" spans="1:4" x14ac:dyDescent="0.25">
      <c r="A4288" s="222" t="s">
        <v>2875</v>
      </c>
      <c r="B4288" s="222" t="s">
        <v>2052</v>
      </c>
      <c r="C4288" s="222" t="s">
        <v>2874</v>
      </c>
      <c r="D4288" s="222" t="s">
        <v>2197</v>
      </c>
    </row>
    <row r="4289" spans="1:4" x14ac:dyDescent="0.25">
      <c r="A4289" s="222" t="s">
        <v>2873</v>
      </c>
      <c r="B4289" s="222">
        <v>512011</v>
      </c>
      <c r="C4289" s="222" t="s">
        <v>2052</v>
      </c>
      <c r="D4289" s="222" t="s">
        <v>1529</v>
      </c>
    </row>
    <row r="4290" spans="1:4" x14ac:dyDescent="0.25">
      <c r="A4290" s="222" t="s">
        <v>2872</v>
      </c>
      <c r="B4290" s="222">
        <v>539658</v>
      </c>
      <c r="C4290" s="222" t="s">
        <v>2871</v>
      </c>
      <c r="D4290" s="222" t="s">
        <v>2870</v>
      </c>
    </row>
    <row r="4291" spans="1:4" x14ac:dyDescent="0.25">
      <c r="A4291" s="222" t="s">
        <v>2869</v>
      </c>
      <c r="B4291" s="222">
        <v>532755</v>
      </c>
      <c r="C4291" s="222" t="s">
        <v>2868</v>
      </c>
      <c r="D4291" s="222" t="s">
        <v>1265</v>
      </c>
    </row>
    <row r="4292" spans="1:4" x14ac:dyDescent="0.25">
      <c r="A4292" s="222" t="s">
        <v>2867</v>
      </c>
      <c r="B4292" s="222">
        <v>526576</v>
      </c>
      <c r="C4292" s="222" t="s">
        <v>2866</v>
      </c>
      <c r="D4292" s="222" t="s">
        <v>731</v>
      </c>
    </row>
    <row r="4293" spans="1:4" x14ac:dyDescent="0.25">
      <c r="A4293" s="222" t="s">
        <v>2865</v>
      </c>
      <c r="B4293" s="222">
        <v>542141</v>
      </c>
      <c r="C4293" s="222" t="s">
        <v>2864</v>
      </c>
      <c r="D4293" s="222" t="s">
        <v>1248</v>
      </c>
    </row>
    <row r="4294" spans="1:4" x14ac:dyDescent="0.25">
      <c r="A4294" s="222" t="s">
        <v>2863</v>
      </c>
      <c r="B4294" s="222">
        <v>532804</v>
      </c>
      <c r="C4294" s="222" t="s">
        <v>2861</v>
      </c>
      <c r="D4294" s="222" t="s">
        <v>740</v>
      </c>
    </row>
    <row r="4295" spans="1:4" x14ac:dyDescent="0.25">
      <c r="A4295" s="222" t="s">
        <v>2862</v>
      </c>
      <c r="B4295" s="222">
        <v>532804</v>
      </c>
      <c r="C4295" s="222" t="s">
        <v>2861</v>
      </c>
      <c r="D4295" s="222" t="s">
        <v>740</v>
      </c>
    </row>
    <row r="4296" spans="1:4" x14ac:dyDescent="0.25">
      <c r="A4296" s="222" t="s">
        <v>2860</v>
      </c>
      <c r="B4296" s="222">
        <v>533216</v>
      </c>
      <c r="C4296" s="222" t="s">
        <v>2859</v>
      </c>
      <c r="D4296" s="222" t="s">
        <v>1248</v>
      </c>
    </row>
    <row r="4297" spans="1:4" x14ac:dyDescent="0.25">
      <c r="A4297" s="222" t="s">
        <v>2858</v>
      </c>
      <c r="B4297" s="222">
        <v>509917</v>
      </c>
      <c r="C4297" s="222" t="s">
        <v>2052</v>
      </c>
      <c r="D4297" s="222" t="s">
        <v>2062</v>
      </c>
    </row>
    <row r="4298" spans="1:4" x14ac:dyDescent="0.25">
      <c r="A4298" s="222" t="s">
        <v>2857</v>
      </c>
      <c r="B4298" s="222">
        <v>501421</v>
      </c>
      <c r="C4298" s="222" t="s">
        <v>2052</v>
      </c>
      <c r="D4298" s="222" t="s">
        <v>1942</v>
      </c>
    </row>
    <row r="4299" spans="1:4" x14ac:dyDescent="0.25">
      <c r="A4299" s="222" t="s">
        <v>2856</v>
      </c>
      <c r="B4299" s="222">
        <v>524204</v>
      </c>
      <c r="C4299" s="222" t="s">
        <v>2052</v>
      </c>
      <c r="D4299" s="222" t="s">
        <v>734</v>
      </c>
    </row>
    <row r="4300" spans="1:4" x14ac:dyDescent="0.25">
      <c r="A4300" s="222" t="s">
        <v>2855</v>
      </c>
      <c r="B4300" s="222">
        <v>540595</v>
      </c>
      <c r="C4300" s="222" t="s">
        <v>2854</v>
      </c>
      <c r="D4300" s="222" t="s">
        <v>1129</v>
      </c>
    </row>
    <row r="4301" spans="1:4" x14ac:dyDescent="0.25">
      <c r="A4301" s="222" t="s">
        <v>2853</v>
      </c>
      <c r="B4301" s="222">
        <v>539428</v>
      </c>
      <c r="C4301" s="222" t="s">
        <v>2052</v>
      </c>
      <c r="D4301" s="222" t="s">
        <v>1297</v>
      </c>
    </row>
    <row r="4302" spans="1:4" x14ac:dyDescent="0.25">
      <c r="A4302" s="222" t="s">
        <v>2852</v>
      </c>
      <c r="B4302" s="222">
        <v>530595</v>
      </c>
      <c r="C4302" s="222" t="s">
        <v>2052</v>
      </c>
      <c r="D4302" s="222" t="s">
        <v>1942</v>
      </c>
    </row>
    <row r="4303" spans="1:4" x14ac:dyDescent="0.25">
      <c r="A4303" s="222" t="s">
        <v>2851</v>
      </c>
      <c r="B4303" s="222">
        <v>533982</v>
      </c>
      <c r="C4303" s="222" t="s">
        <v>2850</v>
      </c>
      <c r="D4303" s="222" t="s">
        <v>1265</v>
      </c>
    </row>
    <row r="4304" spans="1:4" x14ac:dyDescent="0.25">
      <c r="A4304" s="222" t="s">
        <v>2849</v>
      </c>
      <c r="B4304" s="222">
        <v>530533</v>
      </c>
      <c r="C4304" s="222" t="s">
        <v>2052</v>
      </c>
      <c r="D4304" s="222" t="s">
        <v>1400</v>
      </c>
    </row>
    <row r="4305" spans="1:4" x14ac:dyDescent="0.25">
      <c r="A4305" s="222" t="s">
        <v>2848</v>
      </c>
      <c r="B4305" s="222">
        <v>506162</v>
      </c>
      <c r="C4305" s="222" t="s">
        <v>2052</v>
      </c>
      <c r="D4305" s="222" t="s">
        <v>1262</v>
      </c>
    </row>
    <row r="4306" spans="1:4" x14ac:dyDescent="0.25">
      <c r="A4306" s="222" t="s">
        <v>2847</v>
      </c>
      <c r="B4306" s="222">
        <v>512157</v>
      </c>
      <c r="C4306" s="222" t="s">
        <v>2052</v>
      </c>
      <c r="D4306" s="222" t="s">
        <v>2068</v>
      </c>
    </row>
    <row r="4307" spans="1:4" x14ac:dyDescent="0.25">
      <c r="A4307" s="222" t="s">
        <v>2846</v>
      </c>
      <c r="B4307" s="222">
        <v>505400</v>
      </c>
      <c r="C4307" s="222" t="s">
        <v>2845</v>
      </c>
      <c r="D4307" s="222" t="s">
        <v>1243</v>
      </c>
    </row>
    <row r="4308" spans="1:4" x14ac:dyDescent="0.25">
      <c r="A4308" s="222" t="s">
        <v>2844</v>
      </c>
      <c r="B4308" s="222">
        <v>533326</v>
      </c>
      <c r="C4308" s="222" t="s">
        <v>2843</v>
      </c>
      <c r="D4308" s="222" t="s">
        <v>1248</v>
      </c>
    </row>
    <row r="4309" spans="1:4" x14ac:dyDescent="0.25">
      <c r="A4309" s="222" t="s">
        <v>2842</v>
      </c>
      <c r="B4309" s="222">
        <v>533164</v>
      </c>
      <c r="C4309" s="222" t="s">
        <v>2841</v>
      </c>
      <c r="D4309" s="222" t="s">
        <v>1251</v>
      </c>
    </row>
    <row r="4310" spans="1:4" x14ac:dyDescent="0.25">
      <c r="A4310" s="222" t="s">
        <v>2840</v>
      </c>
      <c r="B4310" s="222">
        <v>532845</v>
      </c>
      <c r="C4310" s="222" t="s">
        <v>2839</v>
      </c>
      <c r="D4310" s="222" t="s">
        <v>2128</v>
      </c>
    </row>
    <row r="4311" spans="1:4" x14ac:dyDescent="0.25">
      <c r="A4311" s="222" t="s">
        <v>2838</v>
      </c>
      <c r="B4311" s="222">
        <v>507753</v>
      </c>
      <c r="C4311" s="222" t="s">
        <v>2052</v>
      </c>
      <c r="D4311" s="222" t="s">
        <v>998</v>
      </c>
    </row>
    <row r="4312" spans="1:4" x14ac:dyDescent="0.25">
      <c r="A4312" s="222" t="s">
        <v>2837</v>
      </c>
      <c r="B4312" s="222">
        <v>509945</v>
      </c>
      <c r="C4312" s="222" t="s">
        <v>2052</v>
      </c>
      <c r="D4312" s="222" t="s">
        <v>1262</v>
      </c>
    </row>
    <row r="4313" spans="1:4" x14ac:dyDescent="0.25">
      <c r="A4313" s="222" t="s">
        <v>2836</v>
      </c>
      <c r="B4313" s="222">
        <v>526654</v>
      </c>
      <c r="C4313" s="222" t="s">
        <v>2052</v>
      </c>
      <c r="D4313" s="222" t="s">
        <v>1243</v>
      </c>
    </row>
    <row r="4314" spans="1:4" x14ac:dyDescent="0.25">
      <c r="A4314" s="222" t="s">
        <v>2835</v>
      </c>
      <c r="B4314" s="222">
        <v>509015</v>
      </c>
      <c r="C4314" s="222" t="s">
        <v>2052</v>
      </c>
      <c r="D4314" s="222" t="s">
        <v>2062</v>
      </c>
    </row>
    <row r="4315" spans="1:4" x14ac:dyDescent="0.25">
      <c r="A4315" s="222" t="s">
        <v>2834</v>
      </c>
      <c r="B4315" s="222">
        <v>509015</v>
      </c>
      <c r="C4315" s="222" t="s">
        <v>2052</v>
      </c>
      <c r="D4315" s="222" t="s">
        <v>2062</v>
      </c>
    </row>
    <row r="4316" spans="1:4" x14ac:dyDescent="0.25">
      <c r="A4316" s="222" t="s">
        <v>2833</v>
      </c>
      <c r="B4316" s="222">
        <v>514484</v>
      </c>
      <c r="C4316" s="222" t="s">
        <v>2052</v>
      </c>
      <c r="D4316" s="222" t="s">
        <v>1237</v>
      </c>
    </row>
    <row r="4317" spans="1:4" x14ac:dyDescent="0.25">
      <c r="A4317" s="222" t="s">
        <v>2832</v>
      </c>
      <c r="B4317" s="222">
        <v>533158</v>
      </c>
      <c r="C4317" s="222" t="s">
        <v>2831</v>
      </c>
      <c r="D4317" s="222" t="s">
        <v>1364</v>
      </c>
    </row>
    <row r="4318" spans="1:4" x14ac:dyDescent="0.25">
      <c r="A4318" s="222" t="s">
        <v>2830</v>
      </c>
      <c r="B4318" s="222">
        <v>590062</v>
      </c>
      <c r="C4318" s="222" t="s">
        <v>2829</v>
      </c>
      <c r="D4318" s="222" t="s">
        <v>998</v>
      </c>
    </row>
    <row r="4319" spans="1:4" x14ac:dyDescent="0.25">
      <c r="A4319" s="222" t="s">
        <v>2828</v>
      </c>
      <c r="B4319" s="222">
        <v>542460</v>
      </c>
      <c r="C4319" s="222" t="s">
        <v>2827</v>
      </c>
      <c r="D4319" s="222" t="s">
        <v>832</v>
      </c>
    </row>
    <row r="4320" spans="1:4" x14ac:dyDescent="0.25">
      <c r="A4320" s="222" t="s">
        <v>2826</v>
      </c>
      <c r="B4320" s="222">
        <v>531373</v>
      </c>
      <c r="C4320" s="222" t="s">
        <v>2825</v>
      </c>
      <c r="D4320" s="222" t="s">
        <v>2128</v>
      </c>
    </row>
    <row r="4321" spans="1:4" x14ac:dyDescent="0.25">
      <c r="A4321" s="222" t="s">
        <v>2824</v>
      </c>
      <c r="B4321" s="222">
        <v>500469</v>
      </c>
      <c r="C4321" s="222" t="s">
        <v>2823</v>
      </c>
      <c r="D4321" s="222" t="s">
        <v>1240</v>
      </c>
    </row>
    <row r="4322" spans="1:4" x14ac:dyDescent="0.25">
      <c r="A4322" s="222" t="s">
        <v>2822</v>
      </c>
      <c r="B4322" s="222">
        <v>500620</v>
      </c>
      <c r="C4322" s="222" t="s">
        <v>2821</v>
      </c>
      <c r="D4322" s="222" t="s">
        <v>1112</v>
      </c>
    </row>
    <row r="4323" spans="1:4" x14ac:dyDescent="0.25">
      <c r="A4323" s="222" t="s">
        <v>2820</v>
      </c>
      <c r="B4323" s="222" t="s">
        <v>2052</v>
      </c>
      <c r="C4323" s="222" t="s">
        <v>2819</v>
      </c>
      <c r="D4323" s="222" t="s">
        <v>2197</v>
      </c>
    </row>
    <row r="4324" spans="1:4" x14ac:dyDescent="0.25">
      <c r="A4324" s="222" t="s">
        <v>2818</v>
      </c>
      <c r="B4324" s="222">
        <v>522073</v>
      </c>
      <c r="C4324" s="222" t="s">
        <v>2817</v>
      </c>
      <c r="D4324" s="222" t="s">
        <v>1306</v>
      </c>
    </row>
    <row r="4325" spans="1:4" x14ac:dyDescent="0.25">
      <c r="A4325" s="222" t="s">
        <v>2816</v>
      </c>
      <c r="B4325" s="222">
        <v>530005</v>
      </c>
      <c r="C4325" s="222" t="s">
        <v>2815</v>
      </c>
      <c r="D4325" s="222" t="s">
        <v>1004</v>
      </c>
    </row>
    <row r="4326" spans="1:4" x14ac:dyDescent="0.25">
      <c r="A4326" s="222" t="s">
        <v>2814</v>
      </c>
      <c r="B4326" s="222">
        <v>500850</v>
      </c>
      <c r="C4326" s="222" t="s">
        <v>2813</v>
      </c>
      <c r="D4326" s="222" t="s">
        <v>2128</v>
      </c>
    </row>
    <row r="4327" spans="1:4" x14ac:dyDescent="0.25">
      <c r="A4327" s="222" t="s">
        <v>2812</v>
      </c>
      <c r="B4327" s="222">
        <v>540954</v>
      </c>
      <c r="C4327" s="222" t="s">
        <v>2052</v>
      </c>
      <c r="D4327" s="222" t="s">
        <v>1272</v>
      </c>
    </row>
    <row r="4328" spans="1:4" x14ac:dyDescent="0.25">
      <c r="A4328" s="222" t="s">
        <v>2811</v>
      </c>
      <c r="B4328" s="222">
        <v>530023</v>
      </c>
      <c r="C4328" s="222" t="s">
        <v>2809</v>
      </c>
      <c r="D4328" s="222" t="s">
        <v>1321</v>
      </c>
    </row>
    <row r="4329" spans="1:4" x14ac:dyDescent="0.25">
      <c r="A4329" s="222" t="s">
        <v>2810</v>
      </c>
      <c r="B4329" s="222">
        <v>530023</v>
      </c>
      <c r="C4329" s="222" t="s">
        <v>2809</v>
      </c>
      <c r="D4329" s="222" t="s">
        <v>1321</v>
      </c>
    </row>
    <row r="4330" spans="1:4" x14ac:dyDescent="0.25">
      <c r="A4330" s="222" t="s">
        <v>2808</v>
      </c>
      <c r="B4330" s="222">
        <v>532209</v>
      </c>
      <c r="C4330" s="222" t="s">
        <v>2807</v>
      </c>
      <c r="D4330" s="222" t="s">
        <v>1240</v>
      </c>
    </row>
    <row r="4331" spans="1:4" x14ac:dyDescent="0.25">
      <c r="A4331" s="222" t="s">
        <v>2806</v>
      </c>
      <c r="B4331" s="222">
        <v>532652</v>
      </c>
      <c r="C4331" s="222" t="s">
        <v>2805</v>
      </c>
      <c r="D4331" s="222" t="s">
        <v>1240</v>
      </c>
    </row>
    <row r="4332" spans="1:4" x14ac:dyDescent="0.25">
      <c r="A4332" s="222" t="s">
        <v>2804</v>
      </c>
      <c r="B4332" s="222">
        <v>540210</v>
      </c>
      <c r="C4332" s="222" t="s">
        <v>2803</v>
      </c>
      <c r="D4332" s="222" t="s">
        <v>1569</v>
      </c>
    </row>
    <row r="4333" spans="1:4" x14ac:dyDescent="0.25">
      <c r="A4333" s="222" t="s">
        <v>2802</v>
      </c>
      <c r="B4333" s="222">
        <v>501343</v>
      </c>
      <c r="C4333" s="222" t="s">
        <v>2801</v>
      </c>
      <c r="D4333" s="222" t="s">
        <v>1321</v>
      </c>
    </row>
    <row r="4334" spans="1:4" x14ac:dyDescent="0.25">
      <c r="A4334" s="222" t="s">
        <v>2800</v>
      </c>
      <c r="B4334" s="222">
        <v>540769</v>
      </c>
      <c r="C4334" s="222" t="s">
        <v>2799</v>
      </c>
      <c r="D4334" s="222" t="s">
        <v>906</v>
      </c>
    </row>
    <row r="4335" spans="1:4" x14ac:dyDescent="0.25">
      <c r="A4335" s="222" t="s">
        <v>2798</v>
      </c>
      <c r="B4335" s="222">
        <v>590086</v>
      </c>
      <c r="C4335" s="222" t="s">
        <v>2797</v>
      </c>
      <c r="D4335" s="222" t="s">
        <v>2796</v>
      </c>
    </row>
    <row r="4336" spans="1:4" x14ac:dyDescent="0.25">
      <c r="A4336" s="222" t="s">
        <v>2795</v>
      </c>
      <c r="B4336" s="222" t="s">
        <v>2052</v>
      </c>
      <c r="C4336" s="222" t="s">
        <v>2794</v>
      </c>
      <c r="D4336" s="222" t="s">
        <v>2197</v>
      </c>
    </row>
    <row r="4337" spans="1:4" x14ac:dyDescent="0.25">
      <c r="A4337" s="222" t="s">
        <v>2793</v>
      </c>
      <c r="B4337" s="222">
        <v>503100</v>
      </c>
      <c r="C4337" s="222" t="s">
        <v>2792</v>
      </c>
      <c r="D4337" s="222" t="s">
        <v>1243</v>
      </c>
    </row>
    <row r="4338" spans="1:4" x14ac:dyDescent="0.25">
      <c r="A4338" s="222" t="s">
        <v>2791</v>
      </c>
      <c r="B4338" s="222">
        <v>542123</v>
      </c>
      <c r="C4338" s="222" t="s">
        <v>2052</v>
      </c>
      <c r="D4338" s="222" t="s">
        <v>734</v>
      </c>
    </row>
    <row r="4339" spans="1:4" x14ac:dyDescent="0.25">
      <c r="A4339" s="222" t="s">
        <v>2790</v>
      </c>
      <c r="B4339" s="222">
        <v>500260</v>
      </c>
      <c r="C4339" s="222" t="s">
        <v>2789</v>
      </c>
      <c r="D4339" s="222" t="s">
        <v>1004</v>
      </c>
    </row>
    <row r="4340" spans="1:4" x14ac:dyDescent="0.25">
      <c r="A4340" s="222" t="s">
        <v>2788</v>
      </c>
      <c r="B4340" s="222">
        <v>503169</v>
      </c>
      <c r="C4340" s="222" t="s">
        <v>2787</v>
      </c>
      <c r="D4340" s="222" t="s">
        <v>1237</v>
      </c>
    </row>
    <row r="4341" spans="1:4" x14ac:dyDescent="0.25">
      <c r="A4341" s="222" t="s">
        <v>2786</v>
      </c>
      <c r="B4341" s="222">
        <v>526725</v>
      </c>
      <c r="C4341" s="222" t="s">
        <v>2785</v>
      </c>
      <c r="D4341" s="222" t="s">
        <v>2784</v>
      </c>
    </row>
    <row r="4342" spans="1:4" x14ac:dyDescent="0.25">
      <c r="A4342" s="222" t="s">
        <v>2783</v>
      </c>
      <c r="B4342" s="222">
        <v>532218</v>
      </c>
      <c r="C4342" s="222" t="s">
        <v>2782</v>
      </c>
      <c r="D4342" s="222" t="s">
        <v>1240</v>
      </c>
    </row>
    <row r="4343" spans="1:4" x14ac:dyDescent="0.25">
      <c r="A4343" s="222" t="s">
        <v>2781</v>
      </c>
      <c r="B4343" s="222">
        <v>512531</v>
      </c>
      <c r="C4343" s="222" t="s">
        <v>2780</v>
      </c>
      <c r="D4343" s="222" t="s">
        <v>1529</v>
      </c>
    </row>
    <row r="4344" spans="1:4" x14ac:dyDescent="0.25">
      <c r="A4344" s="222" t="s">
        <v>2779</v>
      </c>
      <c r="B4344" s="222">
        <v>512531</v>
      </c>
      <c r="C4344" s="222" t="s">
        <v>2778</v>
      </c>
      <c r="D4344" s="222" t="s">
        <v>1529</v>
      </c>
    </row>
    <row r="4345" spans="1:4" x14ac:dyDescent="0.25">
      <c r="A4345" s="222" t="s">
        <v>2777</v>
      </c>
      <c r="B4345" s="222">
        <v>504966</v>
      </c>
      <c r="C4345" s="222" t="s">
        <v>2775</v>
      </c>
      <c r="D4345" s="222" t="s">
        <v>1447</v>
      </c>
    </row>
    <row r="4346" spans="1:4" x14ac:dyDescent="0.25">
      <c r="A4346" s="222" t="s">
        <v>2776</v>
      </c>
      <c r="B4346" s="222">
        <v>504966</v>
      </c>
      <c r="C4346" s="222" t="s">
        <v>2775</v>
      </c>
      <c r="D4346" s="222" t="s">
        <v>1447</v>
      </c>
    </row>
    <row r="4347" spans="1:4" x14ac:dyDescent="0.25">
      <c r="A4347" s="222" t="s">
        <v>2774</v>
      </c>
      <c r="B4347" s="222">
        <v>530363</v>
      </c>
      <c r="C4347" s="222" t="s">
        <v>2773</v>
      </c>
      <c r="D4347" s="222" t="s">
        <v>1124</v>
      </c>
    </row>
    <row r="4348" spans="1:4" x14ac:dyDescent="0.25">
      <c r="A4348" s="222" t="s">
        <v>2772</v>
      </c>
      <c r="B4348" s="222" t="s">
        <v>2052</v>
      </c>
      <c r="C4348" s="222" t="s">
        <v>2771</v>
      </c>
      <c r="D4348" s="222" t="s">
        <v>2197</v>
      </c>
    </row>
    <row r="4349" spans="1:4" x14ac:dyDescent="0.25">
      <c r="A4349" s="222" t="s">
        <v>2770</v>
      </c>
      <c r="B4349" s="222" t="s">
        <v>2052</v>
      </c>
      <c r="C4349" s="222" t="s">
        <v>2769</v>
      </c>
      <c r="D4349" s="222" t="s">
        <v>2197</v>
      </c>
    </row>
    <row r="4350" spans="1:4" x14ac:dyDescent="0.25">
      <c r="A4350" s="222" t="s">
        <v>2768</v>
      </c>
      <c r="B4350" s="222">
        <v>540980</v>
      </c>
      <c r="C4350" s="222" t="s">
        <v>2052</v>
      </c>
      <c r="D4350" s="222" t="s">
        <v>1529</v>
      </c>
    </row>
    <row r="4351" spans="1:4" x14ac:dyDescent="0.25">
      <c r="A4351" s="222" t="s">
        <v>2767</v>
      </c>
      <c r="B4351" s="222" t="s">
        <v>2052</v>
      </c>
      <c r="C4351" s="222" t="s">
        <v>2766</v>
      </c>
      <c r="D4351" s="222" t="s">
        <v>2050</v>
      </c>
    </row>
    <row r="4352" spans="1:4" x14ac:dyDescent="0.25">
      <c r="A4352" s="222" t="s">
        <v>2765</v>
      </c>
      <c r="B4352" s="222">
        <v>530199</v>
      </c>
      <c r="C4352" s="222" t="s">
        <v>2764</v>
      </c>
      <c r="D4352" s="222" t="s">
        <v>789</v>
      </c>
    </row>
    <row r="4353" spans="1:4" x14ac:dyDescent="0.25">
      <c r="A4353" s="222" t="s">
        <v>2763</v>
      </c>
      <c r="B4353" s="222">
        <v>500411</v>
      </c>
      <c r="C4353" s="222" t="s">
        <v>2762</v>
      </c>
      <c r="D4353" s="222" t="s">
        <v>1066</v>
      </c>
    </row>
    <row r="4354" spans="1:4" x14ac:dyDescent="0.25">
      <c r="A4354" s="222" t="s">
        <v>2761</v>
      </c>
      <c r="B4354" s="222">
        <v>539310</v>
      </c>
      <c r="C4354" s="222" t="s">
        <v>2052</v>
      </c>
      <c r="D4354" s="222" t="s">
        <v>1558</v>
      </c>
    </row>
    <row r="4355" spans="1:4" x14ac:dyDescent="0.25">
      <c r="A4355" s="222" t="s">
        <v>2760</v>
      </c>
      <c r="B4355" s="222">
        <v>538464</v>
      </c>
      <c r="C4355" s="222" t="s">
        <v>2052</v>
      </c>
      <c r="D4355" s="222" t="s">
        <v>1321</v>
      </c>
    </row>
    <row r="4356" spans="1:4" x14ac:dyDescent="0.25">
      <c r="A4356" s="222" t="s">
        <v>2759</v>
      </c>
      <c r="B4356" s="222">
        <v>531652</v>
      </c>
      <c r="C4356" s="222" t="s">
        <v>2052</v>
      </c>
      <c r="D4356" s="222" t="s">
        <v>1321</v>
      </c>
    </row>
    <row r="4357" spans="1:4" x14ac:dyDescent="0.25">
      <c r="A4357" s="222" t="s">
        <v>2758</v>
      </c>
      <c r="B4357" s="222">
        <v>507450</v>
      </c>
      <c r="C4357" s="222" t="s">
        <v>2757</v>
      </c>
      <c r="D4357" s="222" t="s">
        <v>1124</v>
      </c>
    </row>
    <row r="4358" spans="1:4" x14ac:dyDescent="0.25">
      <c r="A4358" s="222" t="s">
        <v>2756</v>
      </c>
      <c r="B4358" s="222">
        <v>500412</v>
      </c>
      <c r="C4358" s="222" t="s">
        <v>2755</v>
      </c>
      <c r="D4358" s="222" t="s">
        <v>998</v>
      </c>
    </row>
    <row r="4359" spans="1:4" x14ac:dyDescent="0.25">
      <c r="A4359" s="222" t="s">
        <v>2754</v>
      </c>
      <c r="B4359" s="222">
        <v>500413</v>
      </c>
      <c r="C4359" s="222" t="s">
        <v>2752</v>
      </c>
      <c r="D4359" s="222" t="s">
        <v>1492</v>
      </c>
    </row>
    <row r="4360" spans="1:4" x14ac:dyDescent="0.25">
      <c r="A4360" s="222" t="s">
        <v>2753</v>
      </c>
      <c r="B4360" s="222">
        <v>500413</v>
      </c>
      <c r="C4360" s="222" t="s">
        <v>2752</v>
      </c>
      <c r="D4360" s="222" t="s">
        <v>1492</v>
      </c>
    </row>
    <row r="4361" spans="1:4" x14ac:dyDescent="0.25">
      <c r="A4361" s="222" t="s">
        <v>2751</v>
      </c>
      <c r="B4361" s="222">
        <v>533941</v>
      </c>
      <c r="C4361" s="222" t="s">
        <v>2749</v>
      </c>
      <c r="D4361" s="222" t="s">
        <v>1364</v>
      </c>
    </row>
    <row r="4362" spans="1:4" x14ac:dyDescent="0.25">
      <c r="A4362" s="222" t="s">
        <v>2750</v>
      </c>
      <c r="B4362" s="222">
        <v>533941</v>
      </c>
      <c r="C4362" s="222" t="s">
        <v>2749</v>
      </c>
      <c r="D4362" s="222" t="s">
        <v>1364</v>
      </c>
    </row>
    <row r="4363" spans="1:4" x14ac:dyDescent="0.25">
      <c r="A4363" s="222" t="s">
        <v>2748</v>
      </c>
      <c r="B4363" s="222">
        <v>539871</v>
      </c>
      <c r="C4363" s="222" t="s">
        <v>2747</v>
      </c>
      <c r="D4363" s="222" t="s">
        <v>1425</v>
      </c>
    </row>
    <row r="4364" spans="1:4" x14ac:dyDescent="0.25">
      <c r="A4364" s="222" t="s">
        <v>2746</v>
      </c>
      <c r="B4364" s="222">
        <v>504973</v>
      </c>
      <c r="C4364" s="222" t="s">
        <v>2745</v>
      </c>
      <c r="D4364" s="222" t="s">
        <v>1306</v>
      </c>
    </row>
    <row r="4365" spans="1:4" x14ac:dyDescent="0.25">
      <c r="A4365" s="222" t="s">
        <v>2744</v>
      </c>
      <c r="B4365" s="222">
        <v>540108</v>
      </c>
      <c r="C4365" s="222" t="s">
        <v>2052</v>
      </c>
      <c r="D4365" s="222" t="s">
        <v>1262</v>
      </c>
    </row>
    <row r="4366" spans="1:4" x14ac:dyDescent="0.25">
      <c r="A4366" s="222" t="s">
        <v>2743</v>
      </c>
      <c r="B4366" s="222">
        <v>590005</v>
      </c>
      <c r="C4366" s="222" t="s">
        <v>2741</v>
      </c>
      <c r="D4366" s="222" t="s">
        <v>2740</v>
      </c>
    </row>
    <row r="4367" spans="1:4" x14ac:dyDescent="0.25">
      <c r="A4367" s="222" t="s">
        <v>2742</v>
      </c>
      <c r="B4367" s="222">
        <v>590005</v>
      </c>
      <c r="C4367" s="222" t="s">
        <v>2741</v>
      </c>
      <c r="D4367" s="222" t="s">
        <v>2740</v>
      </c>
    </row>
    <row r="4368" spans="1:4" x14ac:dyDescent="0.25">
      <c r="A4368" s="222" t="s">
        <v>2739</v>
      </c>
      <c r="B4368" s="222">
        <v>536264</v>
      </c>
      <c r="C4368" s="222" t="s">
        <v>2052</v>
      </c>
      <c r="D4368" s="222" t="s">
        <v>1329</v>
      </c>
    </row>
    <row r="4369" spans="1:4" x14ac:dyDescent="0.25">
      <c r="A4369" s="222" t="s">
        <v>2738</v>
      </c>
      <c r="B4369" s="222">
        <v>536264</v>
      </c>
      <c r="C4369" s="222" t="s">
        <v>2052</v>
      </c>
      <c r="D4369" s="222" t="s">
        <v>1329</v>
      </c>
    </row>
    <row r="4370" spans="1:4" x14ac:dyDescent="0.25">
      <c r="A4370" s="222" t="s">
        <v>2737</v>
      </c>
      <c r="B4370" s="222">
        <v>533629</v>
      </c>
      <c r="C4370" s="222" t="s">
        <v>2736</v>
      </c>
      <c r="D4370" s="222" t="s">
        <v>1251</v>
      </c>
    </row>
    <row r="4371" spans="1:4" x14ac:dyDescent="0.25">
      <c r="A4371" s="222" t="s">
        <v>2735</v>
      </c>
      <c r="B4371" s="222">
        <v>505196</v>
      </c>
      <c r="C4371" s="222" t="s">
        <v>2734</v>
      </c>
      <c r="D4371" s="222" t="s">
        <v>1292</v>
      </c>
    </row>
    <row r="4372" spans="1:4" x14ac:dyDescent="0.25">
      <c r="A4372" s="222" t="s">
        <v>2733</v>
      </c>
      <c r="B4372" s="222">
        <v>503663</v>
      </c>
      <c r="C4372" s="222" t="s">
        <v>2732</v>
      </c>
      <c r="D4372" s="222" t="s">
        <v>2108</v>
      </c>
    </row>
    <row r="4373" spans="1:4" x14ac:dyDescent="0.25">
      <c r="A4373" s="222" t="s">
        <v>2731</v>
      </c>
      <c r="B4373" s="222">
        <v>507205</v>
      </c>
      <c r="C4373" s="222" t="s">
        <v>2730</v>
      </c>
      <c r="D4373" s="222" t="s">
        <v>2146</v>
      </c>
    </row>
    <row r="4374" spans="1:4" x14ac:dyDescent="0.25">
      <c r="A4374" s="222" t="s">
        <v>2729</v>
      </c>
      <c r="B4374" s="222">
        <v>532856</v>
      </c>
      <c r="C4374" s="222" t="s">
        <v>2728</v>
      </c>
      <c r="D4374" s="222" t="s">
        <v>1251</v>
      </c>
    </row>
    <row r="4375" spans="1:4" x14ac:dyDescent="0.25">
      <c r="A4375" s="222" t="s">
        <v>2727</v>
      </c>
      <c r="B4375" s="222">
        <v>511559</v>
      </c>
      <c r="C4375" s="222" t="s">
        <v>2726</v>
      </c>
      <c r="D4375" s="222" t="s">
        <v>1321</v>
      </c>
    </row>
    <row r="4376" spans="1:4" x14ac:dyDescent="0.25">
      <c r="A4376" s="222" t="s">
        <v>2725</v>
      </c>
      <c r="B4376" s="222">
        <v>500414</v>
      </c>
      <c r="C4376" s="222" t="s">
        <v>2052</v>
      </c>
      <c r="D4376" s="222" t="s">
        <v>1364</v>
      </c>
    </row>
    <row r="4377" spans="1:4" x14ac:dyDescent="0.25">
      <c r="A4377" s="222" t="s">
        <v>2724</v>
      </c>
      <c r="B4377" s="222">
        <v>500414</v>
      </c>
      <c r="C4377" s="222" t="s">
        <v>2052</v>
      </c>
      <c r="D4377" s="222" t="s">
        <v>1364</v>
      </c>
    </row>
    <row r="4378" spans="1:4" x14ac:dyDescent="0.25">
      <c r="A4378" s="222" t="s">
        <v>2723</v>
      </c>
      <c r="B4378" s="222">
        <v>522113</v>
      </c>
      <c r="C4378" s="222" t="s">
        <v>2721</v>
      </c>
      <c r="D4378" s="222" t="s">
        <v>832</v>
      </c>
    </row>
    <row r="4379" spans="1:4" x14ac:dyDescent="0.25">
      <c r="A4379" s="222" t="s">
        <v>2722</v>
      </c>
      <c r="B4379" s="222">
        <v>522113</v>
      </c>
      <c r="C4379" s="222" t="s">
        <v>2721</v>
      </c>
      <c r="D4379" s="222" t="s">
        <v>832</v>
      </c>
    </row>
    <row r="4380" spans="1:4" x14ac:dyDescent="0.25">
      <c r="A4380" s="222" t="s">
        <v>2720</v>
      </c>
      <c r="B4380" s="222">
        <v>530475</v>
      </c>
      <c r="C4380" s="222" t="s">
        <v>2052</v>
      </c>
      <c r="D4380" s="222" t="s">
        <v>722</v>
      </c>
    </row>
    <row r="4381" spans="1:4" x14ac:dyDescent="0.25">
      <c r="A4381" s="222" t="s">
        <v>2719</v>
      </c>
      <c r="B4381" s="222">
        <v>541741</v>
      </c>
      <c r="C4381" s="222" t="s">
        <v>2052</v>
      </c>
      <c r="D4381" s="222" t="s">
        <v>1529</v>
      </c>
    </row>
    <row r="4382" spans="1:4" x14ac:dyDescent="0.25">
      <c r="A4382" s="222" t="s">
        <v>2718</v>
      </c>
      <c r="B4382" s="222">
        <v>532375</v>
      </c>
      <c r="C4382" s="222" t="s">
        <v>2717</v>
      </c>
      <c r="D4382" s="222" t="s">
        <v>2264</v>
      </c>
    </row>
    <row r="4383" spans="1:4" x14ac:dyDescent="0.25">
      <c r="A4383" s="222" t="s">
        <v>2716</v>
      </c>
      <c r="B4383" s="222">
        <v>539488</v>
      </c>
      <c r="C4383" s="222" t="s">
        <v>2052</v>
      </c>
      <c r="D4383" s="222" t="s">
        <v>2108</v>
      </c>
    </row>
    <row r="4384" spans="1:4" x14ac:dyDescent="0.25">
      <c r="A4384" s="222" t="s">
        <v>2715</v>
      </c>
      <c r="B4384" s="222">
        <v>540904</v>
      </c>
      <c r="C4384" s="222" t="s">
        <v>2052</v>
      </c>
      <c r="D4384" s="222" t="s">
        <v>2714</v>
      </c>
    </row>
    <row r="4385" spans="1:4" x14ac:dyDescent="0.25">
      <c r="A4385" s="222" t="s">
        <v>2713</v>
      </c>
      <c r="B4385" s="222" t="s">
        <v>2052</v>
      </c>
      <c r="C4385" s="222" t="s">
        <v>2712</v>
      </c>
      <c r="D4385" s="222" t="s">
        <v>2050</v>
      </c>
    </row>
    <row r="4386" spans="1:4" x14ac:dyDescent="0.25">
      <c r="A4386" s="222" t="s">
        <v>2711</v>
      </c>
      <c r="B4386" s="222">
        <v>531547</v>
      </c>
      <c r="C4386" s="222" t="s">
        <v>2052</v>
      </c>
      <c r="D4386" s="222" t="s">
        <v>731</v>
      </c>
    </row>
    <row r="4387" spans="1:4" x14ac:dyDescent="0.25">
      <c r="A4387" s="222" t="s">
        <v>2710</v>
      </c>
      <c r="B4387" s="222">
        <v>531547</v>
      </c>
      <c r="C4387" s="222" t="s">
        <v>2052</v>
      </c>
      <c r="D4387" s="222" t="s">
        <v>731</v>
      </c>
    </row>
    <row r="4388" spans="1:4" x14ac:dyDescent="0.25">
      <c r="A4388" s="222" t="s">
        <v>2709</v>
      </c>
      <c r="B4388" s="222">
        <v>531814</v>
      </c>
      <c r="C4388" s="222" t="s">
        <v>2052</v>
      </c>
      <c r="D4388" s="222" t="s">
        <v>1243</v>
      </c>
    </row>
    <row r="4389" spans="1:4" x14ac:dyDescent="0.25">
      <c r="A4389" s="222" t="s">
        <v>2708</v>
      </c>
      <c r="B4389" s="222">
        <v>524582</v>
      </c>
      <c r="C4389" s="222" t="s">
        <v>2052</v>
      </c>
      <c r="D4389" s="222" t="s">
        <v>1083</v>
      </c>
    </row>
    <row r="4390" spans="1:4" x14ac:dyDescent="0.25">
      <c r="A4390" s="222" t="s">
        <v>2707</v>
      </c>
      <c r="B4390" s="222">
        <v>539040</v>
      </c>
      <c r="C4390" s="222" t="s">
        <v>2052</v>
      </c>
      <c r="D4390" s="222" t="s">
        <v>1410</v>
      </c>
    </row>
    <row r="4391" spans="1:4" x14ac:dyDescent="0.25">
      <c r="A4391" s="222" t="s">
        <v>2706</v>
      </c>
      <c r="B4391" s="222">
        <v>539985</v>
      </c>
      <c r="C4391" s="222" t="s">
        <v>2052</v>
      </c>
      <c r="D4391" s="222" t="s">
        <v>1237</v>
      </c>
    </row>
    <row r="4392" spans="1:4" x14ac:dyDescent="0.25">
      <c r="A4392" s="222" t="s">
        <v>2705</v>
      </c>
      <c r="B4392" s="222">
        <v>532966</v>
      </c>
      <c r="C4392" s="222" t="s">
        <v>2704</v>
      </c>
      <c r="D4392" s="222" t="s">
        <v>2450</v>
      </c>
    </row>
    <row r="4393" spans="1:4" x14ac:dyDescent="0.25">
      <c r="A4393" s="222" t="s">
        <v>2703</v>
      </c>
      <c r="B4393" s="222">
        <v>524717</v>
      </c>
      <c r="C4393" s="222" t="s">
        <v>2052</v>
      </c>
      <c r="D4393" s="222" t="s">
        <v>722</v>
      </c>
    </row>
    <row r="4394" spans="1:4" x14ac:dyDescent="0.25">
      <c r="A4394" s="222" t="s">
        <v>2702</v>
      </c>
      <c r="B4394" s="222">
        <v>500114</v>
      </c>
      <c r="C4394" s="222" t="s">
        <v>2701</v>
      </c>
      <c r="D4394" s="222" t="s">
        <v>1364</v>
      </c>
    </row>
    <row r="4395" spans="1:4" x14ac:dyDescent="0.25">
      <c r="A4395" s="222" t="s">
        <v>2700</v>
      </c>
      <c r="B4395" s="222">
        <v>530045</v>
      </c>
      <c r="C4395" s="222" t="s">
        <v>2052</v>
      </c>
      <c r="D4395" s="222" t="s">
        <v>1321</v>
      </c>
    </row>
    <row r="4396" spans="1:4" x14ac:dyDescent="0.25">
      <c r="A4396" s="222" t="s">
        <v>2699</v>
      </c>
      <c r="B4396" s="222">
        <v>511096</v>
      </c>
      <c r="C4396" s="222" t="s">
        <v>2052</v>
      </c>
      <c r="D4396" s="222" t="s">
        <v>1243</v>
      </c>
    </row>
    <row r="4397" spans="1:4" x14ac:dyDescent="0.25">
      <c r="A4397" s="222" t="s">
        <v>2698</v>
      </c>
      <c r="B4397" s="222">
        <v>531830</v>
      </c>
      <c r="C4397" s="222" t="s">
        <v>2697</v>
      </c>
      <c r="D4397" s="222" t="s">
        <v>2696</v>
      </c>
    </row>
    <row r="4398" spans="1:4" x14ac:dyDescent="0.25">
      <c r="A4398" s="222" t="s">
        <v>2695</v>
      </c>
      <c r="B4398" s="222">
        <v>531644</v>
      </c>
      <c r="C4398" s="222" t="s">
        <v>2052</v>
      </c>
      <c r="D4398" s="222" t="s">
        <v>1321</v>
      </c>
    </row>
    <row r="4399" spans="1:4" x14ac:dyDescent="0.25">
      <c r="A4399" s="222" t="s">
        <v>2694</v>
      </c>
      <c r="B4399" s="222">
        <v>500418</v>
      </c>
      <c r="C4399" s="222" t="s">
        <v>2693</v>
      </c>
      <c r="D4399" s="222" t="s">
        <v>1251</v>
      </c>
    </row>
    <row r="4400" spans="1:4" x14ac:dyDescent="0.25">
      <c r="A4400" s="222" t="s">
        <v>2692</v>
      </c>
      <c r="B4400" s="222">
        <v>500420</v>
      </c>
      <c r="C4400" s="222" t="s">
        <v>2691</v>
      </c>
      <c r="D4400" s="222" t="s">
        <v>789</v>
      </c>
    </row>
    <row r="4401" spans="1:4" x14ac:dyDescent="0.25">
      <c r="A4401" s="222" t="s">
        <v>2690</v>
      </c>
      <c r="B4401" s="222">
        <v>532779</v>
      </c>
      <c r="C4401" s="222" t="s">
        <v>2689</v>
      </c>
      <c r="D4401" s="222" t="s">
        <v>2380</v>
      </c>
    </row>
    <row r="4402" spans="1:4" x14ac:dyDescent="0.25">
      <c r="A4402" s="222" t="s">
        <v>2688</v>
      </c>
      <c r="B4402" s="222">
        <v>523878</v>
      </c>
      <c r="C4402" s="222" t="s">
        <v>2052</v>
      </c>
      <c r="D4402" s="222" t="s">
        <v>1997</v>
      </c>
    </row>
    <row r="4403" spans="1:4" x14ac:dyDescent="0.25">
      <c r="A4403" s="222" t="s">
        <v>2687</v>
      </c>
      <c r="B4403" s="222" t="s">
        <v>2052</v>
      </c>
      <c r="C4403" s="222" t="s">
        <v>2686</v>
      </c>
      <c r="D4403" s="222" t="s">
        <v>2050</v>
      </c>
    </row>
    <row r="4404" spans="1:4" x14ac:dyDescent="0.25">
      <c r="A4404" s="222" t="s">
        <v>2685</v>
      </c>
      <c r="B4404" s="222" t="s">
        <v>2052</v>
      </c>
      <c r="C4404" s="222" t="s">
        <v>2684</v>
      </c>
      <c r="D4404" s="222" t="s">
        <v>2050</v>
      </c>
    </row>
    <row r="4405" spans="1:4" x14ac:dyDescent="0.25">
      <c r="A4405" s="222" t="s">
        <v>2683</v>
      </c>
      <c r="B4405" s="222">
        <v>526650</v>
      </c>
      <c r="C4405" s="222" t="s">
        <v>2681</v>
      </c>
      <c r="D4405" s="222" t="s">
        <v>2680</v>
      </c>
    </row>
    <row r="4406" spans="1:4" x14ac:dyDescent="0.25">
      <c r="A4406" s="222" t="s">
        <v>2682</v>
      </c>
      <c r="B4406" s="222">
        <v>526650</v>
      </c>
      <c r="C4406" s="222" t="s">
        <v>2681</v>
      </c>
      <c r="D4406" s="222" t="s">
        <v>2680</v>
      </c>
    </row>
    <row r="4407" spans="1:4" x14ac:dyDescent="0.25">
      <c r="A4407" s="222" t="s">
        <v>2679</v>
      </c>
      <c r="B4407" s="222">
        <v>531771</v>
      </c>
      <c r="C4407" s="222" t="s">
        <v>2052</v>
      </c>
      <c r="D4407" s="222" t="s">
        <v>1275</v>
      </c>
    </row>
    <row r="4408" spans="1:4" x14ac:dyDescent="0.25">
      <c r="A4408" s="222" t="s">
        <v>2678</v>
      </c>
      <c r="B4408" s="222">
        <v>538607</v>
      </c>
      <c r="C4408" s="222" t="s">
        <v>2052</v>
      </c>
      <c r="D4408" s="222" t="s">
        <v>1262</v>
      </c>
    </row>
    <row r="4409" spans="1:4" x14ac:dyDescent="0.25">
      <c r="A4409" s="222" t="s">
        <v>2677</v>
      </c>
      <c r="B4409" s="222">
        <v>500421</v>
      </c>
      <c r="C4409" s="222" t="s">
        <v>2052</v>
      </c>
      <c r="D4409" s="222" t="s">
        <v>1447</v>
      </c>
    </row>
    <row r="4410" spans="1:4" x14ac:dyDescent="0.25">
      <c r="A4410" s="222" t="s">
        <v>2676</v>
      </c>
      <c r="B4410" s="222">
        <v>500421</v>
      </c>
      <c r="C4410" s="222" t="s">
        <v>2052</v>
      </c>
      <c r="D4410" s="222" t="s">
        <v>1447</v>
      </c>
    </row>
    <row r="4411" spans="1:4" x14ac:dyDescent="0.25">
      <c r="A4411" s="222" t="s">
        <v>2675</v>
      </c>
      <c r="B4411" s="222">
        <v>526582</v>
      </c>
      <c r="C4411" s="222" t="s">
        <v>2674</v>
      </c>
      <c r="D4411" s="222" t="s">
        <v>1251</v>
      </c>
    </row>
    <row r="4412" spans="1:4" x14ac:dyDescent="0.25">
      <c r="A4412" s="222" t="s">
        <v>2673</v>
      </c>
      <c r="B4412" s="222">
        <v>509953</v>
      </c>
      <c r="C4412" s="222" t="s">
        <v>2052</v>
      </c>
      <c r="D4412" s="222" t="s">
        <v>1492</v>
      </c>
    </row>
    <row r="4413" spans="1:4" x14ac:dyDescent="0.25">
      <c r="A4413" s="222" t="s">
        <v>2672</v>
      </c>
      <c r="B4413" s="222">
        <v>530783</v>
      </c>
      <c r="C4413" s="222" t="s">
        <v>2052</v>
      </c>
      <c r="D4413" s="222" t="s">
        <v>789</v>
      </c>
    </row>
    <row r="4414" spans="1:4" x14ac:dyDescent="0.25">
      <c r="A4414" s="222" t="s">
        <v>2671</v>
      </c>
      <c r="B4414" s="222">
        <v>526961</v>
      </c>
      <c r="C4414" s="222" t="s">
        <v>2670</v>
      </c>
      <c r="D4414" s="222" t="s">
        <v>1321</v>
      </c>
    </row>
    <row r="4415" spans="1:4" x14ac:dyDescent="0.25">
      <c r="A4415" s="222" t="s">
        <v>2669</v>
      </c>
      <c r="B4415" s="222">
        <v>500422</v>
      </c>
      <c r="C4415" s="222" t="s">
        <v>2052</v>
      </c>
      <c r="D4415" s="222" t="s">
        <v>789</v>
      </c>
    </row>
    <row r="4416" spans="1:4" x14ac:dyDescent="0.25">
      <c r="A4416" s="222" t="s">
        <v>2668</v>
      </c>
      <c r="B4416" s="222">
        <v>532410</v>
      </c>
      <c r="C4416" s="222" t="s">
        <v>2052</v>
      </c>
      <c r="D4416" s="222" t="s">
        <v>1262</v>
      </c>
    </row>
    <row r="4417" spans="1:4" x14ac:dyDescent="0.25">
      <c r="A4417" s="222" t="s">
        <v>2667</v>
      </c>
      <c r="B4417" s="222">
        <v>532928</v>
      </c>
      <c r="C4417" s="222" t="s">
        <v>2665</v>
      </c>
      <c r="D4417" s="222" t="s">
        <v>1066</v>
      </c>
    </row>
    <row r="4418" spans="1:4" x14ac:dyDescent="0.25">
      <c r="A4418" s="222" t="s">
        <v>2666</v>
      </c>
      <c r="B4418" s="222">
        <v>532928</v>
      </c>
      <c r="C4418" s="222" t="s">
        <v>2665</v>
      </c>
      <c r="D4418" s="222" t="s">
        <v>1066</v>
      </c>
    </row>
    <row r="4419" spans="1:4" x14ac:dyDescent="0.25">
      <c r="A4419" s="222" t="s">
        <v>2664</v>
      </c>
      <c r="B4419" s="222">
        <v>513063</v>
      </c>
      <c r="C4419" s="222" t="s">
        <v>2052</v>
      </c>
      <c r="D4419" s="222" t="s">
        <v>740</v>
      </c>
    </row>
    <row r="4420" spans="1:4" x14ac:dyDescent="0.25">
      <c r="A4420" s="222" t="s">
        <v>2663</v>
      </c>
      <c r="B4420" s="222">
        <v>526139</v>
      </c>
      <c r="C4420" s="222" t="s">
        <v>2052</v>
      </c>
      <c r="D4420" s="222" t="s">
        <v>1425</v>
      </c>
    </row>
    <row r="4421" spans="1:4" x14ac:dyDescent="0.25">
      <c r="A4421" s="222" t="s">
        <v>2662</v>
      </c>
      <c r="B4421" s="222">
        <v>519367</v>
      </c>
      <c r="C4421" s="222" t="s">
        <v>2052</v>
      </c>
      <c r="D4421" s="222" t="s">
        <v>1432</v>
      </c>
    </row>
    <row r="4422" spans="1:4" x14ac:dyDescent="0.25">
      <c r="A4422" s="222" t="s">
        <v>2661</v>
      </c>
      <c r="B4422" s="222">
        <v>509003</v>
      </c>
      <c r="C4422" s="222" t="s">
        <v>2052</v>
      </c>
      <c r="D4422" s="222" t="s">
        <v>2068</v>
      </c>
    </row>
    <row r="4423" spans="1:4" x14ac:dyDescent="0.25">
      <c r="A4423" s="222" t="s">
        <v>2660</v>
      </c>
      <c r="B4423" s="222">
        <v>506687</v>
      </c>
      <c r="C4423" s="222" t="s">
        <v>2052</v>
      </c>
      <c r="D4423" s="222" t="s">
        <v>998</v>
      </c>
    </row>
    <row r="4424" spans="1:4" x14ac:dyDescent="0.25">
      <c r="A4424" s="222" t="s">
        <v>2659</v>
      </c>
      <c r="B4424" s="222">
        <v>532349</v>
      </c>
      <c r="C4424" s="222" t="s">
        <v>2657</v>
      </c>
      <c r="D4424" s="222" t="s">
        <v>2656</v>
      </c>
    </row>
    <row r="4425" spans="1:4" x14ac:dyDescent="0.25">
      <c r="A4425" s="222" t="s">
        <v>2658</v>
      </c>
      <c r="B4425" s="222">
        <v>532349</v>
      </c>
      <c r="C4425" s="222" t="s">
        <v>2657</v>
      </c>
      <c r="D4425" s="222" t="s">
        <v>2656</v>
      </c>
    </row>
    <row r="4426" spans="1:4" x14ac:dyDescent="0.25">
      <c r="A4426" s="222" t="s">
        <v>2655</v>
      </c>
      <c r="B4426" s="222">
        <v>532812</v>
      </c>
      <c r="C4426" s="222" t="s">
        <v>2654</v>
      </c>
      <c r="D4426" s="222" t="s">
        <v>1321</v>
      </c>
    </row>
    <row r="4427" spans="1:4" x14ac:dyDescent="0.25">
      <c r="A4427" s="222" t="s">
        <v>2653</v>
      </c>
      <c r="B4427" s="222" t="s">
        <v>2052</v>
      </c>
      <c r="C4427" s="222" t="s">
        <v>2652</v>
      </c>
      <c r="D4427" s="222" t="s">
        <v>2050</v>
      </c>
    </row>
    <row r="4428" spans="1:4" x14ac:dyDescent="0.25">
      <c r="A4428" s="222" t="s">
        <v>2651</v>
      </c>
      <c r="B4428" s="222">
        <v>533540</v>
      </c>
      <c r="C4428" s="222" t="s">
        <v>2650</v>
      </c>
      <c r="D4428" s="222" t="s">
        <v>854</v>
      </c>
    </row>
    <row r="4429" spans="1:4" x14ac:dyDescent="0.25">
      <c r="A4429" s="222" t="s">
        <v>2649</v>
      </c>
      <c r="B4429" s="222">
        <v>542233</v>
      </c>
      <c r="C4429" s="222" t="s">
        <v>2648</v>
      </c>
      <c r="D4429" s="222" t="s">
        <v>2647</v>
      </c>
    </row>
    <row r="4430" spans="1:4" x14ac:dyDescent="0.25">
      <c r="A4430" s="222" t="s">
        <v>2646</v>
      </c>
      <c r="B4430" s="222">
        <v>500251</v>
      </c>
      <c r="C4430" s="222" t="s">
        <v>2645</v>
      </c>
      <c r="D4430" s="222" t="s">
        <v>1569</v>
      </c>
    </row>
    <row r="4431" spans="1:4" x14ac:dyDescent="0.25">
      <c r="A4431" s="222" t="s">
        <v>2644</v>
      </c>
      <c r="B4431" s="222">
        <v>532159</v>
      </c>
      <c r="C4431" s="222" t="s">
        <v>2052</v>
      </c>
      <c r="D4431" s="222" t="s">
        <v>1262</v>
      </c>
    </row>
    <row r="4432" spans="1:4" x14ac:dyDescent="0.25">
      <c r="A4432" s="222" t="s">
        <v>2643</v>
      </c>
      <c r="B4432" s="222">
        <v>505854</v>
      </c>
      <c r="C4432" s="222" t="s">
        <v>2642</v>
      </c>
      <c r="D4432" s="222" t="s">
        <v>832</v>
      </c>
    </row>
    <row r="4433" spans="1:4" x14ac:dyDescent="0.25">
      <c r="A4433" s="222" t="s">
        <v>2641</v>
      </c>
      <c r="B4433" s="222">
        <v>534369</v>
      </c>
      <c r="C4433" s="222" t="s">
        <v>2640</v>
      </c>
      <c r="D4433" s="222" t="s">
        <v>1364</v>
      </c>
    </row>
    <row r="4434" spans="1:4" x14ac:dyDescent="0.25">
      <c r="A4434" s="222" t="s">
        <v>2639</v>
      </c>
      <c r="B4434" s="222">
        <v>531716</v>
      </c>
      <c r="C4434" s="222" t="s">
        <v>2052</v>
      </c>
      <c r="D4434" s="222" t="s">
        <v>1083</v>
      </c>
    </row>
    <row r="4435" spans="1:4" x14ac:dyDescent="0.25">
      <c r="A4435" s="222" t="s">
        <v>2638</v>
      </c>
      <c r="B4435" s="222">
        <v>521064</v>
      </c>
      <c r="C4435" s="222" t="s">
        <v>2637</v>
      </c>
      <c r="D4435" s="222" t="s">
        <v>1237</v>
      </c>
    </row>
    <row r="4436" spans="1:4" x14ac:dyDescent="0.25">
      <c r="A4436" s="222" t="s">
        <v>2636</v>
      </c>
      <c r="B4436" s="222">
        <v>540726</v>
      </c>
      <c r="C4436" s="222" t="s">
        <v>2052</v>
      </c>
      <c r="D4436" s="222" t="s">
        <v>1529</v>
      </c>
    </row>
    <row r="4437" spans="1:4" x14ac:dyDescent="0.25">
      <c r="A4437" s="222" t="s">
        <v>2635</v>
      </c>
      <c r="B4437" s="222">
        <v>531972</v>
      </c>
      <c r="C4437" s="222" t="s">
        <v>2052</v>
      </c>
      <c r="D4437" s="222" t="s">
        <v>1395</v>
      </c>
    </row>
    <row r="4438" spans="1:4" x14ac:dyDescent="0.25">
      <c r="A4438" s="222" t="s">
        <v>2634</v>
      </c>
      <c r="B4438" s="222">
        <v>517562</v>
      </c>
      <c r="C4438" s="222" t="s">
        <v>2633</v>
      </c>
      <c r="D4438" s="222" t="s">
        <v>1265</v>
      </c>
    </row>
    <row r="4439" spans="1:4" x14ac:dyDescent="0.25">
      <c r="A4439" s="222" t="s">
        <v>2632</v>
      </c>
      <c r="B4439" s="222">
        <v>531658</v>
      </c>
      <c r="C4439" s="222" t="s">
        <v>2052</v>
      </c>
      <c r="D4439" s="222" t="s">
        <v>1321</v>
      </c>
    </row>
    <row r="4440" spans="1:4" x14ac:dyDescent="0.25">
      <c r="A4440" s="222" t="s">
        <v>2631</v>
      </c>
      <c r="B4440" s="222">
        <v>536565</v>
      </c>
      <c r="C4440" s="222" t="s">
        <v>2052</v>
      </c>
      <c r="D4440" s="222" t="s">
        <v>2630</v>
      </c>
    </row>
    <row r="4441" spans="1:4" x14ac:dyDescent="0.25">
      <c r="A4441" s="222" t="s">
        <v>2629</v>
      </c>
      <c r="B4441" s="222">
        <v>531846</v>
      </c>
      <c r="C4441" s="222" t="s">
        <v>2052</v>
      </c>
      <c r="D4441" s="222" t="s">
        <v>1262</v>
      </c>
    </row>
    <row r="4442" spans="1:4" x14ac:dyDescent="0.25">
      <c r="A4442" s="222" t="s">
        <v>2628</v>
      </c>
      <c r="B4442" s="222">
        <v>531846</v>
      </c>
      <c r="C4442" s="222" t="s">
        <v>2052</v>
      </c>
      <c r="D4442" s="222" t="s">
        <v>1262</v>
      </c>
    </row>
    <row r="4443" spans="1:4" x14ac:dyDescent="0.25">
      <c r="A4443" s="222" t="s">
        <v>2627</v>
      </c>
      <c r="B4443" s="222">
        <v>534755</v>
      </c>
      <c r="C4443" s="222" t="s">
        <v>2626</v>
      </c>
      <c r="D4443" s="222" t="s">
        <v>1262</v>
      </c>
    </row>
    <row r="4444" spans="1:4" x14ac:dyDescent="0.25">
      <c r="A4444" s="222" t="s">
        <v>2625</v>
      </c>
      <c r="B4444" s="222">
        <v>512101</v>
      </c>
      <c r="C4444" s="222" t="s">
        <v>2052</v>
      </c>
      <c r="D4444" s="222" t="s">
        <v>789</v>
      </c>
    </row>
    <row r="4445" spans="1:4" x14ac:dyDescent="0.25">
      <c r="A4445" s="222" t="s">
        <v>2624</v>
      </c>
      <c r="B4445" s="222">
        <v>531279</v>
      </c>
      <c r="C4445" s="222" t="s">
        <v>2052</v>
      </c>
      <c r="D4445" s="222" t="s">
        <v>1321</v>
      </c>
    </row>
    <row r="4446" spans="1:4" x14ac:dyDescent="0.25">
      <c r="A4446" s="222" t="s">
        <v>2623</v>
      </c>
      <c r="B4446" s="222">
        <v>523387</v>
      </c>
      <c r="C4446" s="222" t="s">
        <v>2052</v>
      </c>
      <c r="D4446" s="222" t="s">
        <v>1364</v>
      </c>
    </row>
    <row r="4447" spans="1:4" x14ac:dyDescent="0.25">
      <c r="A4447" s="222" t="s">
        <v>2622</v>
      </c>
      <c r="B4447" s="222">
        <v>505978</v>
      </c>
      <c r="C4447" s="222" t="s">
        <v>2052</v>
      </c>
      <c r="D4447" s="222" t="s">
        <v>1306</v>
      </c>
    </row>
    <row r="4448" spans="1:4" x14ac:dyDescent="0.25">
      <c r="A4448" s="222" t="s">
        <v>2621</v>
      </c>
      <c r="B4448" s="222">
        <v>532356</v>
      </c>
      <c r="C4448" s="222" t="s">
        <v>2620</v>
      </c>
      <c r="D4448" s="222" t="s">
        <v>1124</v>
      </c>
    </row>
    <row r="4449" spans="1:4" x14ac:dyDescent="0.25">
      <c r="A4449" s="222" t="s">
        <v>2619</v>
      </c>
      <c r="B4449" s="222">
        <v>538569</v>
      </c>
      <c r="C4449" s="222" t="s">
        <v>2618</v>
      </c>
      <c r="D4449" s="222" t="s">
        <v>2156</v>
      </c>
    </row>
    <row r="4450" spans="1:4" x14ac:dyDescent="0.25">
      <c r="A4450" s="222" t="s">
        <v>2617</v>
      </c>
      <c r="B4450" s="222">
        <v>502281</v>
      </c>
      <c r="C4450" s="222" t="s">
        <v>2052</v>
      </c>
      <c r="D4450" s="222" t="s">
        <v>2357</v>
      </c>
    </row>
    <row r="4451" spans="1:4" x14ac:dyDescent="0.25">
      <c r="A4451" s="222" t="s">
        <v>2616</v>
      </c>
      <c r="B4451" s="222">
        <v>533655</v>
      </c>
      <c r="C4451" s="222" t="s">
        <v>2615</v>
      </c>
      <c r="D4451" s="222" t="s">
        <v>1066</v>
      </c>
    </row>
    <row r="4452" spans="1:4" x14ac:dyDescent="0.25">
      <c r="A4452" s="222" t="s">
        <v>2614</v>
      </c>
      <c r="B4452" s="222">
        <v>538579</v>
      </c>
      <c r="C4452" s="222" t="s">
        <v>2052</v>
      </c>
      <c r="D4452" s="222" t="s">
        <v>1529</v>
      </c>
    </row>
    <row r="4453" spans="1:4" x14ac:dyDescent="0.25">
      <c r="A4453" s="222" t="s">
        <v>2613</v>
      </c>
      <c r="B4453" s="222">
        <v>519303</v>
      </c>
      <c r="C4453" s="222" t="s">
        <v>2052</v>
      </c>
      <c r="D4453" s="222" t="s">
        <v>1963</v>
      </c>
    </row>
    <row r="4454" spans="1:4" x14ac:dyDescent="0.25">
      <c r="A4454" s="222" t="s">
        <v>2612</v>
      </c>
      <c r="B4454" s="222">
        <v>538597</v>
      </c>
      <c r="C4454" s="222" t="s">
        <v>2052</v>
      </c>
      <c r="D4454" s="222" t="s">
        <v>1321</v>
      </c>
    </row>
    <row r="4455" spans="1:4" x14ac:dyDescent="0.25">
      <c r="A4455" s="222" t="s">
        <v>2611</v>
      </c>
      <c r="B4455" s="222">
        <v>507747</v>
      </c>
      <c r="C4455" s="222" t="s">
        <v>2610</v>
      </c>
      <c r="D4455" s="222" t="s">
        <v>789</v>
      </c>
    </row>
    <row r="4456" spans="1:4" x14ac:dyDescent="0.25">
      <c r="A4456" s="222" t="s">
        <v>2609</v>
      </c>
      <c r="B4456" s="222">
        <v>517506</v>
      </c>
      <c r="C4456" s="222" t="s">
        <v>2608</v>
      </c>
      <c r="D4456" s="222" t="s">
        <v>822</v>
      </c>
    </row>
    <row r="4457" spans="1:4" x14ac:dyDescent="0.25">
      <c r="A4457" s="222" t="s">
        <v>2607</v>
      </c>
      <c r="B4457" s="222">
        <v>514236</v>
      </c>
      <c r="C4457" s="222" t="s">
        <v>2606</v>
      </c>
      <c r="D4457" s="222" t="s">
        <v>2156</v>
      </c>
    </row>
    <row r="4458" spans="1:4" x14ac:dyDescent="0.25">
      <c r="A4458" s="222" t="s">
        <v>2605</v>
      </c>
      <c r="B4458" s="222">
        <v>540762</v>
      </c>
      <c r="C4458" s="222" t="s">
        <v>2604</v>
      </c>
      <c r="D4458" s="222" t="s">
        <v>1306</v>
      </c>
    </row>
    <row r="4459" spans="1:4" x14ac:dyDescent="0.25">
      <c r="A4459" s="222" t="s">
        <v>2603</v>
      </c>
      <c r="B4459" s="222">
        <v>540762</v>
      </c>
      <c r="C4459" s="222" t="s">
        <v>2602</v>
      </c>
      <c r="D4459" s="222" t="s">
        <v>1306</v>
      </c>
    </row>
    <row r="4460" spans="1:4" x14ac:dyDescent="0.25">
      <c r="A4460" s="222" t="s">
        <v>2601</v>
      </c>
      <c r="B4460" s="222">
        <v>524514</v>
      </c>
      <c r="C4460" s="222" t="s">
        <v>2052</v>
      </c>
      <c r="D4460" s="222" t="s">
        <v>998</v>
      </c>
    </row>
    <row r="4461" spans="1:4" x14ac:dyDescent="0.25">
      <c r="A4461" s="222" t="s">
        <v>2600</v>
      </c>
      <c r="B4461" s="222">
        <v>531088</v>
      </c>
      <c r="C4461" s="222" t="s">
        <v>2052</v>
      </c>
      <c r="D4461" s="222" t="s">
        <v>1321</v>
      </c>
    </row>
    <row r="4462" spans="1:4" x14ac:dyDescent="0.25">
      <c r="A4462" s="222" t="s">
        <v>2599</v>
      </c>
      <c r="B4462" s="222">
        <v>505285</v>
      </c>
      <c r="C4462" s="222" t="s">
        <v>2052</v>
      </c>
      <c r="D4462" s="222" t="s">
        <v>1395</v>
      </c>
    </row>
    <row r="4463" spans="1:4" x14ac:dyDescent="0.25">
      <c r="A4463" s="222" t="s">
        <v>2598</v>
      </c>
      <c r="B4463" s="222">
        <v>532948</v>
      </c>
      <c r="C4463" s="222" t="s">
        <v>2597</v>
      </c>
      <c r="D4463" s="222" t="s">
        <v>1251</v>
      </c>
    </row>
    <row r="4464" spans="1:4" x14ac:dyDescent="0.25">
      <c r="A4464" s="222" t="s">
        <v>2596</v>
      </c>
      <c r="B4464" s="222">
        <v>504273</v>
      </c>
      <c r="C4464" s="222" t="s">
        <v>2052</v>
      </c>
      <c r="D4464" s="222" t="s">
        <v>1275</v>
      </c>
    </row>
    <row r="4465" spans="1:4" x14ac:dyDescent="0.25">
      <c r="A4465" s="222" t="s">
        <v>2595</v>
      </c>
      <c r="B4465" s="222">
        <v>531411</v>
      </c>
      <c r="C4465" s="222" t="s">
        <v>2052</v>
      </c>
      <c r="D4465" s="222" t="s">
        <v>1237</v>
      </c>
    </row>
    <row r="4466" spans="1:4" x14ac:dyDescent="0.25">
      <c r="A4466" s="222" t="s">
        <v>2594</v>
      </c>
      <c r="B4466" s="222">
        <v>506808</v>
      </c>
      <c r="C4466" s="222" t="s">
        <v>2052</v>
      </c>
      <c r="D4466" s="222" t="s">
        <v>998</v>
      </c>
    </row>
    <row r="4467" spans="1:4" x14ac:dyDescent="0.25">
      <c r="A4467" s="222" t="s">
        <v>2593</v>
      </c>
      <c r="B4467" s="222">
        <v>532515</v>
      </c>
      <c r="C4467" s="222" t="s">
        <v>2592</v>
      </c>
      <c r="D4467" s="222" t="s">
        <v>2079</v>
      </c>
    </row>
    <row r="4468" spans="1:4" x14ac:dyDescent="0.25">
      <c r="A4468" s="222" t="s">
        <v>2591</v>
      </c>
      <c r="B4468" s="222">
        <v>540083</v>
      </c>
      <c r="C4468" s="222" t="s">
        <v>2590</v>
      </c>
      <c r="D4468" s="222" t="s">
        <v>2079</v>
      </c>
    </row>
    <row r="4469" spans="1:4" x14ac:dyDescent="0.25">
      <c r="A4469" s="222" t="s">
        <v>2589</v>
      </c>
      <c r="B4469" s="222">
        <v>532800</v>
      </c>
      <c r="C4469" s="222" t="s">
        <v>2588</v>
      </c>
      <c r="D4469" s="222" t="s">
        <v>2079</v>
      </c>
    </row>
    <row r="4470" spans="1:4" x14ac:dyDescent="0.25">
      <c r="A4470" s="222" t="s">
        <v>2587</v>
      </c>
      <c r="B4470" s="222">
        <v>532513</v>
      </c>
      <c r="C4470" s="222" t="s">
        <v>2586</v>
      </c>
      <c r="D4470" s="222" t="s">
        <v>2585</v>
      </c>
    </row>
    <row r="4471" spans="1:4" x14ac:dyDescent="0.25">
      <c r="A4471" s="222" t="s">
        <v>2584</v>
      </c>
      <c r="B4471" s="222">
        <v>532343</v>
      </c>
      <c r="C4471" s="222" t="s">
        <v>2583</v>
      </c>
      <c r="D4471" s="222" t="s">
        <v>2582</v>
      </c>
    </row>
    <row r="4472" spans="1:4" x14ac:dyDescent="0.25">
      <c r="A4472" s="222" t="s">
        <v>2581</v>
      </c>
      <c r="B4472" s="222">
        <v>509243</v>
      </c>
      <c r="C4472" s="222" t="s">
        <v>2580</v>
      </c>
      <c r="D4472" s="222" t="s">
        <v>1410</v>
      </c>
    </row>
    <row r="4473" spans="1:4" x14ac:dyDescent="0.25">
      <c r="A4473" s="222" t="s">
        <v>2579</v>
      </c>
      <c r="B4473" s="222">
        <v>512117</v>
      </c>
      <c r="C4473" s="222" t="s">
        <v>2052</v>
      </c>
      <c r="D4473" s="222" t="s">
        <v>2068</v>
      </c>
    </row>
    <row r="4474" spans="1:4" x14ac:dyDescent="0.25">
      <c r="A4474" s="222" t="s">
        <v>2578</v>
      </c>
      <c r="B4474" s="222">
        <v>531917</v>
      </c>
      <c r="C4474" s="222" t="s">
        <v>2052</v>
      </c>
      <c r="D4474" s="222" t="s">
        <v>1942</v>
      </c>
    </row>
    <row r="4475" spans="1:4" x14ac:dyDescent="0.25">
      <c r="A4475" s="222" t="s">
        <v>2577</v>
      </c>
      <c r="B4475" s="222">
        <v>532384</v>
      </c>
      <c r="C4475" s="222" t="s">
        <v>2052</v>
      </c>
      <c r="D4475" s="222" t="s">
        <v>789</v>
      </c>
    </row>
    <row r="4476" spans="1:4" x14ac:dyDescent="0.25">
      <c r="A4476" s="222" t="s">
        <v>2576</v>
      </c>
      <c r="B4476" s="222">
        <v>539468</v>
      </c>
      <c r="C4476" s="222" t="s">
        <v>2052</v>
      </c>
      <c r="D4476" s="222" t="s">
        <v>1321</v>
      </c>
    </row>
    <row r="4477" spans="1:4" x14ac:dyDescent="0.25">
      <c r="A4477" s="222" t="s">
        <v>2575</v>
      </c>
      <c r="B4477" s="222">
        <v>512307</v>
      </c>
      <c r="C4477" s="222" t="s">
        <v>2052</v>
      </c>
      <c r="D4477" s="222" t="s">
        <v>1237</v>
      </c>
    </row>
    <row r="4478" spans="1:4" x14ac:dyDescent="0.25">
      <c r="A4478" s="222" t="s">
        <v>2574</v>
      </c>
      <c r="B4478" s="222">
        <v>526945</v>
      </c>
      <c r="C4478" s="222" t="s">
        <v>2052</v>
      </c>
      <c r="D4478" s="222" t="s">
        <v>1400</v>
      </c>
    </row>
    <row r="4479" spans="1:4" x14ac:dyDescent="0.25">
      <c r="A4479" s="222" t="s">
        <v>2573</v>
      </c>
      <c r="B4479" s="222">
        <v>541338</v>
      </c>
      <c r="C4479" s="222" t="s">
        <v>2052</v>
      </c>
      <c r="D4479" s="222" t="s">
        <v>1364</v>
      </c>
    </row>
    <row r="4480" spans="1:4" x14ac:dyDescent="0.25">
      <c r="A4480" s="222" t="s">
        <v>2572</v>
      </c>
      <c r="B4480" s="222">
        <v>500464</v>
      </c>
      <c r="C4480" s="222" t="s">
        <v>2571</v>
      </c>
      <c r="D4480" s="222" t="s">
        <v>1306</v>
      </c>
    </row>
    <row r="4481" spans="1:4" x14ac:dyDescent="0.25">
      <c r="A4481" s="222" t="s">
        <v>2570</v>
      </c>
      <c r="B4481" s="222">
        <v>532505</v>
      </c>
      <c r="C4481" s="222" t="s">
        <v>2569</v>
      </c>
      <c r="D4481" s="222" t="s">
        <v>1240</v>
      </c>
    </row>
    <row r="4482" spans="1:4" x14ac:dyDescent="0.25">
      <c r="A4482" s="222" t="s">
        <v>2568</v>
      </c>
      <c r="B4482" s="222">
        <v>530131</v>
      </c>
      <c r="C4482" s="222" t="s">
        <v>2052</v>
      </c>
      <c r="D4482" s="222" t="s">
        <v>1004</v>
      </c>
    </row>
    <row r="4483" spans="1:4" x14ac:dyDescent="0.25">
      <c r="A4483" s="222" t="s">
        <v>2567</v>
      </c>
      <c r="B4483" s="222">
        <v>539518</v>
      </c>
      <c r="C4483" s="222" t="s">
        <v>2052</v>
      </c>
      <c r="D4483" s="222" t="s">
        <v>1137</v>
      </c>
    </row>
    <row r="4484" spans="1:4" x14ac:dyDescent="0.25">
      <c r="A4484" s="222" t="s">
        <v>2566</v>
      </c>
      <c r="B4484" s="222">
        <v>500148</v>
      </c>
      <c r="C4484" s="222" t="s">
        <v>2565</v>
      </c>
      <c r="D4484" s="222" t="s">
        <v>1447</v>
      </c>
    </row>
    <row r="4485" spans="1:4" x14ac:dyDescent="0.25">
      <c r="A4485" s="222" t="s">
        <v>2564</v>
      </c>
      <c r="B4485" s="222">
        <v>539141</v>
      </c>
      <c r="C4485" s="222" t="s">
        <v>2562</v>
      </c>
      <c r="D4485" s="222" t="s">
        <v>2079</v>
      </c>
    </row>
    <row r="4486" spans="1:4" x14ac:dyDescent="0.25">
      <c r="A4486" s="222" t="s">
        <v>2563</v>
      </c>
      <c r="B4486" s="222">
        <v>539141</v>
      </c>
      <c r="C4486" s="222" t="s">
        <v>2562</v>
      </c>
      <c r="D4486" s="222" t="s">
        <v>2079</v>
      </c>
    </row>
    <row r="4487" spans="1:4" x14ac:dyDescent="0.25">
      <c r="A4487" s="222" t="s">
        <v>2561</v>
      </c>
      <c r="B4487" s="222">
        <v>511742</v>
      </c>
      <c r="C4487" s="222" t="s">
        <v>2052</v>
      </c>
      <c r="D4487" s="222" t="s">
        <v>1321</v>
      </c>
    </row>
    <row r="4488" spans="1:4" x14ac:dyDescent="0.25">
      <c r="A4488" s="222" t="s">
        <v>2560</v>
      </c>
      <c r="B4488" s="222">
        <v>533644</v>
      </c>
      <c r="C4488" s="222" t="s">
        <v>2559</v>
      </c>
      <c r="D4488" s="222" t="s">
        <v>1066</v>
      </c>
    </row>
    <row r="4489" spans="1:4" x14ac:dyDescent="0.25">
      <c r="A4489" s="222" t="s">
        <v>2558</v>
      </c>
      <c r="B4489" s="222">
        <v>539874</v>
      </c>
      <c r="C4489" s="222" t="s">
        <v>2557</v>
      </c>
      <c r="D4489" s="222" t="s">
        <v>1321</v>
      </c>
    </row>
    <row r="4490" spans="1:4" x14ac:dyDescent="0.25">
      <c r="A4490" s="222" t="s">
        <v>2556</v>
      </c>
      <c r="B4490" s="222" t="s">
        <v>2052</v>
      </c>
      <c r="C4490" s="222" t="s">
        <v>2555</v>
      </c>
      <c r="D4490" s="222" t="s">
        <v>2050</v>
      </c>
    </row>
    <row r="4491" spans="1:4" x14ac:dyDescent="0.25">
      <c r="A4491" s="222" t="s">
        <v>2554</v>
      </c>
      <c r="B4491" s="222">
        <v>538706</v>
      </c>
      <c r="C4491" s="222" t="s">
        <v>2052</v>
      </c>
      <c r="D4491" s="222" t="s">
        <v>1275</v>
      </c>
    </row>
    <row r="4492" spans="1:4" x14ac:dyDescent="0.25">
      <c r="A4492" s="222" t="s">
        <v>2553</v>
      </c>
      <c r="B4492" s="222">
        <v>538706</v>
      </c>
      <c r="C4492" s="222" t="s">
        <v>2052</v>
      </c>
      <c r="D4492" s="222" t="s">
        <v>1275</v>
      </c>
    </row>
    <row r="4493" spans="1:4" x14ac:dyDescent="0.25">
      <c r="A4493" s="222" t="s">
        <v>2552</v>
      </c>
      <c r="B4493" s="222">
        <v>506685</v>
      </c>
      <c r="C4493" s="222" t="s">
        <v>2052</v>
      </c>
      <c r="D4493" s="222" t="s">
        <v>722</v>
      </c>
    </row>
    <row r="4494" spans="1:4" x14ac:dyDescent="0.25">
      <c r="A4494" s="222" t="s">
        <v>2551</v>
      </c>
      <c r="B4494" s="222">
        <v>532538</v>
      </c>
      <c r="C4494" s="222" t="s">
        <v>2550</v>
      </c>
      <c r="D4494" s="222" t="s">
        <v>1004</v>
      </c>
    </row>
    <row r="4495" spans="1:4" x14ac:dyDescent="0.25">
      <c r="A4495" s="222" t="s">
        <v>2549</v>
      </c>
      <c r="B4495" s="222">
        <v>500231</v>
      </c>
      <c r="C4495" s="222" t="s">
        <v>2548</v>
      </c>
      <c r="D4495" s="222" t="s">
        <v>1161</v>
      </c>
    </row>
    <row r="4496" spans="1:4" x14ac:dyDescent="0.25">
      <c r="A4496" s="222" t="s">
        <v>2547</v>
      </c>
      <c r="B4496" s="222">
        <v>539798</v>
      </c>
      <c r="C4496" s="222" t="s">
        <v>2052</v>
      </c>
      <c r="D4496" s="222" t="s">
        <v>740</v>
      </c>
    </row>
    <row r="4497" spans="1:4" x14ac:dyDescent="0.25">
      <c r="A4497" s="222" t="s">
        <v>2546</v>
      </c>
      <c r="B4497" s="222">
        <v>504605</v>
      </c>
      <c r="C4497" s="222" t="s">
        <v>2052</v>
      </c>
      <c r="D4497" s="222" t="s">
        <v>740</v>
      </c>
    </row>
    <row r="4498" spans="1:4" x14ac:dyDescent="0.25">
      <c r="A4498" s="222" t="s">
        <v>2545</v>
      </c>
      <c r="B4498" s="222">
        <v>506690</v>
      </c>
      <c r="C4498" s="222" t="s">
        <v>2544</v>
      </c>
      <c r="D4498" s="222" t="s">
        <v>789</v>
      </c>
    </row>
    <row r="4499" spans="1:4" x14ac:dyDescent="0.25">
      <c r="A4499" s="222" t="s">
        <v>2543</v>
      </c>
      <c r="B4499" s="222">
        <v>541503</v>
      </c>
      <c r="C4499" s="222" t="s">
        <v>2052</v>
      </c>
      <c r="D4499" s="222" t="s">
        <v>2542</v>
      </c>
    </row>
    <row r="4500" spans="1:4" x14ac:dyDescent="0.25">
      <c r="A4500" s="222" t="s">
        <v>2541</v>
      </c>
      <c r="B4500" s="222" t="s">
        <v>2052</v>
      </c>
      <c r="C4500" s="222" t="s">
        <v>2540</v>
      </c>
      <c r="D4500" s="222" t="s">
        <v>2050</v>
      </c>
    </row>
    <row r="4501" spans="1:4" x14ac:dyDescent="0.25">
      <c r="A4501" s="222" t="s">
        <v>2539</v>
      </c>
      <c r="B4501" s="222">
        <v>503671</v>
      </c>
      <c r="C4501" s="222" t="s">
        <v>2052</v>
      </c>
      <c r="D4501" s="222" t="s">
        <v>1262</v>
      </c>
    </row>
    <row r="4502" spans="1:4" x14ac:dyDescent="0.25">
      <c r="A4502" s="222" t="s">
        <v>2538</v>
      </c>
      <c r="B4502" s="222">
        <v>512595</v>
      </c>
      <c r="C4502" s="222" t="s">
        <v>2537</v>
      </c>
      <c r="D4502" s="222" t="s">
        <v>2536</v>
      </c>
    </row>
    <row r="4503" spans="1:4" x14ac:dyDescent="0.25">
      <c r="A4503" s="222" t="s">
        <v>2535</v>
      </c>
      <c r="B4503" s="222">
        <v>532477</v>
      </c>
      <c r="C4503" s="222" t="s">
        <v>2534</v>
      </c>
      <c r="D4503" s="222" t="s">
        <v>1240</v>
      </c>
    </row>
    <row r="4504" spans="1:4" x14ac:dyDescent="0.25">
      <c r="A4504" s="222" t="s">
        <v>2533</v>
      </c>
      <c r="B4504" s="222">
        <v>526799</v>
      </c>
      <c r="C4504" s="222" t="s">
        <v>2052</v>
      </c>
      <c r="D4504" s="222" t="s">
        <v>1447</v>
      </c>
    </row>
    <row r="4505" spans="1:4" x14ac:dyDescent="0.25">
      <c r="A4505" s="222" t="s">
        <v>2532</v>
      </c>
      <c r="B4505" s="222">
        <v>500429</v>
      </c>
      <c r="C4505" s="222" t="s">
        <v>2531</v>
      </c>
      <c r="D4505" s="222" t="s">
        <v>1529</v>
      </c>
    </row>
    <row r="4506" spans="1:4" x14ac:dyDescent="0.25">
      <c r="A4506" s="222" t="s">
        <v>2530</v>
      </c>
      <c r="B4506" s="222">
        <v>526957</v>
      </c>
      <c r="C4506" s="222" t="s">
        <v>2052</v>
      </c>
      <c r="D4506" s="222" t="s">
        <v>1272</v>
      </c>
    </row>
    <row r="4507" spans="1:4" x14ac:dyDescent="0.25">
      <c r="A4507" s="222" t="s">
        <v>2529</v>
      </c>
      <c r="B4507" s="222">
        <v>532646</v>
      </c>
      <c r="C4507" s="222" t="s">
        <v>2528</v>
      </c>
      <c r="D4507" s="222" t="s">
        <v>1272</v>
      </c>
    </row>
    <row r="4508" spans="1:4" x14ac:dyDescent="0.25">
      <c r="A4508" s="222" t="s">
        <v>2527</v>
      </c>
      <c r="B4508" s="222">
        <v>530997</v>
      </c>
      <c r="C4508" s="222" t="s">
        <v>2052</v>
      </c>
      <c r="D4508" s="222" t="s">
        <v>731</v>
      </c>
    </row>
    <row r="4509" spans="1:4" x14ac:dyDescent="0.25">
      <c r="A4509" s="222" t="s">
        <v>2526</v>
      </c>
      <c r="B4509" s="222">
        <v>521226</v>
      </c>
      <c r="C4509" s="222" t="s">
        <v>2052</v>
      </c>
      <c r="D4509" s="222" t="s">
        <v>1237</v>
      </c>
    </row>
    <row r="4510" spans="1:4" x14ac:dyDescent="0.25">
      <c r="A4510" s="222" t="s">
        <v>2525</v>
      </c>
      <c r="B4510" s="222">
        <v>526113</v>
      </c>
      <c r="C4510" s="222" t="s">
        <v>2052</v>
      </c>
      <c r="D4510" s="222" t="s">
        <v>1161</v>
      </c>
    </row>
    <row r="4511" spans="1:4" x14ac:dyDescent="0.25">
      <c r="A4511" s="222" t="s">
        <v>2524</v>
      </c>
      <c r="B4511" s="222">
        <v>537582</v>
      </c>
      <c r="C4511" s="222" t="s">
        <v>2052</v>
      </c>
      <c r="D4511" s="222" t="s">
        <v>1243</v>
      </c>
    </row>
    <row r="4512" spans="1:4" x14ac:dyDescent="0.25">
      <c r="A4512" s="222" t="s">
        <v>2523</v>
      </c>
      <c r="B4512" s="222">
        <v>538610</v>
      </c>
      <c r="C4512" s="222" t="s">
        <v>2052</v>
      </c>
      <c r="D4512" s="222" t="s">
        <v>740</v>
      </c>
    </row>
    <row r="4513" spans="1:4" x14ac:dyDescent="0.25">
      <c r="A4513" s="222" t="s">
        <v>2522</v>
      </c>
      <c r="B4513" s="222">
        <v>532035</v>
      </c>
      <c r="C4513" s="222" t="s">
        <v>2052</v>
      </c>
      <c r="D4513" s="222" t="s">
        <v>1321</v>
      </c>
    </row>
    <row r="4514" spans="1:4" x14ac:dyDescent="0.25">
      <c r="A4514" s="222" t="s">
        <v>2521</v>
      </c>
      <c r="B4514" s="222">
        <v>531831</v>
      </c>
      <c r="C4514" s="222" t="s">
        <v>2052</v>
      </c>
      <c r="D4514" s="222" t="s">
        <v>2520</v>
      </c>
    </row>
    <row r="4515" spans="1:4" x14ac:dyDescent="0.25">
      <c r="A4515" s="222" t="s">
        <v>2519</v>
      </c>
      <c r="B4515" s="222">
        <v>531867</v>
      </c>
      <c r="C4515" s="222" t="s">
        <v>2052</v>
      </c>
      <c r="D4515" s="222" t="s">
        <v>1529</v>
      </c>
    </row>
    <row r="4516" spans="1:4" x14ac:dyDescent="0.25">
      <c r="A4516" s="222" t="s">
        <v>2518</v>
      </c>
      <c r="B4516" s="222">
        <v>507878</v>
      </c>
      <c r="C4516" s="222" t="s">
        <v>2517</v>
      </c>
      <c r="D4516" s="222" t="s">
        <v>1243</v>
      </c>
    </row>
    <row r="4517" spans="1:4" x14ac:dyDescent="0.25">
      <c r="A4517" s="222" t="s">
        <v>2516</v>
      </c>
      <c r="B4517" s="222">
        <v>533171</v>
      </c>
      <c r="C4517" s="222" t="s">
        <v>2515</v>
      </c>
      <c r="D4517" s="222" t="s">
        <v>1240</v>
      </c>
    </row>
    <row r="4518" spans="1:4" x14ac:dyDescent="0.25">
      <c r="A4518" s="222" t="s">
        <v>2514</v>
      </c>
      <c r="B4518" s="222">
        <v>532478</v>
      </c>
      <c r="C4518" s="222" t="s">
        <v>2513</v>
      </c>
      <c r="D4518" s="222" t="s">
        <v>2146</v>
      </c>
    </row>
    <row r="4519" spans="1:4" x14ac:dyDescent="0.25">
      <c r="A4519" s="222" t="s">
        <v>2512</v>
      </c>
      <c r="B4519" s="222">
        <v>531091</v>
      </c>
      <c r="C4519" s="222" t="s">
        <v>2052</v>
      </c>
      <c r="D4519" s="222" t="s">
        <v>1321</v>
      </c>
    </row>
    <row r="4520" spans="1:4" x14ac:dyDescent="0.25">
      <c r="A4520" s="222" t="s">
        <v>2511</v>
      </c>
      <c r="B4520" s="222">
        <v>522014</v>
      </c>
      <c r="C4520" s="222" t="s">
        <v>2052</v>
      </c>
      <c r="D4520" s="222" t="s">
        <v>1395</v>
      </c>
    </row>
    <row r="4521" spans="1:4" x14ac:dyDescent="0.25">
      <c r="A4521" s="222" t="s">
        <v>2510</v>
      </c>
      <c r="B4521" s="222">
        <v>502893</v>
      </c>
      <c r="C4521" s="222" t="s">
        <v>2052</v>
      </c>
      <c r="D4521" s="222" t="s">
        <v>1278</v>
      </c>
    </row>
    <row r="4522" spans="1:4" x14ac:dyDescent="0.25">
      <c r="A4522" s="222" t="s">
        <v>2509</v>
      </c>
      <c r="B4522" s="222">
        <v>507808</v>
      </c>
      <c r="C4522" s="222" t="s">
        <v>2052</v>
      </c>
      <c r="D4522" s="222" t="s">
        <v>1321</v>
      </c>
    </row>
    <row r="4523" spans="1:4" x14ac:dyDescent="0.25">
      <c r="A4523" s="222" t="s">
        <v>2508</v>
      </c>
      <c r="B4523" s="222" t="s">
        <v>2052</v>
      </c>
      <c r="C4523" s="222" t="s">
        <v>2507</v>
      </c>
      <c r="D4523" s="222" t="s">
        <v>2050</v>
      </c>
    </row>
    <row r="4524" spans="1:4" x14ac:dyDescent="0.25">
      <c r="A4524" s="222" t="s">
        <v>2506</v>
      </c>
      <c r="B4524" s="222">
        <v>532432</v>
      </c>
      <c r="C4524" s="222" t="s">
        <v>2505</v>
      </c>
      <c r="D4524" s="222" t="s">
        <v>2146</v>
      </c>
    </row>
    <row r="4525" spans="1:4" x14ac:dyDescent="0.25">
      <c r="A4525" s="222" t="s">
        <v>2504</v>
      </c>
      <c r="B4525" s="222">
        <v>521188</v>
      </c>
      <c r="C4525" s="222" t="s">
        <v>2052</v>
      </c>
      <c r="D4525" s="222" t="s">
        <v>1237</v>
      </c>
    </row>
    <row r="4526" spans="1:4" x14ac:dyDescent="0.25">
      <c r="A4526" s="222" t="s">
        <v>2503</v>
      </c>
      <c r="B4526" s="222">
        <v>522091</v>
      </c>
      <c r="C4526" s="222" t="s">
        <v>2052</v>
      </c>
      <c r="D4526" s="222" t="s">
        <v>1066</v>
      </c>
    </row>
    <row r="4527" spans="1:4" x14ac:dyDescent="0.25">
      <c r="A4527" s="222" t="s">
        <v>2502</v>
      </c>
      <c r="B4527" s="222">
        <v>532746</v>
      </c>
      <c r="C4527" s="222" t="s">
        <v>2501</v>
      </c>
      <c r="D4527" s="222" t="s">
        <v>1248</v>
      </c>
    </row>
    <row r="4528" spans="1:4" x14ac:dyDescent="0.25">
      <c r="A4528" s="222" t="s">
        <v>2500</v>
      </c>
      <c r="B4528" s="222" t="s">
        <v>2052</v>
      </c>
      <c r="C4528" s="222" t="s">
        <v>2498</v>
      </c>
      <c r="D4528" s="222" t="s">
        <v>2050</v>
      </c>
    </row>
    <row r="4529" spans="1:4" x14ac:dyDescent="0.25">
      <c r="A4529" s="222" t="s">
        <v>2499</v>
      </c>
      <c r="B4529" s="222" t="s">
        <v>2052</v>
      </c>
      <c r="C4529" s="222" t="s">
        <v>2498</v>
      </c>
      <c r="D4529" s="222" t="s">
        <v>2050</v>
      </c>
    </row>
    <row r="4530" spans="1:4" x14ac:dyDescent="0.25">
      <c r="A4530" s="222" t="s">
        <v>2497</v>
      </c>
      <c r="B4530" s="222">
        <v>532378</v>
      </c>
      <c r="C4530" s="222" t="s">
        <v>2052</v>
      </c>
      <c r="D4530" s="222" t="s">
        <v>2264</v>
      </c>
    </row>
    <row r="4531" spans="1:4" x14ac:dyDescent="0.25">
      <c r="A4531" s="222" t="s">
        <v>2496</v>
      </c>
      <c r="B4531" s="222">
        <v>539314</v>
      </c>
      <c r="C4531" s="222" t="s">
        <v>2052</v>
      </c>
      <c r="D4531" s="222" t="s">
        <v>1306</v>
      </c>
    </row>
    <row r="4532" spans="1:4" x14ac:dyDescent="0.25">
      <c r="A4532" s="222" t="s">
        <v>2495</v>
      </c>
      <c r="B4532" s="222">
        <v>504212</v>
      </c>
      <c r="C4532" s="222" t="s">
        <v>2494</v>
      </c>
      <c r="D4532" s="222" t="s">
        <v>1275</v>
      </c>
    </row>
    <row r="4533" spans="1:4" x14ac:dyDescent="0.25">
      <c r="A4533" s="222" t="s">
        <v>2493</v>
      </c>
      <c r="B4533" s="222">
        <v>531963</v>
      </c>
      <c r="C4533" s="222" t="s">
        <v>2052</v>
      </c>
      <c r="D4533" s="222" t="s">
        <v>2068</v>
      </c>
    </row>
    <row r="4534" spans="1:4" x14ac:dyDescent="0.25">
      <c r="A4534" s="222" t="s">
        <v>2492</v>
      </c>
      <c r="B4534" s="222">
        <v>523519</v>
      </c>
      <c r="C4534" s="222" t="s">
        <v>2052</v>
      </c>
      <c r="D4534" s="222" t="s">
        <v>1529</v>
      </c>
    </row>
    <row r="4535" spans="1:4" x14ac:dyDescent="0.25">
      <c r="A4535" s="222" t="s">
        <v>2491</v>
      </c>
      <c r="B4535" s="222">
        <v>504673</v>
      </c>
      <c r="C4535" s="222" t="s">
        <v>2052</v>
      </c>
      <c r="D4535" s="222" t="s">
        <v>2490</v>
      </c>
    </row>
    <row r="4536" spans="1:4" x14ac:dyDescent="0.25">
      <c r="A4536" s="222" t="s">
        <v>2489</v>
      </c>
      <c r="B4536" s="222">
        <v>524408</v>
      </c>
      <c r="C4536" s="222" t="s">
        <v>2052</v>
      </c>
      <c r="D4536" s="222" t="s">
        <v>998</v>
      </c>
    </row>
    <row r="4537" spans="1:4" x14ac:dyDescent="0.25">
      <c r="A4537" s="222" t="s">
        <v>2488</v>
      </c>
      <c r="B4537" s="222">
        <v>514144</v>
      </c>
      <c r="C4537" s="222" t="s">
        <v>2052</v>
      </c>
      <c r="D4537" s="222" t="s">
        <v>1237</v>
      </c>
    </row>
    <row r="4538" spans="1:4" x14ac:dyDescent="0.25">
      <c r="A4538" s="222" t="s">
        <v>2487</v>
      </c>
      <c r="B4538" s="222">
        <v>512408</v>
      </c>
      <c r="C4538" s="222" t="s">
        <v>2052</v>
      </c>
      <c r="D4538" s="222" t="s">
        <v>1237</v>
      </c>
    </row>
    <row r="4539" spans="1:4" x14ac:dyDescent="0.25">
      <c r="A4539" s="222" t="s">
        <v>2486</v>
      </c>
      <c r="B4539" s="222">
        <v>531762</v>
      </c>
      <c r="C4539" s="222" t="s">
        <v>2052</v>
      </c>
      <c r="D4539" s="222" t="s">
        <v>789</v>
      </c>
    </row>
    <row r="4540" spans="1:4" x14ac:dyDescent="0.25">
      <c r="A4540" s="222" t="s">
        <v>2485</v>
      </c>
      <c r="B4540" s="222">
        <v>511764</v>
      </c>
      <c r="C4540" s="222" t="s">
        <v>2052</v>
      </c>
      <c r="D4540" s="222" t="s">
        <v>1321</v>
      </c>
    </row>
    <row r="4541" spans="1:4" x14ac:dyDescent="0.25">
      <c r="A4541" s="222" t="s">
        <v>2484</v>
      </c>
      <c r="B4541" s="222">
        <v>512070</v>
      </c>
      <c r="C4541" s="222" t="s">
        <v>2483</v>
      </c>
      <c r="D4541" s="222" t="s">
        <v>1324</v>
      </c>
    </row>
    <row r="4542" spans="1:4" x14ac:dyDescent="0.25">
      <c r="A4542" s="222" t="s">
        <v>2482</v>
      </c>
      <c r="B4542" s="222">
        <v>531390</v>
      </c>
      <c r="C4542" s="222" t="s">
        <v>2052</v>
      </c>
      <c r="D4542" s="222" t="s">
        <v>1321</v>
      </c>
    </row>
    <row r="4543" spans="1:4" x14ac:dyDescent="0.25">
      <c r="A4543" s="222" t="s">
        <v>2481</v>
      </c>
      <c r="B4543" s="222" t="s">
        <v>2052</v>
      </c>
      <c r="C4543" s="222" t="s">
        <v>2480</v>
      </c>
      <c r="D4543" s="222" t="s">
        <v>2050</v>
      </c>
    </row>
    <row r="4544" spans="1:4" x14ac:dyDescent="0.25">
      <c r="A4544" s="222" t="s">
        <v>2479</v>
      </c>
      <c r="B4544" s="222">
        <v>526987</v>
      </c>
      <c r="C4544" s="222" t="s">
        <v>2478</v>
      </c>
      <c r="D4544" s="222" t="s">
        <v>1529</v>
      </c>
    </row>
    <row r="4545" spans="1:4" x14ac:dyDescent="0.25">
      <c r="A4545" s="222" t="s">
        <v>2477</v>
      </c>
      <c r="B4545" s="222">
        <v>532402</v>
      </c>
      <c r="C4545" s="222" t="s">
        <v>2052</v>
      </c>
      <c r="D4545" s="222" t="s">
        <v>1942</v>
      </c>
    </row>
    <row r="4546" spans="1:4" x14ac:dyDescent="0.25">
      <c r="A4546" s="222" t="s">
        <v>2476</v>
      </c>
      <c r="B4546" s="222">
        <v>532398</v>
      </c>
      <c r="C4546" s="222" t="s">
        <v>2475</v>
      </c>
      <c r="D4546" s="222" t="s">
        <v>1942</v>
      </c>
    </row>
    <row r="4547" spans="1:4" x14ac:dyDescent="0.25">
      <c r="A4547" s="222" t="s">
        <v>2474</v>
      </c>
      <c r="B4547" s="222">
        <v>517146</v>
      </c>
      <c r="C4547" s="222" t="s">
        <v>2473</v>
      </c>
      <c r="D4547" s="222" t="s">
        <v>740</v>
      </c>
    </row>
    <row r="4548" spans="1:4" x14ac:dyDescent="0.25">
      <c r="A4548" s="222" t="s">
        <v>2472</v>
      </c>
      <c r="B4548" s="222">
        <v>511507</v>
      </c>
      <c r="C4548" s="222" t="s">
        <v>2052</v>
      </c>
      <c r="D4548" s="222" t="s">
        <v>1321</v>
      </c>
    </row>
    <row r="4549" spans="1:4" x14ac:dyDescent="0.25">
      <c r="A4549" s="222" t="s">
        <v>2471</v>
      </c>
      <c r="B4549" s="222" t="s">
        <v>2052</v>
      </c>
      <c r="C4549" s="222" t="s">
        <v>2470</v>
      </c>
      <c r="D4549" s="222" t="s">
        <v>2050</v>
      </c>
    </row>
    <row r="4550" spans="1:4" x14ac:dyDescent="0.25">
      <c r="A4550" s="222" t="s">
        <v>2469</v>
      </c>
      <c r="B4550" s="222">
        <v>511736</v>
      </c>
      <c r="C4550" s="222" t="s">
        <v>2052</v>
      </c>
      <c r="D4550" s="222" t="s">
        <v>1529</v>
      </c>
    </row>
    <row r="4551" spans="1:4" x14ac:dyDescent="0.25">
      <c r="A4551" s="222" t="s">
        <v>2468</v>
      </c>
      <c r="B4551" s="222">
        <v>532765</v>
      </c>
      <c r="C4551" s="222" t="s">
        <v>2467</v>
      </c>
      <c r="D4551" s="222" t="s">
        <v>731</v>
      </c>
    </row>
    <row r="4552" spans="1:4" x14ac:dyDescent="0.25">
      <c r="A4552" s="222" t="s">
        <v>2466</v>
      </c>
      <c r="B4552" s="222">
        <v>590101</v>
      </c>
      <c r="C4552" s="222" t="s">
        <v>2465</v>
      </c>
      <c r="D4552" s="222" t="s">
        <v>1262</v>
      </c>
    </row>
    <row r="4553" spans="1:4" x14ac:dyDescent="0.25">
      <c r="A4553" s="222" t="s">
        <v>2464</v>
      </c>
      <c r="B4553" s="222">
        <v>500426</v>
      </c>
      <c r="C4553" s="222" t="s">
        <v>2052</v>
      </c>
      <c r="D4553" s="222" t="s">
        <v>1243</v>
      </c>
    </row>
    <row r="4554" spans="1:4" x14ac:dyDescent="0.25">
      <c r="A4554" s="222" t="s">
        <v>2463</v>
      </c>
      <c r="B4554" s="222">
        <v>513216</v>
      </c>
      <c r="C4554" s="222" t="s">
        <v>2462</v>
      </c>
      <c r="D4554" s="222" t="s">
        <v>2167</v>
      </c>
    </row>
    <row r="4555" spans="1:4" x14ac:dyDescent="0.25">
      <c r="A4555" s="222" t="s">
        <v>2461</v>
      </c>
      <c r="B4555" s="222">
        <v>532729</v>
      </c>
      <c r="C4555" s="222" t="s">
        <v>2460</v>
      </c>
      <c r="D4555" s="222" t="s">
        <v>1124</v>
      </c>
    </row>
    <row r="4556" spans="1:4" x14ac:dyDescent="0.25">
      <c r="A4556" s="222" t="s">
        <v>2459</v>
      </c>
      <c r="B4556" s="222">
        <v>500254</v>
      </c>
      <c r="C4556" s="222" t="s">
        <v>2458</v>
      </c>
      <c r="D4556" s="222" t="s">
        <v>2167</v>
      </c>
    </row>
    <row r="4557" spans="1:4" x14ac:dyDescent="0.25">
      <c r="A4557" s="222" t="s">
        <v>2457</v>
      </c>
      <c r="B4557" s="222">
        <v>511110</v>
      </c>
      <c r="C4557" s="222" t="s">
        <v>2052</v>
      </c>
      <c r="D4557" s="222" t="s">
        <v>1262</v>
      </c>
    </row>
    <row r="4558" spans="1:4" x14ac:dyDescent="0.25">
      <c r="A4558" s="222" t="s">
        <v>2456</v>
      </c>
      <c r="B4558" s="222">
        <v>539123</v>
      </c>
      <c r="C4558" s="222" t="s">
        <v>2052</v>
      </c>
      <c r="D4558" s="222" t="s">
        <v>2108</v>
      </c>
    </row>
    <row r="4559" spans="1:4" x14ac:dyDescent="0.25">
      <c r="A4559" s="222" t="s">
        <v>2455</v>
      </c>
      <c r="B4559" s="222">
        <v>542654</v>
      </c>
      <c r="C4559" s="222" t="s">
        <v>2454</v>
      </c>
      <c r="D4559" s="222" t="s">
        <v>1569</v>
      </c>
    </row>
    <row r="4560" spans="1:4" x14ac:dyDescent="0.25">
      <c r="A4560" s="222" t="s">
        <v>2453</v>
      </c>
      <c r="B4560" s="222">
        <v>523888</v>
      </c>
      <c r="C4560" s="222" t="s">
        <v>2052</v>
      </c>
      <c r="D4560" s="222" t="s">
        <v>1410</v>
      </c>
    </row>
    <row r="4561" spans="1:4" x14ac:dyDescent="0.25">
      <c r="A4561" s="222" t="s">
        <v>2452</v>
      </c>
      <c r="B4561" s="222">
        <v>531266</v>
      </c>
      <c r="C4561" s="222" t="s">
        <v>2451</v>
      </c>
      <c r="D4561" s="222" t="s">
        <v>2450</v>
      </c>
    </row>
    <row r="4562" spans="1:4" x14ac:dyDescent="0.25">
      <c r="A4562" s="222" t="s">
        <v>2449</v>
      </c>
      <c r="B4562" s="222">
        <v>532867</v>
      </c>
      <c r="C4562" s="222" t="s">
        <v>2448</v>
      </c>
      <c r="D4562" s="222" t="s">
        <v>2247</v>
      </c>
    </row>
    <row r="4563" spans="1:4" x14ac:dyDescent="0.25">
      <c r="A4563" s="222" t="s">
        <v>2447</v>
      </c>
      <c r="B4563" s="222">
        <v>533269</v>
      </c>
      <c r="C4563" s="222" t="s">
        <v>2446</v>
      </c>
      <c r="D4563" s="222" t="s">
        <v>2445</v>
      </c>
    </row>
    <row r="4564" spans="1:4" x14ac:dyDescent="0.25">
      <c r="A4564" s="222" t="s">
        <v>2444</v>
      </c>
      <c r="B4564" s="222">
        <v>532320</v>
      </c>
      <c r="C4564" s="222" t="s">
        <v>2052</v>
      </c>
      <c r="D4564" s="222" t="s">
        <v>1321</v>
      </c>
    </row>
    <row r="4565" spans="1:4" x14ac:dyDescent="0.25">
      <c r="A4565" s="222" t="s">
        <v>2443</v>
      </c>
      <c r="B4565" s="222">
        <v>519152</v>
      </c>
      <c r="C4565" s="222" t="s">
        <v>2052</v>
      </c>
      <c r="D4565" s="222" t="s">
        <v>1529</v>
      </c>
    </row>
    <row r="4566" spans="1:4" x14ac:dyDescent="0.25">
      <c r="A4566" s="222" t="s">
        <v>2442</v>
      </c>
      <c r="B4566" s="222">
        <v>519156</v>
      </c>
      <c r="C4566" s="222" t="s">
        <v>2441</v>
      </c>
      <c r="D4566" s="222" t="s">
        <v>1161</v>
      </c>
    </row>
    <row r="4567" spans="1:4" x14ac:dyDescent="0.25">
      <c r="A4567" s="222" t="s">
        <v>2440</v>
      </c>
      <c r="B4567" s="222" t="s">
        <v>2052</v>
      </c>
      <c r="C4567" s="222" t="s">
        <v>2439</v>
      </c>
      <c r="D4567" s="222" t="s">
        <v>2050</v>
      </c>
    </row>
    <row r="4568" spans="1:4" x14ac:dyDescent="0.25">
      <c r="A4568" s="222" t="s">
        <v>2438</v>
      </c>
      <c r="B4568" s="222">
        <v>531676</v>
      </c>
      <c r="C4568" s="222" t="s">
        <v>2052</v>
      </c>
      <c r="D4568" s="222" t="s">
        <v>1161</v>
      </c>
    </row>
    <row r="4569" spans="1:4" x14ac:dyDescent="0.25">
      <c r="A4569" s="222" t="s">
        <v>2437</v>
      </c>
      <c r="B4569" s="222">
        <v>532156</v>
      </c>
      <c r="C4569" s="222" t="s">
        <v>2436</v>
      </c>
      <c r="D4569" s="222" t="s">
        <v>1364</v>
      </c>
    </row>
    <row r="4570" spans="1:4" x14ac:dyDescent="0.25">
      <c r="A4570" s="222" t="s">
        <v>2435</v>
      </c>
      <c r="B4570" s="222" t="s">
        <v>2052</v>
      </c>
      <c r="C4570" s="222" t="s">
        <v>2434</v>
      </c>
      <c r="D4570" s="222" t="s">
        <v>2050</v>
      </c>
    </row>
    <row r="4571" spans="1:4" x14ac:dyDescent="0.25">
      <c r="A4571" s="222" t="s">
        <v>2433</v>
      </c>
      <c r="B4571" s="222">
        <v>511431</v>
      </c>
      <c r="C4571" s="222" t="s">
        <v>2432</v>
      </c>
      <c r="D4571" s="222" t="s">
        <v>1569</v>
      </c>
    </row>
    <row r="4572" spans="1:4" x14ac:dyDescent="0.25">
      <c r="A4572" s="222" t="s">
        <v>2431</v>
      </c>
      <c r="B4572" s="222">
        <v>539402</v>
      </c>
      <c r="C4572" s="222" t="s">
        <v>2052</v>
      </c>
      <c r="D4572" s="222" t="s">
        <v>731</v>
      </c>
    </row>
    <row r="4573" spans="1:4" x14ac:dyDescent="0.25">
      <c r="A4573" s="222" t="s">
        <v>2430</v>
      </c>
      <c r="B4573" s="222">
        <v>526775</v>
      </c>
      <c r="C4573" s="222" t="s">
        <v>2052</v>
      </c>
      <c r="D4573" s="222" t="s">
        <v>2114</v>
      </c>
    </row>
    <row r="4574" spans="1:4" x14ac:dyDescent="0.25">
      <c r="A4574" s="222" t="s">
        <v>2429</v>
      </c>
      <c r="B4574" s="222">
        <v>540145</v>
      </c>
      <c r="C4574" s="222" t="s">
        <v>2052</v>
      </c>
      <c r="D4574" s="222" t="s">
        <v>789</v>
      </c>
    </row>
    <row r="4575" spans="1:4" x14ac:dyDescent="0.25">
      <c r="A4575" s="222" t="s">
        <v>2428</v>
      </c>
      <c r="B4575" s="222">
        <v>530403</v>
      </c>
      <c r="C4575" s="222" t="s">
        <v>2052</v>
      </c>
      <c r="D4575" s="222" t="s">
        <v>1447</v>
      </c>
    </row>
    <row r="4576" spans="1:4" x14ac:dyDescent="0.25">
      <c r="A4576" s="222" t="s">
        <v>2427</v>
      </c>
      <c r="B4576" s="222">
        <v>513397</v>
      </c>
      <c r="C4576" s="222" t="s">
        <v>2052</v>
      </c>
      <c r="D4576" s="222" t="s">
        <v>740</v>
      </c>
    </row>
    <row r="4577" spans="1:4" x14ac:dyDescent="0.25">
      <c r="A4577" s="222" t="s">
        <v>2426</v>
      </c>
      <c r="B4577" s="222">
        <v>539543</v>
      </c>
      <c r="C4577" s="222" t="s">
        <v>2052</v>
      </c>
      <c r="D4577" s="222" t="s">
        <v>2108</v>
      </c>
    </row>
    <row r="4578" spans="1:4" x14ac:dyDescent="0.25">
      <c r="A4578" s="222" t="s">
        <v>2425</v>
      </c>
      <c r="B4578" s="222">
        <v>530459</v>
      </c>
      <c r="C4578" s="222" t="s">
        <v>2052</v>
      </c>
      <c r="D4578" s="222" t="s">
        <v>1237</v>
      </c>
    </row>
    <row r="4579" spans="1:4" x14ac:dyDescent="0.25">
      <c r="A4579" s="222" t="s">
        <v>2424</v>
      </c>
      <c r="B4579" s="222">
        <v>512175</v>
      </c>
      <c r="C4579" s="222" t="s">
        <v>2052</v>
      </c>
      <c r="D4579" s="222" t="s">
        <v>1265</v>
      </c>
    </row>
    <row r="4580" spans="1:4" x14ac:dyDescent="0.25">
      <c r="A4580" s="222" t="s">
        <v>2423</v>
      </c>
      <c r="B4580" s="222">
        <v>530369</v>
      </c>
      <c r="C4580" s="222" t="s">
        <v>2052</v>
      </c>
      <c r="D4580" s="222" t="s">
        <v>1410</v>
      </c>
    </row>
    <row r="4581" spans="1:4" x14ac:dyDescent="0.25">
      <c r="A4581" s="222" t="s">
        <v>2422</v>
      </c>
      <c r="B4581" s="222">
        <v>532090</v>
      </c>
      <c r="C4581" s="222" t="s">
        <v>2052</v>
      </c>
      <c r="D4581" s="222" t="s">
        <v>1237</v>
      </c>
    </row>
    <row r="4582" spans="1:4" x14ac:dyDescent="0.25">
      <c r="A4582" s="222" t="s">
        <v>2421</v>
      </c>
      <c r="B4582" s="222">
        <v>538918</v>
      </c>
      <c r="C4582" s="222" t="s">
        <v>2052</v>
      </c>
      <c r="D4582" s="222" t="s">
        <v>1321</v>
      </c>
    </row>
    <row r="4583" spans="1:4" x14ac:dyDescent="0.25">
      <c r="A4583" s="222" t="s">
        <v>2420</v>
      </c>
      <c r="B4583" s="222">
        <v>540729</v>
      </c>
      <c r="C4583" s="222" t="s">
        <v>2052</v>
      </c>
      <c r="D4583" s="222" t="s">
        <v>789</v>
      </c>
    </row>
    <row r="4584" spans="1:4" x14ac:dyDescent="0.25">
      <c r="A4584" s="222" t="s">
        <v>2419</v>
      </c>
      <c r="B4584" s="222">
        <v>539761</v>
      </c>
      <c r="C4584" s="222" t="s">
        <v>2052</v>
      </c>
      <c r="D4584" s="222" t="s">
        <v>854</v>
      </c>
    </row>
    <row r="4585" spans="1:4" x14ac:dyDescent="0.25">
      <c r="A4585" s="222" t="s">
        <v>2418</v>
      </c>
      <c r="B4585" s="222">
        <v>502589</v>
      </c>
      <c r="C4585" s="222" t="s">
        <v>2052</v>
      </c>
      <c r="D4585" s="222" t="s">
        <v>1972</v>
      </c>
    </row>
    <row r="4586" spans="1:4" x14ac:dyDescent="0.25">
      <c r="A4586" s="222" t="s">
        <v>2417</v>
      </c>
      <c r="B4586" s="222">
        <v>524796</v>
      </c>
      <c r="C4586" s="222" t="s">
        <v>2052</v>
      </c>
      <c r="D4586" s="222" t="s">
        <v>789</v>
      </c>
    </row>
    <row r="4587" spans="1:4" x14ac:dyDescent="0.25">
      <c r="A4587" s="222" t="s">
        <v>2416</v>
      </c>
      <c r="B4587" s="222" t="s">
        <v>2052</v>
      </c>
      <c r="C4587" s="222" t="s">
        <v>2415</v>
      </c>
      <c r="D4587" s="222" t="s">
        <v>2197</v>
      </c>
    </row>
    <row r="4588" spans="1:4" x14ac:dyDescent="0.25">
      <c r="A4588" s="222" t="s">
        <v>2414</v>
      </c>
      <c r="B4588" s="222">
        <v>531444</v>
      </c>
      <c r="C4588" s="222" t="s">
        <v>2052</v>
      </c>
      <c r="D4588" s="222" t="s">
        <v>1004</v>
      </c>
    </row>
    <row r="4589" spans="1:4" x14ac:dyDescent="0.25">
      <c r="A4589" s="222" t="s">
        <v>2413</v>
      </c>
      <c r="B4589" s="222">
        <v>500439</v>
      </c>
      <c r="C4589" s="222" t="s">
        <v>2412</v>
      </c>
      <c r="D4589" s="222" t="s">
        <v>1321</v>
      </c>
    </row>
    <row r="4590" spans="1:4" x14ac:dyDescent="0.25">
      <c r="A4590" s="222" t="s">
        <v>2411</v>
      </c>
      <c r="B4590" s="222">
        <v>513534</v>
      </c>
      <c r="C4590" s="222" t="s">
        <v>2052</v>
      </c>
      <c r="D4590" s="222" t="s">
        <v>2167</v>
      </c>
    </row>
    <row r="4591" spans="1:4" x14ac:dyDescent="0.25">
      <c r="A4591" s="222" t="s">
        <v>2410</v>
      </c>
      <c r="B4591" s="222">
        <v>514175</v>
      </c>
      <c r="C4591" s="222" t="s">
        <v>2409</v>
      </c>
      <c r="D4591" s="222" t="s">
        <v>1237</v>
      </c>
    </row>
    <row r="4592" spans="1:4" x14ac:dyDescent="0.25">
      <c r="A4592" s="222" t="s">
        <v>2408</v>
      </c>
      <c r="B4592" s="222">
        <v>534392</v>
      </c>
      <c r="C4592" s="222" t="s">
        <v>2407</v>
      </c>
      <c r="D4592" s="222" t="s">
        <v>740</v>
      </c>
    </row>
    <row r="4593" spans="1:4" x14ac:dyDescent="0.25">
      <c r="A4593" s="222" t="s">
        <v>2406</v>
      </c>
      <c r="B4593" s="222">
        <v>502986</v>
      </c>
      <c r="C4593" s="222" t="s">
        <v>2405</v>
      </c>
      <c r="D4593" s="222" t="s">
        <v>1237</v>
      </c>
    </row>
    <row r="4594" spans="1:4" x14ac:dyDescent="0.25">
      <c r="A4594" s="222" t="s">
        <v>2404</v>
      </c>
      <c r="B4594" s="222">
        <v>541578</v>
      </c>
      <c r="C4594" s="222" t="s">
        <v>2403</v>
      </c>
      <c r="D4594" s="222" t="s">
        <v>1306</v>
      </c>
    </row>
    <row r="4595" spans="1:4" x14ac:dyDescent="0.25">
      <c r="A4595" s="222" t="s">
        <v>2402</v>
      </c>
      <c r="B4595" s="222">
        <v>540180</v>
      </c>
      <c r="C4595" s="222" t="s">
        <v>2401</v>
      </c>
      <c r="D4595" s="222" t="s">
        <v>1447</v>
      </c>
    </row>
    <row r="4596" spans="1:4" x14ac:dyDescent="0.25">
      <c r="A4596" s="222" t="s">
        <v>2400</v>
      </c>
      <c r="B4596" s="222">
        <v>512511</v>
      </c>
      <c r="C4596" s="222" t="s">
        <v>2052</v>
      </c>
      <c r="D4596" s="222" t="s">
        <v>2068</v>
      </c>
    </row>
    <row r="4597" spans="1:4" x14ac:dyDescent="0.25">
      <c r="A4597" s="222" t="s">
        <v>2399</v>
      </c>
      <c r="B4597" s="222">
        <v>531574</v>
      </c>
      <c r="C4597" s="222" t="s">
        <v>2052</v>
      </c>
      <c r="D4597" s="222" t="s">
        <v>1243</v>
      </c>
    </row>
    <row r="4598" spans="1:4" x14ac:dyDescent="0.25">
      <c r="A4598" s="222" t="s">
        <v>2398</v>
      </c>
      <c r="B4598" s="222" t="s">
        <v>2052</v>
      </c>
      <c r="C4598" s="222" t="s">
        <v>2397</v>
      </c>
      <c r="D4598" s="222" t="s">
        <v>2050</v>
      </c>
    </row>
    <row r="4599" spans="1:4" x14ac:dyDescent="0.25">
      <c r="A4599" s="222" t="s">
        <v>2396</v>
      </c>
      <c r="B4599" s="222">
        <v>533156</v>
      </c>
      <c r="C4599" s="222" t="s">
        <v>2395</v>
      </c>
      <c r="D4599" s="222" t="s">
        <v>1243</v>
      </c>
    </row>
    <row r="4600" spans="1:4" x14ac:dyDescent="0.25">
      <c r="A4600" s="222" t="s">
        <v>2394</v>
      </c>
      <c r="B4600" s="222">
        <v>538634</v>
      </c>
      <c r="C4600" s="222" t="s">
        <v>2052</v>
      </c>
      <c r="D4600" s="222" t="s">
        <v>789</v>
      </c>
    </row>
    <row r="4601" spans="1:4" x14ac:dyDescent="0.25">
      <c r="A4601" s="222" t="s">
        <v>2393</v>
      </c>
      <c r="B4601" s="222">
        <v>533576</v>
      </c>
      <c r="C4601" s="222" t="s">
        <v>2392</v>
      </c>
      <c r="D4601" s="222" t="s">
        <v>2167</v>
      </c>
    </row>
    <row r="4602" spans="1:4" x14ac:dyDescent="0.25">
      <c r="A4602" s="222" t="s">
        <v>2391</v>
      </c>
      <c r="B4602" s="222">
        <v>531650</v>
      </c>
      <c r="C4602" s="222" t="s">
        <v>2052</v>
      </c>
      <c r="D4602" s="222" t="s">
        <v>2068</v>
      </c>
    </row>
    <row r="4603" spans="1:4" x14ac:dyDescent="0.25">
      <c r="A4603" s="222" t="s">
        <v>2390</v>
      </c>
      <c r="B4603" s="222">
        <v>513005</v>
      </c>
      <c r="C4603" s="222" t="s">
        <v>2052</v>
      </c>
      <c r="D4603" s="222" t="s">
        <v>2167</v>
      </c>
    </row>
    <row r="4604" spans="1:4" x14ac:dyDescent="0.25">
      <c r="A4604" s="222" t="s">
        <v>2389</v>
      </c>
      <c r="B4604" s="222">
        <v>511493</v>
      </c>
      <c r="C4604" s="222" t="s">
        <v>2052</v>
      </c>
      <c r="D4604" s="222" t="s">
        <v>1321</v>
      </c>
    </row>
    <row r="4605" spans="1:4" x14ac:dyDescent="0.25">
      <c r="A4605" s="222" t="s">
        <v>2388</v>
      </c>
      <c r="B4605" s="222">
        <v>536672</v>
      </c>
      <c r="C4605" s="222" t="s">
        <v>2052</v>
      </c>
      <c r="D4605" s="222" t="s">
        <v>2387</v>
      </c>
    </row>
    <row r="4606" spans="1:4" x14ac:dyDescent="0.25">
      <c r="A4606" s="222" t="s">
        <v>2386</v>
      </c>
      <c r="B4606" s="222">
        <v>500295</v>
      </c>
      <c r="C4606" s="222" t="s">
        <v>2385</v>
      </c>
      <c r="D4606" s="222" t="s">
        <v>2384</v>
      </c>
    </row>
    <row r="4607" spans="1:4" x14ac:dyDescent="0.25">
      <c r="A4607" s="222" t="s">
        <v>2383</v>
      </c>
      <c r="B4607" s="222">
        <v>533056</v>
      </c>
      <c r="C4607" s="222" t="s">
        <v>2052</v>
      </c>
      <c r="D4607" s="222" t="s">
        <v>1278</v>
      </c>
    </row>
    <row r="4608" spans="1:4" x14ac:dyDescent="0.25">
      <c r="A4608" s="222" t="s">
        <v>2382</v>
      </c>
      <c r="B4608" s="222">
        <v>522267</v>
      </c>
      <c r="C4608" s="222" t="s">
        <v>2052</v>
      </c>
      <c r="D4608" s="222" t="s">
        <v>832</v>
      </c>
    </row>
    <row r="4609" spans="1:4" x14ac:dyDescent="0.25">
      <c r="A4609" s="222" t="s">
        <v>2381</v>
      </c>
      <c r="B4609" s="222">
        <v>503657</v>
      </c>
      <c r="C4609" s="222" t="s">
        <v>2052</v>
      </c>
      <c r="D4609" s="222" t="s">
        <v>2380</v>
      </c>
    </row>
    <row r="4610" spans="1:4" x14ac:dyDescent="0.25">
      <c r="A4610" s="222" t="s">
        <v>2379</v>
      </c>
      <c r="B4610" s="222">
        <v>542046</v>
      </c>
      <c r="C4610" s="222" t="s">
        <v>2052</v>
      </c>
      <c r="D4610" s="222" t="s">
        <v>1243</v>
      </c>
    </row>
    <row r="4611" spans="1:4" x14ac:dyDescent="0.25">
      <c r="A4611" s="222" t="s">
        <v>2378</v>
      </c>
      <c r="B4611" s="222">
        <v>540252</v>
      </c>
      <c r="C4611" s="222" t="s">
        <v>2052</v>
      </c>
      <c r="D4611" s="222" t="s">
        <v>1364</v>
      </c>
    </row>
    <row r="4612" spans="1:4" x14ac:dyDescent="0.25">
      <c r="A4612" s="222" t="s">
        <v>2377</v>
      </c>
      <c r="B4612" s="222">
        <v>511523</v>
      </c>
      <c r="C4612" s="222" t="s">
        <v>2052</v>
      </c>
      <c r="D4612" s="222" t="s">
        <v>789</v>
      </c>
    </row>
    <row r="4613" spans="1:4" x14ac:dyDescent="0.25">
      <c r="A4613" s="222" t="s">
        <v>2376</v>
      </c>
      <c r="B4613" s="222">
        <v>539132</v>
      </c>
      <c r="C4613" s="222" t="s">
        <v>2052</v>
      </c>
      <c r="D4613" s="222" t="s">
        <v>1963</v>
      </c>
    </row>
    <row r="4614" spans="1:4" x14ac:dyDescent="0.25">
      <c r="A4614" s="222" t="s">
        <v>2375</v>
      </c>
      <c r="B4614" s="222">
        <v>526755</v>
      </c>
      <c r="C4614" s="222" t="s">
        <v>2052</v>
      </c>
      <c r="D4614" s="222" t="s">
        <v>2128</v>
      </c>
    </row>
    <row r="4615" spans="1:4" x14ac:dyDescent="0.25">
      <c r="A4615" s="222" t="s">
        <v>2374</v>
      </c>
      <c r="B4615" s="222">
        <v>505232</v>
      </c>
      <c r="C4615" s="222" t="s">
        <v>2052</v>
      </c>
      <c r="D4615" s="222" t="s">
        <v>1306</v>
      </c>
    </row>
    <row r="4616" spans="1:4" x14ac:dyDescent="0.25">
      <c r="A4616" s="222" t="s">
        <v>2373</v>
      </c>
      <c r="B4616" s="222">
        <v>523261</v>
      </c>
      <c r="C4616" s="222" t="s">
        <v>2371</v>
      </c>
      <c r="D4616" s="222" t="s">
        <v>1161</v>
      </c>
    </row>
    <row r="4617" spans="1:4" x14ac:dyDescent="0.25">
      <c r="A4617" s="222" t="s">
        <v>2372</v>
      </c>
      <c r="B4617" s="222">
        <v>523261</v>
      </c>
      <c r="C4617" s="222" t="s">
        <v>2371</v>
      </c>
      <c r="D4617" s="222" t="s">
        <v>1161</v>
      </c>
    </row>
    <row r="4618" spans="1:4" x14ac:dyDescent="0.25">
      <c r="A4618" s="222" t="s">
        <v>2370</v>
      </c>
      <c r="B4618" s="222">
        <v>524038</v>
      </c>
      <c r="C4618" s="222" t="s">
        <v>2052</v>
      </c>
      <c r="D4618" s="222" t="s">
        <v>998</v>
      </c>
    </row>
    <row r="4619" spans="1:4" x14ac:dyDescent="0.25">
      <c r="A4619" s="222" t="s">
        <v>2369</v>
      </c>
      <c r="B4619" s="222">
        <v>512060</v>
      </c>
      <c r="C4619" s="222" t="s">
        <v>2368</v>
      </c>
      <c r="D4619" s="222" t="s">
        <v>2068</v>
      </c>
    </row>
    <row r="4620" spans="1:4" x14ac:dyDescent="0.25">
      <c r="A4620" s="222" t="s">
        <v>2367</v>
      </c>
      <c r="B4620" s="222">
        <v>516098</v>
      </c>
      <c r="C4620" s="222" t="s">
        <v>2052</v>
      </c>
      <c r="D4620" s="222" t="s">
        <v>1237</v>
      </c>
    </row>
    <row r="4621" spans="1:4" x14ac:dyDescent="0.25">
      <c r="A4621" s="222" t="s">
        <v>2366</v>
      </c>
      <c r="B4621" s="222">
        <v>526953</v>
      </c>
      <c r="C4621" s="222" t="s">
        <v>2365</v>
      </c>
      <c r="D4621" s="222" t="s">
        <v>789</v>
      </c>
    </row>
    <row r="4622" spans="1:4" x14ac:dyDescent="0.25">
      <c r="A4622" s="222" t="s">
        <v>2364</v>
      </c>
      <c r="B4622" s="222" t="s">
        <v>2052</v>
      </c>
      <c r="C4622" s="222" t="s">
        <v>2363</v>
      </c>
      <c r="D4622" s="222" t="s">
        <v>2050</v>
      </c>
    </row>
    <row r="4623" spans="1:4" x14ac:dyDescent="0.25">
      <c r="A4623" s="222" t="s">
        <v>2362</v>
      </c>
      <c r="B4623" s="222">
        <v>512229</v>
      </c>
      <c r="C4623" s="222" t="s">
        <v>2052</v>
      </c>
      <c r="D4623" s="222" t="s">
        <v>1529</v>
      </c>
    </row>
    <row r="4624" spans="1:4" x14ac:dyDescent="0.25">
      <c r="A4624" s="222" t="s">
        <v>2361</v>
      </c>
      <c r="B4624" s="222">
        <v>512229</v>
      </c>
      <c r="C4624" s="222" t="s">
        <v>2052</v>
      </c>
      <c r="D4624" s="222" t="s">
        <v>1529</v>
      </c>
    </row>
    <row r="4625" spans="1:4" x14ac:dyDescent="0.25">
      <c r="A4625" s="222" t="s">
        <v>2360</v>
      </c>
      <c r="B4625" s="222">
        <v>531695</v>
      </c>
      <c r="C4625" s="222" t="s">
        <v>2052</v>
      </c>
      <c r="D4625" s="222" t="s">
        <v>2264</v>
      </c>
    </row>
    <row r="4626" spans="1:4" x14ac:dyDescent="0.25">
      <c r="A4626" s="222" t="s">
        <v>2359</v>
      </c>
      <c r="B4626" s="222">
        <v>531950</v>
      </c>
      <c r="C4626" s="222" t="s">
        <v>2052</v>
      </c>
      <c r="D4626" s="222" t="s">
        <v>1262</v>
      </c>
    </row>
    <row r="4627" spans="1:4" x14ac:dyDescent="0.25">
      <c r="A4627" s="222" t="s">
        <v>2358</v>
      </c>
      <c r="B4627" s="222">
        <v>515099</v>
      </c>
      <c r="C4627" s="222" t="s">
        <v>2052</v>
      </c>
      <c r="D4627" s="222" t="s">
        <v>2357</v>
      </c>
    </row>
    <row r="4628" spans="1:4" x14ac:dyDescent="0.25">
      <c r="A4628" s="222" t="s">
        <v>2356</v>
      </c>
      <c r="B4628" s="222" t="s">
        <v>2052</v>
      </c>
      <c r="C4628" s="222" t="s">
        <v>2355</v>
      </c>
      <c r="D4628" s="222" t="s">
        <v>2050</v>
      </c>
    </row>
    <row r="4629" spans="1:4" x14ac:dyDescent="0.25">
      <c r="A4629" s="222" t="s">
        <v>2354</v>
      </c>
      <c r="B4629" s="222">
        <v>520113</v>
      </c>
      <c r="C4629" s="222" t="s">
        <v>2352</v>
      </c>
      <c r="D4629" s="222" t="s">
        <v>1395</v>
      </c>
    </row>
    <row r="4630" spans="1:4" x14ac:dyDescent="0.25">
      <c r="A4630" s="222" t="s">
        <v>2353</v>
      </c>
      <c r="B4630" s="222">
        <v>520113</v>
      </c>
      <c r="C4630" s="222" t="s">
        <v>2352</v>
      </c>
      <c r="D4630" s="222" t="s">
        <v>1395</v>
      </c>
    </row>
    <row r="4631" spans="1:4" x14ac:dyDescent="0.25">
      <c r="A4631" s="222" t="s">
        <v>2351</v>
      </c>
      <c r="B4631" s="222">
        <v>539331</v>
      </c>
      <c r="C4631" s="222" t="s">
        <v>2350</v>
      </c>
      <c r="D4631" s="222" t="s">
        <v>1275</v>
      </c>
    </row>
    <row r="4632" spans="1:4" x14ac:dyDescent="0.25">
      <c r="A4632" s="222" t="s">
        <v>2349</v>
      </c>
      <c r="B4632" s="222">
        <v>532953</v>
      </c>
      <c r="C4632" s="222" t="s">
        <v>2348</v>
      </c>
      <c r="D4632" s="222" t="s">
        <v>1275</v>
      </c>
    </row>
    <row r="4633" spans="1:4" x14ac:dyDescent="0.25">
      <c r="A4633" s="222" t="s">
        <v>2347</v>
      </c>
      <c r="B4633" s="222">
        <v>537524</v>
      </c>
      <c r="C4633" s="222" t="s">
        <v>2052</v>
      </c>
      <c r="D4633" s="222" t="s">
        <v>822</v>
      </c>
    </row>
    <row r="4634" spans="1:4" x14ac:dyDescent="0.25">
      <c r="A4634" s="222" t="s">
        <v>2346</v>
      </c>
      <c r="B4634" s="222">
        <v>538732</v>
      </c>
      <c r="C4634" s="222" t="s">
        <v>2052</v>
      </c>
      <c r="D4634" s="222" t="s">
        <v>1321</v>
      </c>
    </row>
    <row r="4635" spans="1:4" x14ac:dyDescent="0.25">
      <c r="A4635" s="222" t="s">
        <v>2345</v>
      </c>
      <c r="B4635" s="222">
        <v>523796</v>
      </c>
      <c r="C4635" s="222" t="s">
        <v>2344</v>
      </c>
      <c r="D4635" s="222" t="s">
        <v>2128</v>
      </c>
    </row>
    <row r="4636" spans="1:4" x14ac:dyDescent="0.25">
      <c r="A4636" s="222" t="s">
        <v>2343</v>
      </c>
      <c r="B4636" s="222">
        <v>503349</v>
      </c>
      <c r="C4636" s="222" t="s">
        <v>2052</v>
      </c>
      <c r="D4636" s="222" t="s">
        <v>1237</v>
      </c>
    </row>
    <row r="4637" spans="1:4" x14ac:dyDescent="0.25">
      <c r="A4637" s="222" t="s">
        <v>2342</v>
      </c>
      <c r="B4637" s="222">
        <v>531234</v>
      </c>
      <c r="C4637" s="222" t="s">
        <v>2052</v>
      </c>
      <c r="D4637" s="222" t="s">
        <v>1972</v>
      </c>
    </row>
    <row r="4638" spans="1:4" x14ac:dyDescent="0.25">
      <c r="A4638" s="222" t="s">
        <v>2341</v>
      </c>
      <c r="B4638" s="222">
        <v>531234</v>
      </c>
      <c r="C4638" s="222" t="s">
        <v>2052</v>
      </c>
      <c r="D4638" s="222" t="s">
        <v>1972</v>
      </c>
    </row>
    <row r="4639" spans="1:4" x14ac:dyDescent="0.25">
      <c r="A4639" s="222" t="s">
        <v>2340</v>
      </c>
      <c r="B4639" s="222">
        <v>511389</v>
      </c>
      <c r="C4639" s="222" t="s">
        <v>2339</v>
      </c>
      <c r="D4639" s="222" t="s">
        <v>950</v>
      </c>
    </row>
    <row r="4640" spans="1:4" x14ac:dyDescent="0.25">
      <c r="A4640" s="222" t="s">
        <v>2338</v>
      </c>
      <c r="B4640" s="222">
        <v>531717</v>
      </c>
      <c r="C4640" s="222" t="s">
        <v>2337</v>
      </c>
      <c r="D4640" s="222" t="s">
        <v>722</v>
      </c>
    </row>
    <row r="4641" spans="1:4" x14ac:dyDescent="0.25">
      <c r="A4641" s="222" t="s">
        <v>2336</v>
      </c>
      <c r="B4641" s="222">
        <v>539659</v>
      </c>
      <c r="C4641" s="222" t="s">
        <v>2052</v>
      </c>
      <c r="D4641" s="222" t="s">
        <v>924</v>
      </c>
    </row>
    <row r="4642" spans="1:4" x14ac:dyDescent="0.25">
      <c r="A4642" s="222" t="s">
        <v>2335</v>
      </c>
      <c r="B4642" s="222">
        <v>523724</v>
      </c>
      <c r="C4642" s="222" t="s">
        <v>2334</v>
      </c>
      <c r="D4642" s="222" t="s">
        <v>1243</v>
      </c>
    </row>
    <row r="4643" spans="1:4" x14ac:dyDescent="0.25">
      <c r="A4643" s="222" t="s">
        <v>2333</v>
      </c>
      <c r="B4643" s="222">
        <v>531069</v>
      </c>
      <c r="C4643" s="222" t="s">
        <v>2052</v>
      </c>
      <c r="D4643" s="222" t="s">
        <v>1963</v>
      </c>
    </row>
    <row r="4644" spans="1:4" x14ac:dyDescent="0.25">
      <c r="A4644" s="222" t="s">
        <v>2332</v>
      </c>
      <c r="B4644" s="222">
        <v>530151</v>
      </c>
      <c r="C4644" s="222" t="s">
        <v>2052</v>
      </c>
      <c r="D4644" s="222" t="s">
        <v>1529</v>
      </c>
    </row>
    <row r="4645" spans="1:4" x14ac:dyDescent="0.25">
      <c r="A4645" s="222" t="s">
        <v>2331</v>
      </c>
      <c r="B4645" s="222">
        <v>532401</v>
      </c>
      <c r="C4645" s="222" t="s">
        <v>2330</v>
      </c>
      <c r="D4645" s="222" t="s">
        <v>1240</v>
      </c>
    </row>
    <row r="4646" spans="1:4" x14ac:dyDescent="0.25">
      <c r="A4646" s="222" t="s">
        <v>2329</v>
      </c>
      <c r="B4646" s="222">
        <v>537820</v>
      </c>
      <c r="C4646" s="222" t="s">
        <v>2328</v>
      </c>
      <c r="D4646" s="222" t="s">
        <v>1321</v>
      </c>
    </row>
    <row r="4647" spans="1:4" x14ac:dyDescent="0.25">
      <c r="A4647" s="222" t="s">
        <v>2327</v>
      </c>
      <c r="B4647" s="222">
        <v>531334</v>
      </c>
      <c r="C4647" s="222" t="s">
        <v>2052</v>
      </c>
      <c r="D4647" s="222" t="s">
        <v>2068</v>
      </c>
    </row>
    <row r="4648" spans="1:4" x14ac:dyDescent="0.25">
      <c r="A4648" s="222" t="s">
        <v>2326</v>
      </c>
      <c r="B4648" s="222">
        <v>530961</v>
      </c>
      <c r="C4648" s="222" t="s">
        <v>2325</v>
      </c>
      <c r="D4648" s="222" t="s">
        <v>722</v>
      </c>
    </row>
    <row r="4649" spans="1:4" x14ac:dyDescent="0.25">
      <c r="A4649" s="222" t="s">
        <v>2324</v>
      </c>
      <c r="B4649" s="222">
        <v>542655</v>
      </c>
      <c r="C4649" s="222" t="s">
        <v>2323</v>
      </c>
      <c r="D4649" s="222" t="s">
        <v>2156</v>
      </c>
    </row>
    <row r="4650" spans="1:4" x14ac:dyDescent="0.25">
      <c r="A4650" s="222" t="s">
        <v>2322</v>
      </c>
      <c r="B4650" s="222">
        <v>531518</v>
      </c>
      <c r="C4650" s="222" t="s">
        <v>2052</v>
      </c>
      <c r="D4650" s="222" t="s">
        <v>731</v>
      </c>
    </row>
    <row r="4651" spans="1:4" x14ac:dyDescent="0.25">
      <c r="A4651" s="222" t="s">
        <v>2321</v>
      </c>
      <c r="B4651" s="222">
        <v>519307</v>
      </c>
      <c r="C4651" s="222" t="s">
        <v>2052</v>
      </c>
      <c r="D4651" s="222" t="s">
        <v>722</v>
      </c>
    </row>
    <row r="4652" spans="1:4" x14ac:dyDescent="0.25">
      <c r="A4652" s="222" t="s">
        <v>2320</v>
      </c>
      <c r="B4652" s="222">
        <v>530477</v>
      </c>
      <c r="C4652" s="222" t="s">
        <v>2052</v>
      </c>
      <c r="D4652" s="222" t="s">
        <v>789</v>
      </c>
    </row>
    <row r="4653" spans="1:4" x14ac:dyDescent="0.25">
      <c r="A4653" s="222" t="s">
        <v>2319</v>
      </c>
      <c r="B4653" s="222">
        <v>530477</v>
      </c>
      <c r="C4653" s="222" t="s">
        <v>2052</v>
      </c>
      <c r="D4653" s="222" t="s">
        <v>789</v>
      </c>
    </row>
    <row r="4654" spans="1:4" x14ac:dyDescent="0.25">
      <c r="A4654" s="222" t="s">
        <v>2318</v>
      </c>
      <c r="B4654" s="222">
        <v>506196</v>
      </c>
      <c r="C4654" s="222" t="s">
        <v>2052</v>
      </c>
      <c r="D4654" s="222" t="s">
        <v>1529</v>
      </c>
    </row>
    <row r="4655" spans="1:4" x14ac:dyDescent="0.25">
      <c r="A4655" s="222" t="s">
        <v>2317</v>
      </c>
      <c r="B4655" s="222">
        <v>519373</v>
      </c>
      <c r="C4655" s="222" t="s">
        <v>2316</v>
      </c>
      <c r="D4655" s="222" t="s">
        <v>1963</v>
      </c>
    </row>
    <row r="4656" spans="1:4" x14ac:dyDescent="0.25">
      <c r="A4656" s="222" t="s">
        <v>2315</v>
      </c>
      <c r="B4656" s="222">
        <v>524394</v>
      </c>
      <c r="C4656" s="222" t="s">
        <v>2314</v>
      </c>
      <c r="D4656" s="222" t="s">
        <v>1425</v>
      </c>
    </row>
    <row r="4657" spans="1:4" x14ac:dyDescent="0.25">
      <c r="A4657" s="222" t="s">
        <v>2313</v>
      </c>
      <c r="B4657" s="222">
        <v>504380</v>
      </c>
      <c r="C4657" s="222" t="s">
        <v>2052</v>
      </c>
      <c r="D4657" s="222" t="s">
        <v>1529</v>
      </c>
    </row>
    <row r="4658" spans="1:4" x14ac:dyDescent="0.25">
      <c r="A4658" s="222" t="s">
        <v>2312</v>
      </c>
      <c r="B4658" s="222">
        <v>524200</v>
      </c>
      <c r="C4658" s="222" t="s">
        <v>2311</v>
      </c>
      <c r="D4658" s="222" t="s">
        <v>998</v>
      </c>
    </row>
    <row r="4659" spans="1:4" x14ac:dyDescent="0.25">
      <c r="A4659" s="222" t="s">
        <v>2310</v>
      </c>
      <c r="B4659" s="222">
        <v>534639</v>
      </c>
      <c r="C4659" s="222" t="s">
        <v>2052</v>
      </c>
      <c r="D4659" s="222" t="s">
        <v>1447</v>
      </c>
    </row>
    <row r="4660" spans="1:4" x14ac:dyDescent="0.25">
      <c r="A4660" s="222" t="s">
        <v>2309</v>
      </c>
      <c r="B4660" s="222">
        <v>517015</v>
      </c>
      <c r="C4660" s="222" t="s">
        <v>2308</v>
      </c>
      <c r="D4660" s="222" t="s">
        <v>2307</v>
      </c>
    </row>
    <row r="4661" spans="1:4" x14ac:dyDescent="0.25">
      <c r="A4661" s="222" t="s">
        <v>2306</v>
      </c>
      <c r="B4661" s="222" t="s">
        <v>2052</v>
      </c>
      <c r="C4661" s="222" t="s">
        <v>2305</v>
      </c>
      <c r="D4661" s="222" t="s">
        <v>2050</v>
      </c>
    </row>
    <row r="4662" spans="1:4" x14ac:dyDescent="0.25">
      <c r="A4662" s="222" t="s">
        <v>2304</v>
      </c>
      <c r="B4662" s="222">
        <v>531051</v>
      </c>
      <c r="C4662" s="222" t="s">
        <v>2052</v>
      </c>
      <c r="D4662" s="222" t="s">
        <v>1321</v>
      </c>
    </row>
    <row r="4663" spans="1:4" x14ac:dyDescent="0.25">
      <c r="A4663" s="222" t="s">
        <v>2303</v>
      </c>
      <c r="B4663" s="222">
        <v>524129</v>
      </c>
      <c r="C4663" s="222" t="s">
        <v>2302</v>
      </c>
      <c r="D4663" s="222" t="s">
        <v>2299</v>
      </c>
    </row>
    <row r="4664" spans="1:4" x14ac:dyDescent="0.25">
      <c r="A4664" s="222" t="s">
        <v>2301</v>
      </c>
      <c r="B4664" s="222">
        <v>524129</v>
      </c>
      <c r="C4664" s="222" t="s">
        <v>2300</v>
      </c>
      <c r="D4664" s="222" t="s">
        <v>2299</v>
      </c>
    </row>
    <row r="4665" spans="1:4" x14ac:dyDescent="0.25">
      <c r="A4665" s="222" t="s">
        <v>2298</v>
      </c>
      <c r="B4665" s="222">
        <v>530401</v>
      </c>
      <c r="C4665" s="222" t="s">
        <v>2052</v>
      </c>
      <c r="D4665" s="222" t="s">
        <v>998</v>
      </c>
    </row>
    <row r="4666" spans="1:4" x14ac:dyDescent="0.25">
      <c r="A4666" s="222" t="s">
        <v>2297</v>
      </c>
      <c r="B4666" s="222">
        <v>532613</v>
      </c>
      <c r="C4666" s="222" t="s">
        <v>2296</v>
      </c>
      <c r="D4666" s="222" t="s">
        <v>1529</v>
      </c>
    </row>
    <row r="4667" spans="1:4" x14ac:dyDescent="0.25">
      <c r="A4667" s="222" t="s">
        <v>2295</v>
      </c>
      <c r="B4667" s="222">
        <v>507880</v>
      </c>
      <c r="C4667" s="222" t="s">
        <v>2294</v>
      </c>
      <c r="D4667" s="222" t="s">
        <v>1364</v>
      </c>
    </row>
    <row r="4668" spans="1:4" x14ac:dyDescent="0.25">
      <c r="A4668" s="222" t="s">
        <v>2293</v>
      </c>
      <c r="B4668" s="222">
        <v>514302</v>
      </c>
      <c r="C4668" s="222" t="s">
        <v>2052</v>
      </c>
      <c r="D4668" s="222" t="s">
        <v>1237</v>
      </c>
    </row>
    <row r="4669" spans="1:4" x14ac:dyDescent="0.25">
      <c r="A4669" s="222" t="s">
        <v>2292</v>
      </c>
      <c r="B4669" s="222">
        <v>511726</v>
      </c>
      <c r="C4669" s="222" t="s">
        <v>2291</v>
      </c>
      <c r="D4669" s="222" t="s">
        <v>1243</v>
      </c>
    </row>
    <row r="4670" spans="1:4" x14ac:dyDescent="0.25">
      <c r="A4670" s="222" t="s">
        <v>2290</v>
      </c>
      <c r="B4670" s="222">
        <v>530627</v>
      </c>
      <c r="C4670" s="222" t="s">
        <v>2052</v>
      </c>
      <c r="D4670" s="222" t="s">
        <v>722</v>
      </c>
    </row>
    <row r="4671" spans="1:4" x14ac:dyDescent="0.25">
      <c r="A4671" s="222" t="s">
        <v>2289</v>
      </c>
      <c r="B4671" s="222">
        <v>519457</v>
      </c>
      <c r="C4671" s="222" t="s">
        <v>2052</v>
      </c>
      <c r="D4671" s="222" t="s">
        <v>1161</v>
      </c>
    </row>
    <row r="4672" spans="1:4" x14ac:dyDescent="0.25">
      <c r="A4672" s="222" t="s">
        <v>2288</v>
      </c>
      <c r="B4672" s="222">
        <v>530521</v>
      </c>
      <c r="C4672" s="222" t="s">
        <v>2052</v>
      </c>
      <c r="D4672" s="222" t="s">
        <v>1364</v>
      </c>
    </row>
    <row r="4673" spans="1:4" x14ac:dyDescent="0.25">
      <c r="A4673" s="222" t="s">
        <v>2287</v>
      </c>
      <c r="B4673" s="222">
        <v>539167</v>
      </c>
      <c r="C4673" s="222" t="s">
        <v>2052</v>
      </c>
      <c r="D4673" s="222" t="s">
        <v>1321</v>
      </c>
    </row>
    <row r="4674" spans="1:4" x14ac:dyDescent="0.25">
      <c r="A4674" s="222" t="s">
        <v>2286</v>
      </c>
      <c r="B4674" s="222">
        <v>532354</v>
      </c>
      <c r="C4674" s="222" t="s">
        <v>2052</v>
      </c>
      <c r="D4674" s="222" t="s">
        <v>1942</v>
      </c>
    </row>
    <row r="4675" spans="1:4" x14ac:dyDescent="0.25">
      <c r="A4675" s="222" t="s">
        <v>2285</v>
      </c>
      <c r="B4675" s="222">
        <v>532372</v>
      </c>
      <c r="C4675" s="222" t="s">
        <v>2052</v>
      </c>
      <c r="D4675" s="222" t="s">
        <v>1942</v>
      </c>
    </row>
    <row r="4676" spans="1:4" x14ac:dyDescent="0.25">
      <c r="A4676" s="222" t="s">
        <v>2284</v>
      </c>
      <c r="B4676" s="222">
        <v>534741</v>
      </c>
      <c r="C4676" s="222" t="s">
        <v>2052</v>
      </c>
      <c r="D4676" s="222" t="s">
        <v>854</v>
      </c>
    </row>
    <row r="4677" spans="1:4" x14ac:dyDescent="0.25">
      <c r="A4677" s="222" t="s">
        <v>2283</v>
      </c>
      <c r="B4677" s="222">
        <v>531126</v>
      </c>
      <c r="C4677" s="222" t="s">
        <v>2052</v>
      </c>
      <c r="D4677" s="222" t="s">
        <v>1942</v>
      </c>
    </row>
    <row r="4678" spans="1:4" x14ac:dyDescent="0.25">
      <c r="A4678" s="222" t="s">
        <v>2282</v>
      </c>
      <c r="B4678" s="222">
        <v>532721</v>
      </c>
      <c r="C4678" s="222" t="s">
        <v>2281</v>
      </c>
      <c r="D4678" s="222" t="s">
        <v>2167</v>
      </c>
    </row>
    <row r="4679" spans="1:4" x14ac:dyDescent="0.25">
      <c r="A4679" s="222" t="s">
        <v>2280</v>
      </c>
      <c r="B4679" s="222">
        <v>531025</v>
      </c>
      <c r="C4679" s="222" t="s">
        <v>2052</v>
      </c>
      <c r="D4679" s="222" t="s">
        <v>1262</v>
      </c>
    </row>
    <row r="4680" spans="1:4" x14ac:dyDescent="0.25">
      <c r="A4680" s="222" t="s">
        <v>2279</v>
      </c>
      <c r="B4680" s="222">
        <v>506146</v>
      </c>
      <c r="C4680" s="222" t="s">
        <v>2278</v>
      </c>
      <c r="D4680" s="222" t="s">
        <v>1237</v>
      </c>
    </row>
    <row r="4681" spans="1:4" x14ac:dyDescent="0.25">
      <c r="A4681" s="222" t="s">
        <v>2277</v>
      </c>
      <c r="B4681" s="222">
        <v>509055</v>
      </c>
      <c r="C4681" s="222" t="s">
        <v>2276</v>
      </c>
      <c r="D4681" s="222" t="s">
        <v>1004</v>
      </c>
    </row>
    <row r="4682" spans="1:4" x14ac:dyDescent="0.25">
      <c r="A4682" s="222" t="s">
        <v>2275</v>
      </c>
      <c r="B4682" s="222">
        <v>540097</v>
      </c>
      <c r="C4682" s="222" t="s">
        <v>2052</v>
      </c>
      <c r="D4682" s="222" t="s">
        <v>1262</v>
      </c>
    </row>
    <row r="4683" spans="1:4" x14ac:dyDescent="0.25">
      <c r="A4683" s="222" t="s">
        <v>2274</v>
      </c>
      <c r="B4683" s="222">
        <v>532411</v>
      </c>
      <c r="C4683" s="222" t="s">
        <v>2273</v>
      </c>
      <c r="D4683" s="222" t="s">
        <v>1942</v>
      </c>
    </row>
    <row r="4684" spans="1:4" x14ac:dyDescent="0.25">
      <c r="A4684" s="222" t="s">
        <v>2272</v>
      </c>
      <c r="B4684" s="222">
        <v>539398</v>
      </c>
      <c r="C4684" s="222" t="s">
        <v>2052</v>
      </c>
      <c r="D4684" s="222" t="s">
        <v>832</v>
      </c>
    </row>
    <row r="4685" spans="1:4" x14ac:dyDescent="0.25">
      <c r="A4685" s="222" t="s">
        <v>2271</v>
      </c>
      <c r="B4685" s="222">
        <v>538598</v>
      </c>
      <c r="C4685" s="222" t="s">
        <v>2052</v>
      </c>
      <c r="D4685" s="222" t="s">
        <v>1237</v>
      </c>
    </row>
    <row r="4686" spans="1:4" x14ac:dyDescent="0.25">
      <c r="A4686" s="222" t="s">
        <v>2270</v>
      </c>
      <c r="B4686" s="222">
        <v>516072</v>
      </c>
      <c r="C4686" s="222" t="s">
        <v>2269</v>
      </c>
      <c r="D4686" s="222" t="s">
        <v>998</v>
      </c>
    </row>
    <row r="4687" spans="1:4" x14ac:dyDescent="0.25">
      <c r="A4687" s="222" t="s">
        <v>2268</v>
      </c>
      <c r="B4687" s="222">
        <v>512064</v>
      </c>
      <c r="C4687" s="222" t="s">
        <v>2267</v>
      </c>
      <c r="D4687" s="222" t="s">
        <v>2068</v>
      </c>
    </row>
    <row r="4688" spans="1:4" x14ac:dyDescent="0.25">
      <c r="A4688" s="222" t="s">
        <v>2266</v>
      </c>
      <c r="B4688" s="222">
        <v>526441</v>
      </c>
      <c r="C4688" s="222" t="s">
        <v>2052</v>
      </c>
      <c r="D4688" s="222" t="s">
        <v>1558</v>
      </c>
    </row>
    <row r="4689" spans="1:4" x14ac:dyDescent="0.25">
      <c r="A4689" s="222" t="s">
        <v>2265</v>
      </c>
      <c r="B4689" s="222">
        <v>531668</v>
      </c>
      <c r="C4689" s="222" t="s">
        <v>2052</v>
      </c>
      <c r="D4689" s="222" t="s">
        <v>2264</v>
      </c>
    </row>
    <row r="4690" spans="1:4" x14ac:dyDescent="0.25">
      <c r="A4690" s="222" t="s">
        <v>2263</v>
      </c>
      <c r="B4690" s="222">
        <v>524711</v>
      </c>
      <c r="C4690" s="222" t="s">
        <v>2052</v>
      </c>
      <c r="D4690" s="222" t="s">
        <v>789</v>
      </c>
    </row>
    <row r="4691" spans="1:4" x14ac:dyDescent="0.25">
      <c r="A4691" s="222" t="s">
        <v>2262</v>
      </c>
      <c r="B4691" s="222">
        <v>538565</v>
      </c>
      <c r="C4691" s="222" t="s">
        <v>2052</v>
      </c>
      <c r="D4691" s="222" t="s">
        <v>1321</v>
      </c>
    </row>
    <row r="4692" spans="1:4" x14ac:dyDescent="0.25">
      <c r="A4692" s="222" t="s">
        <v>2261</v>
      </c>
      <c r="B4692" s="222">
        <v>540823</v>
      </c>
      <c r="C4692" s="222" t="s">
        <v>2052</v>
      </c>
      <c r="D4692" s="222" t="s">
        <v>1529</v>
      </c>
    </row>
    <row r="4693" spans="1:4" x14ac:dyDescent="0.25">
      <c r="A4693" s="222" t="s">
        <v>2260</v>
      </c>
      <c r="B4693" s="222">
        <v>541735</v>
      </c>
      <c r="C4693" s="222" t="s">
        <v>2052</v>
      </c>
      <c r="D4693" s="222" t="s">
        <v>1248</v>
      </c>
    </row>
    <row r="4694" spans="1:4" x14ac:dyDescent="0.25">
      <c r="A4694" s="222" t="s">
        <v>2259</v>
      </c>
      <c r="B4694" s="222">
        <v>530057</v>
      </c>
      <c r="C4694" s="222" t="s">
        <v>2052</v>
      </c>
      <c r="D4694" s="222" t="s">
        <v>789</v>
      </c>
    </row>
    <row r="4695" spans="1:4" x14ac:dyDescent="0.25">
      <c r="A4695" s="222" t="s">
        <v>2258</v>
      </c>
      <c r="B4695" s="222">
        <v>524576</v>
      </c>
      <c r="C4695" s="222" t="s">
        <v>2052</v>
      </c>
      <c r="D4695" s="222" t="s">
        <v>998</v>
      </c>
    </row>
    <row r="4696" spans="1:4" x14ac:dyDescent="0.25">
      <c r="A4696" s="222" t="s">
        <v>2257</v>
      </c>
      <c r="B4696" s="222">
        <v>532660</v>
      </c>
      <c r="C4696" s="222" t="s">
        <v>2256</v>
      </c>
      <c r="D4696" s="222" t="s">
        <v>789</v>
      </c>
    </row>
    <row r="4697" spans="1:4" x14ac:dyDescent="0.25">
      <c r="A4697" s="222" t="s">
        <v>2255</v>
      </c>
      <c r="B4697" s="222">
        <v>511509</v>
      </c>
      <c r="C4697" s="222" t="s">
        <v>2052</v>
      </c>
      <c r="D4697" s="222" t="s">
        <v>2254</v>
      </c>
    </row>
    <row r="4698" spans="1:4" x14ac:dyDescent="0.25">
      <c r="A4698" s="222" t="s">
        <v>2253</v>
      </c>
      <c r="B4698" s="222">
        <v>509026</v>
      </c>
      <c r="C4698" s="222" t="s">
        <v>2052</v>
      </c>
      <c r="D4698" s="222" t="s">
        <v>854</v>
      </c>
    </row>
    <row r="4699" spans="1:4" x14ac:dyDescent="0.25">
      <c r="A4699" s="222" t="s">
        <v>2252</v>
      </c>
      <c r="B4699" s="222">
        <v>536128</v>
      </c>
      <c r="C4699" s="222" t="s">
        <v>2052</v>
      </c>
      <c r="D4699" s="222" t="s">
        <v>1248</v>
      </c>
    </row>
    <row r="4700" spans="1:4" x14ac:dyDescent="0.25">
      <c r="A4700" s="222" t="s">
        <v>2251</v>
      </c>
      <c r="B4700" s="222">
        <v>511333</v>
      </c>
      <c r="C4700" s="222" t="s">
        <v>2250</v>
      </c>
      <c r="D4700" s="222" t="s">
        <v>1262</v>
      </c>
    </row>
    <row r="4701" spans="1:4" x14ac:dyDescent="0.25">
      <c r="A4701" s="222" t="s">
        <v>2249</v>
      </c>
      <c r="B4701" s="222">
        <v>534976</v>
      </c>
      <c r="C4701" s="222" t="s">
        <v>2248</v>
      </c>
      <c r="D4701" s="222" t="s">
        <v>2247</v>
      </c>
    </row>
    <row r="4702" spans="1:4" x14ac:dyDescent="0.25">
      <c r="A4702" s="222" t="s">
        <v>2246</v>
      </c>
      <c r="B4702" s="222">
        <v>533427</v>
      </c>
      <c r="C4702" s="222" t="s">
        <v>2052</v>
      </c>
      <c r="D4702" s="222" t="s">
        <v>2245</v>
      </c>
    </row>
    <row r="4703" spans="1:4" x14ac:dyDescent="0.25">
      <c r="A4703" s="222" t="s">
        <v>2244</v>
      </c>
      <c r="B4703" s="222">
        <v>539222</v>
      </c>
      <c r="C4703" s="222" t="s">
        <v>2052</v>
      </c>
      <c r="D4703" s="222" t="s">
        <v>1492</v>
      </c>
    </row>
    <row r="4704" spans="1:4" x14ac:dyDescent="0.25">
      <c r="A4704" s="222" t="s">
        <v>2243</v>
      </c>
      <c r="B4704" s="222">
        <v>532822</v>
      </c>
      <c r="C4704" s="222" t="s">
        <v>2242</v>
      </c>
      <c r="D4704" s="222" t="s">
        <v>2241</v>
      </c>
    </row>
    <row r="4705" spans="1:4" x14ac:dyDescent="0.25">
      <c r="A4705" s="222" t="s">
        <v>2240</v>
      </c>
      <c r="B4705" s="222">
        <v>522122</v>
      </c>
      <c r="C4705" s="222" t="s">
        <v>2052</v>
      </c>
      <c r="D4705" s="222" t="s">
        <v>1237</v>
      </c>
    </row>
    <row r="4706" spans="1:4" x14ac:dyDescent="0.25">
      <c r="A4706" s="222" t="s">
        <v>2239</v>
      </c>
      <c r="B4706" s="222">
        <v>522122</v>
      </c>
      <c r="C4706" s="222" t="s">
        <v>2052</v>
      </c>
      <c r="D4706" s="222" t="s">
        <v>1237</v>
      </c>
    </row>
    <row r="4707" spans="1:4" x14ac:dyDescent="0.25">
      <c r="A4707" s="222" t="s">
        <v>2238</v>
      </c>
      <c r="B4707" s="222">
        <v>509038</v>
      </c>
      <c r="C4707" s="222" t="s">
        <v>2052</v>
      </c>
      <c r="D4707" s="222" t="s">
        <v>1321</v>
      </c>
    </row>
    <row r="4708" spans="1:4" x14ac:dyDescent="0.25">
      <c r="A4708" s="222" t="s">
        <v>2237</v>
      </c>
      <c r="B4708" s="222">
        <v>532757</v>
      </c>
      <c r="C4708" s="222" t="s">
        <v>2236</v>
      </c>
      <c r="D4708" s="222" t="s">
        <v>1066</v>
      </c>
    </row>
    <row r="4709" spans="1:4" x14ac:dyDescent="0.25">
      <c r="A4709" s="222" t="s">
        <v>2235</v>
      </c>
      <c r="B4709" s="222">
        <v>500575</v>
      </c>
      <c r="C4709" s="222" t="s">
        <v>2234</v>
      </c>
      <c r="D4709" s="222" t="s">
        <v>950</v>
      </c>
    </row>
    <row r="4710" spans="1:4" x14ac:dyDescent="0.25">
      <c r="A4710" s="222" t="s">
        <v>2233</v>
      </c>
      <c r="B4710" s="222">
        <v>512215</v>
      </c>
      <c r="C4710" s="222" t="s">
        <v>2052</v>
      </c>
      <c r="D4710" s="222" t="s">
        <v>1262</v>
      </c>
    </row>
    <row r="4711" spans="1:4" x14ac:dyDescent="0.25">
      <c r="A4711" s="222" t="s">
        <v>2232</v>
      </c>
      <c r="B4711" s="222">
        <v>539118</v>
      </c>
      <c r="C4711" s="222" t="s">
        <v>2231</v>
      </c>
      <c r="D4711" s="222" t="s">
        <v>1329</v>
      </c>
    </row>
    <row r="4712" spans="1:4" x14ac:dyDescent="0.25">
      <c r="A4712" s="222" t="s">
        <v>2230</v>
      </c>
      <c r="B4712" s="222">
        <v>519331</v>
      </c>
      <c r="C4712" s="222" t="s">
        <v>2052</v>
      </c>
      <c r="D4712" s="222" t="s">
        <v>1248</v>
      </c>
    </row>
    <row r="4713" spans="1:4" x14ac:dyDescent="0.25">
      <c r="A4713" s="222" t="s">
        <v>2229</v>
      </c>
      <c r="B4713" s="222">
        <v>509966</v>
      </c>
      <c r="C4713" s="222" t="s">
        <v>2228</v>
      </c>
      <c r="D4713" s="222" t="s">
        <v>2227</v>
      </c>
    </row>
    <row r="4714" spans="1:4" x14ac:dyDescent="0.25">
      <c r="A4714" s="222" t="s">
        <v>2226</v>
      </c>
      <c r="B4714" s="222">
        <v>532893</v>
      </c>
      <c r="C4714" s="222" t="s">
        <v>2052</v>
      </c>
      <c r="D4714" s="222" t="s">
        <v>1237</v>
      </c>
    </row>
    <row r="4715" spans="1:4" x14ac:dyDescent="0.25">
      <c r="A4715" s="222" t="s">
        <v>2225</v>
      </c>
      <c r="B4715" s="222">
        <v>517399</v>
      </c>
      <c r="C4715" s="222" t="s">
        <v>2224</v>
      </c>
      <c r="D4715" s="222" t="s">
        <v>950</v>
      </c>
    </row>
    <row r="4716" spans="1:4" x14ac:dyDescent="0.25">
      <c r="A4716" s="222" t="s">
        <v>2223</v>
      </c>
      <c r="B4716" s="222">
        <v>506142</v>
      </c>
      <c r="C4716" s="222" t="s">
        <v>2052</v>
      </c>
      <c r="D4716" s="222" t="s">
        <v>1262</v>
      </c>
    </row>
    <row r="4717" spans="1:4" x14ac:dyDescent="0.25">
      <c r="A4717" s="222" t="s">
        <v>2222</v>
      </c>
      <c r="B4717" s="222">
        <v>501391</v>
      </c>
      <c r="C4717" s="222" t="s">
        <v>2052</v>
      </c>
      <c r="D4717" s="222" t="s">
        <v>1529</v>
      </c>
    </row>
    <row r="4718" spans="1:4" x14ac:dyDescent="0.25">
      <c r="A4718" s="222" t="s">
        <v>2221</v>
      </c>
      <c r="B4718" s="222">
        <v>504220</v>
      </c>
      <c r="C4718" s="222" t="s">
        <v>2052</v>
      </c>
      <c r="D4718" s="222" t="s">
        <v>832</v>
      </c>
    </row>
    <row r="4719" spans="1:4" x14ac:dyDescent="0.25">
      <c r="A4719" s="222" t="s">
        <v>2220</v>
      </c>
      <c r="B4719" s="222" t="s">
        <v>2052</v>
      </c>
      <c r="C4719" s="222" t="s">
        <v>2219</v>
      </c>
      <c r="D4719" s="222" t="s">
        <v>2197</v>
      </c>
    </row>
    <row r="4720" spans="1:4" x14ac:dyDescent="0.25">
      <c r="A4720" s="222" t="s">
        <v>2218</v>
      </c>
      <c r="B4720" s="222">
        <v>504220</v>
      </c>
      <c r="C4720" s="222" t="s">
        <v>2052</v>
      </c>
      <c r="D4720" s="222" t="s">
        <v>832</v>
      </c>
    </row>
    <row r="4721" spans="1:4" x14ac:dyDescent="0.25">
      <c r="A4721" s="222" t="s">
        <v>2217</v>
      </c>
      <c r="B4721" s="222">
        <v>505583</v>
      </c>
      <c r="C4721" s="222" t="s">
        <v>2052</v>
      </c>
      <c r="D4721" s="222" t="s">
        <v>1243</v>
      </c>
    </row>
    <row r="4722" spans="1:4" x14ac:dyDescent="0.25">
      <c r="A4722" s="222" t="s">
        <v>2216</v>
      </c>
      <c r="B4722" s="222">
        <v>541445</v>
      </c>
      <c r="C4722" s="222" t="s">
        <v>2052</v>
      </c>
      <c r="D4722" s="222" t="s">
        <v>1275</v>
      </c>
    </row>
    <row r="4723" spans="1:4" x14ac:dyDescent="0.25">
      <c r="A4723" s="222" t="s">
        <v>2215</v>
      </c>
      <c r="B4723" s="222">
        <v>533023</v>
      </c>
      <c r="C4723" s="222" t="s">
        <v>2214</v>
      </c>
      <c r="D4723" s="222" t="s">
        <v>1306</v>
      </c>
    </row>
    <row r="4724" spans="1:4" x14ac:dyDescent="0.25">
      <c r="A4724" s="222" t="s">
        <v>2213</v>
      </c>
      <c r="B4724" s="222">
        <v>533023</v>
      </c>
      <c r="C4724" s="222" t="s">
        <v>2212</v>
      </c>
      <c r="D4724" s="222" t="s">
        <v>1306</v>
      </c>
    </row>
    <row r="4725" spans="1:4" x14ac:dyDescent="0.25">
      <c r="A4725" s="222" t="s">
        <v>2211</v>
      </c>
      <c r="B4725" s="222">
        <v>503675</v>
      </c>
      <c r="C4725" s="222" t="s">
        <v>2052</v>
      </c>
      <c r="D4725" s="222" t="s">
        <v>2068</v>
      </c>
    </row>
    <row r="4726" spans="1:4" x14ac:dyDescent="0.25">
      <c r="A4726" s="222" t="s">
        <v>2210</v>
      </c>
      <c r="B4726" s="222">
        <v>501370</v>
      </c>
      <c r="C4726" s="222" t="s">
        <v>2052</v>
      </c>
      <c r="D4726" s="222" t="s">
        <v>911</v>
      </c>
    </row>
    <row r="4727" spans="1:4" x14ac:dyDescent="0.25">
      <c r="A4727" s="222" t="s">
        <v>2209</v>
      </c>
      <c r="B4727" s="222">
        <v>507410</v>
      </c>
      <c r="C4727" s="222" t="s">
        <v>2208</v>
      </c>
      <c r="D4727" s="222" t="s">
        <v>1318</v>
      </c>
    </row>
    <row r="4728" spans="1:4" x14ac:dyDescent="0.25">
      <c r="A4728" s="222" t="s">
        <v>2207</v>
      </c>
      <c r="B4728" s="222">
        <v>511147</v>
      </c>
      <c r="C4728" s="222" t="s">
        <v>2052</v>
      </c>
      <c r="D4728" s="222" t="s">
        <v>1321</v>
      </c>
    </row>
    <row r="4729" spans="1:4" x14ac:dyDescent="0.25">
      <c r="A4729" s="222" t="s">
        <v>2206</v>
      </c>
      <c r="B4729" s="222">
        <v>532053</v>
      </c>
      <c r="C4729" s="222" t="s">
        <v>2052</v>
      </c>
      <c r="D4729" s="222" t="s">
        <v>1262</v>
      </c>
    </row>
    <row r="4730" spans="1:4" x14ac:dyDescent="0.25">
      <c r="A4730" s="222" t="s">
        <v>2205</v>
      </c>
      <c r="B4730" s="222">
        <v>524212</v>
      </c>
      <c r="C4730" s="222" t="s">
        <v>2204</v>
      </c>
      <c r="D4730" s="222" t="s">
        <v>789</v>
      </c>
    </row>
    <row r="4731" spans="1:4" x14ac:dyDescent="0.25">
      <c r="A4731" s="222" t="s">
        <v>2203</v>
      </c>
      <c r="B4731" s="222">
        <v>511690</v>
      </c>
      <c r="C4731" s="222" t="s">
        <v>2052</v>
      </c>
      <c r="D4731" s="222" t="s">
        <v>1321</v>
      </c>
    </row>
    <row r="4732" spans="1:4" x14ac:dyDescent="0.25">
      <c r="A4732" s="222" t="s">
        <v>2202</v>
      </c>
      <c r="B4732" s="222">
        <v>508494</v>
      </c>
      <c r="C4732" s="222" t="s">
        <v>2052</v>
      </c>
      <c r="D4732" s="222" t="s">
        <v>1400</v>
      </c>
    </row>
    <row r="4733" spans="1:4" x14ac:dyDescent="0.25">
      <c r="A4733" s="222" t="s">
        <v>2201</v>
      </c>
      <c r="B4733" s="222">
        <v>523660</v>
      </c>
      <c r="C4733" s="222" t="s">
        <v>2052</v>
      </c>
      <c r="D4733" s="222" t="s">
        <v>1083</v>
      </c>
    </row>
    <row r="4734" spans="1:4" x14ac:dyDescent="0.25">
      <c r="A4734" s="222" t="s">
        <v>2200</v>
      </c>
      <c r="B4734" s="222" t="s">
        <v>2052</v>
      </c>
      <c r="C4734" s="222" t="s">
        <v>2199</v>
      </c>
      <c r="D4734" s="222" t="s">
        <v>2050</v>
      </c>
    </row>
    <row r="4735" spans="1:4" x14ac:dyDescent="0.25">
      <c r="A4735" s="222" t="s">
        <v>2198</v>
      </c>
      <c r="B4735" s="222">
        <v>780016</v>
      </c>
      <c r="C4735" s="222" t="s">
        <v>2052</v>
      </c>
      <c r="D4735" s="222" t="s">
        <v>2197</v>
      </c>
    </row>
    <row r="4736" spans="1:4" x14ac:dyDescent="0.25">
      <c r="A4736" s="222" t="s">
        <v>2196</v>
      </c>
      <c r="B4736" s="222">
        <v>517498</v>
      </c>
      <c r="C4736" s="222" t="s">
        <v>2195</v>
      </c>
      <c r="D4736" s="222" t="s">
        <v>1275</v>
      </c>
    </row>
    <row r="4737" spans="1:4" x14ac:dyDescent="0.25">
      <c r="A4737" s="222" t="s">
        <v>2194</v>
      </c>
      <c r="B4737" s="222">
        <v>511074</v>
      </c>
      <c r="C4737" s="222" t="s">
        <v>2052</v>
      </c>
      <c r="D4737" s="222" t="s">
        <v>1321</v>
      </c>
    </row>
    <row r="4738" spans="1:4" x14ac:dyDescent="0.25">
      <c r="A4738" s="222" t="s">
        <v>2193</v>
      </c>
      <c r="B4738" s="222">
        <v>533452</v>
      </c>
      <c r="C4738" s="222" t="s">
        <v>2192</v>
      </c>
      <c r="D4738" s="222" t="s">
        <v>1262</v>
      </c>
    </row>
    <row r="4739" spans="1:4" x14ac:dyDescent="0.25">
      <c r="A4739" s="222" t="s">
        <v>2191</v>
      </c>
      <c r="B4739" s="222">
        <v>523011</v>
      </c>
      <c r="C4739" s="222" t="s">
        <v>2190</v>
      </c>
      <c r="D4739" s="222" t="s">
        <v>1529</v>
      </c>
    </row>
    <row r="4740" spans="1:4" x14ac:dyDescent="0.25">
      <c r="A4740" s="222" t="s">
        <v>2189</v>
      </c>
      <c r="B4740" s="222">
        <v>504988</v>
      </c>
      <c r="C4740" s="222" t="s">
        <v>2052</v>
      </c>
      <c r="D4740" s="222" t="s">
        <v>1313</v>
      </c>
    </row>
    <row r="4741" spans="1:4" x14ac:dyDescent="0.25">
      <c r="A4741" s="222" t="s">
        <v>2188</v>
      </c>
      <c r="B4741" s="222">
        <v>524661</v>
      </c>
      <c r="C4741" s="222" t="s">
        <v>2052</v>
      </c>
      <c r="D4741" s="222" t="s">
        <v>789</v>
      </c>
    </row>
    <row r="4742" spans="1:4" x14ac:dyDescent="0.25">
      <c r="A4742" s="222" t="s">
        <v>2187</v>
      </c>
      <c r="B4742" s="222">
        <v>532016</v>
      </c>
      <c r="C4742" s="222" t="s">
        <v>2052</v>
      </c>
      <c r="D4742" s="222" t="s">
        <v>1243</v>
      </c>
    </row>
    <row r="4743" spans="1:4" x14ac:dyDescent="0.25">
      <c r="A4743" s="222" t="s">
        <v>2186</v>
      </c>
      <c r="B4743" s="222">
        <v>531211</v>
      </c>
      <c r="C4743" s="222" t="s">
        <v>2052</v>
      </c>
      <c r="D4743" s="222" t="s">
        <v>1262</v>
      </c>
    </row>
    <row r="4744" spans="1:4" x14ac:dyDescent="0.25">
      <c r="A4744" s="222" t="s">
        <v>2185</v>
      </c>
      <c r="B4744" s="222">
        <v>514162</v>
      </c>
      <c r="C4744" s="222" t="s">
        <v>2179</v>
      </c>
      <c r="D4744" s="222" t="s">
        <v>1237</v>
      </c>
    </row>
    <row r="4745" spans="1:4" x14ac:dyDescent="0.25">
      <c r="A4745" s="222" t="s">
        <v>2184</v>
      </c>
      <c r="B4745" s="222">
        <v>532144</v>
      </c>
      <c r="C4745" s="222" t="s">
        <v>2183</v>
      </c>
      <c r="D4745" s="222" t="s">
        <v>1248</v>
      </c>
    </row>
    <row r="4746" spans="1:4" x14ac:dyDescent="0.25">
      <c r="A4746" s="222" t="s">
        <v>2182</v>
      </c>
      <c r="B4746" s="222">
        <v>532553</v>
      </c>
      <c r="C4746" s="222" t="s">
        <v>2181</v>
      </c>
      <c r="D4746" s="222" t="s">
        <v>1248</v>
      </c>
    </row>
    <row r="4747" spans="1:4" x14ac:dyDescent="0.25">
      <c r="A4747" s="222" t="s">
        <v>2180</v>
      </c>
      <c r="B4747" s="222">
        <v>514162</v>
      </c>
      <c r="C4747" s="222" t="s">
        <v>2179</v>
      </c>
      <c r="D4747" s="222" t="s">
        <v>1237</v>
      </c>
    </row>
    <row r="4748" spans="1:4" x14ac:dyDescent="0.25">
      <c r="A4748" s="222" t="s">
        <v>2178</v>
      </c>
      <c r="B4748" s="222">
        <v>533252</v>
      </c>
      <c r="C4748" s="222" t="s">
        <v>2177</v>
      </c>
      <c r="D4748" s="222" t="s">
        <v>1262</v>
      </c>
    </row>
    <row r="4749" spans="1:4" x14ac:dyDescent="0.25">
      <c r="A4749" s="222" t="s">
        <v>2176</v>
      </c>
      <c r="B4749" s="222">
        <v>526431</v>
      </c>
      <c r="C4749" s="222" t="s">
        <v>2052</v>
      </c>
      <c r="D4749" s="222" t="s">
        <v>754</v>
      </c>
    </row>
    <row r="4750" spans="1:4" x14ac:dyDescent="0.25">
      <c r="A4750" s="222" t="s">
        <v>2175</v>
      </c>
      <c r="B4750" s="222">
        <v>505412</v>
      </c>
      <c r="C4750" s="222" t="s">
        <v>2173</v>
      </c>
      <c r="D4750" s="222" t="s">
        <v>832</v>
      </c>
    </row>
    <row r="4751" spans="1:4" x14ac:dyDescent="0.25">
      <c r="A4751" s="222" t="s">
        <v>2174</v>
      </c>
      <c r="B4751" s="222">
        <v>505412</v>
      </c>
      <c r="C4751" s="222" t="s">
        <v>2173</v>
      </c>
      <c r="D4751" s="222" t="s">
        <v>832</v>
      </c>
    </row>
    <row r="4752" spans="1:4" x14ac:dyDescent="0.25">
      <c r="A4752" s="222" t="s">
        <v>2172</v>
      </c>
      <c r="B4752" s="222">
        <v>532373</v>
      </c>
      <c r="C4752" s="222" t="s">
        <v>2052</v>
      </c>
      <c r="D4752" s="222" t="s">
        <v>1529</v>
      </c>
    </row>
    <row r="4753" spans="1:4" x14ac:dyDescent="0.25">
      <c r="A4753" s="222" t="s">
        <v>2171</v>
      </c>
      <c r="B4753" s="222">
        <v>500444</v>
      </c>
      <c r="C4753" s="222" t="s">
        <v>2170</v>
      </c>
      <c r="D4753" s="222" t="s">
        <v>1972</v>
      </c>
    </row>
    <row r="4754" spans="1:4" x14ac:dyDescent="0.25">
      <c r="A4754" s="222" t="s">
        <v>2169</v>
      </c>
      <c r="B4754" s="222">
        <v>538382</v>
      </c>
      <c r="C4754" s="222" t="s">
        <v>2052</v>
      </c>
      <c r="D4754" s="222" t="s">
        <v>1529</v>
      </c>
    </row>
    <row r="4755" spans="1:4" x14ac:dyDescent="0.25">
      <c r="A4755" s="222" t="s">
        <v>2168</v>
      </c>
      <c r="B4755" s="222">
        <v>504998</v>
      </c>
      <c r="C4755" s="222" t="s">
        <v>2052</v>
      </c>
      <c r="D4755" s="222" t="s">
        <v>2167</v>
      </c>
    </row>
    <row r="4756" spans="1:4" x14ac:dyDescent="0.25">
      <c r="A4756" s="222" t="s">
        <v>2166</v>
      </c>
      <c r="B4756" s="222">
        <v>505533</v>
      </c>
      <c r="C4756" s="222" t="s">
        <v>2052</v>
      </c>
      <c r="D4756" s="222" t="s">
        <v>924</v>
      </c>
    </row>
    <row r="4757" spans="1:4" x14ac:dyDescent="0.25">
      <c r="A4757" s="222" t="s">
        <v>2165</v>
      </c>
      <c r="B4757" s="222">
        <v>590073</v>
      </c>
      <c r="C4757" s="222" t="s">
        <v>2163</v>
      </c>
      <c r="D4757" s="222" t="s">
        <v>1306</v>
      </c>
    </row>
    <row r="4758" spans="1:4" x14ac:dyDescent="0.25">
      <c r="A4758" s="222" t="s">
        <v>2164</v>
      </c>
      <c r="B4758" s="222">
        <v>590073</v>
      </c>
      <c r="C4758" s="222" t="s">
        <v>2163</v>
      </c>
      <c r="D4758" s="222" t="s">
        <v>1306</v>
      </c>
    </row>
    <row r="4759" spans="1:4" x14ac:dyDescent="0.25">
      <c r="A4759" s="222" t="s">
        <v>2162</v>
      </c>
      <c r="B4759" s="222">
        <v>500238</v>
      </c>
      <c r="C4759" s="222" t="s">
        <v>2160</v>
      </c>
      <c r="D4759" s="222" t="s">
        <v>950</v>
      </c>
    </row>
    <row r="4760" spans="1:4" x14ac:dyDescent="0.25">
      <c r="A4760" s="222" t="s">
        <v>2161</v>
      </c>
      <c r="B4760" s="222">
        <v>500238</v>
      </c>
      <c r="C4760" s="222" t="s">
        <v>2160</v>
      </c>
      <c r="D4760" s="222" t="s">
        <v>950</v>
      </c>
    </row>
    <row r="4761" spans="1:4" x14ac:dyDescent="0.25">
      <c r="A4761" s="222" t="s">
        <v>2159</v>
      </c>
      <c r="B4761" s="222">
        <v>513713</v>
      </c>
      <c r="C4761" s="222" t="s">
        <v>2052</v>
      </c>
      <c r="D4761" s="222" t="s">
        <v>1364</v>
      </c>
    </row>
    <row r="4762" spans="1:4" x14ac:dyDescent="0.25">
      <c r="A4762" s="222" t="s">
        <v>2158</v>
      </c>
      <c r="B4762" s="222">
        <v>542667</v>
      </c>
      <c r="C4762" s="222" t="s">
        <v>2157</v>
      </c>
      <c r="D4762" s="222" t="s">
        <v>2156</v>
      </c>
    </row>
    <row r="4763" spans="1:4" x14ac:dyDescent="0.25">
      <c r="A4763" s="222" t="s">
        <v>2155</v>
      </c>
      <c r="B4763" s="222">
        <v>519214</v>
      </c>
      <c r="C4763" s="222" t="s">
        <v>2052</v>
      </c>
      <c r="D4763" s="222" t="s">
        <v>1321</v>
      </c>
    </row>
    <row r="4764" spans="1:4" x14ac:dyDescent="0.25">
      <c r="A4764" s="222" t="s">
        <v>2154</v>
      </c>
      <c r="B4764" s="222">
        <v>519224</v>
      </c>
      <c r="C4764" s="222" t="s">
        <v>2153</v>
      </c>
      <c r="D4764" s="222" t="s">
        <v>1529</v>
      </c>
    </row>
    <row r="4765" spans="1:4" x14ac:dyDescent="0.25">
      <c r="A4765" s="222" t="s">
        <v>2152</v>
      </c>
      <c r="B4765" s="222">
        <v>526586</v>
      </c>
      <c r="C4765" s="222" t="s">
        <v>2052</v>
      </c>
      <c r="D4765" s="222" t="s">
        <v>1251</v>
      </c>
    </row>
    <row r="4766" spans="1:4" x14ac:dyDescent="0.25">
      <c r="A4766" s="222" t="s">
        <v>2151</v>
      </c>
      <c r="B4766" s="222">
        <v>522029</v>
      </c>
      <c r="C4766" s="222" t="s">
        <v>2150</v>
      </c>
      <c r="D4766" s="222" t="s">
        <v>832</v>
      </c>
    </row>
    <row r="4767" spans="1:4" x14ac:dyDescent="0.25">
      <c r="A4767" s="222" t="s">
        <v>2149</v>
      </c>
      <c r="B4767" s="222">
        <v>512022</v>
      </c>
      <c r="C4767" s="222" t="s">
        <v>2052</v>
      </c>
      <c r="D4767" s="222" t="s">
        <v>1262</v>
      </c>
    </row>
    <row r="4768" spans="1:4" x14ac:dyDescent="0.25">
      <c r="A4768" s="222" t="s">
        <v>2148</v>
      </c>
      <c r="B4768" s="222">
        <v>512022</v>
      </c>
      <c r="C4768" s="222" t="s">
        <v>2052</v>
      </c>
      <c r="D4768" s="222" t="s">
        <v>1262</v>
      </c>
    </row>
    <row r="4769" spans="1:4" x14ac:dyDescent="0.25">
      <c r="A4769" s="222" t="s">
        <v>2147</v>
      </c>
      <c r="B4769" s="222">
        <v>526471</v>
      </c>
      <c r="C4769" s="222" t="s">
        <v>2052</v>
      </c>
      <c r="D4769" s="222" t="s">
        <v>2146</v>
      </c>
    </row>
    <row r="4770" spans="1:4" x14ac:dyDescent="0.25">
      <c r="A4770" s="222" t="s">
        <v>2145</v>
      </c>
      <c r="B4770" s="222">
        <v>514470</v>
      </c>
      <c r="C4770" s="222" t="s">
        <v>2052</v>
      </c>
      <c r="D4770" s="222" t="s">
        <v>1237</v>
      </c>
    </row>
    <row r="4771" spans="1:4" x14ac:dyDescent="0.25">
      <c r="A4771" s="222" t="s">
        <v>2144</v>
      </c>
      <c r="B4771" s="222">
        <v>514348</v>
      </c>
      <c r="C4771" s="222" t="s">
        <v>2143</v>
      </c>
      <c r="D4771" s="222" t="s">
        <v>1237</v>
      </c>
    </row>
    <row r="4772" spans="1:4" x14ac:dyDescent="0.25">
      <c r="A4772" s="222" t="s">
        <v>2142</v>
      </c>
      <c r="B4772" s="222">
        <v>524758</v>
      </c>
      <c r="C4772" s="222" t="s">
        <v>2052</v>
      </c>
      <c r="D4772" s="222" t="s">
        <v>789</v>
      </c>
    </row>
    <row r="4773" spans="1:4" x14ac:dyDescent="0.25">
      <c r="A4773" s="222" t="s">
        <v>2141</v>
      </c>
      <c r="B4773" s="222">
        <v>538873</v>
      </c>
      <c r="C4773" s="222" t="s">
        <v>2052</v>
      </c>
      <c r="D4773" s="222" t="s">
        <v>1321</v>
      </c>
    </row>
    <row r="4774" spans="1:4" x14ac:dyDescent="0.25">
      <c r="A4774" s="222" t="s">
        <v>2140</v>
      </c>
      <c r="B4774" s="222">
        <v>507685</v>
      </c>
      <c r="C4774" s="222" t="s">
        <v>2139</v>
      </c>
      <c r="D4774" s="222" t="s">
        <v>1265</v>
      </c>
    </row>
    <row r="4775" spans="1:4" x14ac:dyDescent="0.25">
      <c r="A4775" s="222" t="s">
        <v>2138</v>
      </c>
      <c r="B4775" s="222">
        <v>507817</v>
      </c>
      <c r="C4775" s="222" t="s">
        <v>2052</v>
      </c>
      <c r="D4775" s="222" t="s">
        <v>1237</v>
      </c>
    </row>
    <row r="4776" spans="1:4" x14ac:dyDescent="0.25">
      <c r="A4776" s="222" t="s">
        <v>2137</v>
      </c>
      <c r="B4776" s="222">
        <v>511642</v>
      </c>
      <c r="C4776" s="222" t="s">
        <v>2052</v>
      </c>
      <c r="D4776" s="222" t="s">
        <v>1321</v>
      </c>
    </row>
    <row r="4777" spans="1:4" x14ac:dyDescent="0.25">
      <c r="A4777" s="222" t="s">
        <v>2136</v>
      </c>
      <c r="B4777" s="222">
        <v>532300</v>
      </c>
      <c r="C4777" s="222" t="s">
        <v>2135</v>
      </c>
      <c r="D4777" s="222" t="s">
        <v>789</v>
      </c>
    </row>
    <row r="4778" spans="1:4" x14ac:dyDescent="0.25">
      <c r="A4778" s="222" t="s">
        <v>2134</v>
      </c>
      <c r="B4778" s="222">
        <v>531396</v>
      </c>
      <c r="C4778" s="222" t="s">
        <v>2052</v>
      </c>
      <c r="D4778" s="222" t="s">
        <v>1942</v>
      </c>
    </row>
    <row r="4779" spans="1:4" x14ac:dyDescent="0.25">
      <c r="A4779" s="222" t="s">
        <v>2133</v>
      </c>
      <c r="B4779" s="222">
        <v>538128</v>
      </c>
      <c r="C4779" s="222" t="s">
        <v>2052</v>
      </c>
      <c r="D4779" s="222" t="s">
        <v>1364</v>
      </c>
    </row>
    <row r="4780" spans="1:4" x14ac:dyDescent="0.25">
      <c r="A4780" s="222" t="s">
        <v>2132</v>
      </c>
      <c r="B4780" s="222">
        <v>538268</v>
      </c>
      <c r="C4780" s="222" t="s">
        <v>2131</v>
      </c>
      <c r="D4780" s="222" t="s">
        <v>2130</v>
      </c>
    </row>
    <row r="4781" spans="1:4" x14ac:dyDescent="0.25">
      <c r="A4781" s="222" t="s">
        <v>2129</v>
      </c>
      <c r="B4781" s="222">
        <v>526959</v>
      </c>
      <c r="C4781" s="222" t="s">
        <v>2052</v>
      </c>
      <c r="D4781" s="222" t="s">
        <v>2128</v>
      </c>
    </row>
    <row r="4782" spans="1:4" x14ac:dyDescent="0.25">
      <c r="A4782" s="222" t="s">
        <v>2127</v>
      </c>
      <c r="B4782" s="222">
        <v>526525</v>
      </c>
      <c r="C4782" s="222" t="s">
        <v>2052</v>
      </c>
      <c r="D4782" s="222" t="s">
        <v>1364</v>
      </c>
    </row>
    <row r="4783" spans="1:4" x14ac:dyDescent="0.25">
      <c r="A4783" s="222" t="s">
        <v>2126</v>
      </c>
      <c r="B4783" s="222">
        <v>538451</v>
      </c>
      <c r="C4783" s="222" t="s">
        <v>2052</v>
      </c>
      <c r="D4783" s="222" t="s">
        <v>2108</v>
      </c>
    </row>
    <row r="4784" spans="1:4" x14ac:dyDescent="0.25">
      <c r="A4784" s="222" t="s">
        <v>2125</v>
      </c>
      <c r="B4784" s="222" t="s">
        <v>2052</v>
      </c>
      <c r="C4784" s="222" t="s">
        <v>2124</v>
      </c>
      <c r="D4784" s="222" t="s">
        <v>2050</v>
      </c>
    </row>
    <row r="4785" spans="1:4" x14ac:dyDescent="0.25">
      <c r="A4785" s="222" t="s">
        <v>2123</v>
      </c>
      <c r="B4785" s="222">
        <v>505872</v>
      </c>
      <c r="C4785" s="222" t="s">
        <v>2052</v>
      </c>
      <c r="D4785" s="222" t="s">
        <v>832</v>
      </c>
    </row>
    <row r="4786" spans="1:4" x14ac:dyDescent="0.25">
      <c r="A4786" s="222" t="s">
        <v>2122</v>
      </c>
      <c r="B4786" s="222">
        <v>532616</v>
      </c>
      <c r="C4786" s="222" t="s">
        <v>2121</v>
      </c>
      <c r="D4786" s="222" t="s">
        <v>2120</v>
      </c>
    </row>
    <row r="4787" spans="1:4" x14ac:dyDescent="0.25">
      <c r="A4787" s="222" t="s">
        <v>2119</v>
      </c>
      <c r="B4787" s="222">
        <v>542367</v>
      </c>
      <c r="C4787" s="222" t="s">
        <v>2118</v>
      </c>
      <c r="D4787" s="222" t="s">
        <v>2117</v>
      </c>
    </row>
    <row r="4788" spans="1:4" x14ac:dyDescent="0.25">
      <c r="A4788" s="222" t="s">
        <v>2116</v>
      </c>
      <c r="B4788" s="222">
        <v>532788</v>
      </c>
      <c r="C4788" s="222" t="s">
        <v>2115</v>
      </c>
      <c r="D4788" s="222" t="s">
        <v>2114</v>
      </c>
    </row>
    <row r="4789" spans="1:4" x14ac:dyDescent="0.25">
      <c r="A4789" s="222" t="s">
        <v>2113</v>
      </c>
      <c r="B4789" s="222">
        <v>590013</v>
      </c>
      <c r="C4789" s="222" t="s">
        <v>2112</v>
      </c>
      <c r="D4789" s="222" t="s">
        <v>998</v>
      </c>
    </row>
    <row r="4790" spans="1:4" x14ac:dyDescent="0.25">
      <c r="A4790" s="222" t="s">
        <v>2111</v>
      </c>
      <c r="B4790" s="222">
        <v>590013</v>
      </c>
      <c r="C4790" s="222" t="s">
        <v>2110</v>
      </c>
      <c r="D4790" s="222" t="s">
        <v>998</v>
      </c>
    </row>
    <row r="4791" spans="1:4" x14ac:dyDescent="0.25">
      <c r="A4791" s="222" t="s">
        <v>2109</v>
      </c>
      <c r="B4791" s="222">
        <v>511012</v>
      </c>
      <c r="C4791" s="222" t="s">
        <v>2052</v>
      </c>
      <c r="D4791" s="222" t="s">
        <v>2108</v>
      </c>
    </row>
    <row r="4792" spans="1:4" x14ac:dyDescent="0.25">
      <c r="A4792" s="222" t="s">
        <v>2107</v>
      </c>
      <c r="B4792" s="222">
        <v>514378</v>
      </c>
      <c r="C4792" s="222" t="s">
        <v>2052</v>
      </c>
      <c r="D4792" s="222" t="s">
        <v>1529</v>
      </c>
    </row>
    <row r="4793" spans="1:4" x14ac:dyDescent="0.25">
      <c r="A4793" s="222" t="s">
        <v>2106</v>
      </c>
      <c r="B4793" s="222">
        <v>539939</v>
      </c>
      <c r="C4793" s="222" t="s">
        <v>2052</v>
      </c>
      <c r="D4793" s="222" t="s">
        <v>722</v>
      </c>
    </row>
    <row r="4794" spans="1:4" x14ac:dyDescent="0.25">
      <c r="A4794" s="222" t="s">
        <v>2105</v>
      </c>
      <c r="B4794" s="222">
        <v>511601</v>
      </c>
      <c r="C4794" s="222" t="s">
        <v>2052</v>
      </c>
      <c r="D4794" s="222" t="s">
        <v>1529</v>
      </c>
    </row>
    <row r="4795" spans="1:4" x14ac:dyDescent="0.25">
      <c r="A4795" s="222" t="s">
        <v>2104</v>
      </c>
      <c r="B4795" s="222">
        <v>516030</v>
      </c>
      <c r="C4795" s="222" t="s">
        <v>2052</v>
      </c>
      <c r="D4795" s="222" t="s">
        <v>1972</v>
      </c>
    </row>
    <row r="4796" spans="1:4" x14ac:dyDescent="0.25">
      <c r="A4796" s="222" t="s">
        <v>2103</v>
      </c>
      <c r="B4796" s="222">
        <v>541167</v>
      </c>
      <c r="C4796" s="222" t="s">
        <v>2052</v>
      </c>
      <c r="D4796" s="222" t="s">
        <v>722</v>
      </c>
    </row>
    <row r="4797" spans="1:4" x14ac:dyDescent="0.25">
      <c r="A4797" s="222" t="s">
        <v>2102</v>
      </c>
      <c r="B4797" s="222">
        <v>530063</v>
      </c>
      <c r="C4797" s="222" t="s">
        <v>2052</v>
      </c>
      <c r="D4797" s="222" t="s">
        <v>1447</v>
      </c>
    </row>
    <row r="4798" spans="1:4" x14ac:dyDescent="0.25">
      <c r="A4798" s="222" t="s">
        <v>2101</v>
      </c>
      <c r="B4798" s="222">
        <v>532648</v>
      </c>
      <c r="C4798" s="222" t="s">
        <v>2100</v>
      </c>
      <c r="D4798" s="222" t="s">
        <v>1240</v>
      </c>
    </row>
    <row r="4799" spans="1:4" x14ac:dyDescent="0.25">
      <c r="A4799" s="222" t="s">
        <v>2099</v>
      </c>
      <c r="B4799" s="222">
        <v>531260</v>
      </c>
      <c r="C4799" s="222" t="s">
        <v>2052</v>
      </c>
      <c r="D4799" s="222" t="s">
        <v>1161</v>
      </c>
    </row>
    <row r="4800" spans="1:4" x14ac:dyDescent="0.25">
      <c r="A4800" s="222" t="s">
        <v>2098</v>
      </c>
      <c r="B4800" s="222">
        <v>522209</v>
      </c>
      <c r="C4800" s="222" t="s">
        <v>2052</v>
      </c>
      <c r="D4800" s="222" t="s">
        <v>1262</v>
      </c>
    </row>
    <row r="4801" spans="1:4" x14ac:dyDescent="0.25">
      <c r="A4801" s="222" t="s">
        <v>2097</v>
      </c>
      <c r="B4801" s="222">
        <v>522209</v>
      </c>
      <c r="C4801" s="222" t="s">
        <v>2052</v>
      </c>
      <c r="D4801" s="222" t="s">
        <v>1262</v>
      </c>
    </row>
    <row r="4802" spans="1:4" x14ac:dyDescent="0.25">
      <c r="A4802" s="222" t="s">
        <v>2096</v>
      </c>
      <c r="B4802" s="222">
        <v>539097</v>
      </c>
      <c r="C4802" s="222" t="s">
        <v>2052</v>
      </c>
      <c r="D4802" s="222" t="s">
        <v>1529</v>
      </c>
    </row>
    <row r="4803" spans="1:4" x14ac:dyDescent="0.25">
      <c r="A4803" s="222" t="s">
        <v>2095</v>
      </c>
      <c r="B4803" s="222">
        <v>530675</v>
      </c>
      <c r="C4803" s="222" t="s">
        <v>2052</v>
      </c>
      <c r="D4803" s="222" t="s">
        <v>1364</v>
      </c>
    </row>
    <row r="4804" spans="1:4" x14ac:dyDescent="0.25">
      <c r="A4804" s="222" t="s">
        <v>2094</v>
      </c>
      <c r="B4804" s="222">
        <v>540550</v>
      </c>
      <c r="C4804" s="222" t="s">
        <v>2052</v>
      </c>
      <c r="D4804" s="222" t="s">
        <v>722</v>
      </c>
    </row>
    <row r="4805" spans="1:4" x14ac:dyDescent="0.25">
      <c r="A4805" s="222" t="s">
        <v>2093</v>
      </c>
      <c r="B4805" s="222">
        <v>522108</v>
      </c>
      <c r="C4805" s="222" t="s">
        <v>2052</v>
      </c>
      <c r="D4805" s="222" t="s">
        <v>1306</v>
      </c>
    </row>
    <row r="4806" spans="1:4" x14ac:dyDescent="0.25">
      <c r="A4806" s="222" t="s">
        <v>2092</v>
      </c>
      <c r="B4806" s="222">
        <v>522108</v>
      </c>
      <c r="C4806" s="222" t="s">
        <v>2052</v>
      </c>
      <c r="D4806" s="222" t="s">
        <v>1306</v>
      </c>
    </row>
    <row r="4807" spans="1:4" x14ac:dyDescent="0.25">
      <c r="A4807" s="222" t="s">
        <v>2091</v>
      </c>
      <c r="B4807" s="222">
        <v>536846</v>
      </c>
      <c r="C4807" s="222" t="s">
        <v>2052</v>
      </c>
      <c r="D4807" s="222" t="s">
        <v>1248</v>
      </c>
    </row>
    <row r="4808" spans="1:4" x14ac:dyDescent="0.25">
      <c r="A4808" s="222" t="s">
        <v>2090</v>
      </c>
      <c r="B4808" s="222">
        <v>531663</v>
      </c>
      <c r="C4808" s="222" t="s">
        <v>2089</v>
      </c>
      <c r="D4808" s="222" t="s">
        <v>1184</v>
      </c>
    </row>
    <row r="4809" spans="1:4" x14ac:dyDescent="0.25">
      <c r="A4809" s="222" t="s">
        <v>2088</v>
      </c>
      <c r="B4809" s="222">
        <v>505163</v>
      </c>
      <c r="C4809" s="222" t="s">
        <v>2052</v>
      </c>
      <c r="D4809" s="222" t="s">
        <v>1306</v>
      </c>
    </row>
    <row r="4810" spans="1:4" x14ac:dyDescent="0.25">
      <c r="A4810" s="222" t="s">
        <v>2087</v>
      </c>
      <c r="B4810" s="222">
        <v>505163</v>
      </c>
      <c r="C4810" s="222" t="s">
        <v>2052</v>
      </c>
      <c r="D4810" s="222" t="s">
        <v>1306</v>
      </c>
    </row>
    <row r="4811" spans="1:4" x14ac:dyDescent="0.25">
      <c r="A4811" s="222" t="s">
        <v>2086</v>
      </c>
      <c r="B4811" s="222">
        <v>539963</v>
      </c>
      <c r="C4811" s="222" t="s">
        <v>2052</v>
      </c>
      <c r="D4811" s="222" t="s">
        <v>1083</v>
      </c>
    </row>
    <row r="4812" spans="1:4" x14ac:dyDescent="0.25">
      <c r="A4812" s="222" t="s">
        <v>2085</v>
      </c>
      <c r="B4812" s="222">
        <v>505537</v>
      </c>
      <c r="C4812" s="222" t="s">
        <v>2084</v>
      </c>
      <c r="D4812" s="222" t="s">
        <v>2079</v>
      </c>
    </row>
    <row r="4813" spans="1:4" x14ac:dyDescent="0.25">
      <c r="A4813" s="222" t="s">
        <v>2083</v>
      </c>
      <c r="B4813" s="222">
        <v>533287</v>
      </c>
      <c r="C4813" s="222" t="s">
        <v>2082</v>
      </c>
      <c r="D4813" s="222" t="s">
        <v>854</v>
      </c>
    </row>
    <row r="4814" spans="1:4" x14ac:dyDescent="0.25">
      <c r="A4814" s="222" t="s">
        <v>2081</v>
      </c>
      <c r="B4814" s="222">
        <v>532794</v>
      </c>
      <c r="C4814" s="222" t="s">
        <v>2080</v>
      </c>
      <c r="D4814" s="222" t="s">
        <v>2079</v>
      </c>
    </row>
    <row r="4815" spans="1:4" x14ac:dyDescent="0.25">
      <c r="A4815" s="222" t="s">
        <v>2078</v>
      </c>
      <c r="B4815" s="222">
        <v>533339</v>
      </c>
      <c r="C4815" s="222" t="s">
        <v>2077</v>
      </c>
      <c r="D4815" s="222" t="s">
        <v>1942</v>
      </c>
    </row>
    <row r="4816" spans="1:4" x14ac:dyDescent="0.25">
      <c r="A4816" s="222" t="s">
        <v>2076</v>
      </c>
      <c r="B4816" s="222">
        <v>531845</v>
      </c>
      <c r="C4816" s="222" t="s">
        <v>2074</v>
      </c>
      <c r="D4816" s="222" t="s">
        <v>1248</v>
      </c>
    </row>
    <row r="4817" spans="1:4" x14ac:dyDescent="0.25">
      <c r="A4817" s="222" t="s">
        <v>2075</v>
      </c>
      <c r="B4817" s="222">
        <v>531845</v>
      </c>
      <c r="C4817" s="222" t="s">
        <v>2074</v>
      </c>
      <c r="D4817" s="222" t="s">
        <v>1248</v>
      </c>
    </row>
    <row r="4818" spans="1:4" x14ac:dyDescent="0.25">
      <c r="A4818" s="222" t="s">
        <v>2073</v>
      </c>
      <c r="B4818" s="222">
        <v>512553</v>
      </c>
      <c r="C4818" s="222" t="s">
        <v>2072</v>
      </c>
      <c r="D4818" s="222" t="s">
        <v>1237</v>
      </c>
    </row>
    <row r="4819" spans="1:4" x14ac:dyDescent="0.25">
      <c r="A4819" s="222" t="s">
        <v>2071</v>
      </c>
      <c r="B4819" s="222">
        <v>514266</v>
      </c>
      <c r="C4819" s="222" t="s">
        <v>2052</v>
      </c>
      <c r="D4819" s="222" t="s">
        <v>1237</v>
      </c>
    </row>
    <row r="4820" spans="1:4" x14ac:dyDescent="0.25">
      <c r="A4820" s="222" t="s">
        <v>2070</v>
      </c>
      <c r="B4820" s="222">
        <v>530665</v>
      </c>
      <c r="C4820" s="222" t="s">
        <v>2052</v>
      </c>
      <c r="D4820" s="222" t="s">
        <v>789</v>
      </c>
    </row>
    <row r="4821" spans="1:4" x14ac:dyDescent="0.25">
      <c r="A4821" s="222" t="s">
        <v>2069</v>
      </c>
      <c r="B4821" s="222">
        <v>530697</v>
      </c>
      <c r="C4821" s="222" t="s">
        <v>2052</v>
      </c>
      <c r="D4821" s="222" t="s">
        <v>2068</v>
      </c>
    </row>
    <row r="4822" spans="1:4" x14ac:dyDescent="0.25">
      <c r="A4822" s="222" t="s">
        <v>2067</v>
      </c>
      <c r="B4822" s="222">
        <v>532039</v>
      </c>
      <c r="C4822" s="222" t="s">
        <v>2052</v>
      </c>
      <c r="D4822" s="222" t="s">
        <v>789</v>
      </c>
    </row>
    <row r="4823" spans="1:4" x14ac:dyDescent="0.25">
      <c r="A4823" s="222" t="s">
        <v>2066</v>
      </c>
      <c r="B4823" s="222">
        <v>504067</v>
      </c>
      <c r="C4823" s="222" t="s">
        <v>2065</v>
      </c>
      <c r="D4823" s="222" t="s">
        <v>1265</v>
      </c>
    </row>
    <row r="4824" spans="1:4" x14ac:dyDescent="0.25">
      <c r="A4824" s="222" t="s">
        <v>2064</v>
      </c>
      <c r="B4824" s="222">
        <v>531404</v>
      </c>
      <c r="C4824" s="222" t="s">
        <v>2063</v>
      </c>
      <c r="D4824" s="222" t="s">
        <v>2062</v>
      </c>
    </row>
    <row r="4825" spans="1:4" x14ac:dyDescent="0.25">
      <c r="A4825" s="222" t="s">
        <v>2061</v>
      </c>
      <c r="B4825" s="222">
        <v>541400</v>
      </c>
      <c r="C4825" s="222" t="s">
        <v>2052</v>
      </c>
      <c r="D4825" s="222" t="s">
        <v>789</v>
      </c>
    </row>
    <row r="4826" spans="1:4" x14ac:dyDescent="0.25">
      <c r="A4826" s="222" t="s">
        <v>2060</v>
      </c>
      <c r="B4826" s="222">
        <v>521163</v>
      </c>
      <c r="C4826" s="222" t="s">
        <v>2059</v>
      </c>
      <c r="D4826" s="222" t="s">
        <v>1364</v>
      </c>
    </row>
    <row r="4827" spans="1:4" x14ac:dyDescent="0.25">
      <c r="A4827" s="222" t="s">
        <v>2058</v>
      </c>
      <c r="B4827" s="222" t="s">
        <v>2052</v>
      </c>
      <c r="C4827" s="222" t="s">
        <v>897</v>
      </c>
      <c r="D4827" s="222" t="s">
        <v>2050</v>
      </c>
    </row>
    <row r="4828" spans="1:4" x14ac:dyDescent="0.25">
      <c r="A4828" s="222" t="s">
        <v>2057</v>
      </c>
      <c r="B4828" s="222">
        <v>512587</v>
      </c>
      <c r="C4828" s="222" t="s">
        <v>2056</v>
      </c>
      <c r="D4828" s="222" t="s">
        <v>1364</v>
      </c>
    </row>
    <row r="4829" spans="1:4" x14ac:dyDescent="0.25">
      <c r="A4829" s="222" t="s">
        <v>2055</v>
      </c>
      <c r="B4829" s="222">
        <v>503641</v>
      </c>
      <c r="C4829" s="222" t="s">
        <v>2054</v>
      </c>
      <c r="D4829" s="222" t="s">
        <v>911</v>
      </c>
    </row>
    <row r="4830" spans="1:4" x14ac:dyDescent="0.25">
      <c r="A4830" s="222" t="s">
        <v>2053</v>
      </c>
      <c r="B4830" s="222" t="s">
        <v>2052</v>
      </c>
      <c r="C4830" s="222" t="s">
        <v>2051</v>
      </c>
      <c r="D4830" s="222" t="s">
        <v>2050</v>
      </c>
    </row>
    <row r="4831" spans="1:4" x14ac:dyDescent="0.25">
      <c r="A4831" s="222" t="s">
        <v>2049</v>
      </c>
      <c r="B4831" s="222">
        <v>534742</v>
      </c>
      <c r="C4831" s="222" t="s">
        <v>2048</v>
      </c>
      <c r="D4831" s="222" t="s">
        <v>734</v>
      </c>
    </row>
    <row r="4832" spans="1:4" x14ac:dyDescent="0.25">
      <c r="A4832" s="222" t="s">
        <v>2047</v>
      </c>
      <c r="B4832" s="222">
        <v>500780</v>
      </c>
      <c r="C4832" s="222" t="s">
        <v>2046</v>
      </c>
      <c r="D4832" s="222" t="s">
        <v>734</v>
      </c>
    </row>
    <row r="4833" spans="1:4" x14ac:dyDescent="0.25">
      <c r="A4833" s="222" t="s">
        <v>2045</v>
      </c>
      <c r="B4833" s="222">
        <v>531335</v>
      </c>
      <c r="C4833" s="222" t="s">
        <v>2044</v>
      </c>
      <c r="D4833" s="222" t="s">
        <v>1161</v>
      </c>
    </row>
    <row r="4834" spans="1:4" x14ac:dyDescent="0.25">
      <c r="A4834" s="222" t="s">
        <v>2043</v>
      </c>
      <c r="B4834" s="222">
        <v>532883</v>
      </c>
      <c r="C4834" s="222" t="s">
        <v>2042</v>
      </c>
      <c r="D4834" s="222" t="s">
        <v>1942</v>
      </c>
    </row>
    <row r="4835" spans="1:4" x14ac:dyDescent="0.25">
      <c r="A4835" s="222" t="s">
        <v>2041</v>
      </c>
      <c r="B4835" s="222">
        <v>500202</v>
      </c>
      <c r="C4835" s="222" t="s">
        <v>2040</v>
      </c>
      <c r="D4835" s="222" t="s">
        <v>1321</v>
      </c>
    </row>
    <row r="4836" spans="1:4" x14ac:dyDescent="0.25">
      <c r="A4836" s="222" t="s">
        <v>2039</v>
      </c>
      <c r="B4836" s="222">
        <v>500458</v>
      </c>
      <c r="C4836" s="222" t="s">
        <v>2038</v>
      </c>
      <c r="D4836" s="222" t="s">
        <v>1083</v>
      </c>
    </row>
    <row r="4837" spans="1:4" x14ac:dyDescent="0.25">
      <c r="A4837" s="222" t="s">
        <v>2037</v>
      </c>
      <c r="B4837" s="222">
        <v>501111</v>
      </c>
      <c r="C4837" s="222" t="s">
        <v>2036</v>
      </c>
      <c r="D4837" s="222" t="s">
        <v>1529</v>
      </c>
    </row>
    <row r="4838" spans="1:4" x14ac:dyDescent="0.25">
      <c r="A4838" s="222" t="s">
        <v>2035</v>
      </c>
      <c r="B4838" s="222">
        <v>501151</v>
      </c>
      <c r="C4838" s="222" t="s">
        <v>2034</v>
      </c>
      <c r="D4838" s="222" t="s">
        <v>1262</v>
      </c>
    </row>
    <row r="4839" spans="1:4" x14ac:dyDescent="0.25">
      <c r="A4839" s="222" t="s">
        <v>2033</v>
      </c>
      <c r="B4839" s="222">
        <v>501311</v>
      </c>
      <c r="C4839" s="222" t="s">
        <v>2032</v>
      </c>
      <c r="D4839" s="222" t="s">
        <v>1321</v>
      </c>
    </row>
    <row r="4840" spans="1:4" x14ac:dyDescent="0.25">
      <c r="A4840" s="222" t="s">
        <v>2031</v>
      </c>
      <c r="B4840" s="222">
        <v>501622</v>
      </c>
      <c r="C4840" s="222" t="s">
        <v>2030</v>
      </c>
      <c r="D4840" s="222" t="s">
        <v>845</v>
      </c>
    </row>
    <row r="4841" spans="1:4" x14ac:dyDescent="0.25">
      <c r="A4841" s="222" t="s">
        <v>2029</v>
      </c>
      <c r="B4841" s="222">
        <v>502850</v>
      </c>
      <c r="C4841" s="222" t="s">
        <v>2028</v>
      </c>
      <c r="D4841" s="222" t="s">
        <v>1237</v>
      </c>
    </row>
    <row r="4842" spans="1:4" x14ac:dyDescent="0.25">
      <c r="A4842" s="222" t="s">
        <v>2027</v>
      </c>
      <c r="B4842" s="222">
        <v>503669</v>
      </c>
      <c r="C4842" s="222" t="s">
        <v>2026</v>
      </c>
      <c r="D4842" s="222" t="s">
        <v>845</v>
      </c>
    </row>
    <row r="4843" spans="1:4" x14ac:dyDescent="0.25">
      <c r="A4843" s="222" t="s">
        <v>2025</v>
      </c>
      <c r="B4843" s="222">
        <v>506975</v>
      </c>
      <c r="C4843" s="222" t="s">
        <v>2024</v>
      </c>
      <c r="D4843" s="222" t="s">
        <v>1237</v>
      </c>
    </row>
    <row r="4844" spans="1:4" x14ac:dyDescent="0.25">
      <c r="A4844" s="222" t="s">
        <v>2023</v>
      </c>
      <c r="B4844" s="222">
        <v>508924</v>
      </c>
      <c r="C4844" s="222" t="s">
        <v>2022</v>
      </c>
      <c r="D4844" s="222" t="s">
        <v>845</v>
      </c>
    </row>
    <row r="4845" spans="1:4" x14ac:dyDescent="0.25">
      <c r="A4845" s="222" t="s">
        <v>2021</v>
      </c>
      <c r="B4845" s="222">
        <v>511260</v>
      </c>
      <c r="C4845" s="222" t="s">
        <v>2020</v>
      </c>
      <c r="D4845" s="222" t="s">
        <v>1262</v>
      </c>
    </row>
    <row r="4846" spans="1:4" x14ac:dyDescent="0.25">
      <c r="A4846" s="222" t="s">
        <v>2019</v>
      </c>
      <c r="B4846" s="222">
        <v>511730</v>
      </c>
      <c r="C4846" s="222" t="s">
        <v>2018</v>
      </c>
      <c r="D4846" s="222" t="s">
        <v>1321</v>
      </c>
    </row>
    <row r="4847" spans="1:4" x14ac:dyDescent="0.25">
      <c r="A4847" s="222" t="s">
        <v>2017</v>
      </c>
      <c r="B4847" s="222">
        <v>512221</v>
      </c>
      <c r="C4847" s="222" t="s">
        <v>2016</v>
      </c>
      <c r="D4847" s="222" t="s">
        <v>1321</v>
      </c>
    </row>
    <row r="4848" spans="1:4" x14ac:dyDescent="0.25">
      <c r="A4848" s="222" t="s">
        <v>2015</v>
      </c>
      <c r="B4848" s="222">
        <v>512344</v>
      </c>
      <c r="C4848" s="222" t="s">
        <v>2014</v>
      </c>
      <c r="D4848" s="222" t="s">
        <v>1529</v>
      </c>
    </row>
    <row r="4849" spans="1:4" x14ac:dyDescent="0.25">
      <c r="A4849" s="222" t="s">
        <v>2013</v>
      </c>
      <c r="B4849" s="222">
        <v>512345</v>
      </c>
      <c r="C4849" s="222" t="s">
        <v>2012</v>
      </c>
      <c r="D4849" s="222" t="s">
        <v>1262</v>
      </c>
    </row>
    <row r="4850" spans="1:4" x14ac:dyDescent="0.25">
      <c r="A4850" s="222" t="s">
        <v>2011</v>
      </c>
      <c r="B4850" s="222">
        <v>512479</v>
      </c>
      <c r="C4850" s="222" t="s">
        <v>2010</v>
      </c>
      <c r="D4850" s="222" t="s">
        <v>1243</v>
      </c>
    </row>
    <row r="4851" spans="1:4" x14ac:dyDescent="0.25">
      <c r="A4851" s="222" t="s">
        <v>2009</v>
      </c>
      <c r="B4851" s="222">
        <v>513343</v>
      </c>
      <c r="C4851" s="222" t="s">
        <v>2008</v>
      </c>
      <c r="D4851" s="222" t="s">
        <v>740</v>
      </c>
    </row>
    <row r="4852" spans="1:4" x14ac:dyDescent="0.25">
      <c r="A4852" s="222" t="s">
        <v>2007</v>
      </c>
      <c r="B4852" s="222">
        <v>513418</v>
      </c>
      <c r="C4852" s="222" t="s">
        <v>2006</v>
      </c>
      <c r="D4852" s="222" t="s">
        <v>1313</v>
      </c>
    </row>
    <row r="4853" spans="1:4" x14ac:dyDescent="0.25">
      <c r="A4853" s="222" t="s">
        <v>2005</v>
      </c>
      <c r="B4853" s="222">
        <v>515008</v>
      </c>
      <c r="C4853" s="222" t="s">
        <v>2004</v>
      </c>
      <c r="D4853" s="222" t="s">
        <v>1275</v>
      </c>
    </row>
    <row r="4854" spans="1:4" x14ac:dyDescent="0.25">
      <c r="A4854" s="222" t="s">
        <v>2003</v>
      </c>
      <c r="B4854" s="222">
        <v>517273</v>
      </c>
      <c r="C4854" s="222" t="s">
        <v>2002</v>
      </c>
      <c r="D4854" s="222" t="s">
        <v>1275</v>
      </c>
    </row>
    <row r="4855" spans="1:4" x14ac:dyDescent="0.25">
      <c r="A4855" s="222" t="s">
        <v>2001</v>
      </c>
      <c r="B4855" s="222">
        <v>517360</v>
      </c>
      <c r="C4855" s="222" t="s">
        <v>2000</v>
      </c>
      <c r="D4855" s="222" t="s">
        <v>1529</v>
      </c>
    </row>
    <row r="4856" spans="1:4" x14ac:dyDescent="0.25">
      <c r="A4856" s="222" t="s">
        <v>1999</v>
      </c>
      <c r="B4856" s="222">
        <v>517393</v>
      </c>
      <c r="C4856" s="222" t="s">
        <v>1998</v>
      </c>
      <c r="D4856" s="222" t="s">
        <v>1997</v>
      </c>
    </row>
    <row r="4857" spans="1:4" x14ac:dyDescent="0.25">
      <c r="A4857" s="222" t="s">
        <v>1996</v>
      </c>
      <c r="B4857" s="222">
        <v>519397</v>
      </c>
      <c r="C4857" s="222" t="s">
        <v>1995</v>
      </c>
      <c r="D4857" s="222" t="s">
        <v>1161</v>
      </c>
    </row>
    <row r="4858" spans="1:4" x14ac:dyDescent="0.25">
      <c r="A4858" s="222" t="s">
        <v>1994</v>
      </c>
      <c r="B4858" s="222">
        <v>519500</v>
      </c>
      <c r="C4858" s="222" t="s">
        <v>1993</v>
      </c>
      <c r="D4858" s="222" t="s">
        <v>1161</v>
      </c>
    </row>
    <row r="4859" spans="1:4" x14ac:dyDescent="0.25">
      <c r="A4859" s="222" t="s">
        <v>1992</v>
      </c>
      <c r="B4859" s="222">
        <v>522171</v>
      </c>
      <c r="C4859" s="222" t="s">
        <v>1991</v>
      </c>
      <c r="D4859" s="222" t="s">
        <v>832</v>
      </c>
    </row>
    <row r="4860" spans="1:4" x14ac:dyDescent="0.25">
      <c r="A4860" s="222" t="s">
        <v>1990</v>
      </c>
      <c r="B4860" s="222">
        <v>524572</v>
      </c>
      <c r="C4860" s="222" t="s">
        <v>1989</v>
      </c>
      <c r="D4860" s="222" t="s">
        <v>789</v>
      </c>
    </row>
    <row r="4861" spans="1:4" x14ac:dyDescent="0.25">
      <c r="A4861" s="222" t="s">
        <v>1988</v>
      </c>
      <c r="B4861" s="222">
        <v>526211</v>
      </c>
      <c r="C4861" s="222" t="s">
        <v>1987</v>
      </c>
      <c r="D4861" s="222" t="s">
        <v>1963</v>
      </c>
    </row>
    <row r="4862" spans="1:4" x14ac:dyDescent="0.25">
      <c r="A4862" s="222" t="s">
        <v>1986</v>
      </c>
      <c r="B4862" s="222">
        <v>526638</v>
      </c>
      <c r="C4862" s="222" t="s">
        <v>1985</v>
      </c>
      <c r="D4862" s="222" t="s">
        <v>1251</v>
      </c>
    </row>
    <row r="4863" spans="1:4" x14ac:dyDescent="0.25">
      <c r="A4863" s="222" t="s">
        <v>1984</v>
      </c>
      <c r="B4863" s="222">
        <v>530291</v>
      </c>
      <c r="C4863" s="222" t="s">
        <v>1983</v>
      </c>
      <c r="D4863" s="222" t="s">
        <v>1963</v>
      </c>
    </row>
    <row r="4864" spans="1:4" x14ac:dyDescent="0.25">
      <c r="A4864" s="222" t="s">
        <v>1982</v>
      </c>
      <c r="B4864" s="222">
        <v>530439</v>
      </c>
      <c r="C4864" s="222" t="s">
        <v>1981</v>
      </c>
      <c r="D4864" s="222" t="s">
        <v>1321</v>
      </c>
    </row>
    <row r="4865" spans="1:4" x14ac:dyDescent="0.25">
      <c r="A4865" s="222" t="s">
        <v>1980</v>
      </c>
      <c r="B4865" s="222">
        <v>530443</v>
      </c>
      <c r="C4865" s="222" t="s">
        <v>1979</v>
      </c>
      <c r="D4865" s="222" t="s">
        <v>1237</v>
      </c>
    </row>
    <row r="4866" spans="1:4" x14ac:dyDescent="0.25">
      <c r="A4866" s="222" t="s">
        <v>1978</v>
      </c>
      <c r="B4866" s="222">
        <v>531205</v>
      </c>
      <c r="C4866" s="222" t="s">
        <v>1977</v>
      </c>
      <c r="D4866" s="222" t="s">
        <v>1529</v>
      </c>
    </row>
    <row r="4867" spans="1:4" x14ac:dyDescent="0.25">
      <c r="A4867" s="222" t="s">
        <v>1976</v>
      </c>
      <c r="B4867" s="222">
        <v>531225</v>
      </c>
      <c r="C4867" s="222" t="s">
        <v>1975</v>
      </c>
      <c r="D4867" s="222" t="s">
        <v>1942</v>
      </c>
    </row>
    <row r="4868" spans="1:4" x14ac:dyDescent="0.25">
      <c r="A4868" s="222" t="s">
        <v>1974</v>
      </c>
      <c r="B4868" s="222">
        <v>531436</v>
      </c>
      <c r="C4868" s="222" t="s">
        <v>1973</v>
      </c>
      <c r="D4868" s="222" t="s">
        <v>1972</v>
      </c>
    </row>
    <row r="4869" spans="1:4" x14ac:dyDescent="0.25">
      <c r="A4869" s="222" t="s">
        <v>1971</v>
      </c>
      <c r="B4869" s="222">
        <v>531621</v>
      </c>
      <c r="C4869" s="222" t="s">
        <v>1970</v>
      </c>
      <c r="D4869" s="222" t="s">
        <v>1278</v>
      </c>
    </row>
    <row r="4870" spans="1:4" x14ac:dyDescent="0.25">
      <c r="A4870" s="222" t="s">
        <v>1969</v>
      </c>
      <c r="B4870" s="222">
        <v>531944</v>
      </c>
      <c r="C4870" s="222" t="s">
        <v>1968</v>
      </c>
      <c r="D4870" s="222" t="s">
        <v>832</v>
      </c>
    </row>
    <row r="4871" spans="1:4" x14ac:dyDescent="0.25">
      <c r="A4871" s="222" t="s">
        <v>1967</v>
      </c>
      <c r="B4871" s="222">
        <v>532138</v>
      </c>
      <c r="C4871" s="222" t="s">
        <v>1966</v>
      </c>
      <c r="D4871" s="222" t="s">
        <v>1321</v>
      </c>
    </row>
    <row r="4872" spans="1:4" x14ac:dyDescent="0.25">
      <c r="A4872" s="222" t="s">
        <v>1965</v>
      </c>
      <c r="B4872" s="222">
        <v>533093</v>
      </c>
      <c r="C4872" s="222" t="s">
        <v>1964</v>
      </c>
      <c r="D4872" s="222" t="s">
        <v>1963</v>
      </c>
    </row>
    <row r="4873" spans="1:4" x14ac:dyDescent="0.25">
      <c r="A4873" s="222" t="s">
        <v>1962</v>
      </c>
      <c r="B4873" s="222">
        <v>533570</v>
      </c>
      <c r="C4873" s="222" t="s">
        <v>1961</v>
      </c>
      <c r="D4873" s="222" t="s">
        <v>195</v>
      </c>
    </row>
    <row r="4874" spans="1:4" x14ac:dyDescent="0.25">
      <c r="A4874" s="222" t="s">
        <v>1960</v>
      </c>
      <c r="B4874" s="222">
        <v>533719</v>
      </c>
      <c r="C4874" s="222" t="s">
        <v>1959</v>
      </c>
      <c r="D4874" s="222" t="s">
        <v>195</v>
      </c>
    </row>
    <row r="4875" spans="1:4" x14ac:dyDescent="0.25">
      <c r="A4875" s="222" t="s">
        <v>1958</v>
      </c>
      <c r="B4875" s="222">
        <v>535276</v>
      </c>
      <c r="C4875" s="222" t="s">
        <v>1957</v>
      </c>
      <c r="D4875" s="222" t="s">
        <v>195</v>
      </c>
    </row>
    <row r="4876" spans="1:4" x14ac:dyDescent="0.25">
      <c r="A4876" s="222" t="s">
        <v>1956</v>
      </c>
      <c r="B4876" s="222">
        <v>536960</v>
      </c>
      <c r="C4876" s="222" t="s">
        <v>1955</v>
      </c>
      <c r="D4876" s="222" t="s">
        <v>195</v>
      </c>
    </row>
    <row r="4877" spans="1:4" x14ac:dyDescent="0.25">
      <c r="A4877" s="222" t="s">
        <v>1954</v>
      </c>
      <c r="B4877" s="222">
        <v>537007</v>
      </c>
      <c r="C4877" s="222" t="s">
        <v>1953</v>
      </c>
      <c r="D4877" s="222" t="s">
        <v>195</v>
      </c>
    </row>
    <row r="4878" spans="1:4" x14ac:dyDescent="0.25">
      <c r="A4878" s="222" t="s">
        <v>1952</v>
      </c>
      <c r="B4878" s="222">
        <v>537008</v>
      </c>
      <c r="C4878" s="222" t="s">
        <v>1951</v>
      </c>
      <c r="D4878" s="222" t="s">
        <v>195</v>
      </c>
    </row>
    <row r="4879" spans="1:4" x14ac:dyDescent="0.25">
      <c r="A4879" s="222" t="s">
        <v>1950</v>
      </c>
      <c r="B4879" s="222">
        <v>537483</v>
      </c>
      <c r="C4879" s="222" t="s">
        <v>1949</v>
      </c>
      <c r="D4879" s="222" t="s">
        <v>195</v>
      </c>
    </row>
    <row r="4880" spans="1:4" x14ac:dyDescent="0.25">
      <c r="A4880" s="222" t="s">
        <v>1948</v>
      </c>
      <c r="B4880" s="222">
        <v>537708</v>
      </c>
      <c r="C4880" s="222" t="s">
        <v>1947</v>
      </c>
      <c r="D4880" s="222" t="s">
        <v>195</v>
      </c>
    </row>
    <row r="4881" spans="1:4" x14ac:dyDescent="0.25">
      <c r="A4881" s="222" t="s">
        <v>1946</v>
      </c>
      <c r="B4881" s="222">
        <v>538057</v>
      </c>
      <c r="C4881" s="222" t="s">
        <v>1945</v>
      </c>
      <c r="D4881" s="222" t="s">
        <v>195</v>
      </c>
    </row>
    <row r="4882" spans="1:4" x14ac:dyDescent="0.25">
      <c r="A4882" s="222" t="s">
        <v>1944</v>
      </c>
      <c r="B4882" s="222">
        <v>538273</v>
      </c>
      <c r="C4882" s="222" t="s">
        <v>1943</v>
      </c>
      <c r="D4882" s="222" t="s">
        <v>1942</v>
      </c>
    </row>
    <row r="4883" spans="1:4" x14ac:dyDescent="0.25">
      <c r="A4883" s="222" t="s">
        <v>1941</v>
      </c>
      <c r="B4883" s="222">
        <v>538452</v>
      </c>
      <c r="C4883" s="222" t="s">
        <v>1940</v>
      </c>
      <c r="D4883" s="222" t="s">
        <v>1529</v>
      </c>
    </row>
    <row r="4884" spans="1:4" x14ac:dyDescent="0.25">
      <c r="A4884" s="222" t="s">
        <v>1939</v>
      </c>
      <c r="B4884" s="222">
        <v>538501</v>
      </c>
      <c r="C4884" s="222" t="s">
        <v>1938</v>
      </c>
      <c r="D4884" s="222" t="s">
        <v>195</v>
      </c>
    </row>
    <row r="4885" spans="1:4" x14ac:dyDescent="0.25">
      <c r="A4885" s="222" t="s">
        <v>1937</v>
      </c>
      <c r="B4885" s="222">
        <v>538502</v>
      </c>
      <c r="C4885" s="222" t="s">
        <v>1936</v>
      </c>
      <c r="D4885" s="222" t="s">
        <v>195</v>
      </c>
    </row>
    <row r="4886" spans="1:4" x14ac:dyDescent="0.25">
      <c r="A4886" s="222" t="s">
        <v>1935</v>
      </c>
      <c r="B4886" s="222">
        <v>538577</v>
      </c>
      <c r="C4886" s="222" t="s">
        <v>1934</v>
      </c>
      <c r="D4886" s="222" t="s">
        <v>195</v>
      </c>
    </row>
    <row r="4887" spans="1:4" x14ac:dyDescent="0.25">
      <c r="A4887" s="222" t="s">
        <v>1933</v>
      </c>
      <c r="B4887" s="222">
        <v>538578</v>
      </c>
      <c r="C4887" s="222" t="s">
        <v>1932</v>
      </c>
      <c r="D4887" s="222" t="s">
        <v>195</v>
      </c>
    </row>
    <row r="4888" spans="1:4" x14ac:dyDescent="0.25">
      <c r="A4888" s="222" t="s">
        <v>1931</v>
      </c>
      <c r="B4888" s="222">
        <v>538646</v>
      </c>
      <c r="C4888" s="222" t="s">
        <v>1930</v>
      </c>
      <c r="D4888" s="222" t="s">
        <v>1321</v>
      </c>
    </row>
    <row r="4889" spans="1:4" x14ac:dyDescent="0.25">
      <c r="A4889" s="222" t="s">
        <v>1929</v>
      </c>
      <c r="B4889" s="222">
        <v>538683</v>
      </c>
      <c r="C4889" s="222" t="s">
        <v>1928</v>
      </c>
      <c r="D4889" s="222" t="s">
        <v>195</v>
      </c>
    </row>
    <row r="4890" spans="1:4" x14ac:dyDescent="0.25">
      <c r="A4890" s="222" t="s">
        <v>1927</v>
      </c>
      <c r="B4890" s="222">
        <v>538728</v>
      </c>
      <c r="C4890" s="222" t="s">
        <v>1926</v>
      </c>
      <c r="D4890" s="222" t="s">
        <v>195</v>
      </c>
    </row>
    <row r="4891" spans="1:4" x14ac:dyDescent="0.25">
      <c r="A4891" s="222" t="s">
        <v>1925</v>
      </c>
      <c r="B4891" s="222">
        <v>538729</v>
      </c>
      <c r="C4891" s="222" t="s">
        <v>1924</v>
      </c>
      <c r="D4891" s="222" t="s">
        <v>195</v>
      </c>
    </row>
    <row r="4892" spans="1:4" x14ac:dyDescent="0.25">
      <c r="A4892" s="222" t="s">
        <v>1923</v>
      </c>
      <c r="B4892" s="222">
        <v>538808</v>
      </c>
      <c r="C4892" s="222" t="s">
        <v>1922</v>
      </c>
      <c r="D4892" s="222" t="s">
        <v>195</v>
      </c>
    </row>
    <row r="4893" spans="1:4" x14ac:dyDescent="0.25">
      <c r="A4893" s="222" t="s">
        <v>1921</v>
      </c>
      <c r="B4893" s="222">
        <v>538809</v>
      </c>
      <c r="C4893" s="222" t="s">
        <v>1920</v>
      </c>
      <c r="D4893" s="222" t="s">
        <v>195</v>
      </c>
    </row>
    <row r="4894" spans="1:4" x14ac:dyDescent="0.25">
      <c r="A4894" s="222" t="s">
        <v>1919</v>
      </c>
      <c r="B4894" s="222">
        <v>538810</v>
      </c>
      <c r="C4894" s="222" t="s">
        <v>1918</v>
      </c>
      <c r="D4894" s="222" t="s">
        <v>195</v>
      </c>
    </row>
    <row r="4895" spans="1:4" x14ac:dyDescent="0.25">
      <c r="A4895" s="222" t="s">
        <v>1917</v>
      </c>
      <c r="B4895" s="222">
        <v>538811</v>
      </c>
      <c r="C4895" s="222" t="s">
        <v>1916</v>
      </c>
      <c r="D4895" s="222" t="s">
        <v>195</v>
      </c>
    </row>
    <row r="4896" spans="1:4" x14ac:dyDescent="0.25">
      <c r="A4896" s="222" t="s">
        <v>1915</v>
      </c>
      <c r="B4896" s="222">
        <v>539031</v>
      </c>
      <c r="C4896" s="222" t="s">
        <v>1914</v>
      </c>
      <c r="D4896" s="222" t="s">
        <v>195</v>
      </c>
    </row>
    <row r="4897" spans="1:4" x14ac:dyDescent="0.25">
      <c r="A4897" s="222" t="s">
        <v>1913</v>
      </c>
      <c r="B4897" s="222">
        <v>539090</v>
      </c>
      <c r="C4897" s="222" t="s">
        <v>1912</v>
      </c>
      <c r="D4897" s="222" t="s">
        <v>1321</v>
      </c>
    </row>
    <row r="4898" spans="1:4" x14ac:dyDescent="0.25">
      <c r="A4898" s="222" t="s">
        <v>1911</v>
      </c>
      <c r="B4898" s="222">
        <v>539142</v>
      </c>
      <c r="C4898" s="222" t="s">
        <v>1910</v>
      </c>
      <c r="D4898" s="222" t="s">
        <v>195</v>
      </c>
    </row>
    <row r="4899" spans="1:4" x14ac:dyDescent="0.25">
      <c r="A4899" s="222" t="s">
        <v>1909</v>
      </c>
      <c r="B4899" s="222">
        <v>539274</v>
      </c>
      <c r="C4899" s="222" t="s">
        <v>1908</v>
      </c>
      <c r="D4899" s="222" t="s">
        <v>1321</v>
      </c>
    </row>
    <row r="4900" spans="1:4" x14ac:dyDescent="0.25">
      <c r="A4900" s="222" t="s">
        <v>1907</v>
      </c>
      <c r="B4900" s="222">
        <v>539312</v>
      </c>
      <c r="C4900" s="222" t="s">
        <v>1906</v>
      </c>
      <c r="D4900" s="222" t="s">
        <v>195</v>
      </c>
    </row>
    <row r="4901" spans="1:4" x14ac:dyDescent="0.25">
      <c r="A4901" s="222" t="s">
        <v>1905</v>
      </c>
      <c r="B4901" s="222">
        <v>539313</v>
      </c>
      <c r="C4901" s="222" t="s">
        <v>1904</v>
      </c>
      <c r="D4901" s="222" t="s">
        <v>195</v>
      </c>
    </row>
    <row r="4902" spans="1:4" x14ac:dyDescent="0.25">
      <c r="A4902" s="222" t="s">
        <v>1903</v>
      </c>
      <c r="B4902" s="222">
        <v>539480</v>
      </c>
      <c r="C4902" s="222" t="s">
        <v>1902</v>
      </c>
      <c r="D4902" s="222" t="s">
        <v>195</v>
      </c>
    </row>
    <row r="4903" spans="1:4" x14ac:dyDescent="0.25">
      <c r="A4903" s="222" t="s">
        <v>1901</v>
      </c>
      <c r="B4903" s="222">
        <v>539487</v>
      </c>
      <c r="C4903" s="222" t="s">
        <v>1900</v>
      </c>
      <c r="D4903" s="222" t="s">
        <v>195</v>
      </c>
    </row>
    <row r="4904" spans="1:4" x14ac:dyDescent="0.25">
      <c r="A4904" s="222" t="s">
        <v>1899</v>
      </c>
      <c r="B4904" s="222">
        <v>539516</v>
      </c>
      <c r="C4904" s="222" t="s">
        <v>1898</v>
      </c>
      <c r="D4904" s="222" t="s">
        <v>195</v>
      </c>
    </row>
    <row r="4905" spans="1:4" x14ac:dyDescent="0.25">
      <c r="A4905" s="222" t="s">
        <v>1897</v>
      </c>
      <c r="B4905" s="222">
        <v>539517</v>
      </c>
      <c r="C4905" s="222" t="s">
        <v>1896</v>
      </c>
      <c r="D4905" s="222" t="s">
        <v>195</v>
      </c>
    </row>
    <row r="4906" spans="1:4" x14ac:dyDescent="0.25">
      <c r="A4906" s="222" t="s">
        <v>1895</v>
      </c>
      <c r="B4906" s="222">
        <v>539561</v>
      </c>
      <c r="C4906" s="222" t="s">
        <v>1894</v>
      </c>
      <c r="D4906" s="222" t="s">
        <v>1529</v>
      </c>
    </row>
    <row r="4907" spans="1:4" x14ac:dyDescent="0.25">
      <c r="A4907" s="222" t="s">
        <v>1893</v>
      </c>
      <c r="B4907" s="222">
        <v>539784</v>
      </c>
      <c r="C4907" s="222" t="s">
        <v>1892</v>
      </c>
      <c r="D4907" s="222" t="s">
        <v>195</v>
      </c>
    </row>
    <row r="4908" spans="1:4" x14ac:dyDescent="0.25">
      <c r="A4908" s="222" t="s">
        <v>1891</v>
      </c>
      <c r="B4908" s="222">
        <v>539945</v>
      </c>
      <c r="C4908" s="222" t="s">
        <v>1890</v>
      </c>
      <c r="D4908" s="222" t="s">
        <v>195</v>
      </c>
    </row>
    <row r="4909" spans="1:4" x14ac:dyDescent="0.25">
      <c r="A4909" s="222" t="s">
        <v>1889</v>
      </c>
      <c r="B4909" s="222">
        <v>539980</v>
      </c>
      <c r="C4909" s="222" t="s">
        <v>1888</v>
      </c>
      <c r="D4909" s="222" t="s">
        <v>195</v>
      </c>
    </row>
    <row r="4910" spans="1:4" x14ac:dyDescent="0.25">
      <c r="A4910" s="222" t="s">
        <v>1887</v>
      </c>
      <c r="B4910" s="222">
        <v>540008</v>
      </c>
      <c r="C4910" s="222" t="s">
        <v>1886</v>
      </c>
      <c r="D4910" s="222" t="s">
        <v>195</v>
      </c>
    </row>
    <row r="4911" spans="1:4" x14ac:dyDescent="0.25">
      <c r="A4911" s="222" t="s">
        <v>1885</v>
      </c>
      <c r="B4911" s="222">
        <v>540154</v>
      </c>
      <c r="C4911" s="222" t="s">
        <v>1884</v>
      </c>
      <c r="D4911" s="222" t="s">
        <v>195</v>
      </c>
    </row>
    <row r="4912" spans="1:4" x14ac:dyDescent="0.25">
      <c r="A4912" s="222" t="s">
        <v>1883</v>
      </c>
      <c r="B4912" s="222">
        <v>540333</v>
      </c>
      <c r="C4912" s="222" t="s">
        <v>1882</v>
      </c>
      <c r="D4912" s="222" t="s">
        <v>195</v>
      </c>
    </row>
    <row r="4913" spans="1:4" x14ac:dyDescent="0.25">
      <c r="A4913" s="222" t="s">
        <v>1881</v>
      </c>
      <c r="B4913" s="222">
        <v>540334</v>
      </c>
      <c r="C4913" s="222" t="s">
        <v>1880</v>
      </c>
      <c r="D4913" s="222" t="s">
        <v>195</v>
      </c>
    </row>
    <row r="4914" spans="1:4" x14ac:dyDescent="0.25">
      <c r="A4914" s="222" t="s">
        <v>1879</v>
      </c>
      <c r="B4914" s="222">
        <v>540335</v>
      </c>
      <c r="C4914" s="222" t="s">
        <v>1878</v>
      </c>
      <c r="D4914" s="222" t="s">
        <v>195</v>
      </c>
    </row>
    <row r="4915" spans="1:4" x14ac:dyDescent="0.25">
      <c r="A4915" s="222" t="s">
        <v>1877</v>
      </c>
      <c r="B4915" s="222">
        <v>540336</v>
      </c>
      <c r="C4915" s="222" t="s">
        <v>1876</v>
      </c>
      <c r="D4915" s="222" t="s">
        <v>195</v>
      </c>
    </row>
    <row r="4916" spans="1:4" x14ac:dyDescent="0.25">
      <c r="A4916" s="222" t="s">
        <v>1875</v>
      </c>
      <c r="B4916" s="222">
        <v>540469</v>
      </c>
      <c r="C4916" s="222" t="s">
        <v>1874</v>
      </c>
      <c r="D4916" s="222" t="s">
        <v>195</v>
      </c>
    </row>
    <row r="4917" spans="1:4" x14ac:dyDescent="0.25">
      <c r="A4917" s="222" t="s">
        <v>1873</v>
      </c>
      <c r="B4917" s="222">
        <v>540470</v>
      </c>
      <c r="C4917" s="222" t="s">
        <v>1872</v>
      </c>
      <c r="D4917" s="222" t="s">
        <v>195</v>
      </c>
    </row>
    <row r="4918" spans="1:4" x14ac:dyDescent="0.25">
      <c r="A4918" s="222" t="s">
        <v>1871</v>
      </c>
      <c r="B4918" s="222">
        <v>540538</v>
      </c>
      <c r="C4918" s="222" t="s">
        <v>1870</v>
      </c>
      <c r="D4918" s="222" t="s">
        <v>195</v>
      </c>
    </row>
    <row r="4919" spans="1:4" x14ac:dyDescent="0.25">
      <c r="A4919" s="222" t="s">
        <v>1869</v>
      </c>
      <c r="B4919" s="222">
        <v>540539</v>
      </c>
      <c r="C4919" s="222" t="s">
        <v>1868</v>
      </c>
      <c r="D4919" s="222" t="s">
        <v>195</v>
      </c>
    </row>
    <row r="4920" spans="1:4" x14ac:dyDescent="0.25">
      <c r="A4920" s="222" t="s">
        <v>1867</v>
      </c>
      <c r="B4920" s="222">
        <v>540551</v>
      </c>
      <c r="C4920" s="222" t="s">
        <v>1866</v>
      </c>
      <c r="D4920" s="222" t="s">
        <v>195</v>
      </c>
    </row>
    <row r="4921" spans="1:4" x14ac:dyDescent="0.25">
      <c r="A4921" s="222" t="s">
        <v>1865</v>
      </c>
      <c r="B4921" s="222">
        <v>540552</v>
      </c>
      <c r="C4921" s="222" t="s">
        <v>1864</v>
      </c>
      <c r="D4921" s="222" t="s">
        <v>195</v>
      </c>
    </row>
    <row r="4922" spans="1:4" x14ac:dyDescent="0.25">
      <c r="A4922" s="222" t="s">
        <v>1863</v>
      </c>
      <c r="B4922" s="222">
        <v>540586</v>
      </c>
      <c r="C4922" s="222" t="s">
        <v>1862</v>
      </c>
      <c r="D4922" s="222" t="s">
        <v>195</v>
      </c>
    </row>
    <row r="4923" spans="1:4" x14ac:dyDescent="0.25">
      <c r="A4923" s="222" t="s">
        <v>1861</v>
      </c>
      <c r="B4923" s="222">
        <v>540587</v>
      </c>
      <c r="C4923" s="222" t="s">
        <v>1860</v>
      </c>
      <c r="D4923" s="222" t="s">
        <v>195</v>
      </c>
    </row>
    <row r="4924" spans="1:4" x14ac:dyDescent="0.25">
      <c r="A4924" s="222" t="s">
        <v>1859</v>
      </c>
      <c r="B4924" s="222">
        <v>540588</v>
      </c>
      <c r="C4924" s="222" t="s">
        <v>1858</v>
      </c>
      <c r="D4924" s="222" t="s">
        <v>195</v>
      </c>
    </row>
    <row r="4925" spans="1:4" x14ac:dyDescent="0.25">
      <c r="A4925" s="222" t="s">
        <v>1857</v>
      </c>
      <c r="B4925" s="222">
        <v>540589</v>
      </c>
      <c r="C4925" s="222" t="s">
        <v>1856</v>
      </c>
      <c r="D4925" s="222" t="s">
        <v>195</v>
      </c>
    </row>
    <row r="4926" spans="1:4" x14ac:dyDescent="0.25">
      <c r="A4926" s="222" t="s">
        <v>1855</v>
      </c>
      <c r="B4926" s="222">
        <v>540591</v>
      </c>
      <c r="C4926" s="222" t="s">
        <v>1854</v>
      </c>
      <c r="D4926" s="222" t="s">
        <v>195</v>
      </c>
    </row>
    <row r="4927" spans="1:4" x14ac:dyDescent="0.25">
      <c r="A4927" s="222" t="s">
        <v>1853</v>
      </c>
      <c r="B4927" s="222">
        <v>540592</v>
      </c>
      <c r="C4927" s="222" t="s">
        <v>1852</v>
      </c>
      <c r="D4927" s="222" t="s">
        <v>195</v>
      </c>
    </row>
    <row r="4928" spans="1:4" x14ac:dyDescent="0.25">
      <c r="A4928" s="222" t="s">
        <v>1851</v>
      </c>
      <c r="B4928" s="222">
        <v>540593</v>
      </c>
      <c r="C4928" s="222" t="s">
        <v>1850</v>
      </c>
      <c r="D4928" s="222" t="s">
        <v>195</v>
      </c>
    </row>
    <row r="4929" spans="1:4" x14ac:dyDescent="0.25">
      <c r="A4929" s="222" t="s">
        <v>1849</v>
      </c>
      <c r="B4929" s="222">
        <v>540594</v>
      </c>
      <c r="C4929" s="222" t="s">
        <v>1848</v>
      </c>
      <c r="D4929" s="222" t="s">
        <v>195</v>
      </c>
    </row>
    <row r="4930" spans="1:4" x14ac:dyDescent="0.25">
      <c r="A4930" s="222" t="s">
        <v>1847</v>
      </c>
      <c r="B4930" s="222">
        <v>540612</v>
      </c>
      <c r="C4930" s="222" t="s">
        <v>1846</v>
      </c>
      <c r="D4930" s="222" t="s">
        <v>195</v>
      </c>
    </row>
    <row r="4931" spans="1:4" x14ac:dyDescent="0.25">
      <c r="A4931" s="222" t="s">
        <v>1845</v>
      </c>
      <c r="B4931" s="222">
        <v>540617</v>
      </c>
      <c r="C4931" s="222" t="s">
        <v>1844</v>
      </c>
      <c r="D4931" s="222" t="s">
        <v>195</v>
      </c>
    </row>
    <row r="4932" spans="1:4" x14ac:dyDescent="0.25">
      <c r="A4932" s="222" t="s">
        <v>1843</v>
      </c>
      <c r="B4932" s="222">
        <v>540618</v>
      </c>
      <c r="C4932" s="222" t="s">
        <v>1842</v>
      </c>
      <c r="D4932" s="222" t="s">
        <v>195</v>
      </c>
    </row>
    <row r="4933" spans="1:4" x14ac:dyDescent="0.25">
      <c r="A4933" s="222" t="s">
        <v>1841</v>
      </c>
      <c r="B4933" s="222">
        <v>540619</v>
      </c>
      <c r="C4933" s="222" t="s">
        <v>1840</v>
      </c>
      <c r="D4933" s="222" t="s">
        <v>195</v>
      </c>
    </row>
    <row r="4934" spans="1:4" x14ac:dyDescent="0.25">
      <c r="A4934" s="222" t="s">
        <v>1839</v>
      </c>
      <c r="B4934" s="222">
        <v>540620</v>
      </c>
      <c r="C4934" s="222" t="s">
        <v>1838</v>
      </c>
      <c r="D4934" s="222" t="s">
        <v>195</v>
      </c>
    </row>
    <row r="4935" spans="1:4" x14ac:dyDescent="0.25">
      <c r="A4935" s="222" t="s">
        <v>1837</v>
      </c>
      <c r="B4935" s="222">
        <v>540626</v>
      </c>
      <c r="C4935" s="222" t="s">
        <v>1836</v>
      </c>
      <c r="D4935" s="222" t="s">
        <v>195</v>
      </c>
    </row>
    <row r="4936" spans="1:4" x14ac:dyDescent="0.25">
      <c r="A4936" s="222" t="s">
        <v>1835</v>
      </c>
      <c r="B4936" s="222">
        <v>540627</v>
      </c>
      <c r="C4936" s="222" t="s">
        <v>1834</v>
      </c>
      <c r="D4936" s="222" t="s">
        <v>195</v>
      </c>
    </row>
    <row r="4937" spans="1:4" x14ac:dyDescent="0.25">
      <c r="A4937" s="222" t="s">
        <v>1833</v>
      </c>
      <c r="B4937" s="222">
        <v>540629</v>
      </c>
      <c r="C4937" s="222" t="s">
        <v>1832</v>
      </c>
      <c r="D4937" s="222" t="s">
        <v>195</v>
      </c>
    </row>
    <row r="4938" spans="1:4" x14ac:dyDescent="0.25">
      <c r="A4938" s="222" t="s">
        <v>1831</v>
      </c>
      <c r="B4938" s="222">
        <v>540631</v>
      </c>
      <c r="C4938" s="222" t="s">
        <v>1830</v>
      </c>
      <c r="D4938" s="222" t="s">
        <v>195</v>
      </c>
    </row>
    <row r="4939" spans="1:4" x14ac:dyDescent="0.25">
      <c r="A4939" s="222" t="s">
        <v>1829</v>
      </c>
      <c r="B4939" s="222">
        <v>540634</v>
      </c>
      <c r="C4939" s="222" t="s">
        <v>1828</v>
      </c>
      <c r="D4939" s="222" t="s">
        <v>195</v>
      </c>
    </row>
    <row r="4940" spans="1:4" x14ac:dyDescent="0.25">
      <c r="A4940" s="222" t="s">
        <v>1827</v>
      </c>
      <c r="B4940" s="222">
        <v>540635</v>
      </c>
      <c r="C4940" s="222" t="s">
        <v>1826</v>
      </c>
      <c r="D4940" s="222" t="s">
        <v>195</v>
      </c>
    </row>
    <row r="4941" spans="1:4" x14ac:dyDescent="0.25">
      <c r="A4941" s="222" t="s">
        <v>1825</v>
      </c>
      <c r="B4941" s="222">
        <v>540636</v>
      </c>
      <c r="C4941" s="222" t="s">
        <v>1824</v>
      </c>
      <c r="D4941" s="222" t="s">
        <v>195</v>
      </c>
    </row>
    <row r="4942" spans="1:4" x14ac:dyDescent="0.25">
      <c r="A4942" s="222" t="s">
        <v>1823</v>
      </c>
      <c r="B4942" s="222">
        <v>540637</v>
      </c>
      <c r="C4942" s="222" t="s">
        <v>1822</v>
      </c>
      <c r="D4942" s="222" t="s">
        <v>195</v>
      </c>
    </row>
    <row r="4943" spans="1:4" x14ac:dyDescent="0.25">
      <c r="A4943" s="222" t="s">
        <v>1821</v>
      </c>
      <c r="B4943" s="222">
        <v>540669</v>
      </c>
      <c r="C4943" s="222" t="s">
        <v>1820</v>
      </c>
      <c r="D4943" s="222" t="s">
        <v>195</v>
      </c>
    </row>
    <row r="4944" spans="1:4" x14ac:dyDescent="0.25">
      <c r="A4944" s="222" t="s">
        <v>1819</v>
      </c>
      <c r="B4944" s="222">
        <v>540671</v>
      </c>
      <c r="C4944" s="222" t="s">
        <v>1818</v>
      </c>
      <c r="D4944" s="222" t="s">
        <v>195</v>
      </c>
    </row>
    <row r="4945" spans="1:4" x14ac:dyDescent="0.25">
      <c r="A4945" s="222" t="s">
        <v>1817</v>
      </c>
      <c r="B4945" s="222">
        <v>540672</v>
      </c>
      <c r="C4945" s="222" t="s">
        <v>1816</v>
      </c>
      <c r="D4945" s="222" t="s">
        <v>195</v>
      </c>
    </row>
    <row r="4946" spans="1:4" x14ac:dyDescent="0.25">
      <c r="A4946" s="222" t="s">
        <v>1815</v>
      </c>
      <c r="B4946" s="222">
        <v>540682</v>
      </c>
      <c r="C4946" s="222" t="s">
        <v>1814</v>
      </c>
      <c r="D4946" s="222" t="s">
        <v>195</v>
      </c>
    </row>
    <row r="4947" spans="1:4" x14ac:dyDescent="0.25">
      <c r="A4947" s="222" t="s">
        <v>1813</v>
      </c>
      <c r="B4947" s="222">
        <v>540683</v>
      </c>
      <c r="C4947" s="222" t="s">
        <v>1812</v>
      </c>
      <c r="D4947" s="222" t="s">
        <v>195</v>
      </c>
    </row>
    <row r="4948" spans="1:4" x14ac:dyDescent="0.25">
      <c r="A4948" s="222" t="s">
        <v>1811</v>
      </c>
      <c r="B4948" s="222">
        <v>540684</v>
      </c>
      <c r="C4948" s="222" t="s">
        <v>1810</v>
      </c>
      <c r="D4948" s="222" t="s">
        <v>195</v>
      </c>
    </row>
    <row r="4949" spans="1:4" x14ac:dyDescent="0.25">
      <c r="A4949" s="222" t="s">
        <v>1809</v>
      </c>
      <c r="B4949" s="222">
        <v>540685</v>
      </c>
      <c r="C4949" s="222" t="s">
        <v>1808</v>
      </c>
      <c r="D4949" s="222" t="s">
        <v>195</v>
      </c>
    </row>
    <row r="4950" spans="1:4" x14ac:dyDescent="0.25">
      <c r="A4950" s="222" t="s">
        <v>1807</v>
      </c>
      <c r="B4950" s="222">
        <v>540711</v>
      </c>
      <c r="C4950" s="222" t="s">
        <v>1806</v>
      </c>
      <c r="D4950" s="222" t="s">
        <v>195</v>
      </c>
    </row>
    <row r="4951" spans="1:4" x14ac:dyDescent="0.25">
      <c r="A4951" s="222" t="s">
        <v>1805</v>
      </c>
      <c r="B4951" s="222">
        <v>540712</v>
      </c>
      <c r="C4951" s="222" t="s">
        <v>1804</v>
      </c>
      <c r="D4951" s="222" t="s">
        <v>195</v>
      </c>
    </row>
    <row r="4952" spans="1:4" x14ac:dyDescent="0.25">
      <c r="A4952" s="222" t="s">
        <v>1803</v>
      </c>
      <c r="B4952" s="222">
        <v>540713</v>
      </c>
      <c r="C4952" s="222" t="s">
        <v>1802</v>
      </c>
      <c r="D4952" s="222" t="s">
        <v>195</v>
      </c>
    </row>
    <row r="4953" spans="1:4" x14ac:dyDescent="0.25">
      <c r="A4953" s="222" t="s">
        <v>1801</v>
      </c>
      <c r="B4953" s="222">
        <v>540714</v>
      </c>
      <c r="C4953" s="222" t="s">
        <v>1800</v>
      </c>
      <c r="D4953" s="222" t="s">
        <v>195</v>
      </c>
    </row>
    <row r="4954" spans="1:4" x14ac:dyDescent="0.25">
      <c r="A4954" s="222" t="s">
        <v>1799</v>
      </c>
      <c r="B4954" s="222">
        <v>540739</v>
      </c>
      <c r="C4954" s="222" t="s">
        <v>1798</v>
      </c>
      <c r="D4954" s="222" t="s">
        <v>195</v>
      </c>
    </row>
    <row r="4955" spans="1:4" x14ac:dyDescent="0.25">
      <c r="A4955" s="222" t="s">
        <v>1797</v>
      </c>
      <c r="B4955" s="222">
        <v>540740</v>
      </c>
      <c r="C4955" s="222" t="s">
        <v>1796</v>
      </c>
      <c r="D4955" s="222" t="s">
        <v>195</v>
      </c>
    </row>
    <row r="4956" spans="1:4" x14ac:dyDescent="0.25">
      <c r="A4956" s="222" t="s">
        <v>1795</v>
      </c>
      <c r="B4956" s="222">
        <v>540741</v>
      </c>
      <c r="C4956" s="222" t="s">
        <v>1794</v>
      </c>
      <c r="D4956" s="222" t="s">
        <v>195</v>
      </c>
    </row>
    <row r="4957" spans="1:4" x14ac:dyDescent="0.25">
      <c r="A4957" s="222" t="s">
        <v>1793</v>
      </c>
      <c r="B4957" s="222">
        <v>540742</v>
      </c>
      <c r="C4957" s="222" t="s">
        <v>1792</v>
      </c>
      <c r="D4957" s="222" t="s">
        <v>195</v>
      </c>
    </row>
    <row r="4958" spans="1:4" x14ac:dyDescent="0.25">
      <c r="A4958" s="222" t="s">
        <v>1791</v>
      </c>
      <c r="B4958" s="222">
        <v>540763</v>
      </c>
      <c r="C4958" s="222" t="s">
        <v>1790</v>
      </c>
      <c r="D4958" s="222" t="s">
        <v>195</v>
      </c>
    </row>
    <row r="4959" spans="1:4" x14ac:dyDescent="0.25">
      <c r="A4959" s="222" t="s">
        <v>1789</v>
      </c>
      <c r="B4959" s="222">
        <v>540764</v>
      </c>
      <c r="C4959" s="222" t="s">
        <v>1788</v>
      </c>
      <c r="D4959" s="222" t="s">
        <v>195</v>
      </c>
    </row>
    <row r="4960" spans="1:4" x14ac:dyDescent="0.25">
      <c r="A4960" s="222" t="s">
        <v>1787</v>
      </c>
      <c r="B4960" s="222">
        <v>540765</v>
      </c>
      <c r="C4960" s="222" t="s">
        <v>1786</v>
      </c>
      <c r="D4960" s="222" t="s">
        <v>195</v>
      </c>
    </row>
    <row r="4961" spans="1:4" x14ac:dyDescent="0.25">
      <c r="A4961" s="222" t="s">
        <v>1785</v>
      </c>
      <c r="B4961" s="222">
        <v>540766</v>
      </c>
      <c r="C4961" s="222" t="s">
        <v>1784</v>
      </c>
      <c r="D4961" s="222" t="s">
        <v>195</v>
      </c>
    </row>
    <row r="4962" spans="1:4" x14ac:dyDescent="0.25">
      <c r="A4962" s="222" t="s">
        <v>1783</v>
      </c>
      <c r="B4962" s="222">
        <v>540778</v>
      </c>
      <c r="C4962" s="222" t="s">
        <v>1782</v>
      </c>
      <c r="D4962" s="222" t="s">
        <v>195</v>
      </c>
    </row>
    <row r="4963" spans="1:4" x14ac:dyDescent="0.25">
      <c r="A4963" s="222" t="s">
        <v>1781</v>
      </c>
      <c r="B4963" s="222">
        <v>540779</v>
      </c>
      <c r="C4963" s="222" t="s">
        <v>1780</v>
      </c>
      <c r="D4963" s="222" t="s">
        <v>195</v>
      </c>
    </row>
    <row r="4964" spans="1:4" x14ac:dyDescent="0.25">
      <c r="A4964" s="222" t="s">
        <v>1779</v>
      </c>
      <c r="B4964" s="222">
        <v>540780</v>
      </c>
      <c r="C4964" s="222" t="s">
        <v>1778</v>
      </c>
      <c r="D4964" s="222" t="s">
        <v>195</v>
      </c>
    </row>
    <row r="4965" spans="1:4" x14ac:dyDescent="0.25">
      <c r="A4965" s="222" t="s">
        <v>1777</v>
      </c>
      <c r="B4965" s="222">
        <v>540781</v>
      </c>
      <c r="C4965" s="222" t="s">
        <v>1776</v>
      </c>
      <c r="D4965" s="222" t="s">
        <v>195</v>
      </c>
    </row>
    <row r="4966" spans="1:4" x14ac:dyDescent="0.25">
      <c r="A4966" s="222" t="s">
        <v>1775</v>
      </c>
      <c r="B4966" s="222">
        <v>540787</v>
      </c>
      <c r="C4966" s="222" t="s">
        <v>1774</v>
      </c>
      <c r="D4966" s="222" t="s">
        <v>195</v>
      </c>
    </row>
    <row r="4967" spans="1:4" x14ac:dyDescent="0.25">
      <c r="A4967" s="222" t="s">
        <v>1773</v>
      </c>
      <c r="B4967" s="222">
        <v>540791</v>
      </c>
      <c r="C4967" s="222" t="s">
        <v>1772</v>
      </c>
      <c r="D4967" s="222" t="s">
        <v>195</v>
      </c>
    </row>
    <row r="4968" spans="1:4" x14ac:dyDescent="0.25">
      <c r="A4968" s="222" t="s">
        <v>1771</v>
      </c>
      <c r="B4968" s="222">
        <v>540792</v>
      </c>
      <c r="C4968" s="222" t="s">
        <v>1770</v>
      </c>
      <c r="D4968" s="222" t="s">
        <v>195</v>
      </c>
    </row>
    <row r="4969" spans="1:4" x14ac:dyDescent="0.25">
      <c r="A4969" s="222" t="s">
        <v>1769</v>
      </c>
      <c r="B4969" s="222">
        <v>540793</v>
      </c>
      <c r="C4969" s="222" t="s">
        <v>1768</v>
      </c>
      <c r="D4969" s="222" t="s">
        <v>195</v>
      </c>
    </row>
    <row r="4970" spans="1:4" x14ac:dyDescent="0.25">
      <c r="A4970" s="222" t="s">
        <v>1767</v>
      </c>
      <c r="B4970" s="222">
        <v>540794</v>
      </c>
      <c r="C4970" s="222" t="s">
        <v>1766</v>
      </c>
      <c r="D4970" s="222" t="s">
        <v>195</v>
      </c>
    </row>
    <row r="4971" spans="1:4" x14ac:dyDescent="0.25">
      <c r="A4971" s="222" t="s">
        <v>1765</v>
      </c>
      <c r="B4971" s="222">
        <v>540799</v>
      </c>
      <c r="C4971" s="222" t="s">
        <v>1764</v>
      </c>
      <c r="D4971" s="222" t="s">
        <v>195</v>
      </c>
    </row>
    <row r="4972" spans="1:4" x14ac:dyDescent="0.25">
      <c r="A4972" s="222" t="s">
        <v>1763</v>
      </c>
      <c r="B4972" s="222">
        <v>540800</v>
      </c>
      <c r="C4972" s="222" t="s">
        <v>1762</v>
      </c>
      <c r="D4972" s="222" t="s">
        <v>195</v>
      </c>
    </row>
    <row r="4973" spans="1:4" x14ac:dyDescent="0.25">
      <c r="A4973" s="222" t="s">
        <v>1761</v>
      </c>
      <c r="B4973" s="222">
        <v>540801</v>
      </c>
      <c r="C4973" s="222" t="s">
        <v>1760</v>
      </c>
      <c r="D4973" s="222" t="s">
        <v>195</v>
      </c>
    </row>
    <row r="4974" spans="1:4" x14ac:dyDescent="0.25">
      <c r="A4974" s="222" t="s">
        <v>1759</v>
      </c>
      <c r="B4974" s="222">
        <v>540802</v>
      </c>
      <c r="C4974" s="222" t="s">
        <v>1758</v>
      </c>
      <c r="D4974" s="222" t="s">
        <v>195</v>
      </c>
    </row>
    <row r="4975" spans="1:4" x14ac:dyDescent="0.25">
      <c r="A4975" s="222" t="s">
        <v>1757</v>
      </c>
      <c r="B4975" s="222">
        <v>540825</v>
      </c>
      <c r="C4975" s="222" t="s">
        <v>1756</v>
      </c>
      <c r="D4975" s="222" t="s">
        <v>195</v>
      </c>
    </row>
    <row r="4976" spans="1:4" x14ac:dyDescent="0.25">
      <c r="A4976" s="222" t="s">
        <v>1755</v>
      </c>
      <c r="B4976" s="222">
        <v>540826</v>
      </c>
      <c r="C4976" s="222" t="s">
        <v>1754</v>
      </c>
      <c r="D4976" s="222" t="s">
        <v>195</v>
      </c>
    </row>
    <row r="4977" spans="1:4" x14ac:dyDescent="0.25">
      <c r="A4977" s="222" t="s">
        <v>1753</v>
      </c>
      <c r="B4977" s="222">
        <v>540827</v>
      </c>
      <c r="C4977" s="222" t="s">
        <v>1752</v>
      </c>
      <c r="D4977" s="222" t="s">
        <v>195</v>
      </c>
    </row>
    <row r="4978" spans="1:4" x14ac:dyDescent="0.25">
      <c r="A4978" s="222" t="s">
        <v>1751</v>
      </c>
      <c r="B4978" s="222">
        <v>540828</v>
      </c>
      <c r="C4978" s="222" t="s">
        <v>1750</v>
      </c>
      <c r="D4978" s="222" t="s">
        <v>195</v>
      </c>
    </row>
    <row r="4979" spans="1:4" x14ac:dyDescent="0.25">
      <c r="A4979" s="222" t="s">
        <v>1749</v>
      </c>
      <c r="B4979" s="222">
        <v>540861</v>
      </c>
      <c r="C4979" s="222" t="s">
        <v>1748</v>
      </c>
      <c r="D4979" s="222" t="s">
        <v>195</v>
      </c>
    </row>
    <row r="4980" spans="1:4" x14ac:dyDescent="0.25">
      <c r="A4980" s="222" t="s">
        <v>1747</v>
      </c>
      <c r="B4980" s="222">
        <v>540862</v>
      </c>
      <c r="C4980" s="222" t="s">
        <v>1746</v>
      </c>
      <c r="D4980" s="222" t="s">
        <v>195</v>
      </c>
    </row>
    <row r="4981" spans="1:4" x14ac:dyDescent="0.25">
      <c r="A4981" s="222" t="s">
        <v>1745</v>
      </c>
      <c r="B4981" s="222">
        <v>540863</v>
      </c>
      <c r="C4981" s="222" t="s">
        <v>1744</v>
      </c>
      <c r="D4981" s="222" t="s">
        <v>195</v>
      </c>
    </row>
    <row r="4982" spans="1:4" x14ac:dyDescent="0.25">
      <c r="A4982" s="222" t="s">
        <v>1743</v>
      </c>
      <c r="B4982" s="222">
        <v>540864</v>
      </c>
      <c r="C4982" s="222" t="s">
        <v>1742</v>
      </c>
      <c r="D4982" s="222" t="s">
        <v>195</v>
      </c>
    </row>
    <row r="4983" spans="1:4" x14ac:dyDescent="0.25">
      <c r="A4983" s="222" t="s">
        <v>1741</v>
      </c>
      <c r="B4983" s="222">
        <v>540896</v>
      </c>
      <c r="C4983" s="222" t="s">
        <v>1740</v>
      </c>
      <c r="D4983" s="222" t="s">
        <v>195</v>
      </c>
    </row>
    <row r="4984" spans="1:4" x14ac:dyDescent="0.25">
      <c r="A4984" s="222" t="s">
        <v>1739</v>
      </c>
      <c r="B4984" s="222">
        <v>540897</v>
      </c>
      <c r="C4984" s="222" t="s">
        <v>1738</v>
      </c>
      <c r="D4984" s="222" t="s">
        <v>195</v>
      </c>
    </row>
    <row r="4985" spans="1:4" x14ac:dyDescent="0.25">
      <c r="A4985" s="222" t="s">
        <v>1737</v>
      </c>
      <c r="B4985" s="222">
        <v>540898</v>
      </c>
      <c r="C4985" s="222" t="s">
        <v>1736</v>
      </c>
      <c r="D4985" s="222" t="s">
        <v>195</v>
      </c>
    </row>
    <row r="4986" spans="1:4" x14ac:dyDescent="0.25">
      <c r="A4986" s="222" t="s">
        <v>1735</v>
      </c>
      <c r="B4986" s="222">
        <v>540899</v>
      </c>
      <c r="C4986" s="222" t="s">
        <v>1734</v>
      </c>
      <c r="D4986" s="222" t="s">
        <v>195</v>
      </c>
    </row>
    <row r="4987" spans="1:4" x14ac:dyDescent="0.25">
      <c r="A4987" s="222" t="s">
        <v>1733</v>
      </c>
      <c r="B4987" s="222">
        <v>540947</v>
      </c>
      <c r="C4987" s="222" t="s">
        <v>1732</v>
      </c>
      <c r="D4987" s="222" t="s">
        <v>195</v>
      </c>
    </row>
    <row r="4988" spans="1:4" x14ac:dyDescent="0.25">
      <c r="A4988" s="222" t="s">
        <v>1731</v>
      </c>
      <c r="B4988" s="222">
        <v>540949</v>
      </c>
      <c r="C4988" s="222" t="s">
        <v>1730</v>
      </c>
      <c r="D4988" s="222" t="s">
        <v>195</v>
      </c>
    </row>
    <row r="4989" spans="1:4" x14ac:dyDescent="0.25">
      <c r="A4989" s="222" t="s">
        <v>1729</v>
      </c>
      <c r="B4989" s="222">
        <v>540950</v>
      </c>
      <c r="C4989" s="222" t="s">
        <v>1728</v>
      </c>
      <c r="D4989" s="222" t="s">
        <v>195</v>
      </c>
    </row>
    <row r="4990" spans="1:4" x14ac:dyDescent="0.25">
      <c r="A4990" s="222" t="s">
        <v>1727</v>
      </c>
      <c r="B4990" s="222">
        <v>540951</v>
      </c>
      <c r="C4990" s="222" t="s">
        <v>1726</v>
      </c>
      <c r="D4990" s="222" t="s">
        <v>195</v>
      </c>
    </row>
    <row r="4991" spans="1:4" x14ac:dyDescent="0.25">
      <c r="A4991" s="222" t="s">
        <v>1725</v>
      </c>
      <c r="B4991" s="222">
        <v>540981</v>
      </c>
      <c r="C4991" s="222" t="s">
        <v>1724</v>
      </c>
      <c r="D4991" s="222" t="s">
        <v>195</v>
      </c>
    </row>
    <row r="4992" spans="1:4" x14ac:dyDescent="0.25">
      <c r="A4992" s="222" t="s">
        <v>1723</v>
      </c>
      <c r="B4992" s="222">
        <v>540982</v>
      </c>
      <c r="C4992" s="222" t="s">
        <v>1722</v>
      </c>
      <c r="D4992" s="222" t="s">
        <v>195</v>
      </c>
    </row>
    <row r="4993" spans="1:4" x14ac:dyDescent="0.25">
      <c r="A4993" s="222" t="s">
        <v>1721</v>
      </c>
      <c r="B4993" s="222">
        <v>540983</v>
      </c>
      <c r="C4993" s="222" t="s">
        <v>1720</v>
      </c>
      <c r="D4993" s="222" t="s">
        <v>195</v>
      </c>
    </row>
    <row r="4994" spans="1:4" x14ac:dyDescent="0.25">
      <c r="A4994" s="222" t="s">
        <v>1719</v>
      </c>
      <c r="B4994" s="222">
        <v>540984</v>
      </c>
      <c r="C4994" s="222" t="s">
        <v>1718</v>
      </c>
      <c r="D4994" s="222" t="s">
        <v>195</v>
      </c>
    </row>
    <row r="4995" spans="1:4" x14ac:dyDescent="0.25">
      <c r="A4995" s="222" t="s">
        <v>1717</v>
      </c>
      <c r="B4995" s="222">
        <v>541068</v>
      </c>
      <c r="C4995" s="222" t="s">
        <v>1716</v>
      </c>
      <c r="D4995" s="222" t="s">
        <v>195</v>
      </c>
    </row>
    <row r="4996" spans="1:4" x14ac:dyDescent="0.25">
      <c r="A4996" s="222" t="s">
        <v>1715</v>
      </c>
      <c r="B4996" s="222">
        <v>541069</v>
      </c>
      <c r="C4996" s="222" t="s">
        <v>1714</v>
      </c>
      <c r="D4996" s="222" t="s">
        <v>195</v>
      </c>
    </row>
    <row r="4997" spans="1:4" x14ac:dyDescent="0.25">
      <c r="A4997" s="222" t="s">
        <v>1713</v>
      </c>
      <c r="B4997" s="222">
        <v>541070</v>
      </c>
      <c r="C4997" s="222" t="s">
        <v>1712</v>
      </c>
      <c r="D4997" s="222" t="s">
        <v>195</v>
      </c>
    </row>
    <row r="4998" spans="1:4" x14ac:dyDescent="0.25">
      <c r="A4998" s="222" t="s">
        <v>1711</v>
      </c>
      <c r="B4998" s="222">
        <v>541071</v>
      </c>
      <c r="C4998" s="222" t="s">
        <v>1710</v>
      </c>
      <c r="D4998" s="222" t="s">
        <v>195</v>
      </c>
    </row>
    <row r="4999" spans="1:4" x14ac:dyDescent="0.25">
      <c r="A4999" s="222" t="s">
        <v>1709</v>
      </c>
      <c r="B4999" s="222">
        <v>541084</v>
      </c>
      <c r="C4999" s="222" t="s">
        <v>1708</v>
      </c>
      <c r="D4999" s="222" t="s">
        <v>195</v>
      </c>
    </row>
    <row r="5000" spans="1:4" x14ac:dyDescent="0.25">
      <c r="A5000" s="222" t="s">
        <v>1707</v>
      </c>
      <c r="B5000" s="222">
        <v>541085</v>
      </c>
      <c r="C5000" s="222" t="s">
        <v>1706</v>
      </c>
      <c r="D5000" s="222" t="s">
        <v>195</v>
      </c>
    </row>
    <row r="5001" spans="1:4" x14ac:dyDescent="0.25">
      <c r="A5001" s="222" t="s">
        <v>1705</v>
      </c>
      <c r="B5001" s="222">
        <v>541086</v>
      </c>
      <c r="C5001" s="222" t="s">
        <v>1704</v>
      </c>
      <c r="D5001" s="222" t="s">
        <v>195</v>
      </c>
    </row>
    <row r="5002" spans="1:4" x14ac:dyDescent="0.25">
      <c r="A5002" s="222" t="s">
        <v>1703</v>
      </c>
      <c r="B5002" s="222">
        <v>541087</v>
      </c>
      <c r="C5002" s="222" t="s">
        <v>1702</v>
      </c>
      <c r="D5002" s="222" t="s">
        <v>195</v>
      </c>
    </row>
    <row r="5003" spans="1:4" x14ac:dyDescent="0.25">
      <c r="A5003" s="222" t="s">
        <v>1701</v>
      </c>
      <c r="B5003" s="222">
        <v>541092</v>
      </c>
      <c r="C5003" s="222" t="s">
        <v>1700</v>
      </c>
      <c r="D5003" s="222" t="s">
        <v>195</v>
      </c>
    </row>
    <row r="5004" spans="1:4" x14ac:dyDescent="0.25">
      <c r="A5004" s="222" t="s">
        <v>1699</v>
      </c>
      <c r="B5004" s="222">
        <v>541093</v>
      </c>
      <c r="C5004" s="222" t="s">
        <v>1698</v>
      </c>
      <c r="D5004" s="222" t="s">
        <v>195</v>
      </c>
    </row>
    <row r="5005" spans="1:4" x14ac:dyDescent="0.25">
      <c r="A5005" s="222" t="s">
        <v>1697</v>
      </c>
      <c r="B5005" s="222">
        <v>541094</v>
      </c>
      <c r="C5005" s="222" t="s">
        <v>1696</v>
      </c>
      <c r="D5005" s="222" t="s">
        <v>195</v>
      </c>
    </row>
    <row r="5006" spans="1:4" x14ac:dyDescent="0.25">
      <c r="A5006" s="222" t="s">
        <v>1695</v>
      </c>
      <c r="B5006" s="222">
        <v>541095</v>
      </c>
      <c r="C5006" s="222" t="s">
        <v>1694</v>
      </c>
      <c r="D5006" s="222" t="s">
        <v>195</v>
      </c>
    </row>
    <row r="5007" spans="1:4" x14ac:dyDescent="0.25">
      <c r="A5007" s="222" t="s">
        <v>1693</v>
      </c>
      <c r="B5007" s="222">
        <v>541252</v>
      </c>
      <c r="C5007" s="222" t="s">
        <v>1692</v>
      </c>
      <c r="D5007" s="222" t="s">
        <v>195</v>
      </c>
    </row>
    <row r="5008" spans="1:4" x14ac:dyDescent="0.25">
      <c r="A5008" s="222" t="s">
        <v>1691</v>
      </c>
      <c r="B5008" s="222">
        <v>541253</v>
      </c>
      <c r="C5008" s="222" t="s">
        <v>1690</v>
      </c>
      <c r="D5008" s="222" t="s">
        <v>195</v>
      </c>
    </row>
    <row r="5009" spans="1:4" x14ac:dyDescent="0.25">
      <c r="A5009" s="222" t="s">
        <v>1689</v>
      </c>
      <c r="B5009" s="222">
        <v>541254</v>
      </c>
      <c r="C5009" s="222" t="s">
        <v>1688</v>
      </c>
      <c r="D5009" s="222" t="s">
        <v>195</v>
      </c>
    </row>
    <row r="5010" spans="1:4" x14ac:dyDescent="0.25">
      <c r="A5010" s="222" t="s">
        <v>1687</v>
      </c>
      <c r="B5010" s="222">
        <v>541255</v>
      </c>
      <c r="C5010" s="222" t="s">
        <v>1686</v>
      </c>
      <c r="D5010" s="222" t="s">
        <v>195</v>
      </c>
    </row>
    <row r="5011" spans="1:4" x14ac:dyDescent="0.25">
      <c r="A5011" s="222" t="s">
        <v>1685</v>
      </c>
      <c r="B5011" s="222">
        <v>541300</v>
      </c>
      <c r="C5011" s="222" t="s">
        <v>1684</v>
      </c>
      <c r="D5011" s="222" t="s">
        <v>195</v>
      </c>
    </row>
    <row r="5012" spans="1:4" x14ac:dyDescent="0.25">
      <c r="A5012" s="222" t="s">
        <v>1683</v>
      </c>
      <c r="B5012" s="222">
        <v>541309</v>
      </c>
      <c r="C5012" s="222" t="s">
        <v>1682</v>
      </c>
      <c r="D5012" s="222" t="s">
        <v>195</v>
      </c>
    </row>
    <row r="5013" spans="1:4" x14ac:dyDescent="0.25">
      <c r="A5013" s="222" t="s">
        <v>1681</v>
      </c>
      <c r="B5013" s="222">
        <v>541310</v>
      </c>
      <c r="C5013" s="222" t="s">
        <v>1680</v>
      </c>
      <c r="D5013" s="222" t="s">
        <v>195</v>
      </c>
    </row>
    <row r="5014" spans="1:4" x14ac:dyDescent="0.25">
      <c r="A5014" s="222" t="s">
        <v>1679</v>
      </c>
      <c r="B5014" s="222">
        <v>541311</v>
      </c>
      <c r="C5014" s="222" t="s">
        <v>1678</v>
      </c>
      <c r="D5014" s="222" t="s">
        <v>195</v>
      </c>
    </row>
    <row r="5015" spans="1:4" x14ac:dyDescent="0.25">
      <c r="A5015" s="222" t="s">
        <v>1677</v>
      </c>
      <c r="B5015" s="222">
        <v>541312</v>
      </c>
      <c r="C5015" s="222" t="s">
        <v>1676</v>
      </c>
      <c r="D5015" s="222" t="s">
        <v>195</v>
      </c>
    </row>
    <row r="5016" spans="1:4" x14ac:dyDescent="0.25">
      <c r="A5016" s="222" t="s">
        <v>1675</v>
      </c>
      <c r="B5016" s="222">
        <v>541313</v>
      </c>
      <c r="C5016" s="222" t="s">
        <v>1674</v>
      </c>
      <c r="D5016" s="222" t="s">
        <v>195</v>
      </c>
    </row>
    <row r="5017" spans="1:4" x14ac:dyDescent="0.25">
      <c r="A5017" s="222" t="s">
        <v>1673</v>
      </c>
      <c r="B5017" s="222">
        <v>541341</v>
      </c>
      <c r="C5017" s="222" t="s">
        <v>1672</v>
      </c>
      <c r="D5017" s="222" t="s">
        <v>195</v>
      </c>
    </row>
    <row r="5018" spans="1:4" x14ac:dyDescent="0.25">
      <c r="A5018" s="222" t="s">
        <v>1671</v>
      </c>
      <c r="B5018" s="222">
        <v>541343</v>
      </c>
      <c r="C5018" s="222" t="s">
        <v>1670</v>
      </c>
      <c r="D5018" s="222" t="s">
        <v>195</v>
      </c>
    </row>
    <row r="5019" spans="1:4" x14ac:dyDescent="0.25">
      <c r="A5019" s="222" t="s">
        <v>1669</v>
      </c>
      <c r="B5019" s="222">
        <v>541345</v>
      </c>
      <c r="C5019" s="222" t="s">
        <v>1668</v>
      </c>
      <c r="D5019" s="222" t="s">
        <v>195</v>
      </c>
    </row>
    <row r="5020" spans="1:4" x14ac:dyDescent="0.25">
      <c r="A5020" s="222" t="s">
        <v>1667</v>
      </c>
      <c r="B5020" s="222">
        <v>541346</v>
      </c>
      <c r="C5020" s="222" t="s">
        <v>1666</v>
      </c>
      <c r="D5020" s="222" t="s">
        <v>195</v>
      </c>
    </row>
    <row r="5021" spans="1:4" x14ac:dyDescent="0.25">
      <c r="A5021" s="222" t="s">
        <v>1665</v>
      </c>
      <c r="B5021" s="222">
        <v>541672</v>
      </c>
      <c r="C5021" s="222" t="s">
        <v>1664</v>
      </c>
      <c r="D5021" s="222" t="s">
        <v>195</v>
      </c>
    </row>
    <row r="5022" spans="1:4" x14ac:dyDescent="0.25">
      <c r="A5022" s="222" t="s">
        <v>1663</v>
      </c>
      <c r="B5022" s="222">
        <v>541673</v>
      </c>
      <c r="C5022" s="222" t="s">
        <v>1662</v>
      </c>
      <c r="D5022" s="222" t="s">
        <v>195</v>
      </c>
    </row>
    <row r="5023" spans="1:4" x14ac:dyDescent="0.25">
      <c r="A5023" s="222" t="s">
        <v>1661</v>
      </c>
      <c r="B5023" s="222">
        <v>541674</v>
      </c>
      <c r="C5023" s="222" t="s">
        <v>1660</v>
      </c>
      <c r="D5023" s="222" t="s">
        <v>195</v>
      </c>
    </row>
    <row r="5024" spans="1:4" x14ac:dyDescent="0.25">
      <c r="A5024" s="222" t="s">
        <v>1659</v>
      </c>
      <c r="B5024" s="222">
        <v>541675</v>
      </c>
      <c r="C5024" s="222" t="s">
        <v>1658</v>
      </c>
      <c r="D5024" s="222" t="s">
        <v>195</v>
      </c>
    </row>
    <row r="5025" spans="1:4" x14ac:dyDescent="0.25">
      <c r="A5025" s="222" t="s">
        <v>1657</v>
      </c>
      <c r="B5025" s="222">
        <v>541676</v>
      </c>
      <c r="C5025" s="222" t="s">
        <v>1656</v>
      </c>
      <c r="D5025" s="222" t="s">
        <v>195</v>
      </c>
    </row>
    <row r="5026" spans="1:4" x14ac:dyDescent="0.25">
      <c r="A5026" s="222" t="s">
        <v>1655</v>
      </c>
      <c r="B5026" s="222">
        <v>541677</v>
      </c>
      <c r="C5026" s="222" t="s">
        <v>1654</v>
      </c>
      <c r="D5026" s="222" t="s">
        <v>195</v>
      </c>
    </row>
    <row r="5027" spans="1:4" x14ac:dyDescent="0.25">
      <c r="A5027" s="222" t="s">
        <v>1653</v>
      </c>
      <c r="B5027" s="222">
        <v>541678</v>
      </c>
      <c r="C5027" s="222" t="s">
        <v>1652</v>
      </c>
      <c r="D5027" s="222" t="s">
        <v>195</v>
      </c>
    </row>
    <row r="5028" spans="1:4" x14ac:dyDescent="0.25">
      <c r="A5028" s="222" t="s">
        <v>1651</v>
      </c>
      <c r="B5028" s="222">
        <v>541679</v>
      </c>
      <c r="C5028" s="222" t="s">
        <v>1650</v>
      </c>
      <c r="D5028" s="222" t="s">
        <v>195</v>
      </c>
    </row>
    <row r="5029" spans="1:4" x14ac:dyDescent="0.25">
      <c r="A5029" s="222" t="s">
        <v>1649</v>
      </c>
      <c r="B5029" s="222">
        <v>541725</v>
      </c>
      <c r="C5029" s="222" t="s">
        <v>1648</v>
      </c>
      <c r="D5029" s="222" t="s">
        <v>195</v>
      </c>
    </row>
    <row r="5030" spans="1:4" x14ac:dyDescent="0.25">
      <c r="A5030" s="222" t="s">
        <v>1647</v>
      </c>
      <c r="B5030" s="222">
        <v>541726</v>
      </c>
      <c r="C5030" s="222" t="s">
        <v>1646</v>
      </c>
      <c r="D5030" s="222" t="s">
        <v>195</v>
      </c>
    </row>
    <row r="5031" spans="1:4" x14ac:dyDescent="0.25">
      <c r="A5031" s="222" t="s">
        <v>1645</v>
      </c>
      <c r="B5031" s="222">
        <v>541727</v>
      </c>
      <c r="C5031" s="222" t="s">
        <v>1644</v>
      </c>
      <c r="D5031" s="222" t="s">
        <v>195</v>
      </c>
    </row>
    <row r="5032" spans="1:4" x14ac:dyDescent="0.25">
      <c r="A5032" s="222" t="s">
        <v>1643</v>
      </c>
      <c r="B5032" s="222">
        <v>541728</v>
      </c>
      <c r="C5032" s="222" t="s">
        <v>1642</v>
      </c>
      <c r="D5032" s="222" t="s">
        <v>195</v>
      </c>
    </row>
    <row r="5033" spans="1:4" x14ac:dyDescent="0.25">
      <c r="A5033" s="222" t="s">
        <v>1641</v>
      </c>
      <c r="B5033" s="222">
        <v>541742</v>
      </c>
      <c r="C5033" s="222" t="s">
        <v>1640</v>
      </c>
      <c r="D5033" s="222" t="s">
        <v>195</v>
      </c>
    </row>
    <row r="5034" spans="1:4" x14ac:dyDescent="0.25">
      <c r="A5034" s="222" t="s">
        <v>1639</v>
      </c>
      <c r="B5034" s="222">
        <v>541743</v>
      </c>
      <c r="C5034" s="222" t="s">
        <v>1638</v>
      </c>
      <c r="D5034" s="222" t="s">
        <v>195</v>
      </c>
    </row>
    <row r="5035" spans="1:4" x14ac:dyDescent="0.25">
      <c r="A5035" s="222" t="s">
        <v>1637</v>
      </c>
      <c r="B5035" s="222">
        <v>541744</v>
      </c>
      <c r="C5035" s="222" t="s">
        <v>1636</v>
      </c>
      <c r="D5035" s="222" t="s">
        <v>195</v>
      </c>
    </row>
    <row r="5036" spans="1:4" x14ac:dyDescent="0.25">
      <c r="A5036" s="222" t="s">
        <v>1635</v>
      </c>
      <c r="B5036" s="222">
        <v>541745</v>
      </c>
      <c r="C5036" s="222" t="s">
        <v>1634</v>
      </c>
      <c r="D5036" s="222" t="s">
        <v>195</v>
      </c>
    </row>
    <row r="5037" spans="1:4" x14ac:dyDescent="0.25">
      <c r="A5037" s="222" t="s">
        <v>1633</v>
      </c>
      <c r="B5037" s="222">
        <v>541804</v>
      </c>
      <c r="C5037" s="222" t="s">
        <v>1632</v>
      </c>
      <c r="D5037" s="222" t="s">
        <v>195</v>
      </c>
    </row>
    <row r="5038" spans="1:4" x14ac:dyDescent="0.25">
      <c r="A5038" s="222" t="s">
        <v>1631</v>
      </c>
      <c r="B5038" s="222">
        <v>541805</v>
      </c>
      <c r="C5038" s="222" t="s">
        <v>1630</v>
      </c>
      <c r="D5038" s="222" t="s">
        <v>195</v>
      </c>
    </row>
    <row r="5039" spans="1:4" x14ac:dyDescent="0.25">
      <c r="A5039" s="222" t="s">
        <v>1629</v>
      </c>
      <c r="B5039" s="222">
        <v>541806</v>
      </c>
      <c r="C5039" s="222" t="s">
        <v>1628</v>
      </c>
      <c r="D5039" s="222" t="s">
        <v>195</v>
      </c>
    </row>
    <row r="5040" spans="1:4" x14ac:dyDescent="0.25">
      <c r="A5040" s="222" t="s">
        <v>1627</v>
      </c>
      <c r="B5040" s="222">
        <v>541807</v>
      </c>
      <c r="C5040" s="222" t="s">
        <v>1626</v>
      </c>
      <c r="D5040" s="222" t="s">
        <v>195</v>
      </c>
    </row>
    <row r="5041" spans="1:4" x14ac:dyDescent="0.25">
      <c r="A5041" s="222" t="s">
        <v>1625</v>
      </c>
      <c r="B5041" s="222">
        <v>541809</v>
      </c>
      <c r="C5041" s="222" t="s">
        <v>1624</v>
      </c>
      <c r="D5041" s="222" t="s">
        <v>195</v>
      </c>
    </row>
    <row r="5042" spans="1:4" x14ac:dyDescent="0.25">
      <c r="A5042" s="222" t="s">
        <v>1623</v>
      </c>
      <c r="B5042" s="222">
        <v>541879</v>
      </c>
      <c r="C5042" s="222" t="s">
        <v>1622</v>
      </c>
      <c r="D5042" s="222" t="s">
        <v>195</v>
      </c>
    </row>
    <row r="5043" spans="1:4" x14ac:dyDescent="0.25">
      <c r="A5043" s="222" t="s">
        <v>1621</v>
      </c>
      <c r="B5043" s="222">
        <v>541881</v>
      </c>
      <c r="C5043" s="222" t="s">
        <v>1620</v>
      </c>
      <c r="D5043" s="222" t="s">
        <v>195</v>
      </c>
    </row>
    <row r="5044" spans="1:4" x14ac:dyDescent="0.25">
      <c r="A5044" s="222" t="s">
        <v>1619</v>
      </c>
      <c r="B5044" s="222">
        <v>541882</v>
      </c>
      <c r="C5044" s="222" t="s">
        <v>1618</v>
      </c>
      <c r="D5044" s="222" t="s">
        <v>195</v>
      </c>
    </row>
    <row r="5045" spans="1:4" x14ac:dyDescent="0.25">
      <c r="A5045" s="222" t="s">
        <v>1617</v>
      </c>
      <c r="B5045" s="222">
        <v>541884</v>
      </c>
      <c r="C5045" s="222" t="s">
        <v>1616</v>
      </c>
      <c r="D5045" s="222" t="s">
        <v>195</v>
      </c>
    </row>
    <row r="5046" spans="1:4" x14ac:dyDescent="0.25">
      <c r="A5046" s="222" t="s">
        <v>1615</v>
      </c>
      <c r="B5046" s="222">
        <v>541972</v>
      </c>
      <c r="C5046" s="222" t="s">
        <v>1614</v>
      </c>
      <c r="D5046" s="222" t="s">
        <v>195</v>
      </c>
    </row>
    <row r="5047" spans="1:4" x14ac:dyDescent="0.25">
      <c r="A5047" s="222" t="s">
        <v>1613</v>
      </c>
      <c r="B5047" s="222">
        <v>541984</v>
      </c>
      <c r="C5047" s="222" t="s">
        <v>1612</v>
      </c>
      <c r="D5047" s="222" t="s">
        <v>195</v>
      </c>
    </row>
    <row r="5048" spans="1:4" x14ac:dyDescent="0.25">
      <c r="A5048" s="222" t="s">
        <v>1611</v>
      </c>
      <c r="B5048" s="222">
        <v>541985</v>
      </c>
      <c r="C5048" s="222" t="s">
        <v>1610</v>
      </c>
      <c r="D5048" s="222" t="s">
        <v>195</v>
      </c>
    </row>
    <row r="5049" spans="1:4" x14ac:dyDescent="0.25">
      <c r="A5049" s="222" t="s">
        <v>1609</v>
      </c>
      <c r="B5049" s="222">
        <v>541986</v>
      </c>
      <c r="C5049" s="222" t="s">
        <v>1608</v>
      </c>
      <c r="D5049" s="222" t="s">
        <v>195</v>
      </c>
    </row>
    <row r="5050" spans="1:4" x14ac:dyDescent="0.25">
      <c r="A5050" s="222" t="s">
        <v>1607</v>
      </c>
      <c r="B5050" s="222">
        <v>541987</v>
      </c>
      <c r="C5050" s="222" t="s">
        <v>1606</v>
      </c>
      <c r="D5050" s="222" t="s">
        <v>195</v>
      </c>
    </row>
    <row r="5051" spans="1:4" x14ac:dyDescent="0.25">
      <c r="A5051" s="222" t="s">
        <v>1605</v>
      </c>
      <c r="B5051" s="222">
        <v>542131</v>
      </c>
      <c r="C5051" s="222" t="s">
        <v>1604</v>
      </c>
      <c r="D5051" s="222" t="s">
        <v>195</v>
      </c>
    </row>
    <row r="5052" spans="1:4" x14ac:dyDescent="0.25">
      <c r="A5052" s="222" t="s">
        <v>1603</v>
      </c>
      <c r="B5052" s="222">
        <v>542156</v>
      </c>
      <c r="C5052" s="222" t="s">
        <v>1602</v>
      </c>
      <c r="D5052" s="222" t="s">
        <v>195</v>
      </c>
    </row>
    <row r="5053" spans="1:4" x14ac:dyDescent="0.25">
      <c r="A5053" s="222" t="s">
        <v>1601</v>
      </c>
      <c r="B5053" s="222">
        <v>542158</v>
      </c>
      <c r="C5053" s="222" t="s">
        <v>1600</v>
      </c>
      <c r="D5053" s="222" t="s">
        <v>195</v>
      </c>
    </row>
    <row r="5054" spans="1:4" x14ac:dyDescent="0.25">
      <c r="A5054" s="222" t="s">
        <v>1599</v>
      </c>
      <c r="B5054" s="222">
        <v>542160</v>
      </c>
      <c r="C5054" s="222" t="s">
        <v>1598</v>
      </c>
      <c r="D5054" s="222" t="s">
        <v>195</v>
      </c>
    </row>
    <row r="5055" spans="1:4" x14ac:dyDescent="0.25">
      <c r="A5055" s="222" t="s">
        <v>1597</v>
      </c>
      <c r="B5055" s="222">
        <v>542163</v>
      </c>
      <c r="C5055" s="222" t="s">
        <v>1596</v>
      </c>
      <c r="D5055" s="222" t="s">
        <v>195</v>
      </c>
    </row>
    <row r="5056" spans="1:4" x14ac:dyDescent="0.25">
      <c r="A5056" s="222" t="s">
        <v>1595</v>
      </c>
      <c r="B5056" s="222">
        <v>542230</v>
      </c>
      <c r="C5056" s="222" t="s">
        <v>1594</v>
      </c>
      <c r="D5056" s="222" t="s">
        <v>195</v>
      </c>
    </row>
    <row r="5057" spans="1:4" x14ac:dyDescent="0.25">
      <c r="A5057" s="222" t="s">
        <v>1593</v>
      </c>
      <c r="B5057" s="222">
        <v>542244</v>
      </c>
      <c r="C5057" s="222" t="s">
        <v>1592</v>
      </c>
      <c r="D5057" s="222" t="s">
        <v>195</v>
      </c>
    </row>
    <row r="5058" spans="1:4" x14ac:dyDescent="0.25">
      <c r="A5058" s="222" t="s">
        <v>1591</v>
      </c>
      <c r="B5058" s="222">
        <v>542245</v>
      </c>
      <c r="C5058" s="222" t="s">
        <v>1590</v>
      </c>
      <c r="D5058" s="222" t="s">
        <v>195</v>
      </c>
    </row>
    <row r="5059" spans="1:4" x14ac:dyDescent="0.25">
      <c r="A5059" s="222" t="s">
        <v>1589</v>
      </c>
      <c r="B5059" s="222">
        <v>542246</v>
      </c>
      <c r="C5059" s="222" t="s">
        <v>1588</v>
      </c>
      <c r="D5059" s="222" t="s">
        <v>195</v>
      </c>
    </row>
    <row r="5060" spans="1:4" x14ac:dyDescent="0.25">
      <c r="A5060" s="222" t="s">
        <v>1587</v>
      </c>
      <c r="B5060" s="222">
        <v>542247</v>
      </c>
      <c r="C5060" s="222" t="s">
        <v>1586</v>
      </c>
      <c r="D5060" s="222" t="s">
        <v>195</v>
      </c>
    </row>
    <row r="5061" spans="1:4" x14ac:dyDescent="0.25">
      <c r="A5061" s="222" t="s">
        <v>1585</v>
      </c>
      <c r="B5061" s="222">
        <v>542513</v>
      </c>
      <c r="C5061" s="222" t="s">
        <v>1584</v>
      </c>
      <c r="D5061" s="222" t="s">
        <v>195</v>
      </c>
    </row>
    <row r="5062" spans="1:4" x14ac:dyDescent="0.25">
      <c r="A5062" s="222" t="s">
        <v>1583</v>
      </c>
      <c r="B5062" s="222">
        <v>542543</v>
      </c>
      <c r="C5062" s="222" t="s">
        <v>1582</v>
      </c>
      <c r="D5062" s="222" t="s">
        <v>195</v>
      </c>
    </row>
    <row r="5063" spans="1:4" x14ac:dyDescent="0.25">
      <c r="A5063" s="222" t="s">
        <v>1581</v>
      </c>
      <c r="B5063" s="222">
        <v>542694</v>
      </c>
      <c r="C5063" s="222" t="s">
        <v>1580</v>
      </c>
      <c r="D5063" s="222" t="s">
        <v>1529</v>
      </c>
    </row>
    <row r="5064" spans="1:4" x14ac:dyDescent="0.25">
      <c r="A5064" s="222" t="s">
        <v>1579</v>
      </c>
      <c r="B5064" s="222">
        <v>542721</v>
      </c>
      <c r="C5064" s="222" t="s">
        <v>1578</v>
      </c>
      <c r="D5064" s="222" t="s">
        <v>1529</v>
      </c>
    </row>
    <row r="5065" spans="1:4" x14ac:dyDescent="0.25">
      <c r="A5065" s="222" t="s">
        <v>1577</v>
      </c>
      <c r="B5065" s="222">
        <v>542724</v>
      </c>
      <c r="C5065" s="222" t="s">
        <v>1576</v>
      </c>
      <c r="D5065" s="222" t="s">
        <v>789</v>
      </c>
    </row>
    <row r="5066" spans="1:4" x14ac:dyDescent="0.25">
      <c r="A5066" s="222" t="s">
        <v>1575</v>
      </c>
      <c r="B5066" s="222">
        <v>542725</v>
      </c>
      <c r="C5066" s="222" t="s">
        <v>1574</v>
      </c>
      <c r="D5066" s="222" t="s">
        <v>1364</v>
      </c>
    </row>
    <row r="5067" spans="1:4" x14ac:dyDescent="0.25">
      <c r="A5067" s="222" t="s">
        <v>1573</v>
      </c>
      <c r="B5067" s="222">
        <v>542726</v>
      </c>
      <c r="C5067" s="222" t="s">
        <v>1572</v>
      </c>
      <c r="D5067" s="222" t="s">
        <v>1278</v>
      </c>
    </row>
    <row r="5068" spans="1:4" x14ac:dyDescent="0.25">
      <c r="A5068" s="222" t="s">
        <v>1571</v>
      </c>
      <c r="B5068" s="222">
        <v>542727</v>
      </c>
      <c r="C5068" s="222" t="s">
        <v>1570</v>
      </c>
      <c r="D5068" s="222" t="s">
        <v>1569</v>
      </c>
    </row>
    <row r="5069" spans="1:4" x14ac:dyDescent="0.25">
      <c r="A5069" s="222" t="s">
        <v>1568</v>
      </c>
      <c r="B5069" s="222">
        <v>542728</v>
      </c>
      <c r="C5069" s="222" t="s">
        <v>1567</v>
      </c>
      <c r="D5069" s="222" t="s">
        <v>1364</v>
      </c>
    </row>
    <row r="5070" spans="1:4" x14ac:dyDescent="0.25">
      <c r="A5070" s="222" t="s">
        <v>1566</v>
      </c>
      <c r="B5070" s="222">
        <v>542729</v>
      </c>
      <c r="C5070" s="222" t="s">
        <v>1565</v>
      </c>
      <c r="D5070" s="222" t="s">
        <v>1237</v>
      </c>
    </row>
    <row r="5071" spans="1:4" x14ac:dyDescent="0.25">
      <c r="A5071" s="222" t="s">
        <v>1564</v>
      </c>
      <c r="B5071" s="222">
        <v>542730</v>
      </c>
      <c r="C5071" s="222" t="s">
        <v>1563</v>
      </c>
      <c r="D5071" s="222" t="s">
        <v>195</v>
      </c>
    </row>
    <row r="5072" spans="1:4" x14ac:dyDescent="0.25">
      <c r="A5072" s="222" t="s">
        <v>1562</v>
      </c>
      <c r="B5072" s="222">
        <v>542747</v>
      </c>
      <c r="C5072" s="222" t="s">
        <v>1561</v>
      </c>
      <c r="D5072" s="222" t="s">
        <v>195</v>
      </c>
    </row>
    <row r="5073" spans="1:4" x14ac:dyDescent="0.25">
      <c r="A5073" s="222" t="s">
        <v>1560</v>
      </c>
      <c r="B5073" s="222">
        <v>542752</v>
      </c>
      <c r="C5073" s="222" t="s">
        <v>1559</v>
      </c>
      <c r="D5073" s="222" t="s">
        <v>1558</v>
      </c>
    </row>
    <row r="5074" spans="1:4" x14ac:dyDescent="0.25">
      <c r="A5074" s="222" t="s">
        <v>1557</v>
      </c>
      <c r="B5074" s="222">
        <v>542753</v>
      </c>
      <c r="C5074" s="222" t="s">
        <v>1556</v>
      </c>
      <c r="D5074" s="222" t="s">
        <v>1137</v>
      </c>
    </row>
    <row r="5075" spans="1:4" x14ac:dyDescent="0.25">
      <c r="A5075" s="222" t="s">
        <v>1555</v>
      </c>
      <c r="B5075" s="222">
        <v>542758</v>
      </c>
      <c r="C5075" s="222" t="s">
        <v>1554</v>
      </c>
      <c r="D5075" s="222" t="s">
        <v>195</v>
      </c>
    </row>
    <row r="5076" spans="1:4" x14ac:dyDescent="0.25">
      <c r="A5076" s="222" t="s">
        <v>1553</v>
      </c>
      <c r="B5076" s="222">
        <v>542759</v>
      </c>
      <c r="C5076" s="222" t="s">
        <v>1552</v>
      </c>
      <c r="D5076" s="222" t="s">
        <v>1321</v>
      </c>
    </row>
    <row r="5077" spans="1:4" x14ac:dyDescent="0.25">
      <c r="A5077" s="222" t="s">
        <v>1551</v>
      </c>
      <c r="B5077" s="222">
        <v>542760</v>
      </c>
      <c r="C5077" s="222" t="s">
        <v>1550</v>
      </c>
      <c r="D5077" s="222" t="s">
        <v>1066</v>
      </c>
    </row>
    <row r="5078" spans="1:4" x14ac:dyDescent="0.25">
      <c r="A5078" s="222" t="s">
        <v>1549</v>
      </c>
      <c r="B5078" s="222">
        <v>542765</v>
      </c>
      <c r="C5078" s="222" t="s">
        <v>1548</v>
      </c>
      <c r="D5078" s="222" t="s">
        <v>1547</v>
      </c>
    </row>
    <row r="5079" spans="1:4" x14ac:dyDescent="0.25">
      <c r="A5079" s="222" t="s">
        <v>1546</v>
      </c>
      <c r="B5079" s="222">
        <v>542770</v>
      </c>
      <c r="C5079" s="222" t="s">
        <v>1545</v>
      </c>
      <c r="D5079" s="222" t="s">
        <v>1265</v>
      </c>
    </row>
    <row r="5080" spans="1:4" x14ac:dyDescent="0.25">
      <c r="A5080" s="222" t="s">
        <v>1544</v>
      </c>
      <c r="B5080" s="222">
        <v>542771</v>
      </c>
      <c r="C5080" s="222" t="s">
        <v>1543</v>
      </c>
      <c r="D5080" s="222" t="s">
        <v>1542</v>
      </c>
    </row>
    <row r="5081" spans="1:4" x14ac:dyDescent="0.25">
      <c r="A5081" s="222" t="s">
        <v>1541</v>
      </c>
      <c r="B5081" s="222">
        <v>542772</v>
      </c>
      <c r="C5081" s="222" t="s">
        <v>1540</v>
      </c>
      <c r="D5081" s="222" t="s">
        <v>1262</v>
      </c>
    </row>
    <row r="5082" spans="1:4" x14ac:dyDescent="0.25">
      <c r="A5082" s="222" t="s">
        <v>1539</v>
      </c>
      <c r="B5082" s="222">
        <v>542773</v>
      </c>
      <c r="C5082" s="222" t="s">
        <v>1538</v>
      </c>
      <c r="D5082" s="222" t="s">
        <v>1262</v>
      </c>
    </row>
    <row r="5083" spans="1:4" x14ac:dyDescent="0.25">
      <c r="A5083" s="222" t="s">
        <v>1537</v>
      </c>
      <c r="B5083" s="222">
        <v>542774</v>
      </c>
      <c r="C5083" s="222" t="s">
        <v>1536</v>
      </c>
      <c r="D5083" s="222" t="s">
        <v>1321</v>
      </c>
    </row>
    <row r="5084" spans="1:4" x14ac:dyDescent="0.25">
      <c r="A5084" s="222" t="s">
        <v>1535</v>
      </c>
      <c r="B5084" s="222">
        <v>542801</v>
      </c>
      <c r="C5084" s="222" t="s">
        <v>1534</v>
      </c>
      <c r="D5084" s="222" t="s">
        <v>832</v>
      </c>
    </row>
    <row r="5085" spans="1:4" x14ac:dyDescent="0.25">
      <c r="A5085" s="222" t="s">
        <v>1533</v>
      </c>
      <c r="B5085" s="222">
        <v>542802</v>
      </c>
      <c r="C5085" s="222" t="s">
        <v>1532</v>
      </c>
      <c r="D5085" s="222" t="s">
        <v>1262</v>
      </c>
    </row>
    <row r="5086" spans="1:4" x14ac:dyDescent="0.25">
      <c r="A5086" s="222" t="s">
        <v>1531</v>
      </c>
      <c r="B5086" s="222">
        <v>542803</v>
      </c>
      <c r="C5086" s="222" t="s">
        <v>1530</v>
      </c>
      <c r="D5086" s="222" t="s">
        <v>1529</v>
      </c>
    </row>
    <row r="5087" spans="1:4" x14ac:dyDescent="0.25">
      <c r="A5087" s="222" t="s">
        <v>1528</v>
      </c>
      <c r="B5087" s="222">
        <v>542804</v>
      </c>
      <c r="C5087" s="222" t="s">
        <v>1527</v>
      </c>
      <c r="D5087" s="222" t="s">
        <v>195</v>
      </c>
    </row>
    <row r="5088" spans="1:4" x14ac:dyDescent="0.25">
      <c r="A5088" s="222" t="s">
        <v>1526</v>
      </c>
      <c r="B5088" s="222">
        <v>542805</v>
      </c>
      <c r="C5088" s="222" t="s">
        <v>1525</v>
      </c>
      <c r="D5088" s="222" t="s">
        <v>195</v>
      </c>
    </row>
    <row r="5089" spans="1:4" x14ac:dyDescent="0.25">
      <c r="A5089" s="222" t="s">
        <v>1524</v>
      </c>
      <c r="B5089" s="222">
        <v>542806</v>
      </c>
      <c r="C5089" s="222" t="s">
        <v>1523</v>
      </c>
      <c r="D5089" s="222" t="s">
        <v>195</v>
      </c>
    </row>
    <row r="5090" spans="1:4" x14ac:dyDescent="0.25">
      <c r="A5090" s="222" t="s">
        <v>1522</v>
      </c>
      <c r="B5090" s="222">
        <v>542807</v>
      </c>
      <c r="C5090" s="222" t="s">
        <v>1521</v>
      </c>
      <c r="D5090" s="222" t="s">
        <v>195</v>
      </c>
    </row>
    <row r="5091" spans="1:4" x14ac:dyDescent="0.25">
      <c r="A5091" s="222" t="s">
        <v>1520</v>
      </c>
      <c r="B5091" s="222">
        <v>542808</v>
      </c>
      <c r="C5091" s="222" t="s">
        <v>1519</v>
      </c>
      <c r="D5091" s="222" t="s">
        <v>195</v>
      </c>
    </row>
    <row r="5092" spans="1:4" x14ac:dyDescent="0.25">
      <c r="A5092" s="222" t="s">
        <v>1518</v>
      </c>
      <c r="B5092" s="222">
        <v>542809</v>
      </c>
      <c r="C5092" s="222" t="s">
        <v>1517</v>
      </c>
      <c r="D5092" s="222" t="s">
        <v>195</v>
      </c>
    </row>
    <row r="5093" spans="1:4" x14ac:dyDescent="0.25">
      <c r="A5093" s="222" t="s">
        <v>1516</v>
      </c>
      <c r="B5093" s="222">
        <v>542810</v>
      </c>
      <c r="C5093" s="222" t="s">
        <v>1515</v>
      </c>
      <c r="D5093" s="222" t="s">
        <v>195</v>
      </c>
    </row>
    <row r="5094" spans="1:4" x14ac:dyDescent="0.25">
      <c r="A5094" s="222" t="s">
        <v>1514</v>
      </c>
      <c r="B5094" s="222">
        <v>542811</v>
      </c>
      <c r="C5094" s="222" t="s">
        <v>1513</v>
      </c>
      <c r="D5094" s="222" t="s">
        <v>195</v>
      </c>
    </row>
    <row r="5095" spans="1:4" x14ac:dyDescent="0.25">
      <c r="A5095" s="222" t="s">
        <v>1512</v>
      </c>
      <c r="B5095" s="222">
        <v>542812</v>
      </c>
      <c r="C5095" s="222" t="s">
        <v>1511</v>
      </c>
      <c r="D5095" s="222" t="s">
        <v>722</v>
      </c>
    </row>
    <row r="5096" spans="1:4" x14ac:dyDescent="0.25">
      <c r="A5096" s="222" t="s">
        <v>1510</v>
      </c>
      <c r="B5096" s="222">
        <v>542813</v>
      </c>
      <c r="C5096" s="222" t="s">
        <v>1509</v>
      </c>
      <c r="D5096" s="222" t="s">
        <v>195</v>
      </c>
    </row>
    <row r="5097" spans="1:4" x14ac:dyDescent="0.25">
      <c r="A5097" s="222" t="s">
        <v>1508</v>
      </c>
      <c r="B5097" s="222">
        <v>542814</v>
      </c>
      <c r="C5097" s="222" t="s">
        <v>1507</v>
      </c>
      <c r="D5097" s="222" t="s">
        <v>195</v>
      </c>
    </row>
    <row r="5098" spans="1:4" x14ac:dyDescent="0.25">
      <c r="A5098" s="222" t="s">
        <v>1506</v>
      </c>
      <c r="B5098" s="222">
        <v>542815</v>
      </c>
      <c r="C5098" s="222" t="s">
        <v>1505</v>
      </c>
      <c r="D5098" s="222" t="s">
        <v>195</v>
      </c>
    </row>
    <row r="5099" spans="1:4" x14ac:dyDescent="0.25">
      <c r="A5099" s="222" t="s">
        <v>1504</v>
      </c>
      <c r="B5099" s="222">
        <v>542816</v>
      </c>
      <c r="C5099" s="222" t="s">
        <v>1503</v>
      </c>
      <c r="D5099" s="222" t="s">
        <v>195</v>
      </c>
    </row>
    <row r="5100" spans="1:4" x14ac:dyDescent="0.25">
      <c r="A5100" s="222" t="s">
        <v>1502</v>
      </c>
      <c r="B5100" s="222">
        <v>542817</v>
      </c>
      <c r="C5100" s="222" t="s">
        <v>1501</v>
      </c>
      <c r="D5100" s="222" t="s">
        <v>195</v>
      </c>
    </row>
    <row r="5101" spans="1:4" x14ac:dyDescent="0.25">
      <c r="A5101" s="222" t="s">
        <v>1500</v>
      </c>
      <c r="B5101" s="222">
        <v>542818</v>
      </c>
      <c r="C5101" s="222" t="s">
        <v>1499</v>
      </c>
      <c r="D5101" s="222" t="s">
        <v>195</v>
      </c>
    </row>
    <row r="5102" spans="1:4" x14ac:dyDescent="0.25">
      <c r="A5102" s="222" t="s">
        <v>1498</v>
      </c>
      <c r="B5102" s="222">
        <v>542819</v>
      </c>
      <c r="C5102" s="222" t="s">
        <v>1497</v>
      </c>
      <c r="D5102" s="222" t="s">
        <v>195</v>
      </c>
    </row>
    <row r="5103" spans="1:4" x14ac:dyDescent="0.25">
      <c r="A5103" s="222" t="s">
        <v>1496</v>
      </c>
      <c r="B5103" s="222">
        <v>542820</v>
      </c>
      <c r="C5103" s="222" t="s">
        <v>1495</v>
      </c>
      <c r="D5103" s="222" t="s">
        <v>195</v>
      </c>
    </row>
    <row r="5104" spans="1:4" x14ac:dyDescent="0.25">
      <c r="A5104" s="222" t="s">
        <v>1494</v>
      </c>
      <c r="B5104" s="222">
        <v>542830</v>
      </c>
      <c r="C5104" s="222" t="s">
        <v>1493</v>
      </c>
      <c r="D5104" s="222" t="s">
        <v>1492</v>
      </c>
    </row>
    <row r="5105" spans="1:4" x14ac:dyDescent="0.25">
      <c r="A5105" s="222" t="s">
        <v>1491</v>
      </c>
      <c r="B5105" s="222">
        <v>542836</v>
      </c>
      <c r="C5105" s="222" t="s">
        <v>1490</v>
      </c>
      <c r="D5105" s="222" t="s">
        <v>195</v>
      </c>
    </row>
    <row r="5106" spans="1:4" x14ac:dyDescent="0.25">
      <c r="A5106" s="222" t="s">
        <v>1489</v>
      </c>
      <c r="B5106" s="222">
        <v>542837</v>
      </c>
      <c r="C5106" s="222" t="s">
        <v>1488</v>
      </c>
      <c r="D5106" s="222" t="s">
        <v>195</v>
      </c>
    </row>
    <row r="5107" spans="1:4" x14ac:dyDescent="0.25">
      <c r="A5107" s="222" t="s">
        <v>1487</v>
      </c>
      <c r="B5107" s="222">
        <v>542838</v>
      </c>
      <c r="C5107" s="222" t="s">
        <v>1486</v>
      </c>
      <c r="D5107" s="222" t="s">
        <v>195</v>
      </c>
    </row>
    <row r="5108" spans="1:4" x14ac:dyDescent="0.25">
      <c r="A5108" s="222" t="s">
        <v>1485</v>
      </c>
      <c r="B5108" s="222">
        <v>542839</v>
      </c>
      <c r="C5108" s="222" t="s">
        <v>1484</v>
      </c>
      <c r="D5108" s="222" t="s">
        <v>195</v>
      </c>
    </row>
    <row r="5109" spans="1:4" x14ac:dyDescent="0.25">
      <c r="A5109" s="222" t="s">
        <v>1483</v>
      </c>
      <c r="B5109" s="222">
        <v>542840</v>
      </c>
      <c r="C5109" s="222" t="s">
        <v>1482</v>
      </c>
      <c r="D5109" s="222" t="s">
        <v>195</v>
      </c>
    </row>
    <row r="5110" spans="1:4" x14ac:dyDescent="0.25">
      <c r="A5110" s="222" t="s">
        <v>1481</v>
      </c>
      <c r="B5110" s="222">
        <v>542841</v>
      </c>
      <c r="C5110" s="222" t="s">
        <v>1480</v>
      </c>
      <c r="D5110" s="222" t="s">
        <v>195</v>
      </c>
    </row>
    <row r="5111" spans="1:4" x14ac:dyDescent="0.25">
      <c r="A5111" s="222" t="s">
        <v>1479</v>
      </c>
      <c r="B5111" s="222">
        <v>542842</v>
      </c>
      <c r="C5111" s="222" t="s">
        <v>1478</v>
      </c>
      <c r="D5111" s="222" t="s">
        <v>195</v>
      </c>
    </row>
    <row r="5112" spans="1:4" x14ac:dyDescent="0.25">
      <c r="A5112" s="222" t="s">
        <v>1477</v>
      </c>
      <c r="B5112" s="222">
        <v>542843</v>
      </c>
      <c r="C5112" s="222" t="s">
        <v>1476</v>
      </c>
      <c r="D5112" s="222" t="s">
        <v>195</v>
      </c>
    </row>
    <row r="5113" spans="1:4" x14ac:dyDescent="0.25">
      <c r="A5113" s="222" t="s">
        <v>1475</v>
      </c>
      <c r="B5113" s="222">
        <v>542844</v>
      </c>
      <c r="C5113" s="222" t="s">
        <v>1474</v>
      </c>
      <c r="D5113" s="222" t="s">
        <v>195</v>
      </c>
    </row>
    <row r="5114" spans="1:4" x14ac:dyDescent="0.25">
      <c r="A5114" s="222" t="s">
        <v>1473</v>
      </c>
      <c r="B5114" s="222">
        <v>542845</v>
      </c>
      <c r="C5114" s="222" t="s">
        <v>1472</v>
      </c>
      <c r="D5114" s="222" t="s">
        <v>195</v>
      </c>
    </row>
    <row r="5115" spans="1:4" x14ac:dyDescent="0.25">
      <c r="A5115" s="222" t="s">
        <v>1471</v>
      </c>
      <c r="B5115" s="222">
        <v>542846</v>
      </c>
      <c r="C5115" s="222" t="s">
        <v>1470</v>
      </c>
      <c r="D5115" s="222" t="s">
        <v>195</v>
      </c>
    </row>
    <row r="5116" spans="1:4" x14ac:dyDescent="0.25">
      <c r="A5116" s="222" t="s">
        <v>1469</v>
      </c>
      <c r="B5116" s="222">
        <v>542847</v>
      </c>
      <c r="C5116" s="222" t="s">
        <v>1468</v>
      </c>
      <c r="D5116" s="222" t="s">
        <v>195</v>
      </c>
    </row>
    <row r="5117" spans="1:4" x14ac:dyDescent="0.25">
      <c r="A5117" s="222" t="s">
        <v>1467</v>
      </c>
      <c r="B5117" s="222">
        <v>542848</v>
      </c>
      <c r="C5117" s="222" t="s">
        <v>1466</v>
      </c>
      <c r="D5117" s="222" t="s">
        <v>195</v>
      </c>
    </row>
    <row r="5118" spans="1:4" x14ac:dyDescent="0.25">
      <c r="A5118" s="222" t="s">
        <v>1465</v>
      </c>
      <c r="B5118" s="222">
        <v>542849</v>
      </c>
      <c r="C5118" s="222" t="s">
        <v>1464</v>
      </c>
      <c r="D5118" s="222" t="s">
        <v>195</v>
      </c>
    </row>
    <row r="5119" spans="1:4" x14ac:dyDescent="0.25">
      <c r="A5119" s="222" t="s">
        <v>1463</v>
      </c>
      <c r="B5119" s="222">
        <v>542850</v>
      </c>
      <c r="C5119" s="222" t="s">
        <v>1462</v>
      </c>
      <c r="D5119" s="222" t="s">
        <v>1364</v>
      </c>
    </row>
    <row r="5120" spans="1:4" x14ac:dyDescent="0.25">
      <c r="A5120" s="222" t="s">
        <v>1461</v>
      </c>
      <c r="B5120" s="222">
        <v>542851</v>
      </c>
      <c r="C5120" s="222" t="s">
        <v>1460</v>
      </c>
      <c r="D5120" s="222" t="s">
        <v>911</v>
      </c>
    </row>
    <row r="5121" spans="1:4" x14ac:dyDescent="0.25">
      <c r="A5121" s="222" t="s">
        <v>1459</v>
      </c>
      <c r="B5121" s="222">
        <v>542852</v>
      </c>
      <c r="C5121" s="222" t="s">
        <v>1458</v>
      </c>
      <c r="D5121" s="222" t="s">
        <v>1124</v>
      </c>
    </row>
    <row r="5122" spans="1:4" x14ac:dyDescent="0.25">
      <c r="A5122" s="222" t="s">
        <v>1457</v>
      </c>
      <c r="B5122" s="222">
        <v>542857</v>
      </c>
      <c r="C5122" s="222" t="s">
        <v>1456</v>
      </c>
      <c r="D5122" s="222" t="s">
        <v>1272</v>
      </c>
    </row>
    <row r="5123" spans="1:4" x14ac:dyDescent="0.25">
      <c r="A5123" s="222" t="s">
        <v>1455</v>
      </c>
      <c r="B5123" s="222">
        <v>542862</v>
      </c>
      <c r="C5123" s="222" t="s">
        <v>1454</v>
      </c>
      <c r="D5123" s="222" t="s">
        <v>1237</v>
      </c>
    </row>
    <row r="5124" spans="1:4" x14ac:dyDescent="0.25">
      <c r="A5124" s="222" t="s">
        <v>1453</v>
      </c>
      <c r="B5124" s="222">
        <v>542863</v>
      </c>
      <c r="C5124" s="222" t="s">
        <v>1452</v>
      </c>
      <c r="D5124" s="222" t="s">
        <v>195</v>
      </c>
    </row>
    <row r="5125" spans="1:4" x14ac:dyDescent="0.25">
      <c r="A5125" s="222" t="s">
        <v>1451</v>
      </c>
      <c r="B5125" s="222">
        <v>542864</v>
      </c>
      <c r="C5125" s="222" t="s">
        <v>1450</v>
      </c>
      <c r="D5125" s="222" t="s">
        <v>1243</v>
      </c>
    </row>
    <row r="5126" spans="1:4" x14ac:dyDescent="0.25">
      <c r="A5126" s="222" t="s">
        <v>1449</v>
      </c>
      <c r="B5126" s="222">
        <v>542865</v>
      </c>
      <c r="C5126" s="222" t="s">
        <v>1448</v>
      </c>
      <c r="D5126" s="222" t="s">
        <v>1447</v>
      </c>
    </row>
    <row r="5127" spans="1:4" x14ac:dyDescent="0.25">
      <c r="A5127" s="222" t="s">
        <v>1446</v>
      </c>
      <c r="B5127" s="222">
        <v>542866</v>
      </c>
      <c r="C5127" s="222" t="s">
        <v>1445</v>
      </c>
      <c r="D5127" s="222" t="s">
        <v>1262</v>
      </c>
    </row>
    <row r="5128" spans="1:4" x14ac:dyDescent="0.25">
      <c r="A5128" s="222" t="s">
        <v>1444</v>
      </c>
      <c r="B5128" s="222">
        <v>542867</v>
      </c>
      <c r="C5128" s="222" t="s">
        <v>1443</v>
      </c>
      <c r="D5128" s="222" t="s">
        <v>1240</v>
      </c>
    </row>
    <row r="5129" spans="1:4" x14ac:dyDescent="0.25">
      <c r="A5129" s="222" t="s">
        <v>1442</v>
      </c>
      <c r="B5129" s="222">
        <v>542904</v>
      </c>
      <c r="C5129" s="222" t="s">
        <v>1441</v>
      </c>
      <c r="D5129" s="222" t="s">
        <v>1240</v>
      </c>
    </row>
    <row r="5130" spans="1:4" x14ac:dyDescent="0.25">
      <c r="A5130" s="222" t="s">
        <v>1440</v>
      </c>
      <c r="B5130" s="222">
        <v>542905</v>
      </c>
      <c r="C5130" s="222" t="s">
        <v>1439</v>
      </c>
      <c r="D5130" s="222" t="s">
        <v>1275</v>
      </c>
    </row>
    <row r="5131" spans="1:4" x14ac:dyDescent="0.25">
      <c r="A5131" s="222" t="s">
        <v>1438</v>
      </c>
      <c r="B5131" s="222">
        <v>542906</v>
      </c>
      <c r="C5131" s="222" t="s">
        <v>1437</v>
      </c>
      <c r="D5131" s="222" t="s">
        <v>1321</v>
      </c>
    </row>
    <row r="5132" spans="1:4" x14ac:dyDescent="0.25">
      <c r="A5132" s="222" t="s">
        <v>1436</v>
      </c>
      <c r="B5132" s="222">
        <v>542907</v>
      </c>
      <c r="C5132" s="222" t="s">
        <v>1435</v>
      </c>
      <c r="D5132" s="222" t="s">
        <v>1251</v>
      </c>
    </row>
    <row r="5133" spans="1:4" x14ac:dyDescent="0.25">
      <c r="A5133" s="222" t="s">
        <v>1434</v>
      </c>
      <c r="B5133" s="222">
        <v>542910</v>
      </c>
      <c r="C5133" s="222" t="s">
        <v>1433</v>
      </c>
      <c r="D5133" s="222" t="s">
        <v>1432</v>
      </c>
    </row>
    <row r="5134" spans="1:4" x14ac:dyDescent="0.25">
      <c r="A5134" s="222" t="s">
        <v>1431</v>
      </c>
      <c r="B5134" s="222">
        <v>542911</v>
      </c>
      <c r="C5134" s="222" t="s">
        <v>1430</v>
      </c>
      <c r="D5134" s="222" t="s">
        <v>1321</v>
      </c>
    </row>
    <row r="5135" spans="1:4" x14ac:dyDescent="0.25">
      <c r="A5135" s="222" t="s">
        <v>1429</v>
      </c>
      <c r="B5135" s="222">
        <v>542918</v>
      </c>
      <c r="C5135" s="222" t="s">
        <v>1428</v>
      </c>
      <c r="D5135" s="222" t="s">
        <v>1425</v>
      </c>
    </row>
    <row r="5136" spans="1:4" x14ac:dyDescent="0.25">
      <c r="A5136" s="222" t="s">
        <v>1427</v>
      </c>
      <c r="B5136" s="222">
        <v>542919</v>
      </c>
      <c r="C5136" s="222" t="s">
        <v>1426</v>
      </c>
      <c r="D5136" s="222" t="s">
        <v>1425</v>
      </c>
    </row>
    <row r="5137" spans="1:4" x14ac:dyDescent="0.25">
      <c r="A5137" s="222" t="s">
        <v>1424</v>
      </c>
      <c r="B5137" s="222">
        <v>542920</v>
      </c>
      <c r="C5137" s="222" t="s">
        <v>1423</v>
      </c>
      <c r="D5137" s="222" t="s">
        <v>1324</v>
      </c>
    </row>
    <row r="5138" spans="1:4" x14ac:dyDescent="0.25">
      <c r="A5138" s="222" t="s">
        <v>1422</v>
      </c>
      <c r="B5138" s="222">
        <v>542921</v>
      </c>
      <c r="C5138" s="222" t="s">
        <v>1421</v>
      </c>
      <c r="D5138" s="222" t="s">
        <v>195</v>
      </c>
    </row>
    <row r="5139" spans="1:4" x14ac:dyDescent="0.25">
      <c r="A5139" s="222" t="s">
        <v>1420</v>
      </c>
      <c r="B5139" s="222">
        <v>542922</v>
      </c>
      <c r="C5139" s="222" t="s">
        <v>1419</v>
      </c>
      <c r="D5139" s="222" t="s">
        <v>195</v>
      </c>
    </row>
    <row r="5140" spans="1:4" x14ac:dyDescent="0.25">
      <c r="A5140" s="222" t="s">
        <v>1418</v>
      </c>
      <c r="B5140" s="222">
        <v>542923</v>
      </c>
      <c r="C5140" s="222" t="s">
        <v>1417</v>
      </c>
      <c r="D5140" s="222" t="s">
        <v>1265</v>
      </c>
    </row>
    <row r="5141" spans="1:4" x14ac:dyDescent="0.25">
      <c r="A5141" s="222" t="s">
        <v>1416</v>
      </c>
      <c r="B5141" s="222">
        <v>542924</v>
      </c>
      <c r="C5141" s="222" t="s">
        <v>1415</v>
      </c>
      <c r="D5141" s="222" t="s">
        <v>1318</v>
      </c>
    </row>
    <row r="5142" spans="1:4" x14ac:dyDescent="0.25">
      <c r="A5142" s="222" t="s">
        <v>1414</v>
      </c>
      <c r="B5142" s="222">
        <v>542931</v>
      </c>
      <c r="C5142" s="222" t="s">
        <v>1413</v>
      </c>
      <c r="D5142" s="222" t="s">
        <v>1321</v>
      </c>
    </row>
    <row r="5143" spans="1:4" x14ac:dyDescent="0.25">
      <c r="A5143" s="222" t="s">
        <v>1412</v>
      </c>
      <c r="B5143" s="222">
        <v>542932</v>
      </c>
      <c r="C5143" s="222" t="s">
        <v>1411</v>
      </c>
      <c r="D5143" s="222" t="s">
        <v>1410</v>
      </c>
    </row>
    <row r="5144" spans="1:4" x14ac:dyDescent="0.25">
      <c r="A5144" s="222" t="s">
        <v>1409</v>
      </c>
      <c r="B5144" s="222">
        <v>542933</v>
      </c>
      <c r="C5144" s="222" t="s">
        <v>1408</v>
      </c>
      <c r="D5144" s="222" t="s">
        <v>1407</v>
      </c>
    </row>
    <row r="5145" spans="1:4" x14ac:dyDescent="0.25">
      <c r="A5145" s="222" t="s">
        <v>1406</v>
      </c>
      <c r="B5145" s="222">
        <v>542934</v>
      </c>
      <c r="C5145" s="222" t="s">
        <v>1405</v>
      </c>
      <c r="D5145" s="222" t="s">
        <v>789</v>
      </c>
    </row>
    <row r="5146" spans="1:4" x14ac:dyDescent="0.25">
      <c r="A5146" s="222" t="s">
        <v>1404</v>
      </c>
      <c r="B5146" s="222">
        <v>542935</v>
      </c>
      <c r="C5146" s="222" t="s">
        <v>1403</v>
      </c>
      <c r="D5146" s="222" t="s">
        <v>1161</v>
      </c>
    </row>
    <row r="5147" spans="1:4" x14ac:dyDescent="0.25">
      <c r="A5147" s="222" t="s">
        <v>1402</v>
      </c>
      <c r="B5147" s="222">
        <v>542938</v>
      </c>
      <c r="C5147" s="222" t="s">
        <v>1401</v>
      </c>
      <c r="D5147" s="222" t="s">
        <v>1400</v>
      </c>
    </row>
    <row r="5148" spans="1:4" x14ac:dyDescent="0.25">
      <c r="A5148" s="222" t="s">
        <v>1399</v>
      </c>
      <c r="B5148" s="222">
        <v>543064</v>
      </c>
      <c r="C5148" s="222" t="s">
        <v>1398</v>
      </c>
      <c r="D5148" s="222" t="s">
        <v>789</v>
      </c>
    </row>
    <row r="5149" spans="1:4" x14ac:dyDescent="0.25">
      <c r="A5149" s="222" t="s">
        <v>1397</v>
      </c>
      <c r="B5149" s="222">
        <v>543065</v>
      </c>
      <c r="C5149" s="222" t="s">
        <v>1396</v>
      </c>
      <c r="D5149" s="222" t="s">
        <v>1395</v>
      </c>
    </row>
    <row r="5150" spans="1:4" x14ac:dyDescent="0.25">
      <c r="A5150" s="222" t="s">
        <v>1394</v>
      </c>
      <c r="B5150" s="222">
        <v>543066</v>
      </c>
      <c r="C5150" s="222" t="s">
        <v>1393</v>
      </c>
      <c r="D5150" s="222" t="s">
        <v>1321</v>
      </c>
    </row>
    <row r="5151" spans="1:4" x14ac:dyDescent="0.25">
      <c r="A5151" s="222" t="s">
        <v>1390</v>
      </c>
      <c r="B5151" s="222">
        <v>543144</v>
      </c>
      <c r="C5151" s="222" t="s">
        <v>1392</v>
      </c>
      <c r="D5151" s="222" t="s">
        <v>195</v>
      </c>
    </row>
    <row r="5152" spans="1:4" x14ac:dyDescent="0.25">
      <c r="A5152" s="222" t="s">
        <v>1368</v>
      </c>
      <c r="B5152" s="222">
        <v>543145</v>
      </c>
      <c r="C5152" s="222" t="s">
        <v>1391</v>
      </c>
      <c r="D5152" s="222" t="s">
        <v>195</v>
      </c>
    </row>
    <row r="5153" spans="1:4" x14ac:dyDescent="0.25">
      <c r="A5153" s="222" t="s">
        <v>1390</v>
      </c>
      <c r="B5153" s="222">
        <v>543146</v>
      </c>
      <c r="C5153" s="222" t="s">
        <v>1389</v>
      </c>
      <c r="D5153" s="222" t="s">
        <v>195</v>
      </c>
    </row>
    <row r="5154" spans="1:4" x14ac:dyDescent="0.25">
      <c r="A5154" s="222" t="s">
        <v>1387</v>
      </c>
      <c r="B5154" s="222">
        <v>543147</v>
      </c>
      <c r="C5154" s="222" t="s">
        <v>1388</v>
      </c>
      <c r="D5154" s="222" t="s">
        <v>195</v>
      </c>
    </row>
    <row r="5155" spans="1:4" x14ac:dyDescent="0.25">
      <c r="A5155" s="222" t="s">
        <v>1387</v>
      </c>
      <c r="B5155" s="222">
        <v>543148</v>
      </c>
      <c r="C5155" s="222" t="s">
        <v>1386</v>
      </c>
      <c r="D5155" s="222" t="s">
        <v>195</v>
      </c>
    </row>
    <row r="5156" spans="1:4" x14ac:dyDescent="0.25">
      <c r="A5156" s="222" t="s">
        <v>1385</v>
      </c>
      <c r="B5156" s="222">
        <v>543149</v>
      </c>
      <c r="C5156" s="222" t="s">
        <v>1384</v>
      </c>
      <c r="D5156" s="222" t="s">
        <v>195</v>
      </c>
    </row>
    <row r="5157" spans="1:4" x14ac:dyDescent="0.25">
      <c r="A5157" s="222" t="s">
        <v>1383</v>
      </c>
      <c r="B5157" s="222">
        <v>543150</v>
      </c>
      <c r="C5157" s="222" t="s">
        <v>1382</v>
      </c>
      <c r="D5157" s="222" t="s">
        <v>195</v>
      </c>
    </row>
    <row r="5158" spans="1:4" x14ac:dyDescent="0.25">
      <c r="A5158" s="222" t="s">
        <v>1381</v>
      </c>
      <c r="B5158" s="222">
        <v>543151</v>
      </c>
      <c r="C5158" s="222" t="s">
        <v>1380</v>
      </c>
      <c r="D5158" s="222" t="s">
        <v>195</v>
      </c>
    </row>
    <row r="5159" spans="1:4" x14ac:dyDescent="0.25">
      <c r="A5159" s="222" t="s">
        <v>1376</v>
      </c>
      <c r="B5159" s="222">
        <v>543152</v>
      </c>
      <c r="C5159" s="222" t="s">
        <v>1379</v>
      </c>
      <c r="D5159" s="222" t="s">
        <v>195</v>
      </c>
    </row>
    <row r="5160" spans="1:4" x14ac:dyDescent="0.25">
      <c r="A5160" s="222" t="s">
        <v>1378</v>
      </c>
      <c r="B5160" s="222">
        <v>543153</v>
      </c>
      <c r="C5160" s="222" t="s">
        <v>1377</v>
      </c>
      <c r="D5160" s="222" t="s">
        <v>195</v>
      </c>
    </row>
    <row r="5161" spans="1:4" x14ac:dyDescent="0.25">
      <c r="A5161" s="222" t="s">
        <v>1376</v>
      </c>
      <c r="B5161" s="222">
        <v>543154</v>
      </c>
      <c r="C5161" s="222" t="s">
        <v>1375</v>
      </c>
      <c r="D5161" s="222" t="s">
        <v>195</v>
      </c>
    </row>
    <row r="5162" spans="1:4" x14ac:dyDescent="0.25">
      <c r="A5162" s="222" t="s">
        <v>1372</v>
      </c>
      <c r="B5162" s="222">
        <v>543155</v>
      </c>
      <c r="C5162" s="222" t="s">
        <v>1374</v>
      </c>
      <c r="D5162" s="222" t="s">
        <v>195</v>
      </c>
    </row>
    <row r="5163" spans="1:4" x14ac:dyDescent="0.25">
      <c r="A5163" s="222" t="s">
        <v>1370</v>
      </c>
      <c r="B5163" s="222">
        <v>543156</v>
      </c>
      <c r="C5163" s="222" t="s">
        <v>1373</v>
      </c>
      <c r="D5163" s="222" t="s">
        <v>195</v>
      </c>
    </row>
    <row r="5164" spans="1:4" x14ac:dyDescent="0.25">
      <c r="A5164" s="222" t="s">
        <v>1372</v>
      </c>
      <c r="B5164" s="222">
        <v>543168</v>
      </c>
      <c r="C5164" s="222" t="s">
        <v>1371</v>
      </c>
      <c r="D5164" s="222" t="s">
        <v>195</v>
      </c>
    </row>
    <row r="5165" spans="1:4" x14ac:dyDescent="0.25">
      <c r="A5165" s="222" t="s">
        <v>1370</v>
      </c>
      <c r="B5165" s="222">
        <v>543169</v>
      </c>
      <c r="C5165" s="222" t="s">
        <v>1369</v>
      </c>
      <c r="D5165" s="222" t="s">
        <v>195</v>
      </c>
    </row>
    <row r="5166" spans="1:4" x14ac:dyDescent="0.25">
      <c r="A5166" s="222" t="s">
        <v>1368</v>
      </c>
      <c r="B5166" s="222">
        <v>543170</v>
      </c>
      <c r="C5166" s="222" t="s">
        <v>1367</v>
      </c>
      <c r="D5166" s="222" t="s">
        <v>195</v>
      </c>
    </row>
    <row r="5167" spans="1:4" x14ac:dyDescent="0.25">
      <c r="A5167" s="222" t="s">
        <v>1366</v>
      </c>
      <c r="B5167" s="222">
        <v>543171</v>
      </c>
      <c r="C5167" s="222" t="s">
        <v>1365</v>
      </c>
      <c r="D5167" s="222" t="s">
        <v>1364</v>
      </c>
    </row>
    <row r="5168" spans="1:4" x14ac:dyDescent="0.25">
      <c r="A5168" s="222" t="s">
        <v>1363</v>
      </c>
      <c r="B5168" s="222">
        <v>543172</v>
      </c>
      <c r="C5168" s="222" t="s">
        <v>1362</v>
      </c>
      <c r="D5168" s="222" t="s">
        <v>832</v>
      </c>
    </row>
    <row r="5169" spans="1:4" x14ac:dyDescent="0.25">
      <c r="A5169" s="222" t="s">
        <v>1361</v>
      </c>
      <c r="B5169" s="222">
        <v>543173</v>
      </c>
      <c r="C5169" s="222" t="s">
        <v>1360</v>
      </c>
      <c r="D5169" s="222" t="s">
        <v>195</v>
      </c>
    </row>
    <row r="5170" spans="1:4" x14ac:dyDescent="0.25">
      <c r="A5170" s="222" t="s">
        <v>1359</v>
      </c>
      <c r="B5170" s="222">
        <v>543174</v>
      </c>
      <c r="C5170" s="222" t="s">
        <v>1358</v>
      </c>
      <c r="D5170" s="222" t="s">
        <v>195</v>
      </c>
    </row>
    <row r="5171" spans="1:4" x14ac:dyDescent="0.25">
      <c r="A5171" s="222" t="s">
        <v>1357</v>
      </c>
      <c r="B5171" s="222">
        <v>543175</v>
      </c>
      <c r="C5171" s="222" t="s">
        <v>1356</v>
      </c>
      <c r="D5171" s="222" t="s">
        <v>195</v>
      </c>
    </row>
    <row r="5172" spans="1:4" x14ac:dyDescent="0.25">
      <c r="A5172" s="222" t="s">
        <v>1355</v>
      </c>
      <c r="B5172" s="222">
        <v>543176</v>
      </c>
      <c r="C5172" s="222" t="s">
        <v>1354</v>
      </c>
      <c r="D5172" s="222" t="s">
        <v>195</v>
      </c>
    </row>
    <row r="5173" spans="1:4" x14ac:dyDescent="0.25">
      <c r="A5173" s="222" t="s">
        <v>1353</v>
      </c>
      <c r="B5173" s="222">
        <v>543177</v>
      </c>
      <c r="C5173" s="222" t="s">
        <v>1352</v>
      </c>
      <c r="D5173" s="222" t="s">
        <v>195</v>
      </c>
    </row>
    <row r="5174" spans="1:4" x14ac:dyDescent="0.25">
      <c r="A5174" s="222" t="s">
        <v>1351</v>
      </c>
      <c r="B5174" s="222">
        <v>543178</v>
      </c>
      <c r="C5174" s="222" t="s">
        <v>1350</v>
      </c>
      <c r="D5174" s="222" t="s">
        <v>195</v>
      </c>
    </row>
    <row r="5175" spans="1:4" x14ac:dyDescent="0.25">
      <c r="A5175" s="222" t="s">
        <v>1349</v>
      </c>
      <c r="B5175" s="222">
        <v>543179</v>
      </c>
      <c r="C5175" s="222" t="s">
        <v>1348</v>
      </c>
      <c r="D5175" s="222" t="s">
        <v>195</v>
      </c>
    </row>
    <row r="5176" spans="1:4" x14ac:dyDescent="0.25">
      <c r="A5176" s="222" t="s">
        <v>1347</v>
      </c>
      <c r="B5176" s="222">
        <v>543180</v>
      </c>
      <c r="C5176" s="222" t="s">
        <v>1346</v>
      </c>
      <c r="D5176" s="222" t="s">
        <v>195</v>
      </c>
    </row>
    <row r="5177" spans="1:4" x14ac:dyDescent="0.25">
      <c r="A5177" s="222" t="s">
        <v>1345</v>
      </c>
      <c r="B5177" s="222">
        <v>543181</v>
      </c>
      <c r="C5177" s="222" t="s">
        <v>1344</v>
      </c>
      <c r="D5177" s="222" t="s">
        <v>195</v>
      </c>
    </row>
    <row r="5178" spans="1:4" x14ac:dyDescent="0.25">
      <c r="A5178" s="222" t="s">
        <v>1343</v>
      </c>
      <c r="B5178" s="222">
        <v>543182</v>
      </c>
      <c r="C5178" s="222" t="s">
        <v>1342</v>
      </c>
      <c r="D5178" s="222" t="s">
        <v>195</v>
      </c>
    </row>
    <row r="5179" spans="1:4" x14ac:dyDescent="0.25">
      <c r="A5179" s="222" t="s">
        <v>1341</v>
      </c>
      <c r="B5179" s="222">
        <v>543183</v>
      </c>
      <c r="C5179" s="222" t="s">
        <v>1340</v>
      </c>
      <c r="D5179" s="222" t="s">
        <v>195</v>
      </c>
    </row>
    <row r="5180" spans="1:4" x14ac:dyDescent="0.25">
      <c r="A5180" s="222" t="s">
        <v>1339</v>
      </c>
      <c r="B5180" s="222">
        <v>543184</v>
      </c>
      <c r="C5180" s="222" t="s">
        <v>1338</v>
      </c>
      <c r="D5180" s="222" t="s">
        <v>195</v>
      </c>
    </row>
    <row r="5181" spans="1:4" x14ac:dyDescent="0.25">
      <c r="A5181" s="222" t="s">
        <v>1337</v>
      </c>
      <c r="B5181" s="222">
        <v>543185</v>
      </c>
      <c r="C5181" s="222" t="s">
        <v>1336</v>
      </c>
      <c r="D5181" s="222" t="s">
        <v>195</v>
      </c>
    </row>
    <row r="5182" spans="1:4" x14ac:dyDescent="0.25">
      <c r="A5182" s="222" t="s">
        <v>1335</v>
      </c>
      <c r="B5182" s="222">
        <v>543186</v>
      </c>
      <c r="C5182" s="222" t="s">
        <v>1334</v>
      </c>
      <c r="D5182" s="222" t="s">
        <v>195</v>
      </c>
    </row>
    <row r="5183" spans="1:4" x14ac:dyDescent="0.25">
      <c r="A5183" s="222" t="s">
        <v>1333</v>
      </c>
      <c r="B5183" s="222">
        <v>543187</v>
      </c>
      <c r="C5183" s="222" t="s">
        <v>1332</v>
      </c>
      <c r="D5183" s="222" t="s">
        <v>1066</v>
      </c>
    </row>
    <row r="5184" spans="1:4" x14ac:dyDescent="0.25">
      <c r="A5184" s="222" t="s">
        <v>1331</v>
      </c>
      <c r="B5184" s="222">
        <v>543193</v>
      </c>
      <c r="C5184" s="222" t="s">
        <v>1330</v>
      </c>
      <c r="D5184" s="222" t="s">
        <v>1329</v>
      </c>
    </row>
    <row r="5185" spans="1:4" x14ac:dyDescent="0.25">
      <c r="A5185" s="222" t="s">
        <v>1328</v>
      </c>
      <c r="B5185" s="222">
        <v>543194</v>
      </c>
      <c r="C5185" s="222" t="s">
        <v>1327</v>
      </c>
      <c r="D5185" s="222" t="s">
        <v>845</v>
      </c>
    </row>
    <row r="5186" spans="1:4" x14ac:dyDescent="0.25">
      <c r="A5186" s="222" t="s">
        <v>1326</v>
      </c>
      <c r="B5186" s="222">
        <v>543207</v>
      </c>
      <c r="C5186" s="222" t="s">
        <v>1325</v>
      </c>
      <c r="D5186" s="222" t="s">
        <v>1324</v>
      </c>
    </row>
    <row r="5187" spans="1:4" x14ac:dyDescent="0.25">
      <c r="A5187" s="222" t="s">
        <v>1323</v>
      </c>
      <c r="B5187" s="222">
        <v>543208</v>
      </c>
      <c r="C5187" s="222" t="s">
        <v>1322</v>
      </c>
      <c r="D5187" s="222" t="s">
        <v>1321</v>
      </c>
    </row>
    <row r="5188" spans="1:4" x14ac:dyDescent="0.25">
      <c r="A5188" s="222" t="s">
        <v>1320</v>
      </c>
      <c r="B5188" s="222">
        <v>543209</v>
      </c>
      <c r="C5188" s="222" t="s">
        <v>1319</v>
      </c>
      <c r="D5188" s="222" t="s">
        <v>1318</v>
      </c>
    </row>
    <row r="5189" spans="1:4" x14ac:dyDescent="0.25">
      <c r="A5189" s="222" t="s">
        <v>1317</v>
      </c>
      <c r="B5189" s="222">
        <v>543210</v>
      </c>
      <c r="C5189" s="222" t="s">
        <v>1316</v>
      </c>
      <c r="D5189" s="222" t="s">
        <v>722</v>
      </c>
    </row>
    <row r="5190" spans="1:4" x14ac:dyDescent="0.25">
      <c r="A5190" s="222" t="s">
        <v>1315</v>
      </c>
      <c r="B5190" s="222">
        <v>543211</v>
      </c>
      <c r="C5190" s="222" t="s">
        <v>1314</v>
      </c>
      <c r="D5190" s="222" t="s">
        <v>1313</v>
      </c>
    </row>
    <row r="5191" spans="1:4" x14ac:dyDescent="0.25">
      <c r="A5191" s="222" t="s">
        <v>1312</v>
      </c>
      <c r="B5191" s="222">
        <v>543212</v>
      </c>
      <c r="C5191" s="222" t="s">
        <v>1311</v>
      </c>
      <c r="D5191" s="222" t="s">
        <v>822</v>
      </c>
    </row>
    <row r="5192" spans="1:4" x14ac:dyDescent="0.25">
      <c r="A5192" s="222" t="s">
        <v>1310</v>
      </c>
      <c r="B5192" s="222">
        <v>543213</v>
      </c>
      <c r="C5192" s="222" t="s">
        <v>1309</v>
      </c>
      <c r="D5192" s="222" t="s">
        <v>722</v>
      </c>
    </row>
    <row r="5193" spans="1:4" x14ac:dyDescent="0.25">
      <c r="A5193" s="222" t="s">
        <v>1308</v>
      </c>
      <c r="B5193" s="222">
        <v>543214</v>
      </c>
      <c r="C5193" s="222" t="s">
        <v>1307</v>
      </c>
      <c r="D5193" s="222" t="s">
        <v>1306</v>
      </c>
    </row>
    <row r="5194" spans="1:4" x14ac:dyDescent="0.25">
      <c r="A5194" s="222" t="s">
        <v>1305</v>
      </c>
      <c r="B5194" s="222">
        <v>543217</v>
      </c>
      <c r="C5194" s="222" t="s">
        <v>1304</v>
      </c>
      <c r="D5194" s="222" t="s">
        <v>195</v>
      </c>
    </row>
    <row r="5195" spans="1:4" x14ac:dyDescent="0.25">
      <c r="A5195" s="222" t="s">
        <v>1303</v>
      </c>
      <c r="B5195" s="222">
        <v>543218</v>
      </c>
      <c r="C5195" s="222" t="s">
        <v>1302</v>
      </c>
      <c r="D5195" s="222" t="s">
        <v>1243</v>
      </c>
    </row>
    <row r="5196" spans="1:4" x14ac:dyDescent="0.25">
      <c r="A5196" s="222" t="s">
        <v>1301</v>
      </c>
      <c r="B5196" s="222">
        <v>543219</v>
      </c>
      <c r="C5196" s="222" t="s">
        <v>1300</v>
      </c>
      <c r="D5196" s="222" t="s">
        <v>195</v>
      </c>
    </row>
    <row r="5197" spans="1:4" x14ac:dyDescent="0.25">
      <c r="A5197" s="222" t="s">
        <v>1299</v>
      </c>
      <c r="B5197" s="222">
        <v>543220</v>
      </c>
      <c r="C5197" s="222" t="s">
        <v>1298</v>
      </c>
      <c r="D5197" s="222" t="s">
        <v>1297</v>
      </c>
    </row>
    <row r="5198" spans="1:4" x14ac:dyDescent="0.25">
      <c r="A5198" s="222" t="s">
        <v>1296</v>
      </c>
      <c r="B5198" s="222">
        <v>543221</v>
      </c>
      <c r="C5198" s="222" t="s">
        <v>1295</v>
      </c>
      <c r="D5198" s="222" t="s">
        <v>195</v>
      </c>
    </row>
    <row r="5199" spans="1:4" x14ac:dyDescent="0.25">
      <c r="A5199" s="222" t="s">
        <v>1294</v>
      </c>
      <c r="B5199" s="222">
        <v>543222</v>
      </c>
      <c r="C5199" s="222" t="s">
        <v>1293</v>
      </c>
      <c r="D5199" s="222" t="s">
        <v>1292</v>
      </c>
    </row>
    <row r="5200" spans="1:4" x14ac:dyDescent="0.25">
      <c r="A5200" s="222" t="s">
        <v>1291</v>
      </c>
      <c r="B5200" s="222">
        <v>543223</v>
      </c>
      <c r="C5200" s="222" t="s">
        <v>1290</v>
      </c>
      <c r="D5200" s="222" t="s">
        <v>1289</v>
      </c>
    </row>
    <row r="5201" spans="1:4" x14ac:dyDescent="0.25">
      <c r="A5201" s="222" t="s">
        <v>1288</v>
      </c>
      <c r="B5201" s="222">
        <v>543224</v>
      </c>
      <c r="C5201" s="222" t="s">
        <v>1287</v>
      </c>
      <c r="D5201" s="222" t="s">
        <v>195</v>
      </c>
    </row>
    <row r="5202" spans="1:4" x14ac:dyDescent="0.25">
      <c r="A5202" s="222" t="s">
        <v>1286</v>
      </c>
      <c r="B5202" s="222">
        <v>543225</v>
      </c>
      <c r="C5202" s="222" t="s">
        <v>1285</v>
      </c>
      <c r="D5202" s="222" t="s">
        <v>195</v>
      </c>
    </row>
    <row r="5203" spans="1:4" x14ac:dyDescent="0.25">
      <c r="A5203" s="222" t="s">
        <v>1284</v>
      </c>
      <c r="B5203" s="222">
        <v>543226</v>
      </c>
      <c r="C5203" s="222" t="s">
        <v>1283</v>
      </c>
      <c r="D5203" s="222" t="s">
        <v>195</v>
      </c>
    </row>
    <row r="5204" spans="1:4" x14ac:dyDescent="0.25">
      <c r="A5204" s="222" t="s">
        <v>1282</v>
      </c>
      <c r="B5204" s="222">
        <v>543227</v>
      </c>
      <c r="C5204" s="222" t="s">
        <v>1281</v>
      </c>
      <c r="D5204" s="222" t="s">
        <v>1265</v>
      </c>
    </row>
    <row r="5205" spans="1:4" x14ac:dyDescent="0.25">
      <c r="A5205" s="222" t="s">
        <v>1280</v>
      </c>
      <c r="B5205" s="222">
        <v>543228</v>
      </c>
      <c r="C5205" s="222" t="s">
        <v>1279</v>
      </c>
      <c r="D5205" s="222" t="s">
        <v>1278</v>
      </c>
    </row>
    <row r="5206" spans="1:4" x14ac:dyDescent="0.25">
      <c r="A5206" s="222" t="s">
        <v>1277</v>
      </c>
      <c r="B5206" s="222">
        <v>543230</v>
      </c>
      <c r="C5206" s="222" t="s">
        <v>1276</v>
      </c>
      <c r="D5206" s="222" t="s">
        <v>1275</v>
      </c>
    </row>
    <row r="5207" spans="1:4" x14ac:dyDescent="0.25">
      <c r="A5207" s="222" t="s">
        <v>1274</v>
      </c>
      <c r="B5207" s="222">
        <v>543231</v>
      </c>
      <c r="C5207" s="222" t="s">
        <v>1273</v>
      </c>
      <c r="D5207" s="222" t="s">
        <v>1272</v>
      </c>
    </row>
    <row r="5208" spans="1:4" x14ac:dyDescent="0.25">
      <c r="A5208" s="222" t="s">
        <v>1271</v>
      </c>
      <c r="B5208" s="222">
        <v>543232</v>
      </c>
      <c r="C5208" s="222" t="s">
        <v>1270</v>
      </c>
      <c r="D5208" s="222" t="s">
        <v>1262</v>
      </c>
    </row>
    <row r="5209" spans="1:4" x14ac:dyDescent="0.25">
      <c r="A5209" s="222" t="s">
        <v>1269</v>
      </c>
      <c r="B5209" s="222">
        <v>543233</v>
      </c>
      <c r="C5209" s="222" t="s">
        <v>1268</v>
      </c>
      <c r="D5209" s="222" t="s">
        <v>722</v>
      </c>
    </row>
    <row r="5210" spans="1:4" x14ac:dyDescent="0.25">
      <c r="A5210" s="222" t="s">
        <v>1267</v>
      </c>
      <c r="B5210" s="222">
        <v>543234</v>
      </c>
      <c r="C5210" s="222" t="s">
        <v>1266</v>
      </c>
      <c r="D5210" s="222" t="s">
        <v>1265</v>
      </c>
    </row>
    <row r="5211" spans="1:4" x14ac:dyDescent="0.25">
      <c r="A5211" s="222" t="s">
        <v>1264</v>
      </c>
      <c r="B5211" s="222">
        <v>543235</v>
      </c>
      <c r="C5211" s="222" t="s">
        <v>1263</v>
      </c>
      <c r="D5211" s="222" t="s">
        <v>1262</v>
      </c>
    </row>
    <row r="5212" spans="1:4" x14ac:dyDescent="0.25">
      <c r="A5212" s="222" t="s">
        <v>1261</v>
      </c>
      <c r="B5212" s="222">
        <v>543236</v>
      </c>
      <c r="C5212" s="222" t="s">
        <v>1260</v>
      </c>
      <c r="D5212" s="222" t="s">
        <v>832</v>
      </c>
    </row>
    <row r="5213" spans="1:4" x14ac:dyDescent="0.25">
      <c r="A5213" s="222" t="s">
        <v>1259</v>
      </c>
      <c r="B5213" s="222">
        <v>543237</v>
      </c>
      <c r="C5213" s="222" t="s">
        <v>1258</v>
      </c>
      <c r="D5213" s="222" t="s">
        <v>1257</v>
      </c>
    </row>
    <row r="5214" spans="1:4" x14ac:dyDescent="0.25">
      <c r="A5214" s="222" t="s">
        <v>1256</v>
      </c>
      <c r="B5214" s="222">
        <v>543238</v>
      </c>
      <c r="C5214" s="222" t="s">
        <v>1255</v>
      </c>
      <c r="D5214" s="222" t="s">
        <v>1254</v>
      </c>
    </row>
    <row r="5215" spans="1:4" x14ac:dyDescent="0.25">
      <c r="A5215" s="222" t="s">
        <v>1253</v>
      </c>
      <c r="B5215" s="222">
        <v>543239</v>
      </c>
      <c r="C5215" s="222" t="s">
        <v>1252</v>
      </c>
      <c r="D5215" s="222" t="s">
        <v>1251</v>
      </c>
    </row>
    <row r="5216" spans="1:4" x14ac:dyDescent="0.25">
      <c r="A5216" s="222" t="s">
        <v>1250</v>
      </c>
      <c r="B5216" s="222">
        <v>543240</v>
      </c>
      <c r="C5216" s="222" t="s">
        <v>1249</v>
      </c>
      <c r="D5216" s="222" t="s">
        <v>1248</v>
      </c>
    </row>
    <row r="5217" spans="1:4" x14ac:dyDescent="0.25">
      <c r="A5217" s="222" t="s">
        <v>1247</v>
      </c>
      <c r="B5217" s="222">
        <v>543241</v>
      </c>
      <c r="C5217" s="222" t="s">
        <v>1246</v>
      </c>
      <c r="D5217" s="222" t="s">
        <v>1243</v>
      </c>
    </row>
    <row r="5218" spans="1:4" x14ac:dyDescent="0.25">
      <c r="A5218" s="222" t="s">
        <v>1245</v>
      </c>
      <c r="B5218" s="222">
        <v>543242</v>
      </c>
      <c r="C5218" s="222" t="s">
        <v>1244</v>
      </c>
      <c r="D5218" s="222" t="s">
        <v>1243</v>
      </c>
    </row>
    <row r="5219" spans="1:4" x14ac:dyDescent="0.25">
      <c r="A5219" s="222" t="s">
        <v>1242</v>
      </c>
      <c r="B5219" s="222">
        <v>543243</v>
      </c>
      <c r="C5219" s="222" t="s">
        <v>1241</v>
      </c>
      <c r="D5219" s="222" t="s">
        <v>1240</v>
      </c>
    </row>
    <row r="5220" spans="1:4" x14ac:dyDescent="0.25">
      <c r="A5220" s="222" t="s">
        <v>1239</v>
      </c>
      <c r="B5220" s="222">
        <v>543244</v>
      </c>
      <c r="C5220" s="222" t="s">
        <v>1238</v>
      </c>
      <c r="D5220" s="222" t="s">
        <v>1237</v>
      </c>
    </row>
    <row r="5221" spans="1:4" x14ac:dyDescent="0.25">
      <c r="A5221" s="222" t="s">
        <v>1236</v>
      </c>
      <c r="B5221" s="222">
        <v>500270</v>
      </c>
      <c r="C5221" s="222" t="s">
        <v>1235</v>
      </c>
      <c r="D5221" s="222" t="s">
        <v>1109</v>
      </c>
    </row>
    <row r="5222" spans="1:4" x14ac:dyDescent="0.25">
      <c r="A5222" s="222" t="s">
        <v>1234</v>
      </c>
      <c r="B5222" s="222">
        <v>503685</v>
      </c>
      <c r="C5222" s="222" t="s">
        <v>1233</v>
      </c>
      <c r="D5222" s="222" t="s">
        <v>1172</v>
      </c>
    </row>
    <row r="5223" spans="1:4" x14ac:dyDescent="0.25">
      <c r="A5223" s="222" t="s">
        <v>1232</v>
      </c>
      <c r="B5223" s="222">
        <v>505100</v>
      </c>
      <c r="C5223" s="222" t="s">
        <v>1231</v>
      </c>
      <c r="D5223" s="222" t="s">
        <v>792</v>
      </c>
    </row>
    <row r="5224" spans="1:4" x14ac:dyDescent="0.25">
      <c r="A5224" s="222" t="s">
        <v>1230</v>
      </c>
      <c r="B5224" s="222">
        <v>506580</v>
      </c>
      <c r="C5224" s="222" t="s">
        <v>1229</v>
      </c>
      <c r="D5224" s="222" t="s">
        <v>1011</v>
      </c>
    </row>
    <row r="5225" spans="1:4" x14ac:dyDescent="0.25">
      <c r="A5225" s="222" t="s">
        <v>1228</v>
      </c>
      <c r="B5225" s="222">
        <v>509069</v>
      </c>
      <c r="C5225" s="222" t="s">
        <v>1227</v>
      </c>
      <c r="D5225" s="222" t="s">
        <v>1226</v>
      </c>
    </row>
    <row r="5226" spans="1:4" x14ac:dyDescent="0.25">
      <c r="A5226" s="222" t="s">
        <v>1225</v>
      </c>
      <c r="B5226" s="222">
        <v>509960</v>
      </c>
      <c r="C5226" s="222" t="s">
        <v>1224</v>
      </c>
      <c r="D5226" s="222" t="s">
        <v>716</v>
      </c>
    </row>
    <row r="5227" spans="1:4" x14ac:dyDescent="0.25">
      <c r="A5227" s="222" t="s">
        <v>1223</v>
      </c>
      <c r="B5227" s="222">
        <v>511016</v>
      </c>
      <c r="C5227" s="222" t="s">
        <v>1222</v>
      </c>
      <c r="D5227" s="222" t="s">
        <v>1189</v>
      </c>
    </row>
    <row r="5228" spans="1:4" x14ac:dyDescent="0.25">
      <c r="A5228" s="222" t="s">
        <v>1221</v>
      </c>
      <c r="B5228" s="222">
        <v>511194</v>
      </c>
      <c r="C5228" s="222" t="s">
        <v>1220</v>
      </c>
      <c r="D5228" s="222" t="s">
        <v>845</v>
      </c>
    </row>
    <row r="5229" spans="1:4" x14ac:dyDescent="0.25">
      <c r="A5229" s="222" t="s">
        <v>1219</v>
      </c>
      <c r="B5229" s="222">
        <v>512097</v>
      </c>
      <c r="C5229" s="222" t="s">
        <v>1218</v>
      </c>
      <c r="D5229" s="222" t="s">
        <v>772</v>
      </c>
    </row>
    <row r="5230" spans="1:4" x14ac:dyDescent="0.25">
      <c r="A5230" s="222" t="s">
        <v>1217</v>
      </c>
      <c r="B5230" s="222">
        <v>512115</v>
      </c>
      <c r="C5230" s="222" t="s">
        <v>1216</v>
      </c>
      <c r="D5230" s="222" t="s">
        <v>772</v>
      </c>
    </row>
    <row r="5231" spans="1:4" x14ac:dyDescent="0.25">
      <c r="A5231" s="222" t="s">
        <v>1215</v>
      </c>
      <c r="B5231" s="222">
        <v>514260</v>
      </c>
      <c r="C5231" s="222" t="s">
        <v>1214</v>
      </c>
      <c r="D5231" s="222" t="s">
        <v>1109</v>
      </c>
    </row>
    <row r="5232" spans="1:4" x14ac:dyDescent="0.25">
      <c r="A5232" s="222" t="s">
        <v>1213</v>
      </c>
      <c r="B5232" s="222">
        <v>523309</v>
      </c>
      <c r="C5232" s="222" t="s">
        <v>1212</v>
      </c>
      <c r="D5232" s="222" t="s">
        <v>835</v>
      </c>
    </row>
    <row r="5233" spans="1:4" x14ac:dyDescent="0.25">
      <c r="A5233" s="222" t="s">
        <v>1211</v>
      </c>
      <c r="B5233" s="222">
        <v>523868</v>
      </c>
      <c r="C5233" s="222" t="s">
        <v>1210</v>
      </c>
      <c r="D5233" s="222" t="s">
        <v>832</v>
      </c>
    </row>
    <row r="5234" spans="1:4" x14ac:dyDescent="0.25">
      <c r="A5234" s="222" t="s">
        <v>1209</v>
      </c>
      <c r="B5234" s="222">
        <v>524046</v>
      </c>
      <c r="C5234" s="222" t="s">
        <v>1208</v>
      </c>
      <c r="D5234" s="222" t="s">
        <v>1207</v>
      </c>
    </row>
    <row r="5235" spans="1:4" x14ac:dyDescent="0.25">
      <c r="A5235" s="222" t="s">
        <v>1206</v>
      </c>
      <c r="B5235" s="222">
        <v>526345</v>
      </c>
      <c r="C5235" s="222" t="s">
        <v>1205</v>
      </c>
      <c r="D5235" s="222" t="s">
        <v>1161</v>
      </c>
    </row>
    <row r="5236" spans="1:4" x14ac:dyDescent="0.25">
      <c r="A5236" s="222" t="s">
        <v>1204</v>
      </c>
      <c r="B5236" s="222">
        <v>526468</v>
      </c>
      <c r="C5236" s="222" t="s">
        <v>1203</v>
      </c>
      <c r="D5236" s="222" t="s">
        <v>728</v>
      </c>
    </row>
    <row r="5237" spans="1:4" x14ac:dyDescent="0.25">
      <c r="A5237" s="222" t="s">
        <v>1202</v>
      </c>
      <c r="B5237" s="222">
        <v>526677</v>
      </c>
      <c r="C5237" s="222" t="s">
        <v>1201</v>
      </c>
      <c r="D5237" s="222" t="s">
        <v>854</v>
      </c>
    </row>
    <row r="5238" spans="1:4" x14ac:dyDescent="0.25">
      <c r="A5238" s="222" t="s">
        <v>1200</v>
      </c>
      <c r="B5238" s="222">
        <v>526877</v>
      </c>
      <c r="C5238" s="222" t="s">
        <v>1199</v>
      </c>
      <c r="D5238" s="222" t="s">
        <v>772</v>
      </c>
    </row>
    <row r="5239" spans="1:4" x14ac:dyDescent="0.25">
      <c r="A5239" s="222" t="s">
        <v>1198</v>
      </c>
      <c r="B5239" s="222">
        <v>530027</v>
      </c>
      <c r="C5239" s="222" t="s">
        <v>1197</v>
      </c>
      <c r="D5239" s="222" t="s">
        <v>1196</v>
      </c>
    </row>
    <row r="5240" spans="1:4" x14ac:dyDescent="0.25">
      <c r="A5240" s="222" t="s">
        <v>1195</v>
      </c>
      <c r="B5240" s="222">
        <v>531240</v>
      </c>
      <c r="C5240" s="222" t="s">
        <v>1194</v>
      </c>
      <c r="D5240" s="222" t="s">
        <v>772</v>
      </c>
    </row>
    <row r="5241" spans="1:4" x14ac:dyDescent="0.25">
      <c r="A5241" s="222" t="s">
        <v>1193</v>
      </c>
      <c r="B5241" s="222">
        <v>531399</v>
      </c>
      <c r="C5241" s="222" t="s">
        <v>1192</v>
      </c>
      <c r="D5241" s="222" t="s">
        <v>792</v>
      </c>
    </row>
    <row r="5242" spans="1:4" x14ac:dyDescent="0.25">
      <c r="A5242" s="222" t="s">
        <v>1191</v>
      </c>
      <c r="B5242" s="222">
        <v>531812</v>
      </c>
      <c r="C5242" s="222" t="s">
        <v>1190</v>
      </c>
      <c r="D5242" s="222" t="s">
        <v>1189</v>
      </c>
    </row>
    <row r="5243" spans="1:4" x14ac:dyDescent="0.25">
      <c r="A5243" s="222" t="s">
        <v>1188</v>
      </c>
      <c r="B5243" s="222">
        <v>532019</v>
      </c>
      <c r="C5243" s="222" t="s">
        <v>1187</v>
      </c>
      <c r="D5243" s="222" t="s">
        <v>777</v>
      </c>
    </row>
    <row r="5244" spans="1:4" x14ac:dyDescent="0.25">
      <c r="A5244" s="222" t="s">
        <v>1186</v>
      </c>
      <c r="B5244" s="222">
        <v>532335</v>
      </c>
      <c r="C5244" s="222" t="s">
        <v>1185</v>
      </c>
      <c r="D5244" s="222" t="s">
        <v>1184</v>
      </c>
    </row>
    <row r="5245" spans="1:4" x14ac:dyDescent="0.25">
      <c r="A5245" s="222" t="s">
        <v>1183</v>
      </c>
      <c r="B5245" s="222">
        <v>537709</v>
      </c>
      <c r="C5245" s="222" t="s">
        <v>1182</v>
      </c>
      <c r="D5245" s="222" t="s">
        <v>1124</v>
      </c>
    </row>
    <row r="5246" spans="1:4" x14ac:dyDescent="0.25">
      <c r="A5246" s="222" t="s">
        <v>1181</v>
      </c>
      <c r="B5246" s="222">
        <v>543229</v>
      </c>
      <c r="C5246" s="222" t="s">
        <v>1180</v>
      </c>
      <c r="D5246" s="222" t="s">
        <v>1179</v>
      </c>
    </row>
    <row r="5247" spans="1:4" x14ac:dyDescent="0.25">
      <c r="A5247" s="222" t="s">
        <v>1178</v>
      </c>
      <c r="B5247" s="222">
        <v>543245</v>
      </c>
      <c r="C5247" s="222" t="s">
        <v>1177</v>
      </c>
      <c r="D5247" s="222" t="s">
        <v>789</v>
      </c>
    </row>
    <row r="5248" spans="1:4" x14ac:dyDescent="0.25">
      <c r="A5248" s="222" t="s">
        <v>1176</v>
      </c>
      <c r="B5248" s="222">
        <v>543246</v>
      </c>
      <c r="C5248" s="222" t="s">
        <v>1175</v>
      </c>
      <c r="D5248" s="222" t="s">
        <v>195</v>
      </c>
    </row>
    <row r="5249" spans="1:4" x14ac:dyDescent="0.25">
      <c r="A5249" s="222" t="s">
        <v>1174</v>
      </c>
      <c r="B5249" s="222">
        <v>543247</v>
      </c>
      <c r="C5249" s="222" t="s">
        <v>1173</v>
      </c>
      <c r="D5249" s="222" t="s">
        <v>1172</v>
      </c>
    </row>
    <row r="5250" spans="1:4" x14ac:dyDescent="0.25">
      <c r="A5250" s="222" t="s">
        <v>1171</v>
      </c>
      <c r="B5250" s="222">
        <v>543248</v>
      </c>
      <c r="C5250" s="222" t="s">
        <v>1170</v>
      </c>
      <c r="D5250" s="222" t="s">
        <v>924</v>
      </c>
    </row>
    <row r="5251" spans="1:4" x14ac:dyDescent="0.25">
      <c r="A5251" s="222" t="s">
        <v>1169</v>
      </c>
      <c r="B5251" s="222">
        <v>543249</v>
      </c>
      <c r="C5251" s="222" t="s">
        <v>1168</v>
      </c>
      <c r="D5251" s="222" t="s">
        <v>892</v>
      </c>
    </row>
    <row r="5252" spans="1:4" x14ac:dyDescent="0.25">
      <c r="A5252" s="222" t="s">
        <v>1167</v>
      </c>
      <c r="B5252" s="222">
        <v>543251</v>
      </c>
      <c r="C5252" s="222" t="s">
        <v>1166</v>
      </c>
      <c r="D5252" s="222" t="s">
        <v>892</v>
      </c>
    </row>
    <row r="5253" spans="1:4" x14ac:dyDescent="0.25">
      <c r="A5253" s="222" t="s">
        <v>1165</v>
      </c>
      <c r="B5253" s="222">
        <v>543252</v>
      </c>
      <c r="C5253" s="222" t="s">
        <v>1164</v>
      </c>
      <c r="D5253" s="222" t="s">
        <v>722</v>
      </c>
    </row>
    <row r="5254" spans="1:4" x14ac:dyDescent="0.25">
      <c r="A5254" s="222" t="s">
        <v>1163</v>
      </c>
      <c r="B5254" s="222">
        <v>543253</v>
      </c>
      <c r="C5254" s="222" t="s">
        <v>1162</v>
      </c>
      <c r="D5254" s="222" t="s">
        <v>1161</v>
      </c>
    </row>
    <row r="5255" spans="1:4" x14ac:dyDescent="0.25">
      <c r="A5255" s="222" t="s">
        <v>1160</v>
      </c>
      <c r="B5255" s="222">
        <v>543254</v>
      </c>
      <c r="C5255" s="222" t="s">
        <v>1159</v>
      </c>
      <c r="D5255" s="222" t="s">
        <v>1158</v>
      </c>
    </row>
    <row r="5256" spans="1:4" x14ac:dyDescent="0.25">
      <c r="A5256" s="222" t="s">
        <v>1157</v>
      </c>
      <c r="B5256" s="222">
        <v>543255</v>
      </c>
      <c r="C5256" s="222" t="s">
        <v>1156</v>
      </c>
      <c r="D5256" s="222" t="s">
        <v>195</v>
      </c>
    </row>
    <row r="5257" spans="1:4" x14ac:dyDescent="0.25">
      <c r="A5257" s="222" t="s">
        <v>1155</v>
      </c>
      <c r="B5257" s="222">
        <v>543256</v>
      </c>
      <c r="C5257" s="222" t="s">
        <v>1154</v>
      </c>
      <c r="D5257" s="222" t="s">
        <v>1153</v>
      </c>
    </row>
    <row r="5258" spans="1:4" x14ac:dyDescent="0.25">
      <c r="A5258" s="222" t="s">
        <v>1152</v>
      </c>
      <c r="B5258" s="222">
        <v>543257</v>
      </c>
      <c r="C5258" s="222" t="s">
        <v>1151</v>
      </c>
      <c r="D5258" s="222" t="s">
        <v>1150</v>
      </c>
    </row>
    <row r="5259" spans="1:4" x14ac:dyDescent="0.25">
      <c r="A5259" s="222" t="s">
        <v>1149</v>
      </c>
      <c r="B5259" s="222">
        <v>543258</v>
      </c>
      <c r="C5259" s="222" t="s">
        <v>1148</v>
      </c>
      <c r="D5259" s="222" t="s">
        <v>1147</v>
      </c>
    </row>
    <row r="5260" spans="1:4" x14ac:dyDescent="0.25">
      <c r="A5260" s="222" t="s">
        <v>1146</v>
      </c>
      <c r="B5260" s="222">
        <v>543259</v>
      </c>
      <c r="C5260" s="222" t="s">
        <v>1145</v>
      </c>
      <c r="D5260" s="222" t="s">
        <v>1001</v>
      </c>
    </row>
    <row r="5261" spans="1:4" x14ac:dyDescent="0.25">
      <c r="A5261" s="222" t="s">
        <v>1144</v>
      </c>
      <c r="B5261" s="222">
        <v>543260</v>
      </c>
      <c r="C5261" s="222" t="s">
        <v>1143</v>
      </c>
      <c r="D5261" s="222" t="s">
        <v>802</v>
      </c>
    </row>
    <row r="5262" spans="1:4" x14ac:dyDescent="0.25">
      <c r="A5262" s="222" t="s">
        <v>1142</v>
      </c>
      <c r="B5262" s="222">
        <v>543261</v>
      </c>
      <c r="C5262" s="222" t="s">
        <v>1141</v>
      </c>
      <c r="D5262" s="222" t="s">
        <v>1140</v>
      </c>
    </row>
    <row r="5263" spans="1:4" x14ac:dyDescent="0.25">
      <c r="A5263" s="222" t="s">
        <v>1139</v>
      </c>
      <c r="B5263" s="222">
        <v>543262</v>
      </c>
      <c r="C5263" s="222" t="s">
        <v>1138</v>
      </c>
      <c r="D5263" s="222" t="s">
        <v>1137</v>
      </c>
    </row>
    <row r="5264" spans="1:4" x14ac:dyDescent="0.25">
      <c r="A5264" s="222" t="s">
        <v>1136</v>
      </c>
      <c r="B5264" s="222">
        <v>543263</v>
      </c>
      <c r="C5264" s="222" t="s">
        <v>1135</v>
      </c>
      <c r="D5264" s="222" t="s">
        <v>1134</v>
      </c>
    </row>
    <row r="5265" spans="1:4" x14ac:dyDescent="0.25">
      <c r="A5265" s="222" t="s">
        <v>1133</v>
      </c>
      <c r="B5265" s="222">
        <v>543264</v>
      </c>
      <c r="C5265" s="222" t="s">
        <v>1132</v>
      </c>
      <c r="D5265" s="222" t="s">
        <v>919</v>
      </c>
    </row>
    <row r="5266" spans="1:4" x14ac:dyDescent="0.25">
      <c r="A5266" s="222" t="s">
        <v>1131</v>
      </c>
      <c r="B5266" s="222">
        <v>543265</v>
      </c>
      <c r="C5266" s="222" t="s">
        <v>1130</v>
      </c>
      <c r="D5266" s="222" t="s">
        <v>1129</v>
      </c>
    </row>
    <row r="5267" spans="1:4" x14ac:dyDescent="0.25">
      <c r="A5267" s="222" t="s">
        <v>1128</v>
      </c>
      <c r="B5267" s="222">
        <v>543266</v>
      </c>
      <c r="C5267" s="222" t="s">
        <v>1127</v>
      </c>
      <c r="D5267" s="222" t="s">
        <v>1011</v>
      </c>
    </row>
    <row r="5268" spans="1:4" x14ac:dyDescent="0.25">
      <c r="A5268" s="222" t="s">
        <v>1126</v>
      </c>
      <c r="B5268" s="222">
        <v>543267</v>
      </c>
      <c r="C5268" s="222" t="s">
        <v>1125</v>
      </c>
      <c r="D5268" s="222" t="s">
        <v>1124</v>
      </c>
    </row>
    <row r="5269" spans="1:4" x14ac:dyDescent="0.25">
      <c r="A5269" s="222" t="s">
        <v>1123</v>
      </c>
      <c r="B5269" s="222">
        <v>543269</v>
      </c>
      <c r="C5269" s="222" t="s">
        <v>1122</v>
      </c>
      <c r="D5269" s="222" t="s">
        <v>817</v>
      </c>
    </row>
    <row r="5270" spans="1:4" x14ac:dyDescent="0.25">
      <c r="A5270" s="222" t="s">
        <v>1121</v>
      </c>
      <c r="B5270" s="222">
        <v>543270</v>
      </c>
      <c r="C5270" s="222" t="s">
        <v>1120</v>
      </c>
      <c r="D5270" s="222" t="s">
        <v>879</v>
      </c>
    </row>
    <row r="5271" spans="1:4" x14ac:dyDescent="0.25">
      <c r="A5271" s="222" t="s">
        <v>1119</v>
      </c>
      <c r="B5271" s="222">
        <v>543271</v>
      </c>
      <c r="C5271" s="222" t="s">
        <v>1118</v>
      </c>
      <c r="D5271" s="222" t="s">
        <v>722</v>
      </c>
    </row>
    <row r="5272" spans="1:4" x14ac:dyDescent="0.25">
      <c r="A5272" s="222" t="s">
        <v>1117</v>
      </c>
      <c r="B5272" s="222">
        <v>543272</v>
      </c>
      <c r="C5272" s="222" t="s">
        <v>1116</v>
      </c>
      <c r="D5272" s="222" t="s">
        <v>1115</v>
      </c>
    </row>
    <row r="5273" spans="1:4" x14ac:dyDescent="0.25">
      <c r="A5273" s="222" t="s">
        <v>1114</v>
      </c>
      <c r="B5273" s="222">
        <v>543273</v>
      </c>
      <c r="C5273" s="222" t="s">
        <v>1113</v>
      </c>
      <c r="D5273" s="222" t="s">
        <v>1112</v>
      </c>
    </row>
    <row r="5274" spans="1:4" x14ac:dyDescent="0.25">
      <c r="A5274" s="222" t="s">
        <v>1111</v>
      </c>
      <c r="B5274" s="222">
        <v>543274</v>
      </c>
      <c r="C5274" s="222" t="s">
        <v>1110</v>
      </c>
      <c r="D5274" s="222" t="s">
        <v>1109</v>
      </c>
    </row>
    <row r="5275" spans="1:4" x14ac:dyDescent="0.25">
      <c r="A5275" s="222" t="s">
        <v>1108</v>
      </c>
      <c r="B5275" s="222">
        <v>543275</v>
      </c>
      <c r="C5275" s="222" t="s">
        <v>1107</v>
      </c>
      <c r="D5275" s="222" t="s">
        <v>722</v>
      </c>
    </row>
    <row r="5276" spans="1:4" x14ac:dyDescent="0.25">
      <c r="A5276" s="222" t="s">
        <v>1106</v>
      </c>
      <c r="B5276" s="222">
        <v>543276</v>
      </c>
      <c r="C5276" s="222" t="s">
        <v>1105</v>
      </c>
      <c r="D5276" s="222" t="s">
        <v>792</v>
      </c>
    </row>
    <row r="5277" spans="1:4" x14ac:dyDescent="0.25">
      <c r="A5277" s="222" t="s">
        <v>1104</v>
      </c>
      <c r="B5277" s="222">
        <v>543277</v>
      </c>
      <c r="C5277" s="222" t="s">
        <v>1103</v>
      </c>
      <c r="D5277" s="222" t="s">
        <v>722</v>
      </c>
    </row>
    <row r="5278" spans="1:4" x14ac:dyDescent="0.25">
      <c r="A5278" s="222" t="s">
        <v>1102</v>
      </c>
      <c r="B5278" s="222">
        <v>543278</v>
      </c>
      <c r="C5278" s="222" t="s">
        <v>1101</v>
      </c>
      <c r="D5278" s="222" t="s">
        <v>728</v>
      </c>
    </row>
    <row r="5279" spans="1:4" x14ac:dyDescent="0.25">
      <c r="A5279" s="222" t="s">
        <v>1100</v>
      </c>
      <c r="B5279" s="222">
        <v>543279</v>
      </c>
      <c r="C5279" s="222" t="s">
        <v>1099</v>
      </c>
      <c r="D5279" s="222" t="s">
        <v>941</v>
      </c>
    </row>
    <row r="5280" spans="1:4" x14ac:dyDescent="0.25">
      <c r="A5280" s="222" t="s">
        <v>1098</v>
      </c>
      <c r="B5280" s="222">
        <v>543280</v>
      </c>
      <c r="C5280" s="222" t="s">
        <v>1097</v>
      </c>
      <c r="D5280" s="222" t="s">
        <v>1096</v>
      </c>
    </row>
    <row r="5281" spans="1:4" x14ac:dyDescent="0.25">
      <c r="A5281" s="222" t="s">
        <v>1095</v>
      </c>
      <c r="B5281" s="222">
        <v>543281</v>
      </c>
      <c r="C5281" s="222" t="s">
        <v>1094</v>
      </c>
      <c r="D5281" s="222" t="s">
        <v>927</v>
      </c>
    </row>
    <row r="5282" spans="1:4" x14ac:dyDescent="0.25">
      <c r="A5282" s="222" t="s">
        <v>1093</v>
      </c>
      <c r="B5282" s="222">
        <v>543282</v>
      </c>
      <c r="C5282" s="222" t="s">
        <v>1092</v>
      </c>
      <c r="D5282" s="222" t="s">
        <v>817</v>
      </c>
    </row>
    <row r="5283" spans="1:4" x14ac:dyDescent="0.25">
      <c r="A5283" s="222" t="s">
        <v>1091</v>
      </c>
      <c r="B5283" s="222">
        <v>543283</v>
      </c>
      <c r="C5283" s="222" t="s">
        <v>1090</v>
      </c>
      <c r="D5283" s="222" t="s">
        <v>924</v>
      </c>
    </row>
    <row r="5284" spans="1:4" x14ac:dyDescent="0.25">
      <c r="A5284" s="222" t="s">
        <v>1089</v>
      </c>
      <c r="B5284" s="222">
        <v>543284</v>
      </c>
      <c r="C5284" s="222" t="s">
        <v>1088</v>
      </c>
      <c r="D5284" s="222" t="s">
        <v>911</v>
      </c>
    </row>
    <row r="5285" spans="1:4" x14ac:dyDescent="0.25">
      <c r="A5285" s="222" t="s">
        <v>1087</v>
      </c>
      <c r="B5285" s="222">
        <v>543285</v>
      </c>
      <c r="C5285" s="222" t="s">
        <v>1086</v>
      </c>
      <c r="D5285" s="222" t="s">
        <v>872</v>
      </c>
    </row>
    <row r="5286" spans="1:4" x14ac:dyDescent="0.25">
      <c r="A5286" s="222" t="s">
        <v>1085</v>
      </c>
      <c r="B5286" s="222">
        <v>543286</v>
      </c>
      <c r="C5286" s="222" t="s">
        <v>1084</v>
      </c>
      <c r="D5286" s="222" t="s">
        <v>1083</v>
      </c>
    </row>
    <row r="5287" spans="1:4" x14ac:dyDescent="0.25">
      <c r="A5287" s="222" t="s">
        <v>1082</v>
      </c>
      <c r="B5287" s="222">
        <v>543287</v>
      </c>
      <c r="C5287" s="222" t="s">
        <v>1081</v>
      </c>
      <c r="D5287" s="222" t="s">
        <v>892</v>
      </c>
    </row>
    <row r="5288" spans="1:4" x14ac:dyDescent="0.25">
      <c r="A5288" s="222" t="s">
        <v>1080</v>
      </c>
      <c r="B5288" s="222">
        <v>543288</v>
      </c>
      <c r="C5288" s="222" t="s">
        <v>1079</v>
      </c>
      <c r="D5288" s="222" t="s">
        <v>1078</v>
      </c>
    </row>
    <row r="5289" spans="1:4" x14ac:dyDescent="0.25">
      <c r="A5289" s="222" t="s">
        <v>1077</v>
      </c>
      <c r="B5289" s="222">
        <v>543289</v>
      </c>
      <c r="C5289" s="222" t="s">
        <v>1076</v>
      </c>
      <c r="D5289" s="222" t="s">
        <v>854</v>
      </c>
    </row>
    <row r="5290" spans="1:4" x14ac:dyDescent="0.25">
      <c r="A5290" s="222" t="s">
        <v>1075</v>
      </c>
      <c r="B5290" s="222">
        <v>543290</v>
      </c>
      <c r="C5290" s="222" t="s">
        <v>1074</v>
      </c>
      <c r="D5290" s="222" t="s">
        <v>1073</v>
      </c>
    </row>
    <row r="5291" spans="1:4" x14ac:dyDescent="0.25">
      <c r="A5291" s="222" t="s">
        <v>1072</v>
      </c>
      <c r="B5291" s="222">
        <v>543291</v>
      </c>
      <c r="C5291" s="222" t="s">
        <v>1071</v>
      </c>
      <c r="D5291" s="222" t="s">
        <v>195</v>
      </c>
    </row>
    <row r="5292" spans="1:4" x14ac:dyDescent="0.25">
      <c r="A5292" s="222" t="s">
        <v>1070</v>
      </c>
      <c r="B5292" s="222">
        <v>543292</v>
      </c>
      <c r="C5292" s="222" t="s">
        <v>1069</v>
      </c>
      <c r="D5292" s="222" t="s">
        <v>195</v>
      </c>
    </row>
    <row r="5293" spans="1:4" x14ac:dyDescent="0.25">
      <c r="A5293" s="222" t="s">
        <v>1068</v>
      </c>
      <c r="B5293" s="222">
        <v>543297</v>
      </c>
      <c r="C5293" s="222" t="s">
        <v>1067</v>
      </c>
      <c r="D5293" s="222" t="s">
        <v>1066</v>
      </c>
    </row>
    <row r="5294" spans="1:4" x14ac:dyDescent="0.25">
      <c r="A5294" s="222" t="s">
        <v>1065</v>
      </c>
      <c r="B5294" s="222">
        <v>543298</v>
      </c>
      <c r="C5294" s="222" t="s">
        <v>1064</v>
      </c>
      <c r="D5294" s="222" t="s">
        <v>789</v>
      </c>
    </row>
    <row r="5295" spans="1:4" x14ac:dyDescent="0.25">
      <c r="A5295" s="222" t="s">
        <v>1063</v>
      </c>
      <c r="B5295" s="222">
        <v>543299</v>
      </c>
      <c r="C5295" s="222" t="s">
        <v>1062</v>
      </c>
      <c r="D5295" s="222" t="s">
        <v>1061</v>
      </c>
    </row>
    <row r="5296" spans="1:4" x14ac:dyDescent="0.25">
      <c r="A5296" s="222" t="s">
        <v>1060</v>
      </c>
      <c r="B5296" s="222">
        <v>543300</v>
      </c>
      <c r="C5296" s="222" t="s">
        <v>1059</v>
      </c>
      <c r="D5296" s="222" t="s">
        <v>792</v>
      </c>
    </row>
    <row r="5297" spans="1:4" x14ac:dyDescent="0.25">
      <c r="A5297" s="222" t="s">
        <v>1058</v>
      </c>
      <c r="B5297" s="222">
        <v>543305</v>
      </c>
      <c r="C5297" s="222" t="s">
        <v>1057</v>
      </c>
      <c r="D5297" s="222" t="s">
        <v>911</v>
      </c>
    </row>
    <row r="5298" spans="1:4" x14ac:dyDescent="0.25">
      <c r="A5298" s="222" t="s">
        <v>1056</v>
      </c>
      <c r="B5298" s="222">
        <v>543306</v>
      </c>
      <c r="C5298" s="222" t="s">
        <v>1055</v>
      </c>
      <c r="D5298" s="222" t="s">
        <v>1054</v>
      </c>
    </row>
    <row r="5299" spans="1:4" x14ac:dyDescent="0.25">
      <c r="A5299" s="222" t="s">
        <v>1053</v>
      </c>
      <c r="B5299" s="222">
        <v>543308</v>
      </c>
      <c r="C5299" s="222" t="s">
        <v>1052</v>
      </c>
      <c r="D5299" s="222" t="s">
        <v>751</v>
      </c>
    </row>
    <row r="5300" spans="1:4" x14ac:dyDescent="0.25">
      <c r="A5300" s="222" t="s">
        <v>1051</v>
      </c>
      <c r="B5300" s="222">
        <v>543309</v>
      </c>
      <c r="C5300" s="222" t="s">
        <v>1050</v>
      </c>
      <c r="D5300" s="222" t="s">
        <v>1049</v>
      </c>
    </row>
    <row r="5301" spans="1:4" x14ac:dyDescent="0.25">
      <c r="A5301" s="222" t="s">
        <v>1048</v>
      </c>
      <c r="B5301" s="222">
        <v>543310</v>
      </c>
      <c r="C5301" s="222" t="s">
        <v>1047</v>
      </c>
      <c r="D5301" s="222" t="s">
        <v>731</v>
      </c>
    </row>
    <row r="5302" spans="1:4" x14ac:dyDescent="0.25">
      <c r="A5302" s="222" t="s">
        <v>1046</v>
      </c>
      <c r="B5302" s="222">
        <v>543311</v>
      </c>
      <c r="C5302" s="222" t="s">
        <v>1045</v>
      </c>
      <c r="D5302" s="222" t="s">
        <v>1011</v>
      </c>
    </row>
    <row r="5303" spans="1:4" x14ac:dyDescent="0.25">
      <c r="A5303" s="222" t="s">
        <v>1044</v>
      </c>
      <c r="B5303" s="222">
        <v>543312</v>
      </c>
      <c r="C5303" s="222" t="s">
        <v>1043</v>
      </c>
      <c r="D5303" s="222" t="s">
        <v>817</v>
      </c>
    </row>
    <row r="5304" spans="1:4" x14ac:dyDescent="0.25">
      <c r="A5304" s="222" t="s">
        <v>1042</v>
      </c>
      <c r="B5304" s="222">
        <v>543317</v>
      </c>
      <c r="C5304" s="222" t="s">
        <v>1041</v>
      </c>
      <c r="D5304" s="222" t="s">
        <v>930</v>
      </c>
    </row>
    <row r="5305" spans="1:4" x14ac:dyDescent="0.25">
      <c r="A5305" s="222" t="s">
        <v>1040</v>
      </c>
      <c r="B5305" s="222">
        <v>543318</v>
      </c>
      <c r="C5305" s="222" t="s">
        <v>1039</v>
      </c>
      <c r="D5305" s="222" t="s">
        <v>998</v>
      </c>
    </row>
    <row r="5306" spans="1:4" x14ac:dyDescent="0.25">
      <c r="A5306" s="222" t="s">
        <v>1038</v>
      </c>
      <c r="B5306" s="222">
        <v>543319</v>
      </c>
      <c r="C5306" s="222" t="s">
        <v>1037</v>
      </c>
      <c r="D5306" s="222" t="s">
        <v>772</v>
      </c>
    </row>
    <row r="5307" spans="1:4" x14ac:dyDescent="0.25">
      <c r="A5307" s="222" t="s">
        <v>1036</v>
      </c>
      <c r="B5307" s="222">
        <v>543320</v>
      </c>
      <c r="C5307" s="222" t="s">
        <v>1035</v>
      </c>
      <c r="D5307" s="222" t="s">
        <v>760</v>
      </c>
    </row>
    <row r="5308" spans="1:4" x14ac:dyDescent="0.25">
      <c r="A5308" s="222" t="s">
        <v>1034</v>
      </c>
      <c r="B5308" s="222">
        <v>543321</v>
      </c>
      <c r="C5308" s="222" t="s">
        <v>1033</v>
      </c>
      <c r="D5308" s="222" t="s">
        <v>722</v>
      </c>
    </row>
    <row r="5309" spans="1:4" x14ac:dyDescent="0.25">
      <c r="A5309" s="222" t="s">
        <v>1032</v>
      </c>
      <c r="B5309" s="222">
        <v>543322</v>
      </c>
      <c r="C5309" s="222" t="s">
        <v>1031</v>
      </c>
      <c r="D5309" s="222" t="s">
        <v>789</v>
      </c>
    </row>
    <row r="5310" spans="1:4" x14ac:dyDescent="0.25">
      <c r="A5310" s="222" t="s">
        <v>1030</v>
      </c>
      <c r="B5310" s="222">
        <v>543323</v>
      </c>
      <c r="C5310" s="222" t="s">
        <v>1029</v>
      </c>
      <c r="D5310" s="222" t="s">
        <v>195</v>
      </c>
    </row>
    <row r="5311" spans="1:4" x14ac:dyDescent="0.25">
      <c r="A5311" s="222" t="s">
        <v>1028</v>
      </c>
      <c r="B5311" s="222">
        <v>543324</v>
      </c>
      <c r="C5311" s="222" t="s">
        <v>1027</v>
      </c>
      <c r="D5311" s="222" t="s">
        <v>1026</v>
      </c>
    </row>
    <row r="5312" spans="1:4" x14ac:dyDescent="0.25">
      <c r="A5312" s="222" t="s">
        <v>1025</v>
      </c>
      <c r="B5312" s="222">
        <v>543325</v>
      </c>
      <c r="C5312" s="222" t="s">
        <v>1024</v>
      </c>
      <c r="D5312" s="222" t="s">
        <v>792</v>
      </c>
    </row>
    <row r="5313" spans="1:4" x14ac:dyDescent="0.25">
      <c r="A5313" s="222" t="s">
        <v>1023</v>
      </c>
      <c r="B5313" s="222">
        <v>543326</v>
      </c>
      <c r="C5313" s="222" t="s">
        <v>1022</v>
      </c>
      <c r="D5313" s="222" t="s">
        <v>195</v>
      </c>
    </row>
    <row r="5314" spans="1:4" x14ac:dyDescent="0.25">
      <c r="A5314" s="222" t="s">
        <v>1021</v>
      </c>
      <c r="B5314" s="222">
        <v>543327</v>
      </c>
      <c r="C5314" s="222" t="s">
        <v>1020</v>
      </c>
      <c r="D5314" s="222" t="s">
        <v>765</v>
      </c>
    </row>
    <row r="5315" spans="1:4" x14ac:dyDescent="0.25">
      <c r="A5315" s="222" t="s">
        <v>1019</v>
      </c>
      <c r="B5315" s="222">
        <v>543328</v>
      </c>
      <c r="C5315" s="222" t="s">
        <v>1018</v>
      </c>
      <c r="D5315" s="222" t="s">
        <v>985</v>
      </c>
    </row>
    <row r="5316" spans="1:4" x14ac:dyDescent="0.25">
      <c r="A5316" s="222" t="s">
        <v>1017</v>
      </c>
      <c r="B5316" s="222">
        <v>543329</v>
      </c>
      <c r="C5316" s="222" t="s">
        <v>1016</v>
      </c>
      <c r="D5316" s="222" t="s">
        <v>789</v>
      </c>
    </row>
    <row r="5317" spans="1:4" x14ac:dyDescent="0.25">
      <c r="A5317" s="222" t="s">
        <v>1015</v>
      </c>
      <c r="B5317" s="222">
        <v>543330</v>
      </c>
      <c r="C5317" s="222" t="s">
        <v>1014</v>
      </c>
      <c r="D5317" s="222" t="s">
        <v>924</v>
      </c>
    </row>
    <row r="5318" spans="1:4" x14ac:dyDescent="0.25">
      <c r="A5318" s="222" t="s">
        <v>1013</v>
      </c>
      <c r="B5318" s="222">
        <v>543331</v>
      </c>
      <c r="C5318" s="222" t="s">
        <v>1012</v>
      </c>
      <c r="D5318" s="222" t="s">
        <v>1011</v>
      </c>
    </row>
    <row r="5319" spans="1:4" x14ac:dyDescent="0.25">
      <c r="A5319" s="222" t="s">
        <v>1010</v>
      </c>
      <c r="B5319" s="222">
        <v>543332</v>
      </c>
      <c r="C5319" s="222" t="s">
        <v>1009</v>
      </c>
      <c r="D5319" s="222" t="s">
        <v>722</v>
      </c>
    </row>
    <row r="5320" spans="1:4" x14ac:dyDescent="0.25">
      <c r="A5320" s="222" t="s">
        <v>1008</v>
      </c>
      <c r="B5320" s="222">
        <v>543333</v>
      </c>
      <c r="C5320" s="222" t="s">
        <v>1007</v>
      </c>
      <c r="D5320" s="222" t="s">
        <v>760</v>
      </c>
    </row>
    <row r="5321" spans="1:4" x14ac:dyDescent="0.25">
      <c r="A5321" s="222" t="s">
        <v>1006</v>
      </c>
      <c r="B5321" s="222">
        <v>543334</v>
      </c>
      <c r="C5321" s="222" t="s">
        <v>1005</v>
      </c>
      <c r="D5321" s="222" t="s">
        <v>1004</v>
      </c>
    </row>
    <row r="5322" spans="1:4" x14ac:dyDescent="0.25">
      <c r="A5322" s="222" t="s">
        <v>1003</v>
      </c>
      <c r="B5322" s="222">
        <v>543335</v>
      </c>
      <c r="C5322" s="222" t="s">
        <v>1002</v>
      </c>
      <c r="D5322" s="222" t="s">
        <v>1001</v>
      </c>
    </row>
    <row r="5323" spans="1:4" x14ac:dyDescent="0.25">
      <c r="A5323" s="222" t="s">
        <v>1000</v>
      </c>
      <c r="B5323" s="222">
        <v>543336</v>
      </c>
      <c r="C5323" s="222" t="s">
        <v>999</v>
      </c>
      <c r="D5323" s="222" t="s">
        <v>998</v>
      </c>
    </row>
    <row r="5324" spans="1:4" x14ac:dyDescent="0.25">
      <c r="A5324" s="222" t="s">
        <v>997</v>
      </c>
      <c r="B5324" s="222">
        <v>543341</v>
      </c>
      <c r="C5324" s="222" t="s">
        <v>996</v>
      </c>
      <c r="D5324" s="222" t="s">
        <v>863</v>
      </c>
    </row>
    <row r="5325" spans="1:4" x14ac:dyDescent="0.25">
      <c r="A5325" s="222" t="s">
        <v>995</v>
      </c>
      <c r="B5325" s="222">
        <v>543346</v>
      </c>
      <c r="C5325" s="222" t="s">
        <v>994</v>
      </c>
      <c r="D5325" s="222" t="s">
        <v>751</v>
      </c>
    </row>
    <row r="5326" spans="1:4" x14ac:dyDescent="0.25">
      <c r="A5326" s="222" t="s">
        <v>993</v>
      </c>
      <c r="B5326" s="222">
        <v>543347</v>
      </c>
      <c r="C5326" s="222" t="s">
        <v>992</v>
      </c>
      <c r="D5326" s="222" t="s">
        <v>195</v>
      </c>
    </row>
    <row r="5327" spans="1:4" x14ac:dyDescent="0.25">
      <c r="A5327" s="222" t="s">
        <v>991</v>
      </c>
      <c r="B5327" s="222">
        <v>543348</v>
      </c>
      <c r="C5327" s="222" t="s">
        <v>990</v>
      </c>
      <c r="D5327" s="222" t="s">
        <v>195</v>
      </c>
    </row>
    <row r="5328" spans="1:4" x14ac:dyDescent="0.25">
      <c r="A5328" s="222" t="s">
        <v>989</v>
      </c>
      <c r="B5328" s="222">
        <v>543349</v>
      </c>
      <c r="C5328" s="222" t="s">
        <v>988</v>
      </c>
      <c r="D5328" s="222" t="s">
        <v>789</v>
      </c>
    </row>
    <row r="5329" spans="1:4" x14ac:dyDescent="0.25">
      <c r="A5329" s="222" t="s">
        <v>987</v>
      </c>
      <c r="B5329" s="222">
        <v>543350</v>
      </c>
      <c r="C5329" s="222" t="s">
        <v>986</v>
      </c>
      <c r="D5329" s="222" t="s">
        <v>985</v>
      </c>
    </row>
    <row r="5330" spans="1:4" x14ac:dyDescent="0.25">
      <c r="A5330" s="222" t="s">
        <v>984</v>
      </c>
      <c r="B5330" s="222">
        <v>543351</v>
      </c>
      <c r="C5330" s="222" t="s">
        <v>983</v>
      </c>
      <c r="D5330" s="222" t="s">
        <v>817</v>
      </c>
    </row>
    <row r="5331" spans="1:4" x14ac:dyDescent="0.25">
      <c r="A5331" s="222" t="s">
        <v>982</v>
      </c>
      <c r="B5331" s="222">
        <v>543352</v>
      </c>
      <c r="C5331" s="222" t="s">
        <v>981</v>
      </c>
      <c r="D5331" s="222" t="s">
        <v>719</v>
      </c>
    </row>
    <row r="5332" spans="1:4" x14ac:dyDescent="0.25">
      <c r="A5332" s="222" t="s">
        <v>980</v>
      </c>
      <c r="B5332" s="222">
        <v>543357</v>
      </c>
      <c r="C5332" s="222" t="s">
        <v>979</v>
      </c>
      <c r="D5332" s="222" t="s">
        <v>195</v>
      </c>
    </row>
    <row r="5333" spans="1:4" x14ac:dyDescent="0.25">
      <c r="A5333" s="222" t="s">
        <v>978</v>
      </c>
      <c r="B5333" s="222">
        <v>543358</v>
      </c>
      <c r="C5333" s="222" t="s">
        <v>977</v>
      </c>
      <c r="D5333" s="222" t="s">
        <v>792</v>
      </c>
    </row>
    <row r="5334" spans="1:4" x14ac:dyDescent="0.25">
      <c r="A5334" s="222" t="s">
        <v>976</v>
      </c>
      <c r="B5334" s="222">
        <v>543363</v>
      </c>
      <c r="C5334" s="222" t="s">
        <v>975</v>
      </c>
      <c r="D5334" s="222" t="s">
        <v>919</v>
      </c>
    </row>
    <row r="5335" spans="1:4" x14ac:dyDescent="0.25">
      <c r="A5335" s="222" t="s">
        <v>974</v>
      </c>
      <c r="B5335" s="222">
        <v>543364</v>
      </c>
      <c r="C5335" s="222" t="s">
        <v>973</v>
      </c>
      <c r="D5335" s="222" t="s">
        <v>930</v>
      </c>
    </row>
    <row r="5336" spans="1:4" x14ac:dyDescent="0.25">
      <c r="A5336" s="222" t="s">
        <v>972</v>
      </c>
      <c r="B5336" s="222">
        <v>543365</v>
      </c>
      <c r="C5336" s="222" t="s">
        <v>971</v>
      </c>
      <c r="D5336" s="222" t="s">
        <v>195</v>
      </c>
    </row>
    <row r="5337" spans="1:4" x14ac:dyDescent="0.25">
      <c r="A5337" s="222" t="s">
        <v>970</v>
      </c>
      <c r="B5337" s="222">
        <v>543366</v>
      </c>
      <c r="C5337" s="222" t="s">
        <v>969</v>
      </c>
      <c r="D5337" s="222" t="s">
        <v>892</v>
      </c>
    </row>
    <row r="5338" spans="1:4" x14ac:dyDescent="0.25">
      <c r="A5338" s="222" t="s">
        <v>968</v>
      </c>
      <c r="B5338" s="222">
        <v>543367</v>
      </c>
      <c r="C5338" s="222" t="s">
        <v>967</v>
      </c>
      <c r="D5338" s="222" t="s">
        <v>879</v>
      </c>
    </row>
    <row r="5339" spans="1:4" x14ac:dyDescent="0.25">
      <c r="A5339" s="222" t="s">
        <v>966</v>
      </c>
      <c r="B5339" s="222">
        <v>543372</v>
      </c>
      <c r="C5339" s="222" t="s">
        <v>965</v>
      </c>
      <c r="D5339" s="222" t="s">
        <v>964</v>
      </c>
    </row>
    <row r="5340" spans="1:4" x14ac:dyDescent="0.25">
      <c r="A5340" s="222" t="s">
        <v>963</v>
      </c>
      <c r="B5340" s="222">
        <v>543373</v>
      </c>
      <c r="C5340" s="222" t="s">
        <v>962</v>
      </c>
      <c r="D5340" s="222" t="s">
        <v>835</v>
      </c>
    </row>
    <row r="5341" spans="1:4" x14ac:dyDescent="0.25">
      <c r="A5341" s="222" t="s">
        <v>961</v>
      </c>
      <c r="B5341" s="222">
        <v>543374</v>
      </c>
      <c r="C5341" s="222" t="s">
        <v>960</v>
      </c>
      <c r="D5341" s="222" t="s">
        <v>959</v>
      </c>
    </row>
    <row r="5342" spans="1:4" x14ac:dyDescent="0.25">
      <c r="A5342" s="222" t="s">
        <v>958</v>
      </c>
      <c r="B5342" s="222">
        <v>543375</v>
      </c>
      <c r="C5342" s="222" t="s">
        <v>957</v>
      </c>
      <c r="D5342" s="222" t="s">
        <v>797</v>
      </c>
    </row>
    <row r="5343" spans="1:4" x14ac:dyDescent="0.25">
      <c r="A5343" s="222" t="s">
        <v>956</v>
      </c>
      <c r="B5343" s="222">
        <v>543376</v>
      </c>
      <c r="C5343" s="222" t="s">
        <v>955</v>
      </c>
      <c r="D5343" s="222" t="s">
        <v>892</v>
      </c>
    </row>
    <row r="5344" spans="1:4" x14ac:dyDescent="0.25">
      <c r="A5344" s="222" t="s">
        <v>954</v>
      </c>
      <c r="B5344" s="222">
        <v>543377</v>
      </c>
      <c r="C5344" s="222" t="s">
        <v>953</v>
      </c>
      <c r="D5344" s="222" t="s">
        <v>740</v>
      </c>
    </row>
    <row r="5345" spans="1:4" x14ac:dyDescent="0.25">
      <c r="A5345" s="222" t="s">
        <v>952</v>
      </c>
      <c r="B5345" s="222">
        <v>543378</v>
      </c>
      <c r="C5345" s="222" t="s">
        <v>951</v>
      </c>
      <c r="D5345" s="222" t="s">
        <v>950</v>
      </c>
    </row>
    <row r="5346" spans="1:4" x14ac:dyDescent="0.25">
      <c r="A5346" s="222" t="s">
        <v>949</v>
      </c>
      <c r="B5346" s="222">
        <v>543383</v>
      </c>
      <c r="C5346" s="222" t="s">
        <v>948</v>
      </c>
      <c r="D5346" s="222" t="s">
        <v>195</v>
      </c>
    </row>
    <row r="5347" spans="1:4" x14ac:dyDescent="0.25">
      <c r="A5347" s="222" t="s">
        <v>947</v>
      </c>
      <c r="B5347" s="222">
        <v>543384</v>
      </c>
      <c r="C5347" s="222" t="s">
        <v>946</v>
      </c>
      <c r="D5347" s="222" t="s">
        <v>760</v>
      </c>
    </row>
    <row r="5348" spans="1:4" x14ac:dyDescent="0.25">
      <c r="A5348" s="222" t="s">
        <v>945</v>
      </c>
      <c r="B5348" s="222">
        <v>543385</v>
      </c>
      <c r="C5348" s="222" t="s">
        <v>944</v>
      </c>
      <c r="D5348" s="222" t="s">
        <v>930</v>
      </c>
    </row>
    <row r="5349" spans="1:4" x14ac:dyDescent="0.25">
      <c r="A5349" s="222" t="s">
        <v>943</v>
      </c>
      <c r="B5349" s="222">
        <v>543386</v>
      </c>
      <c r="C5349" s="222" t="s">
        <v>942</v>
      </c>
      <c r="D5349" s="222" t="s">
        <v>941</v>
      </c>
    </row>
    <row r="5350" spans="1:4" x14ac:dyDescent="0.25">
      <c r="A5350" s="222" t="s">
        <v>940</v>
      </c>
      <c r="B5350" s="222">
        <v>543387</v>
      </c>
      <c r="C5350" s="222" t="s">
        <v>939</v>
      </c>
      <c r="D5350" s="222" t="s">
        <v>792</v>
      </c>
    </row>
    <row r="5351" spans="1:4" x14ac:dyDescent="0.25">
      <c r="A5351" s="222" t="s">
        <v>938</v>
      </c>
      <c r="B5351" s="222">
        <v>543388</v>
      </c>
      <c r="C5351" s="222" t="s">
        <v>937</v>
      </c>
      <c r="D5351" s="222" t="s">
        <v>195</v>
      </c>
    </row>
    <row r="5352" spans="1:4" x14ac:dyDescent="0.25">
      <c r="A5352" s="222" t="s">
        <v>936</v>
      </c>
      <c r="B5352" s="222">
        <v>543389</v>
      </c>
      <c r="C5352" s="222" t="s">
        <v>935</v>
      </c>
      <c r="D5352" s="222" t="s">
        <v>789</v>
      </c>
    </row>
    <row r="5353" spans="1:4" x14ac:dyDescent="0.25">
      <c r="A5353" s="222" t="s">
        <v>934</v>
      </c>
      <c r="B5353" s="222">
        <v>543390</v>
      </c>
      <c r="C5353" s="222" t="s">
        <v>933</v>
      </c>
      <c r="D5353" s="222" t="s">
        <v>927</v>
      </c>
    </row>
    <row r="5354" spans="1:4" x14ac:dyDescent="0.25">
      <c r="A5354" s="222" t="s">
        <v>932</v>
      </c>
      <c r="B5354" s="222">
        <v>543391</v>
      </c>
      <c r="C5354" s="222" t="s">
        <v>931</v>
      </c>
      <c r="D5354" s="222" t="s">
        <v>930</v>
      </c>
    </row>
    <row r="5355" spans="1:4" x14ac:dyDescent="0.25">
      <c r="A5355" s="222" t="s">
        <v>929</v>
      </c>
      <c r="B5355" s="222">
        <v>543396</v>
      </c>
      <c r="C5355" s="222" t="s">
        <v>928</v>
      </c>
      <c r="D5355" s="222" t="s">
        <v>927</v>
      </c>
    </row>
    <row r="5356" spans="1:4" x14ac:dyDescent="0.25">
      <c r="A5356" s="222" t="s">
        <v>926</v>
      </c>
      <c r="B5356" s="222">
        <v>543397</v>
      </c>
      <c r="C5356" s="222" t="s">
        <v>925</v>
      </c>
      <c r="D5356" s="222" t="s">
        <v>924</v>
      </c>
    </row>
    <row r="5357" spans="1:4" x14ac:dyDescent="0.25">
      <c r="A5357" s="222" t="s">
        <v>923</v>
      </c>
      <c r="B5357" s="222">
        <v>543398</v>
      </c>
      <c r="C5357" s="222" t="s">
        <v>922</v>
      </c>
      <c r="D5357" s="222" t="s">
        <v>817</v>
      </c>
    </row>
    <row r="5358" spans="1:4" x14ac:dyDescent="0.25">
      <c r="A5358" s="222" t="s">
        <v>921</v>
      </c>
      <c r="B5358" s="222">
        <v>543399</v>
      </c>
      <c r="C5358" s="222" t="s">
        <v>920</v>
      </c>
      <c r="D5358" s="222" t="s">
        <v>919</v>
      </c>
    </row>
    <row r="5359" spans="1:4" x14ac:dyDescent="0.25">
      <c r="A5359" s="222" t="s">
        <v>918</v>
      </c>
      <c r="B5359" s="222">
        <v>543400</v>
      </c>
      <c r="C5359" s="222" t="s">
        <v>917</v>
      </c>
      <c r="D5359" s="222" t="s">
        <v>916</v>
      </c>
    </row>
    <row r="5360" spans="1:4" x14ac:dyDescent="0.25">
      <c r="A5360" s="222" t="s">
        <v>915</v>
      </c>
      <c r="B5360" s="222">
        <v>543401</v>
      </c>
      <c r="C5360" s="222" t="s">
        <v>914</v>
      </c>
      <c r="D5360" s="222" t="s">
        <v>825</v>
      </c>
    </row>
    <row r="5361" spans="1:4" x14ac:dyDescent="0.25">
      <c r="A5361" s="222" t="s">
        <v>913</v>
      </c>
      <c r="B5361" s="222">
        <v>543410</v>
      </c>
      <c r="C5361" s="222" t="s">
        <v>912</v>
      </c>
      <c r="D5361" s="222" t="s">
        <v>911</v>
      </c>
    </row>
    <row r="5362" spans="1:4" x14ac:dyDescent="0.25">
      <c r="A5362" s="222" t="s">
        <v>910</v>
      </c>
      <c r="B5362" s="222">
        <v>543411</v>
      </c>
      <c r="C5362" s="222" t="s">
        <v>909</v>
      </c>
      <c r="D5362" s="222" t="s">
        <v>740</v>
      </c>
    </row>
    <row r="5363" spans="1:4" x14ac:dyDescent="0.25">
      <c r="A5363" s="222" t="s">
        <v>908</v>
      </c>
      <c r="B5363" s="222">
        <v>543412</v>
      </c>
      <c r="C5363" s="222" t="s">
        <v>907</v>
      </c>
      <c r="D5363" s="222" t="s">
        <v>906</v>
      </c>
    </row>
    <row r="5364" spans="1:4" x14ac:dyDescent="0.25">
      <c r="A5364" s="222" t="s">
        <v>905</v>
      </c>
      <c r="B5364" s="222">
        <v>543413</v>
      </c>
      <c r="C5364" s="222" t="s">
        <v>904</v>
      </c>
      <c r="D5364" s="222" t="s">
        <v>903</v>
      </c>
    </row>
    <row r="5365" spans="1:4" x14ac:dyDescent="0.25">
      <c r="A5365" s="222" t="s">
        <v>902</v>
      </c>
      <c r="B5365" s="222">
        <v>543414</v>
      </c>
      <c r="C5365" s="222" t="s">
        <v>901</v>
      </c>
      <c r="D5365" s="222" t="s">
        <v>195</v>
      </c>
    </row>
    <row r="5366" spans="1:4" x14ac:dyDescent="0.25">
      <c r="A5366" s="222" t="s">
        <v>900</v>
      </c>
      <c r="B5366" s="222">
        <v>543415</v>
      </c>
      <c r="C5366" s="222" t="s">
        <v>899</v>
      </c>
      <c r="D5366" s="222" t="s">
        <v>743</v>
      </c>
    </row>
    <row r="5367" spans="1:4" x14ac:dyDescent="0.25">
      <c r="A5367" s="222" t="s">
        <v>898</v>
      </c>
      <c r="B5367" s="222">
        <v>543416</v>
      </c>
      <c r="C5367" s="222" t="s">
        <v>897</v>
      </c>
      <c r="D5367" s="222" t="s">
        <v>797</v>
      </c>
    </row>
    <row r="5368" spans="1:4" x14ac:dyDescent="0.25">
      <c r="A5368" s="222" t="s">
        <v>896</v>
      </c>
      <c r="B5368" s="222">
        <v>543417</v>
      </c>
      <c r="C5368" s="222" t="s">
        <v>895</v>
      </c>
      <c r="D5368" s="222" t="s">
        <v>817</v>
      </c>
    </row>
    <row r="5369" spans="1:4" x14ac:dyDescent="0.25">
      <c r="A5369" s="222" t="s">
        <v>894</v>
      </c>
      <c r="B5369" s="222">
        <v>543419</v>
      </c>
      <c r="C5369" s="222" t="s">
        <v>893</v>
      </c>
      <c r="D5369" s="222" t="s">
        <v>892</v>
      </c>
    </row>
    <row r="5370" spans="1:4" x14ac:dyDescent="0.25">
      <c r="A5370" s="222" t="s">
        <v>891</v>
      </c>
      <c r="B5370" s="222">
        <v>543420</v>
      </c>
      <c r="C5370" s="222" t="s">
        <v>890</v>
      </c>
      <c r="D5370" s="222" t="s">
        <v>737</v>
      </c>
    </row>
    <row r="5371" spans="1:4" x14ac:dyDescent="0.25">
      <c r="A5371" s="222" t="s">
        <v>889</v>
      </c>
      <c r="B5371" s="222">
        <v>543425</v>
      </c>
      <c r="C5371" s="222" t="s">
        <v>888</v>
      </c>
      <c r="D5371" s="222" t="s">
        <v>887</v>
      </c>
    </row>
    <row r="5372" spans="1:4" x14ac:dyDescent="0.25">
      <c r="A5372" s="222" t="s">
        <v>886</v>
      </c>
      <c r="B5372" s="222">
        <v>543426</v>
      </c>
      <c r="C5372" s="222" t="s">
        <v>885</v>
      </c>
      <c r="D5372" s="222" t="s">
        <v>754</v>
      </c>
    </row>
    <row r="5373" spans="1:4" x14ac:dyDescent="0.25">
      <c r="A5373" s="222" t="s">
        <v>884</v>
      </c>
      <c r="B5373" s="222">
        <v>543427</v>
      </c>
      <c r="C5373" s="222" t="s">
        <v>883</v>
      </c>
      <c r="D5373" s="222" t="s">
        <v>882</v>
      </c>
    </row>
    <row r="5374" spans="1:4" x14ac:dyDescent="0.25">
      <c r="A5374" s="222" t="s">
        <v>881</v>
      </c>
      <c r="B5374" s="222">
        <v>543428</v>
      </c>
      <c r="C5374" s="222" t="s">
        <v>880</v>
      </c>
      <c r="D5374" s="222" t="s">
        <v>879</v>
      </c>
    </row>
    <row r="5375" spans="1:4" x14ac:dyDescent="0.25">
      <c r="A5375" s="222" t="s">
        <v>878</v>
      </c>
      <c r="B5375" s="222">
        <v>543433</v>
      </c>
      <c r="C5375" s="222" t="s">
        <v>877</v>
      </c>
      <c r="D5375" s="222" t="s">
        <v>722</v>
      </c>
    </row>
    <row r="5376" spans="1:4" x14ac:dyDescent="0.25">
      <c r="A5376" s="222" t="s">
        <v>876</v>
      </c>
      <c r="B5376" s="222">
        <v>543434</v>
      </c>
      <c r="C5376" s="222" t="s">
        <v>875</v>
      </c>
      <c r="D5376" s="222" t="s">
        <v>789</v>
      </c>
    </row>
    <row r="5377" spans="1:4" x14ac:dyDescent="0.25">
      <c r="A5377" s="222" t="s">
        <v>874</v>
      </c>
      <c r="B5377" s="222">
        <v>543435</v>
      </c>
      <c r="C5377" s="222" t="s">
        <v>873</v>
      </c>
      <c r="D5377" s="222" t="s">
        <v>872</v>
      </c>
    </row>
    <row r="5378" spans="1:4" x14ac:dyDescent="0.25">
      <c r="A5378" s="222" t="s">
        <v>871</v>
      </c>
      <c r="B5378" s="222">
        <v>543436</v>
      </c>
      <c r="C5378" s="222" t="s">
        <v>870</v>
      </c>
      <c r="D5378" s="222" t="s">
        <v>817</v>
      </c>
    </row>
    <row r="5379" spans="1:4" x14ac:dyDescent="0.25">
      <c r="A5379" s="222" t="s">
        <v>869</v>
      </c>
      <c r="B5379" s="222">
        <v>543437</v>
      </c>
      <c r="C5379" s="222" t="s">
        <v>868</v>
      </c>
      <c r="D5379" s="222" t="s">
        <v>195</v>
      </c>
    </row>
    <row r="5380" spans="1:4" x14ac:dyDescent="0.25">
      <c r="A5380" s="222" t="s">
        <v>867</v>
      </c>
      <c r="B5380" s="222">
        <v>543438</v>
      </c>
      <c r="C5380" s="222" t="s">
        <v>866</v>
      </c>
      <c r="D5380" s="222" t="s">
        <v>195</v>
      </c>
    </row>
    <row r="5381" spans="1:4" x14ac:dyDescent="0.25">
      <c r="A5381" s="222" t="s">
        <v>865</v>
      </c>
      <c r="B5381" s="222">
        <v>543439</v>
      </c>
      <c r="C5381" s="222" t="s">
        <v>864</v>
      </c>
      <c r="D5381" s="222" t="s">
        <v>863</v>
      </c>
    </row>
    <row r="5382" spans="1:4" x14ac:dyDescent="0.25">
      <c r="A5382" s="222" t="s">
        <v>862</v>
      </c>
      <c r="B5382" s="222">
        <v>543440</v>
      </c>
      <c r="C5382" s="222" t="s">
        <v>861</v>
      </c>
      <c r="D5382" s="222" t="s">
        <v>195</v>
      </c>
    </row>
    <row r="5383" spans="1:4" x14ac:dyDescent="0.25">
      <c r="A5383" s="222" t="s">
        <v>860</v>
      </c>
      <c r="B5383" s="222">
        <v>543441</v>
      </c>
      <c r="C5383" s="222" t="s">
        <v>859</v>
      </c>
      <c r="D5383" s="222" t="s">
        <v>845</v>
      </c>
    </row>
    <row r="5384" spans="1:4" x14ac:dyDescent="0.25">
      <c r="A5384" s="222" t="s">
        <v>858</v>
      </c>
      <c r="B5384" s="222">
        <v>543442</v>
      </c>
      <c r="C5384" s="222" t="s">
        <v>857</v>
      </c>
      <c r="D5384" s="222" t="s">
        <v>825</v>
      </c>
    </row>
    <row r="5385" spans="1:4" x14ac:dyDescent="0.25">
      <c r="A5385" s="222" t="s">
        <v>856</v>
      </c>
      <c r="B5385" s="222">
        <v>543443</v>
      </c>
      <c r="C5385" s="222" t="s">
        <v>855</v>
      </c>
      <c r="D5385" s="222" t="s">
        <v>854</v>
      </c>
    </row>
    <row r="5386" spans="1:4" x14ac:dyDescent="0.25">
      <c r="A5386" s="222" t="s">
        <v>853</v>
      </c>
      <c r="B5386" s="222">
        <v>543444</v>
      </c>
      <c r="C5386" s="222" t="s">
        <v>852</v>
      </c>
      <c r="D5386" s="222" t="s">
        <v>789</v>
      </c>
    </row>
    <row r="5387" spans="1:4" x14ac:dyDescent="0.25">
      <c r="A5387" s="222" t="s">
        <v>851</v>
      </c>
      <c r="B5387" s="222">
        <v>543449</v>
      </c>
      <c r="C5387" s="222" t="s">
        <v>850</v>
      </c>
      <c r="D5387" s="222" t="s">
        <v>802</v>
      </c>
    </row>
    <row r="5388" spans="1:4" x14ac:dyDescent="0.25">
      <c r="A5388" s="222" t="s">
        <v>849</v>
      </c>
      <c r="B5388" s="222">
        <v>543450</v>
      </c>
      <c r="C5388" s="222" t="s">
        <v>848</v>
      </c>
      <c r="D5388" s="222" t="s">
        <v>195</v>
      </c>
    </row>
    <row r="5389" spans="1:4" x14ac:dyDescent="0.25">
      <c r="A5389" s="222" t="s">
        <v>847</v>
      </c>
      <c r="B5389" s="222">
        <v>543451</v>
      </c>
      <c r="C5389" s="222" t="s">
        <v>846</v>
      </c>
      <c r="D5389" s="222" t="s">
        <v>845</v>
      </c>
    </row>
    <row r="5390" spans="1:4" x14ac:dyDescent="0.25">
      <c r="A5390" s="222" t="s">
        <v>844</v>
      </c>
      <c r="B5390" s="222">
        <v>543452</v>
      </c>
      <c r="C5390" s="222" t="s">
        <v>843</v>
      </c>
      <c r="D5390" s="222" t="s">
        <v>195</v>
      </c>
    </row>
    <row r="5391" spans="1:4" x14ac:dyDescent="0.25">
      <c r="A5391" s="222" t="s">
        <v>842</v>
      </c>
      <c r="B5391" s="222">
        <v>543453</v>
      </c>
      <c r="C5391" s="222" t="s">
        <v>841</v>
      </c>
      <c r="D5391" s="222" t="s">
        <v>840</v>
      </c>
    </row>
    <row r="5392" spans="1:4" x14ac:dyDescent="0.25">
      <c r="A5392" s="222" t="s">
        <v>839</v>
      </c>
      <c r="B5392" s="222">
        <v>543454</v>
      </c>
      <c r="C5392" s="222" t="s">
        <v>838</v>
      </c>
      <c r="D5392" s="222" t="s">
        <v>195</v>
      </c>
    </row>
    <row r="5393" spans="1:4" x14ac:dyDescent="0.25">
      <c r="A5393" s="222" t="s">
        <v>837</v>
      </c>
      <c r="B5393" s="222">
        <v>543458</v>
      </c>
      <c r="C5393" s="222" t="s">
        <v>836</v>
      </c>
      <c r="D5393" s="222" t="s">
        <v>835</v>
      </c>
    </row>
    <row r="5394" spans="1:4" x14ac:dyDescent="0.25">
      <c r="A5394" s="222" t="s">
        <v>834</v>
      </c>
      <c r="B5394" s="222">
        <v>543460</v>
      </c>
      <c r="C5394" s="222" t="s">
        <v>833</v>
      </c>
      <c r="D5394" s="222" t="s">
        <v>832</v>
      </c>
    </row>
    <row r="5395" spans="1:4" x14ac:dyDescent="0.25">
      <c r="A5395" s="222" t="s">
        <v>831</v>
      </c>
      <c r="B5395" s="222">
        <v>543461</v>
      </c>
      <c r="C5395" s="222" t="s">
        <v>830</v>
      </c>
      <c r="D5395" s="222" t="s">
        <v>772</v>
      </c>
    </row>
    <row r="5396" spans="1:4" x14ac:dyDescent="0.25">
      <c r="A5396" s="222" t="s">
        <v>829</v>
      </c>
      <c r="B5396" s="222">
        <v>543462</v>
      </c>
      <c r="C5396" s="222" t="s">
        <v>828</v>
      </c>
      <c r="D5396" s="222" t="s">
        <v>725</v>
      </c>
    </row>
    <row r="5397" spans="1:4" x14ac:dyDescent="0.25">
      <c r="A5397" s="222" t="s">
        <v>827</v>
      </c>
      <c r="B5397" s="222">
        <v>543463</v>
      </c>
      <c r="C5397" s="222" t="s">
        <v>826</v>
      </c>
      <c r="D5397" s="222" t="s">
        <v>825</v>
      </c>
    </row>
    <row r="5398" spans="1:4" x14ac:dyDescent="0.25">
      <c r="A5398" s="222" t="s">
        <v>824</v>
      </c>
      <c r="B5398" s="222">
        <v>543464</v>
      </c>
      <c r="C5398" s="222" t="s">
        <v>823</v>
      </c>
      <c r="D5398" s="222" t="s">
        <v>822</v>
      </c>
    </row>
    <row r="5399" spans="1:4" x14ac:dyDescent="0.25">
      <c r="A5399" s="222" t="s">
        <v>821</v>
      </c>
      <c r="B5399" s="222">
        <v>543465</v>
      </c>
      <c r="C5399" s="222" t="s">
        <v>820</v>
      </c>
      <c r="D5399" s="222" t="s">
        <v>195</v>
      </c>
    </row>
    <row r="5400" spans="1:4" x14ac:dyDescent="0.25">
      <c r="A5400" s="222" t="s">
        <v>819</v>
      </c>
      <c r="B5400" s="222">
        <v>543470</v>
      </c>
      <c r="C5400" s="222" t="s">
        <v>818</v>
      </c>
      <c r="D5400" s="222" t="s">
        <v>817</v>
      </c>
    </row>
    <row r="5401" spans="1:4" x14ac:dyDescent="0.25">
      <c r="A5401" s="222" t="s">
        <v>816</v>
      </c>
      <c r="B5401" s="222">
        <v>543471</v>
      </c>
      <c r="C5401" s="222" t="s">
        <v>815</v>
      </c>
      <c r="D5401" s="222" t="s">
        <v>195</v>
      </c>
    </row>
    <row r="5402" spans="1:4" x14ac:dyDescent="0.25">
      <c r="A5402" s="222" t="s">
        <v>814</v>
      </c>
      <c r="B5402" s="222">
        <v>543472</v>
      </c>
      <c r="C5402" s="222" t="s">
        <v>813</v>
      </c>
      <c r="D5402" s="222" t="s">
        <v>195</v>
      </c>
    </row>
    <row r="5403" spans="1:4" x14ac:dyDescent="0.25">
      <c r="A5403" s="222" t="s">
        <v>812</v>
      </c>
      <c r="B5403" s="222">
        <v>543473</v>
      </c>
      <c r="C5403" s="222" t="s">
        <v>811</v>
      </c>
      <c r="D5403" s="222" t="s">
        <v>195</v>
      </c>
    </row>
    <row r="5404" spans="1:4" x14ac:dyDescent="0.25">
      <c r="A5404" s="222" t="s">
        <v>810</v>
      </c>
      <c r="B5404" s="222">
        <v>543474</v>
      </c>
      <c r="C5404" s="222" t="s">
        <v>809</v>
      </c>
      <c r="D5404" s="222" t="s">
        <v>195</v>
      </c>
    </row>
    <row r="5405" spans="1:4" x14ac:dyDescent="0.25">
      <c r="A5405" s="222" t="s">
        <v>808</v>
      </c>
      <c r="B5405" s="222">
        <v>543475</v>
      </c>
      <c r="C5405" s="222" t="s">
        <v>807</v>
      </c>
      <c r="D5405" s="222" t="s">
        <v>725</v>
      </c>
    </row>
    <row r="5406" spans="1:4" x14ac:dyDescent="0.25">
      <c r="A5406" s="222" t="s">
        <v>806</v>
      </c>
      <c r="B5406" s="222">
        <v>543481</v>
      </c>
      <c r="C5406" s="222" t="s">
        <v>805</v>
      </c>
      <c r="D5406" s="222" t="s">
        <v>195</v>
      </c>
    </row>
    <row r="5407" spans="1:4" x14ac:dyDescent="0.25">
      <c r="A5407" s="222" t="s">
        <v>804</v>
      </c>
      <c r="B5407" s="222">
        <v>543482</v>
      </c>
      <c r="C5407" s="222" t="s">
        <v>803</v>
      </c>
      <c r="D5407" s="222" t="s">
        <v>802</v>
      </c>
    </row>
    <row r="5408" spans="1:4" x14ac:dyDescent="0.25">
      <c r="A5408" s="222" t="s">
        <v>801</v>
      </c>
      <c r="B5408" s="222">
        <v>543489</v>
      </c>
      <c r="C5408" s="222" t="s">
        <v>800</v>
      </c>
      <c r="D5408" s="222" t="s">
        <v>737</v>
      </c>
    </row>
    <row r="5409" spans="1:4" x14ac:dyDescent="0.25">
      <c r="A5409" s="222" t="s">
        <v>799</v>
      </c>
      <c r="B5409" s="222">
        <v>543490</v>
      </c>
      <c r="C5409" s="222" t="s">
        <v>798</v>
      </c>
      <c r="D5409" s="222" t="s">
        <v>797</v>
      </c>
    </row>
    <row r="5410" spans="1:4" x14ac:dyDescent="0.25">
      <c r="A5410" s="222" t="s">
        <v>796</v>
      </c>
      <c r="B5410" s="222">
        <v>543497</v>
      </c>
      <c r="C5410" s="222" t="s">
        <v>795</v>
      </c>
      <c r="D5410" s="222" t="s">
        <v>722</v>
      </c>
    </row>
    <row r="5411" spans="1:4" x14ac:dyDescent="0.25">
      <c r="A5411" s="222" t="s">
        <v>794</v>
      </c>
      <c r="B5411" s="222">
        <v>543498</v>
      </c>
      <c r="C5411" s="222" t="s">
        <v>793</v>
      </c>
      <c r="D5411" s="222" t="s">
        <v>792</v>
      </c>
    </row>
    <row r="5412" spans="1:4" x14ac:dyDescent="0.25">
      <c r="A5412" s="222" t="s">
        <v>791</v>
      </c>
      <c r="B5412" s="222">
        <v>543499</v>
      </c>
      <c r="C5412" s="222" t="s">
        <v>790</v>
      </c>
      <c r="D5412" s="222" t="s">
        <v>789</v>
      </c>
    </row>
    <row r="5413" spans="1:4" x14ac:dyDescent="0.25">
      <c r="A5413" s="222" t="s">
        <v>788</v>
      </c>
      <c r="B5413" s="222">
        <v>543500</v>
      </c>
      <c r="C5413" s="222" t="s">
        <v>787</v>
      </c>
      <c r="D5413" s="222" t="s">
        <v>772</v>
      </c>
    </row>
    <row r="5414" spans="1:4" x14ac:dyDescent="0.25">
      <c r="A5414" s="222" t="s">
        <v>786</v>
      </c>
      <c r="B5414" s="222">
        <v>543501</v>
      </c>
      <c r="C5414" s="222" t="s">
        <v>785</v>
      </c>
      <c r="D5414" s="222" t="s">
        <v>195</v>
      </c>
    </row>
    <row r="5415" spans="1:4" x14ac:dyDescent="0.25">
      <c r="A5415" s="222" t="s">
        <v>784</v>
      </c>
      <c r="B5415" s="222">
        <v>543512</v>
      </c>
      <c r="C5415" s="222" t="s">
        <v>783</v>
      </c>
      <c r="D5415" s="222" t="s">
        <v>782</v>
      </c>
    </row>
    <row r="5416" spans="1:4" x14ac:dyDescent="0.25">
      <c r="A5416" s="222" t="s">
        <v>781</v>
      </c>
      <c r="B5416" s="222">
        <v>543513</v>
      </c>
      <c r="C5416" s="222" t="s">
        <v>780</v>
      </c>
      <c r="D5416" s="222" t="s">
        <v>772</v>
      </c>
    </row>
    <row r="5417" spans="1:4" x14ac:dyDescent="0.25">
      <c r="A5417" s="222" t="s">
        <v>779</v>
      </c>
      <c r="B5417" s="222">
        <v>543514</v>
      </c>
      <c r="C5417" s="222" t="s">
        <v>778</v>
      </c>
      <c r="D5417" s="222" t="s">
        <v>777</v>
      </c>
    </row>
    <row r="5418" spans="1:4" x14ac:dyDescent="0.25">
      <c r="A5418" s="222" t="s">
        <v>776</v>
      </c>
      <c r="B5418" s="222">
        <v>543515</v>
      </c>
      <c r="C5418" s="222" t="s">
        <v>775</v>
      </c>
      <c r="D5418" s="222" t="s">
        <v>772</v>
      </c>
    </row>
    <row r="5419" spans="1:4" x14ac:dyDescent="0.25">
      <c r="A5419" s="222" t="s">
        <v>774</v>
      </c>
      <c r="B5419" s="222">
        <v>543516</v>
      </c>
      <c r="C5419" s="222" t="s">
        <v>773</v>
      </c>
      <c r="D5419" s="222" t="s">
        <v>772</v>
      </c>
    </row>
    <row r="5420" spans="1:4" x14ac:dyDescent="0.25">
      <c r="A5420" s="222" t="s">
        <v>771</v>
      </c>
      <c r="B5420" s="222">
        <v>543517</v>
      </c>
      <c r="C5420" s="222" t="s">
        <v>770</v>
      </c>
      <c r="D5420" s="222" t="s">
        <v>740</v>
      </c>
    </row>
    <row r="5421" spans="1:4" x14ac:dyDescent="0.25">
      <c r="A5421" s="222" t="s">
        <v>769</v>
      </c>
      <c r="B5421" s="222">
        <v>543518</v>
      </c>
      <c r="C5421" s="222" t="s">
        <v>768</v>
      </c>
      <c r="D5421" s="222" t="s">
        <v>728</v>
      </c>
    </row>
    <row r="5422" spans="1:4" x14ac:dyDescent="0.25">
      <c r="A5422" s="222" t="s">
        <v>767</v>
      </c>
      <c r="B5422" s="222">
        <v>543519</v>
      </c>
      <c r="C5422" s="222" t="s">
        <v>766</v>
      </c>
      <c r="D5422" s="222" t="s">
        <v>765</v>
      </c>
    </row>
    <row r="5423" spans="1:4" x14ac:dyDescent="0.25">
      <c r="A5423" s="222" t="s">
        <v>764</v>
      </c>
      <c r="B5423" s="222">
        <v>543520</v>
      </c>
      <c r="C5423" s="222" t="s">
        <v>763</v>
      </c>
      <c r="D5423" s="222" t="s">
        <v>751</v>
      </c>
    </row>
    <row r="5424" spans="1:4" x14ac:dyDescent="0.25">
      <c r="A5424" s="222" t="s">
        <v>762</v>
      </c>
      <c r="B5424" s="222">
        <v>543521</v>
      </c>
      <c r="C5424" s="222" t="s">
        <v>761</v>
      </c>
      <c r="D5424" s="222" t="s">
        <v>760</v>
      </c>
    </row>
    <row r="5425" spans="1:4" x14ac:dyDescent="0.25">
      <c r="A5425" s="222" t="s">
        <v>759</v>
      </c>
      <c r="B5425" s="222">
        <v>543522</v>
      </c>
      <c r="C5425" s="222" t="s">
        <v>758</v>
      </c>
      <c r="D5425" s="222" t="s">
        <v>757</v>
      </c>
    </row>
    <row r="5426" spans="1:4" x14ac:dyDescent="0.25">
      <c r="A5426" s="222" t="s">
        <v>756</v>
      </c>
      <c r="B5426" s="222">
        <v>543523</v>
      </c>
      <c r="C5426" s="222" t="s">
        <v>755</v>
      </c>
      <c r="D5426" s="222" t="s">
        <v>754</v>
      </c>
    </row>
    <row r="5427" spans="1:4" x14ac:dyDescent="0.25">
      <c r="A5427" s="222" t="s">
        <v>753</v>
      </c>
      <c r="B5427" s="222">
        <v>543524</v>
      </c>
      <c r="C5427" s="222" t="s">
        <v>752</v>
      </c>
      <c r="D5427" s="222" t="s">
        <v>751</v>
      </c>
    </row>
    <row r="5428" spans="1:4" x14ac:dyDescent="0.25">
      <c r="A5428" s="222" t="s">
        <v>750</v>
      </c>
      <c r="B5428" s="222">
        <v>543525</v>
      </c>
      <c r="C5428" s="222" t="s">
        <v>749</v>
      </c>
      <c r="D5428" s="222" t="s">
        <v>725</v>
      </c>
    </row>
    <row r="5429" spans="1:4" x14ac:dyDescent="0.25">
      <c r="A5429" s="222" t="s">
        <v>748</v>
      </c>
      <c r="B5429" s="222">
        <v>543526</v>
      </c>
      <c r="C5429" s="222" t="s">
        <v>747</v>
      </c>
      <c r="D5429" s="222" t="s">
        <v>746</v>
      </c>
    </row>
    <row r="5430" spans="1:4" x14ac:dyDescent="0.25">
      <c r="A5430" s="222" t="s">
        <v>745</v>
      </c>
      <c r="B5430" s="222">
        <v>543527</v>
      </c>
      <c r="C5430" s="222" t="s">
        <v>744</v>
      </c>
      <c r="D5430" s="222" t="s">
        <v>743</v>
      </c>
    </row>
    <row r="5431" spans="1:4" x14ac:dyDescent="0.25">
      <c r="A5431" s="222" t="s">
        <v>742</v>
      </c>
      <c r="B5431" s="222">
        <v>543528</v>
      </c>
      <c r="C5431" s="222" t="s">
        <v>741</v>
      </c>
      <c r="D5431" s="222" t="s">
        <v>740</v>
      </c>
    </row>
    <row r="5432" spans="1:4" x14ac:dyDescent="0.25">
      <c r="A5432" s="222" t="s">
        <v>739</v>
      </c>
      <c r="B5432" s="222">
        <v>543529</v>
      </c>
      <c r="C5432" s="222" t="s">
        <v>738</v>
      </c>
      <c r="D5432" s="222" t="s">
        <v>737</v>
      </c>
    </row>
    <row r="5433" spans="1:4" x14ac:dyDescent="0.25">
      <c r="A5433" s="222" t="s">
        <v>736</v>
      </c>
      <c r="B5433" s="222">
        <v>543530</v>
      </c>
      <c r="C5433" s="222" t="s">
        <v>735</v>
      </c>
      <c r="D5433" s="222" t="s">
        <v>734</v>
      </c>
    </row>
    <row r="5434" spans="1:4" x14ac:dyDescent="0.25">
      <c r="A5434" s="222" t="s">
        <v>733</v>
      </c>
      <c r="B5434" s="222">
        <v>543531</v>
      </c>
      <c r="C5434" s="222" t="s">
        <v>732</v>
      </c>
      <c r="D5434" s="222" t="s">
        <v>731</v>
      </c>
    </row>
    <row r="5435" spans="1:4" x14ac:dyDescent="0.25">
      <c r="A5435" s="222" t="s">
        <v>730</v>
      </c>
      <c r="B5435" s="222">
        <v>543532</v>
      </c>
      <c r="C5435" s="222" t="s">
        <v>729</v>
      </c>
      <c r="D5435" s="222" t="s">
        <v>728</v>
      </c>
    </row>
    <row r="5436" spans="1:4" x14ac:dyDescent="0.25">
      <c r="A5436" s="222" t="s">
        <v>727</v>
      </c>
      <c r="B5436" s="222">
        <v>543533</v>
      </c>
      <c r="C5436" s="222" t="s">
        <v>726</v>
      </c>
      <c r="D5436" s="222" t="s">
        <v>725</v>
      </c>
    </row>
    <row r="5437" spans="1:4" x14ac:dyDescent="0.25">
      <c r="A5437" s="222" t="s">
        <v>724</v>
      </c>
      <c r="B5437" s="222">
        <v>543534</v>
      </c>
      <c r="C5437" s="222" t="s">
        <v>723</v>
      </c>
      <c r="D5437" s="222" t="s">
        <v>722</v>
      </c>
    </row>
    <row r="5438" spans="1:4" x14ac:dyDescent="0.25">
      <c r="A5438" s="222" t="s">
        <v>721</v>
      </c>
      <c r="B5438" s="222">
        <v>543535</v>
      </c>
      <c r="C5438" s="222" t="s">
        <v>720</v>
      </c>
      <c r="D5438" s="222" t="s">
        <v>719</v>
      </c>
    </row>
    <row r="5439" spans="1:4" x14ac:dyDescent="0.25">
      <c r="A5439" s="222" t="s">
        <v>718</v>
      </c>
      <c r="B5439" s="222">
        <v>543536</v>
      </c>
      <c r="C5439" s="222" t="s">
        <v>717</v>
      </c>
      <c r="D5439" s="222" t="s">
        <v>716</v>
      </c>
    </row>
    <row r="5440" spans="1:4" x14ac:dyDescent="0.25">
      <c r="A5440" s="222" t="s">
        <v>715</v>
      </c>
      <c r="B5440" s="222">
        <v>590136</v>
      </c>
      <c r="C5440" s="222" t="s">
        <v>714</v>
      </c>
      <c r="D5440" s="222" t="s">
        <v>195</v>
      </c>
    </row>
    <row r="5441" spans="1:4" x14ac:dyDescent="0.25">
      <c r="A5441" s="222" t="s">
        <v>713</v>
      </c>
      <c r="B5441" s="222">
        <v>590137</v>
      </c>
      <c r="C5441" s="222" t="s">
        <v>712</v>
      </c>
      <c r="D5441" s="222" t="s">
        <v>195</v>
      </c>
    </row>
    <row r="5442" spans="1:4" x14ac:dyDescent="0.25">
      <c r="A5442" s="222" t="s">
        <v>711</v>
      </c>
      <c r="B5442" s="222">
        <v>590138</v>
      </c>
      <c r="C5442" s="222" t="s">
        <v>710</v>
      </c>
      <c r="D5442" s="222" t="s">
        <v>195</v>
      </c>
    </row>
  </sheetData>
  <sheetProtection sheet="1" objects="1" scenarios="1"/>
  <autoFilter ref="A2:D5049" xr:uid="{00000000-0009-0000-0000-000011000000}">
    <sortState xmlns:xlrd2="http://schemas.microsoft.com/office/spreadsheetml/2017/richdata2" ref="A3:D5049">
      <sortCondition ref="A2:A5049"/>
    </sortState>
  </autoFilter>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B3470-9480-40FC-BA5A-76B97255DF89}">
  <sheetPr codeName="Sheet17"/>
  <dimension ref="B2:L27"/>
  <sheetViews>
    <sheetView workbookViewId="0">
      <selection activeCell="D32" sqref="D32"/>
    </sheetView>
  </sheetViews>
  <sheetFormatPr defaultRowHeight="15" x14ac:dyDescent="0.25"/>
  <cols>
    <col min="2" max="2" width="28" bestFit="1" customWidth="1"/>
  </cols>
  <sheetData>
    <row r="2" spans="2:12" x14ac:dyDescent="0.25">
      <c r="C2" s="15">
        <v>42430</v>
      </c>
      <c r="D2" s="15">
        <v>42795</v>
      </c>
      <c r="E2" s="15">
        <v>43160</v>
      </c>
      <c r="F2" s="15">
        <v>43525</v>
      </c>
      <c r="G2" s="15">
        <v>43891</v>
      </c>
      <c r="H2" s="15">
        <v>44256</v>
      </c>
      <c r="I2" s="15">
        <v>44621</v>
      </c>
      <c r="J2" s="15">
        <v>44986</v>
      </c>
      <c r="K2" s="15">
        <v>45352</v>
      </c>
      <c r="L2" s="15">
        <v>45717</v>
      </c>
    </row>
    <row r="3" spans="2:12" x14ac:dyDescent="0.25">
      <c r="B3" t="s">
        <v>105</v>
      </c>
      <c r="D3">
        <v>-404</v>
      </c>
      <c r="E3">
        <v>-748</v>
      </c>
      <c r="F3" s="16">
        <v>-7700</v>
      </c>
      <c r="G3" s="16">
        <v>1527</v>
      </c>
      <c r="H3" s="16">
        <v>15117</v>
      </c>
      <c r="I3" s="16">
        <v>10173</v>
      </c>
      <c r="J3" s="16">
        <v>8830</v>
      </c>
      <c r="K3" s="16">
        <v>8223</v>
      </c>
      <c r="L3" s="16">
        <v>13643</v>
      </c>
    </row>
    <row r="4" spans="2:12" x14ac:dyDescent="0.25">
      <c r="B4" t="s">
        <v>86</v>
      </c>
      <c r="D4" s="16">
        <v>5143</v>
      </c>
      <c r="E4" s="16">
        <v>5329</v>
      </c>
      <c r="F4" s="16">
        <v>6206</v>
      </c>
      <c r="G4" s="16">
        <v>6531</v>
      </c>
      <c r="H4" s="16">
        <v>6744</v>
      </c>
      <c r="I4" s="16">
        <v>9611</v>
      </c>
      <c r="J4" s="16">
        <v>11134</v>
      </c>
      <c r="K4" s="16">
        <v>13317</v>
      </c>
      <c r="L4" s="16">
        <v>12426</v>
      </c>
    </row>
    <row r="5" spans="2:12" x14ac:dyDescent="0.25">
      <c r="B5" t="s">
        <v>43</v>
      </c>
      <c r="D5">
        <v>571</v>
      </c>
      <c r="E5" s="16">
        <v>-3563</v>
      </c>
      <c r="F5" s="16">
        <v>-9334</v>
      </c>
      <c r="G5" s="16">
        <v>-1884</v>
      </c>
      <c r="H5" s="16">
        <v>4996</v>
      </c>
      <c r="I5">
        <v>611</v>
      </c>
      <c r="J5" s="16">
        <v>-1750</v>
      </c>
      <c r="K5" s="16">
        <v>-2474</v>
      </c>
      <c r="L5" s="16">
        <v>-4177</v>
      </c>
    </row>
    <row r="6" spans="2:12" x14ac:dyDescent="0.25">
      <c r="B6" t="s">
        <v>30</v>
      </c>
      <c r="D6" s="16">
        <v>2666</v>
      </c>
      <c r="E6" s="16">
        <v>1835</v>
      </c>
      <c r="F6">
        <v>201</v>
      </c>
      <c r="G6">
        <v>46</v>
      </c>
      <c r="H6" s="16">
        <v>2456</v>
      </c>
      <c r="I6" s="16">
        <v>1766</v>
      </c>
      <c r="J6" s="16">
        <v>1917</v>
      </c>
      <c r="K6" s="16">
        <v>-2070</v>
      </c>
      <c r="L6" s="16">
        <v>-8535</v>
      </c>
    </row>
    <row r="7" spans="2:12" x14ac:dyDescent="0.25">
      <c r="B7" t="s">
        <v>87</v>
      </c>
      <c r="D7">
        <v>-347</v>
      </c>
      <c r="E7">
        <v>-98</v>
      </c>
      <c r="F7">
        <v>960</v>
      </c>
      <c r="G7" s="16">
        <v>1454</v>
      </c>
      <c r="H7" s="16">
        <v>-1836</v>
      </c>
      <c r="I7">
        <v>302</v>
      </c>
      <c r="J7">
        <v>577</v>
      </c>
      <c r="K7">
        <v>278</v>
      </c>
      <c r="L7" s="16">
        <v>1693</v>
      </c>
    </row>
    <row r="8" spans="2:12" x14ac:dyDescent="0.25">
      <c r="B8" t="s">
        <v>88</v>
      </c>
      <c r="D8" s="16">
        <v>-7400</v>
      </c>
      <c r="E8" s="16">
        <v>-2740</v>
      </c>
      <c r="F8" s="16">
        <v>-4641</v>
      </c>
      <c r="G8" s="16">
        <v>-2800</v>
      </c>
      <c r="H8" s="16">
        <v>3633</v>
      </c>
      <c r="I8" s="16">
        <v>-1090</v>
      </c>
      <c r="J8">
        <v>-293</v>
      </c>
      <c r="K8" s="16">
        <v>1142</v>
      </c>
      <c r="L8" s="16">
        <v>15775</v>
      </c>
    </row>
    <row r="9" spans="2:12" x14ac:dyDescent="0.25">
      <c r="B9" t="s">
        <v>89</v>
      </c>
      <c r="D9" s="16">
        <v>-4510</v>
      </c>
      <c r="E9" s="16">
        <v>-4566</v>
      </c>
      <c r="F9" s="16">
        <v>-12814</v>
      </c>
      <c r="G9" s="16">
        <v>-3183</v>
      </c>
      <c r="H9" s="16">
        <v>9248</v>
      </c>
      <c r="I9" s="16">
        <v>1589</v>
      </c>
      <c r="J9">
        <v>452</v>
      </c>
      <c r="K9" s="16">
        <v>-3125</v>
      </c>
      <c r="L9" s="16">
        <v>4756</v>
      </c>
    </row>
    <row r="10" spans="2:12" x14ac:dyDescent="0.25">
      <c r="B10" t="s">
        <v>90</v>
      </c>
      <c r="D10" s="16">
        <v>-1037</v>
      </c>
      <c r="E10" s="16">
        <v>-1510</v>
      </c>
      <c r="F10" s="16">
        <v>-1092</v>
      </c>
      <c r="G10" s="16">
        <v>-1820</v>
      </c>
      <c r="H10">
        <v>-875</v>
      </c>
      <c r="I10" s="16">
        <v>-1027</v>
      </c>
      <c r="J10" s="16">
        <v>-2756</v>
      </c>
      <c r="K10" s="16">
        <v>-1969</v>
      </c>
      <c r="L10" s="16">
        <v>-3538</v>
      </c>
    </row>
    <row r="11" spans="2:12" x14ac:dyDescent="0.25">
      <c r="B11" t="s">
        <v>106</v>
      </c>
      <c r="D11" s="16">
        <v>3012</v>
      </c>
      <c r="E11">
        <v>597</v>
      </c>
      <c r="F11" s="16">
        <v>5294</v>
      </c>
      <c r="G11" s="16">
        <v>-1339</v>
      </c>
      <c r="H11" s="16">
        <v>-1180</v>
      </c>
      <c r="I11" s="16">
        <v>-12785</v>
      </c>
      <c r="J11" s="16">
        <v>-5728</v>
      </c>
      <c r="K11" s="16">
        <v>-6410</v>
      </c>
      <c r="L11" s="16">
        <v>-10771</v>
      </c>
    </row>
    <row r="12" spans="2:12" x14ac:dyDescent="0.25">
      <c r="B12" t="s">
        <v>91</v>
      </c>
      <c r="D12" s="16">
        <v>-1514</v>
      </c>
      <c r="E12" s="16">
        <v>-1254</v>
      </c>
      <c r="F12" s="16">
        <v>-1395</v>
      </c>
      <c r="G12" s="16">
        <v>-1381</v>
      </c>
      <c r="H12" s="16">
        <v>-1209</v>
      </c>
      <c r="I12" s="16">
        <v>-1501</v>
      </c>
      <c r="J12" s="16">
        <v>-1781</v>
      </c>
      <c r="K12" s="16">
        <v>-1755</v>
      </c>
      <c r="L12" s="16">
        <v>-1757</v>
      </c>
    </row>
    <row r="13" spans="2:12" x14ac:dyDescent="0.25">
      <c r="B13" t="s">
        <v>92</v>
      </c>
      <c r="D13">
        <v>12</v>
      </c>
      <c r="E13">
        <v>1</v>
      </c>
      <c r="F13">
        <v>2</v>
      </c>
      <c r="G13">
        <v>2</v>
      </c>
      <c r="H13">
        <v>1</v>
      </c>
      <c r="I13">
        <v>3</v>
      </c>
      <c r="J13">
        <v>5</v>
      </c>
      <c r="K13">
        <v>8</v>
      </c>
      <c r="L13">
        <v>3</v>
      </c>
    </row>
    <row r="14" spans="2:12" x14ac:dyDescent="0.25">
      <c r="B14" t="s">
        <v>93</v>
      </c>
      <c r="D14">
        <v>-64</v>
      </c>
      <c r="E14">
        <v>-64</v>
      </c>
      <c r="F14">
        <v>0</v>
      </c>
      <c r="G14">
        <v>-76</v>
      </c>
      <c r="H14">
        <v>-67</v>
      </c>
      <c r="I14">
        <v>-235</v>
      </c>
      <c r="J14">
        <v>-95</v>
      </c>
      <c r="K14">
        <v>-100</v>
      </c>
      <c r="L14">
        <v>-107</v>
      </c>
    </row>
    <row r="15" spans="2:12" x14ac:dyDescent="0.25">
      <c r="B15" t="s">
        <v>94</v>
      </c>
      <c r="D15">
        <v>0</v>
      </c>
      <c r="E15">
        <v>0</v>
      </c>
      <c r="F15">
        <v>96</v>
      </c>
      <c r="G15">
        <v>0</v>
      </c>
      <c r="H15">
        <v>0</v>
      </c>
      <c r="I15">
        <v>0</v>
      </c>
      <c r="J15">
        <v>0</v>
      </c>
      <c r="K15">
        <v>0</v>
      </c>
      <c r="L15">
        <v>0</v>
      </c>
    </row>
    <row r="16" spans="2:12" x14ac:dyDescent="0.25">
      <c r="B16" t="s">
        <v>95</v>
      </c>
      <c r="D16">
        <v>0</v>
      </c>
      <c r="E16">
        <v>0</v>
      </c>
      <c r="F16">
        <v>262</v>
      </c>
      <c r="G16">
        <v>66</v>
      </c>
      <c r="H16">
        <v>77</v>
      </c>
      <c r="I16">
        <v>201</v>
      </c>
      <c r="J16">
        <v>739</v>
      </c>
      <c r="K16" s="16">
        <v>1746</v>
      </c>
      <c r="L16" s="16">
        <v>2555</v>
      </c>
    </row>
    <row r="17" spans="2:12" x14ac:dyDescent="0.25">
      <c r="B17" t="s">
        <v>96</v>
      </c>
      <c r="D17">
        <v>0</v>
      </c>
      <c r="E17">
        <v>1</v>
      </c>
      <c r="F17">
        <v>2</v>
      </c>
      <c r="G17">
        <v>1</v>
      </c>
      <c r="H17">
        <v>1</v>
      </c>
      <c r="I17">
        <v>2</v>
      </c>
      <c r="J17">
        <v>2</v>
      </c>
      <c r="K17">
        <v>3</v>
      </c>
      <c r="L17">
        <v>5</v>
      </c>
    </row>
    <row r="18" spans="2:12" x14ac:dyDescent="0.25">
      <c r="B18" t="s">
        <v>97</v>
      </c>
      <c r="D18">
        <v>-16</v>
      </c>
      <c r="E18">
        <v>0</v>
      </c>
      <c r="F18">
        <v>0</v>
      </c>
      <c r="G18">
        <v>-1</v>
      </c>
      <c r="H18">
        <v>0</v>
      </c>
      <c r="I18">
        <v>-10</v>
      </c>
      <c r="J18">
        <v>0</v>
      </c>
      <c r="K18">
        <v>-10</v>
      </c>
      <c r="L18">
        <v>-13</v>
      </c>
    </row>
    <row r="19" spans="2:12" x14ac:dyDescent="0.25">
      <c r="B19" t="s">
        <v>98</v>
      </c>
      <c r="D19" s="16">
        <v>4593</v>
      </c>
      <c r="E19" s="16">
        <v>1913</v>
      </c>
      <c r="F19" s="16">
        <v>6327</v>
      </c>
      <c r="G19">
        <v>50</v>
      </c>
      <c r="H19">
        <v>16</v>
      </c>
      <c r="I19" s="16">
        <v>-11246</v>
      </c>
      <c r="J19" s="16">
        <v>-4598</v>
      </c>
      <c r="K19" s="16">
        <v>-6301</v>
      </c>
      <c r="L19" s="16">
        <v>-11457</v>
      </c>
    </row>
    <row r="20" spans="2:12" x14ac:dyDescent="0.25">
      <c r="B20" t="s">
        <v>107</v>
      </c>
      <c r="D20">
        <v>-164</v>
      </c>
      <c r="E20" s="16">
        <v>-2540</v>
      </c>
      <c r="F20" s="16">
        <v>2326</v>
      </c>
      <c r="G20">
        <v>64</v>
      </c>
      <c r="H20" s="16">
        <v>-7070</v>
      </c>
      <c r="I20" s="16">
        <v>-1464</v>
      </c>
      <c r="J20" s="16">
        <v>-1731</v>
      </c>
      <c r="K20" s="16">
        <v>-1999</v>
      </c>
      <c r="L20" s="16">
        <v>-2579</v>
      </c>
    </row>
    <row r="21" spans="2:12" x14ac:dyDescent="0.25">
      <c r="B21" t="s">
        <v>99</v>
      </c>
      <c r="D21">
        <v>950</v>
      </c>
      <c r="E21">
        <v>0</v>
      </c>
      <c r="F21" s="16">
        <v>3289</v>
      </c>
      <c r="G21" s="16">
        <v>1753</v>
      </c>
      <c r="H21">
        <v>0</v>
      </c>
      <c r="I21">
        <v>0</v>
      </c>
      <c r="J21">
        <v>0</v>
      </c>
      <c r="K21">
        <v>0</v>
      </c>
      <c r="L21">
        <v>0</v>
      </c>
    </row>
    <row r="22" spans="2:12" x14ac:dyDescent="0.25">
      <c r="B22" t="s">
        <v>100</v>
      </c>
      <c r="D22">
        <v>0</v>
      </c>
      <c r="E22">
        <v>0</v>
      </c>
      <c r="F22">
        <v>0</v>
      </c>
      <c r="G22">
        <v>0</v>
      </c>
      <c r="H22" s="16">
        <v>-5860</v>
      </c>
      <c r="I22">
        <v>-9</v>
      </c>
      <c r="J22">
        <v>0</v>
      </c>
      <c r="K22">
        <v>0</v>
      </c>
      <c r="L22">
        <v>0</v>
      </c>
    </row>
    <row r="23" spans="2:12" x14ac:dyDescent="0.25">
      <c r="B23" t="s">
        <v>101</v>
      </c>
      <c r="D23">
        <v>-10</v>
      </c>
      <c r="E23">
        <v>-29</v>
      </c>
      <c r="F23">
        <v>-170</v>
      </c>
      <c r="G23">
        <v>-348</v>
      </c>
      <c r="H23">
        <v>-204</v>
      </c>
      <c r="I23">
        <v>-117</v>
      </c>
      <c r="J23">
        <v>-56</v>
      </c>
      <c r="K23">
        <v>-26</v>
      </c>
      <c r="L23">
        <v>-37</v>
      </c>
    </row>
    <row r="24" spans="2:12" x14ac:dyDescent="0.25">
      <c r="B24" t="s">
        <v>102</v>
      </c>
      <c r="D24" s="16">
        <v>-1104</v>
      </c>
      <c r="E24" s="16">
        <v>-1295</v>
      </c>
      <c r="F24">
        <v>-798</v>
      </c>
      <c r="G24" s="16">
        <v>-1340</v>
      </c>
      <c r="H24" s="16">
        <v>-1003</v>
      </c>
      <c r="I24" s="16">
        <v>-1338</v>
      </c>
      <c r="J24" s="16">
        <v>-1672</v>
      </c>
      <c r="K24" s="16">
        <v>-1973</v>
      </c>
      <c r="L24" s="16">
        <v>-2541</v>
      </c>
    </row>
    <row r="25" spans="2:12" x14ac:dyDescent="0.25">
      <c r="B25" t="s">
        <v>103</v>
      </c>
      <c r="D25">
        <v>0</v>
      </c>
      <c r="E25">
        <v>-3</v>
      </c>
      <c r="F25">
        <v>0</v>
      </c>
      <c r="G25">
        <v>0</v>
      </c>
      <c r="H25">
        <v>-3</v>
      </c>
      <c r="I25">
        <v>0</v>
      </c>
      <c r="J25">
        <v>-4</v>
      </c>
      <c r="K25">
        <v>0</v>
      </c>
      <c r="L25">
        <v>0</v>
      </c>
    </row>
    <row r="26" spans="2:12" x14ac:dyDescent="0.25">
      <c r="B26" t="s">
        <v>104</v>
      </c>
      <c r="D26">
        <v>0</v>
      </c>
      <c r="E26" s="16">
        <v>-1214</v>
      </c>
      <c r="F26">
        <v>5</v>
      </c>
      <c r="G26">
        <v>0</v>
      </c>
      <c r="H26">
        <v>0</v>
      </c>
      <c r="I26">
        <v>0</v>
      </c>
      <c r="J26">
        <v>0</v>
      </c>
      <c r="K26">
        <v>0</v>
      </c>
      <c r="L26">
        <v>0</v>
      </c>
    </row>
    <row r="27" spans="2:12" x14ac:dyDescent="0.25">
      <c r="B27" t="s">
        <v>21</v>
      </c>
      <c r="D27" s="16">
        <v>2443</v>
      </c>
      <c r="E27" s="16">
        <v>-2691</v>
      </c>
      <c r="F27">
        <v>-80</v>
      </c>
      <c r="G27">
        <v>252</v>
      </c>
      <c r="H27" s="16">
        <v>6867</v>
      </c>
      <c r="I27" s="16">
        <v>-4076</v>
      </c>
      <c r="J27" s="16">
        <v>1370</v>
      </c>
      <c r="K27">
        <v>-186</v>
      </c>
      <c r="L27">
        <v>294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vt:i4>
      </vt:variant>
    </vt:vector>
  </HeadingPairs>
  <TitlesOfParts>
    <vt:vector size="19" baseType="lpstr">
      <vt:lpstr>Historical FS</vt:lpstr>
      <vt:lpstr>Financial Ratios</vt:lpstr>
      <vt:lpstr>Reg Forcast</vt:lpstr>
      <vt:lpstr>Wacc</vt:lpstr>
      <vt:lpstr>Intrinsic Growth</vt:lpstr>
      <vt:lpstr>DCF</vt:lpstr>
      <vt:lpstr>VaR</vt:lpstr>
      <vt:lpstr>Peer Comparison</vt:lpstr>
      <vt:lpstr>DuPont Analysis</vt:lpstr>
      <vt:lpstr>Beta</vt:lpstr>
      <vt:lpstr>Rm</vt:lpstr>
      <vt:lpstr>Data Sheet</vt:lpstr>
      <vt:lpstr>Data for Beta &gt;2</vt:lpstr>
      <vt:lpstr>Raw FS</vt:lpstr>
      <vt:lpstr>Peer data</vt:lpstr>
      <vt:lpstr>List of Stocks</vt:lpstr>
      <vt:lpstr>Cash Flow Data</vt:lpstr>
      <vt:lpstr>'DuPont Analysis'!Print_Area</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dc:creator>
  <cp:lastModifiedBy>Ashish Chaudhari</cp:lastModifiedBy>
  <cp:lastPrinted>2025-12-27T07:16:26Z</cp:lastPrinted>
  <dcterms:created xsi:type="dcterms:W3CDTF">2012-08-17T09:55:37Z</dcterms:created>
  <dcterms:modified xsi:type="dcterms:W3CDTF">2026-04-16T12:45:09Z</dcterms:modified>
</cp:coreProperties>
</file>