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d.docs.live.net/48ddedc0b727acb5/Desktop/ISBM/CV/Projects/"/>
    </mc:Choice>
  </mc:AlternateContent>
  <xr:revisionPtr revIDLastSave="1" documentId="11_6AD278BF2A63B256BC023D7CAC1C3FEFF9241281" xr6:coauthVersionLast="47" xr6:coauthVersionMax="47" xr10:uidLastSave="{573AA09A-2C4C-4952-8E98-BD38DC1201C3}"/>
  <bookViews>
    <workbookView xWindow="-120" yWindow="-120" windowWidth="29040" windowHeight="15720" tabRatio="965" activeTab="9" xr2:uid="{00000000-000D-0000-FFFF-FFFF00000000}"/>
  </bookViews>
  <sheets>
    <sheet name="Company Overview" sheetId="18" r:id="rId1"/>
    <sheet name="Colgate's Operating Divisions" sheetId="5" r:id="rId2"/>
    <sheet name="Share Price Movement" sheetId="16" r:id="rId3"/>
    <sheet name="Colgate's Summary Financial" sheetId="6" r:id="rId4"/>
    <sheet name="Balance sheet" sheetId="2" r:id="rId5"/>
    <sheet name="Income statement" sheetId="8" r:id="rId6"/>
    <sheet name="P&amp;L (Horizontal)" sheetId="1" r:id="rId7"/>
    <sheet name="P&amp;L (Vertical)" sheetId="9" r:id="rId8"/>
    <sheet name="BS (Ver &amp; Horz)" sheetId="10" r:id="rId9"/>
    <sheet name="Ratios" sheetId="4" r:id="rId10"/>
    <sheet name="Cashflow Statement" sheetId="3"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45" i="10" l="1"/>
  <c r="I45" i="10"/>
  <c r="J42" i="10"/>
  <c r="J43" i="10"/>
  <c r="I43" i="10"/>
  <c r="I42" i="10"/>
  <c r="J38" i="10"/>
  <c r="J39" i="10"/>
  <c r="J40" i="10"/>
  <c r="J37" i="10"/>
  <c r="I38" i="10"/>
  <c r="I39" i="10"/>
  <c r="I40" i="10"/>
  <c r="I37" i="10"/>
  <c r="J30" i="10"/>
  <c r="J31" i="10"/>
  <c r="J32" i="10"/>
  <c r="I30" i="10"/>
  <c r="I31" i="10"/>
  <c r="I32" i="10"/>
  <c r="J25" i="10"/>
  <c r="J26" i="10"/>
  <c r="J27" i="10"/>
  <c r="J28" i="10"/>
  <c r="J24" i="10"/>
  <c r="I25" i="10"/>
  <c r="I26" i="10"/>
  <c r="I27" i="10"/>
  <c r="I28" i="10"/>
  <c r="I24" i="10"/>
  <c r="J19" i="10"/>
  <c r="J15" i="10"/>
  <c r="J16" i="10"/>
  <c r="J17" i="10"/>
  <c r="J18" i="10"/>
  <c r="I15" i="10"/>
  <c r="I16" i="10"/>
  <c r="I17" i="10"/>
  <c r="I18" i="10"/>
  <c r="I19" i="10"/>
  <c r="J11" i="10"/>
  <c r="J12" i="10"/>
  <c r="J13" i="10"/>
  <c r="I11" i="10"/>
  <c r="I12" i="10"/>
  <c r="I13" i="10"/>
  <c r="J10" i="10"/>
  <c r="I10" i="10"/>
  <c r="F8" i="1"/>
  <c r="F10" i="1"/>
  <c r="F11" i="1"/>
  <c r="F13" i="1"/>
  <c r="F15" i="1"/>
  <c r="F17" i="1"/>
  <c r="F7" i="1"/>
  <c r="E8" i="1"/>
  <c r="E10" i="1"/>
  <c r="E11" i="1"/>
  <c r="E13" i="1"/>
  <c r="E15" i="1"/>
  <c r="E17" i="1"/>
  <c r="E7" i="1"/>
  <c r="D38" i="2" l="1"/>
  <c r="C38" i="2"/>
  <c r="F23" i="4" l="1"/>
  <c r="E23" i="4"/>
  <c r="F17" i="4" l="1"/>
  <c r="F18" i="4" s="1"/>
  <c r="D20" i="10"/>
  <c r="C20" i="10"/>
  <c r="E17" i="4"/>
  <c r="E18" i="4" s="1"/>
  <c r="I20" i="10" l="1"/>
  <c r="F15" i="4"/>
  <c r="J20" i="10"/>
  <c r="E15" i="4"/>
  <c r="H38" i="2"/>
  <c r="H41" i="2" s="1"/>
  <c r="H43" i="2" s="1"/>
  <c r="G38" i="2"/>
  <c r="G41" i="2" s="1"/>
  <c r="G43" i="2" s="1"/>
  <c r="F38" i="2"/>
  <c r="F41" i="2" s="1"/>
  <c r="F43" i="2" s="1"/>
  <c r="E38" i="2"/>
  <c r="E41" i="2" s="1"/>
  <c r="E43" i="2" s="1"/>
  <c r="D41" i="2"/>
  <c r="D43" i="2" s="1"/>
  <c r="C41" i="2"/>
  <c r="C43" i="2" s="1"/>
  <c r="H26" i="2"/>
  <c r="H30" i="2" s="1"/>
  <c r="G26" i="2"/>
  <c r="G30" i="2" s="1"/>
  <c r="F26" i="2"/>
  <c r="F30" i="2" s="1"/>
  <c r="E26" i="2"/>
  <c r="E30" i="2" s="1"/>
  <c r="D26" i="2"/>
  <c r="D30" i="2" s="1"/>
  <c r="C26" i="2"/>
  <c r="C30" i="2" s="1"/>
  <c r="H12" i="2"/>
  <c r="H18" i="2" s="1"/>
  <c r="G12" i="2"/>
  <c r="G18" i="2" s="1"/>
  <c r="F12" i="2"/>
  <c r="F18" i="2" s="1"/>
  <c r="E12" i="2"/>
  <c r="E18" i="2" s="1"/>
  <c r="D12" i="2"/>
  <c r="D18" i="2" s="1"/>
  <c r="C12" i="2"/>
  <c r="C18" i="2" s="1"/>
  <c r="H9" i="8"/>
  <c r="H12" i="8" s="1"/>
  <c r="H14" i="8" s="1"/>
  <c r="H16" i="8" s="1"/>
  <c r="H18" i="8" s="1"/>
  <c r="G9" i="8"/>
  <c r="G12" i="8" s="1"/>
  <c r="G14" i="8" s="1"/>
  <c r="G16" i="8" s="1"/>
  <c r="G18" i="8" s="1"/>
  <c r="F9" i="8"/>
  <c r="F12" i="8" s="1"/>
  <c r="F14" i="8" s="1"/>
  <c r="F16" i="8" s="1"/>
  <c r="F18" i="8" s="1"/>
  <c r="E9" i="8"/>
  <c r="E12" i="8" s="1"/>
  <c r="E14" i="8" s="1"/>
  <c r="E16" i="8" s="1"/>
  <c r="E18" i="8" s="1"/>
  <c r="D9" i="8"/>
  <c r="D12" i="8" s="1"/>
  <c r="D14" i="8" s="1"/>
  <c r="D16" i="8" s="1"/>
  <c r="D18" i="8" s="1"/>
  <c r="C9" i="8"/>
  <c r="C12" i="8" s="1"/>
  <c r="C14" i="8" s="1"/>
  <c r="C16" i="8" s="1"/>
  <c r="C18" i="8" s="1"/>
  <c r="C44" i="2" l="1"/>
  <c r="G44" i="2"/>
  <c r="D44" i="2"/>
  <c r="H44" i="2"/>
  <c r="E44" i="2"/>
  <c r="F44" i="2"/>
  <c r="F8" i="9" l="1"/>
  <c r="F10" i="9"/>
  <c r="F11" i="9"/>
  <c r="F13" i="9"/>
  <c r="F15" i="9"/>
  <c r="F17" i="9"/>
  <c r="E8" i="9"/>
  <c r="E10" i="9"/>
  <c r="E11" i="9"/>
  <c r="E13" i="9"/>
  <c r="E15" i="9"/>
  <c r="E17" i="9"/>
  <c r="F7" i="9"/>
  <c r="E7" i="9"/>
  <c r="D41" i="10"/>
  <c r="J41" i="10" s="1"/>
  <c r="D29" i="10"/>
  <c r="J29" i="10" s="1"/>
  <c r="D14" i="10"/>
  <c r="D9" i="9"/>
  <c r="F9" i="4" s="1"/>
  <c r="C9" i="9"/>
  <c r="E9" i="4" s="1"/>
  <c r="C41" i="10"/>
  <c r="C29" i="10"/>
  <c r="C14" i="10"/>
  <c r="F36" i="3"/>
  <c r="D9" i="1"/>
  <c r="F9" i="1" s="1"/>
  <c r="F10" i="5"/>
  <c r="F13" i="5" s="1"/>
  <c r="G10" i="5"/>
  <c r="G13" i="5" s="1"/>
  <c r="E10" i="5"/>
  <c r="E13" i="5" s="1"/>
  <c r="J14" i="10" l="1"/>
  <c r="F16" i="4"/>
  <c r="I41" i="10"/>
  <c r="I29" i="10"/>
  <c r="I14" i="10"/>
  <c r="D12" i="9"/>
  <c r="F12" i="9" s="1"/>
  <c r="F9" i="9"/>
  <c r="D12" i="1"/>
  <c r="F12" i="1" s="1"/>
  <c r="E9" i="9"/>
  <c r="C44" i="10"/>
  <c r="C12" i="9"/>
  <c r="F7" i="4"/>
  <c r="F6" i="4"/>
  <c r="D44" i="10"/>
  <c r="C21" i="10"/>
  <c r="F14" i="10" s="1"/>
  <c r="E16" i="4"/>
  <c r="D33" i="10"/>
  <c r="J33" i="10" s="1"/>
  <c r="E7" i="4"/>
  <c r="E6" i="4"/>
  <c r="D21" i="10"/>
  <c r="J21" i="10" s="1"/>
  <c r="C33" i="10"/>
  <c r="E36" i="3"/>
  <c r="D36" i="3"/>
  <c r="E29" i="3"/>
  <c r="F29" i="3"/>
  <c r="D29" i="3"/>
  <c r="E21" i="3"/>
  <c r="F21" i="3"/>
  <c r="D21" i="3"/>
  <c r="C9" i="1"/>
  <c r="E9" i="1" s="1"/>
  <c r="F38" i="3" l="1"/>
  <c r="F40" i="3" s="1"/>
  <c r="F33" i="10"/>
  <c r="I33" i="10"/>
  <c r="F15" i="10"/>
  <c r="F27" i="10"/>
  <c r="F16" i="10"/>
  <c r="F28" i="10"/>
  <c r="F19" i="10"/>
  <c r="F31" i="10"/>
  <c r="F32" i="10"/>
  <c r="F23" i="10"/>
  <c r="F24" i="10"/>
  <c r="F13" i="10"/>
  <c r="F26" i="10"/>
  <c r="F21" i="10"/>
  <c r="F22" i="10"/>
  <c r="F11" i="10"/>
  <c r="I21" i="10"/>
  <c r="F12" i="10"/>
  <c r="F25" i="10"/>
  <c r="F17" i="10"/>
  <c r="F18" i="10"/>
  <c r="F30" i="10"/>
  <c r="F20" i="10"/>
  <c r="C46" i="10"/>
  <c r="I44" i="10"/>
  <c r="D46" i="10"/>
  <c r="J46" i="10" s="1"/>
  <c r="J44" i="10"/>
  <c r="F29" i="10"/>
  <c r="D14" i="9"/>
  <c r="F11" i="4" s="1"/>
  <c r="F44" i="10"/>
  <c r="F20" i="4"/>
  <c r="F22" i="4"/>
  <c r="D16" i="9"/>
  <c r="F14" i="9"/>
  <c r="G29" i="10"/>
  <c r="F14" i="4"/>
  <c r="G20" i="10"/>
  <c r="D14" i="1"/>
  <c r="F14" i="1" s="1"/>
  <c r="C14" i="9"/>
  <c r="E11" i="4" s="1"/>
  <c r="E12" i="9"/>
  <c r="G44" i="10"/>
  <c r="G33" i="10"/>
  <c r="G18" i="10"/>
  <c r="G23" i="10"/>
  <c r="G27" i="10"/>
  <c r="G31" i="10"/>
  <c r="G38" i="10"/>
  <c r="G42" i="10"/>
  <c r="G11" i="10"/>
  <c r="G15" i="10"/>
  <c r="G19" i="10"/>
  <c r="G24" i="10"/>
  <c r="G28" i="10"/>
  <c r="G32" i="10"/>
  <c r="G39" i="10"/>
  <c r="G43" i="10"/>
  <c r="G17" i="10"/>
  <c r="G30" i="10"/>
  <c r="G41" i="10"/>
  <c r="G10" i="10"/>
  <c r="G12" i="10"/>
  <c r="G16" i="10"/>
  <c r="G21" i="10"/>
  <c r="G25" i="10"/>
  <c r="G40" i="10"/>
  <c r="G13" i="10"/>
  <c r="G22" i="10"/>
  <c r="G26" i="10"/>
  <c r="G37" i="10"/>
  <c r="G45" i="10"/>
  <c r="E14" i="4"/>
  <c r="F37" i="10"/>
  <c r="F45" i="10"/>
  <c r="F10" i="10"/>
  <c r="F38" i="10"/>
  <c r="F42" i="10"/>
  <c r="F39" i="10"/>
  <c r="F43" i="10"/>
  <c r="F40" i="10"/>
  <c r="G46" i="10"/>
  <c r="G14" i="10"/>
  <c r="F41" i="10"/>
  <c r="D47" i="10"/>
  <c r="C12" i="1"/>
  <c r="E12" i="1" s="1"/>
  <c r="E38" i="3"/>
  <c r="E40" i="3" s="1"/>
  <c r="D38" i="3"/>
  <c r="D40" i="3" s="1"/>
  <c r="I46" i="10" l="1"/>
  <c r="F19" i="4"/>
  <c r="E20" i="4"/>
  <c r="F21" i="4"/>
  <c r="E19" i="4"/>
  <c r="F46" i="10"/>
  <c r="E21" i="4"/>
  <c r="J47" i="10"/>
  <c r="G47" i="10"/>
  <c r="C47" i="10"/>
  <c r="E13" i="4"/>
  <c r="F13" i="4"/>
  <c r="C16" i="9"/>
  <c r="E22" i="4"/>
  <c r="E14" i="9"/>
  <c r="D16" i="1"/>
  <c r="F16" i="1" s="1"/>
  <c r="F16" i="9"/>
  <c r="D18" i="9"/>
  <c r="C14" i="1"/>
  <c r="E14" i="1" s="1"/>
  <c r="I47" i="10" l="1"/>
  <c r="F47" i="10"/>
  <c r="C18" i="9"/>
  <c r="E16" i="9"/>
  <c r="D18" i="1"/>
  <c r="F18" i="1" s="1"/>
  <c r="F10" i="4"/>
  <c r="F12" i="4"/>
  <c r="F8" i="4"/>
  <c r="F18" i="9"/>
  <c r="C16" i="1"/>
  <c r="E16" i="1" s="1"/>
  <c r="E8" i="4" l="1"/>
  <c r="E18" i="9"/>
  <c r="E10" i="4"/>
  <c r="E12" i="4"/>
  <c r="C18" i="1"/>
  <c r="E18" i="1" s="1"/>
</calcChain>
</file>

<file path=xl/sharedStrings.xml><?xml version="1.0" encoding="utf-8"?>
<sst xmlns="http://schemas.openxmlformats.org/spreadsheetml/2006/main" count="476" uniqueCount="337">
  <si>
    <t>Net sales</t>
  </si>
  <si>
    <t>Cost of sales</t>
  </si>
  <si>
    <t>Selling, general and administrative expenses</t>
  </si>
  <si>
    <t>Other(income) expense, net</t>
  </si>
  <si>
    <t>Operating Profit</t>
  </si>
  <si>
    <t>Interest expense, net</t>
  </si>
  <si>
    <t>Income Before income taxes</t>
  </si>
  <si>
    <t>Net income including noncontrolling interests</t>
  </si>
  <si>
    <t xml:space="preserve">Net income attributable to noncontrolling interests </t>
  </si>
  <si>
    <t>Net income attributable to Colgate-Palmolive Company</t>
  </si>
  <si>
    <t>Earning per common share, basic</t>
  </si>
  <si>
    <t>Earning per common share, diluted</t>
  </si>
  <si>
    <t>COLGATE-PALMOLIVE COMPANY</t>
  </si>
  <si>
    <t>Consolidated Statement of Income</t>
  </si>
  <si>
    <t>For the year ended December 31,</t>
  </si>
  <si>
    <t>(Dollars in Millions Except Per Share Amounts)</t>
  </si>
  <si>
    <t>Gross Profit</t>
  </si>
  <si>
    <t>Provision for income taxes</t>
  </si>
  <si>
    <t>Consolidated Balance Sheets</t>
  </si>
  <si>
    <t>As of December 31,</t>
  </si>
  <si>
    <t>Assets</t>
  </si>
  <si>
    <t>Current Assets</t>
  </si>
  <si>
    <t>Cash and cash equivalents</t>
  </si>
  <si>
    <t>Receivables (net of allowance of $49 and $53, respectivelyInventories</t>
  </si>
  <si>
    <t>Other current assets</t>
  </si>
  <si>
    <t>Total current assets</t>
  </si>
  <si>
    <t>Property, plant and equipment, net</t>
  </si>
  <si>
    <t>Goodwill, net</t>
  </si>
  <si>
    <t>Other intangible assets, net</t>
  </si>
  <si>
    <t>Deferred income taxes</t>
  </si>
  <si>
    <t>Inventories</t>
  </si>
  <si>
    <t>Other assets</t>
  </si>
  <si>
    <t>Total assets</t>
  </si>
  <si>
    <t>Liablities and shareholder's Equity</t>
  </si>
  <si>
    <t>Current Liablities</t>
  </si>
  <si>
    <t>Notes and loans payable</t>
  </si>
  <si>
    <t>Current portion of long term debt</t>
  </si>
  <si>
    <t>Account payable</t>
  </si>
  <si>
    <t>Accrued income taxes</t>
  </si>
  <si>
    <t>Other accruals</t>
  </si>
  <si>
    <t>Total current liablities</t>
  </si>
  <si>
    <t>Long term debt</t>
  </si>
  <si>
    <t>Other liablities</t>
  </si>
  <si>
    <t>Total liablities</t>
  </si>
  <si>
    <t>Commitments and contingent liablities</t>
  </si>
  <si>
    <t>Shareholder's Equity</t>
  </si>
  <si>
    <t>Common stock par value(2,000,000,000 shares authorized, 732,853,180 shares issued)</t>
  </si>
  <si>
    <t>Additional paid-in capital</t>
  </si>
  <si>
    <t>Retained earming</t>
  </si>
  <si>
    <t>Accumulated other comprehensive income( loss)</t>
  </si>
  <si>
    <t>Unearned compensation</t>
  </si>
  <si>
    <t>Treasury, stock, at cost</t>
  </si>
  <si>
    <t>Total colgate-Palmolive company shareholder's equity</t>
  </si>
  <si>
    <t>Noncontrolling interests</t>
  </si>
  <si>
    <t>Total shareholder's equity</t>
  </si>
  <si>
    <t>Total liablities and shareholder's equity</t>
  </si>
  <si>
    <t>Adjustments to reconcile net income including noncontrolling interests to net cash provided by operations</t>
  </si>
  <si>
    <t>Depreciation and amortization</t>
  </si>
  <si>
    <t>Restructuring and termination benefits, net of cash</t>
  </si>
  <si>
    <t>Venezuela hyperinflationary transition charge</t>
  </si>
  <si>
    <t>Gain before tax on sales of non-core product lines</t>
  </si>
  <si>
    <t>Voluntary benefit plan contributions</t>
  </si>
  <si>
    <t>Stock based compensation expenses</t>
  </si>
  <si>
    <t>Cash effects of changes in:</t>
  </si>
  <si>
    <t>Receivables</t>
  </si>
  <si>
    <t>Accounts payableand other accruals</t>
  </si>
  <si>
    <t>Other non-current assets and liablities</t>
  </si>
  <si>
    <t>Net cash provided by operations</t>
  </si>
  <si>
    <t>Investing Activities</t>
  </si>
  <si>
    <t>Capital Expenditures</t>
  </si>
  <si>
    <t>Sale of property and non core product lines</t>
  </si>
  <si>
    <t>Purchase of marketable securities and investments</t>
  </si>
  <si>
    <t>Proceeds from sale of marketable securities and investments</t>
  </si>
  <si>
    <t>Payment for acquisition, net of cash acquired</t>
  </si>
  <si>
    <t>Net cash used in investing activities</t>
  </si>
  <si>
    <t>Financing Activities</t>
  </si>
  <si>
    <t>Principal payents on debt</t>
  </si>
  <si>
    <t>Proceeds from issuance of debt</t>
  </si>
  <si>
    <t>Dividend Paid</t>
  </si>
  <si>
    <t>Purchases of treasuary shares</t>
  </si>
  <si>
    <t>Proceeds from exercise of stock options and excees tax benefits</t>
  </si>
  <si>
    <t>Net cash used in financing activities</t>
  </si>
  <si>
    <t>Effect of exchange rate change on cash and cash equivalents</t>
  </si>
  <si>
    <t>Net increase (decrease) in cash and cash equivalence</t>
  </si>
  <si>
    <t>Cash and cash equivalents at beginning of the yaer</t>
  </si>
  <si>
    <t>Cash and cash equivalents at end of the yaer</t>
  </si>
  <si>
    <t>Supplemental cash flow information</t>
  </si>
  <si>
    <t>Income taxes paid</t>
  </si>
  <si>
    <t>Interest paid</t>
  </si>
  <si>
    <t>Principal payment on ESOP debt, guaranteed by the company</t>
  </si>
  <si>
    <t>Operating Activities</t>
  </si>
  <si>
    <t xml:space="preserve">Particulars  </t>
  </si>
  <si>
    <t>Ratio Formula</t>
  </si>
  <si>
    <t>Year</t>
  </si>
  <si>
    <t>Liquidity</t>
  </si>
  <si>
    <t>Current Ratio</t>
  </si>
  <si>
    <t>Current Asset/Current Liablities</t>
  </si>
  <si>
    <t>Net Profit Margin Ratio</t>
  </si>
  <si>
    <t>EAT/Total Income</t>
  </si>
  <si>
    <t xml:space="preserve">Gross Profit Margin </t>
  </si>
  <si>
    <t>Gross Profit/Revenue from operation</t>
  </si>
  <si>
    <t>Return on Asset</t>
  </si>
  <si>
    <t>EAT/Average Total Asset</t>
  </si>
  <si>
    <t>Earning Power</t>
  </si>
  <si>
    <t>EBIT/Average Total Asset</t>
  </si>
  <si>
    <t>Return on Equity</t>
  </si>
  <si>
    <t>EAT/ Total Equity</t>
  </si>
  <si>
    <t>Return on Capital Employed</t>
  </si>
  <si>
    <t>EBIT-Tax/Average Total Asset</t>
  </si>
  <si>
    <t>Turnover</t>
  </si>
  <si>
    <t>Asset Turnover Ratio</t>
  </si>
  <si>
    <t>Total Turnover/Average Total Asset</t>
  </si>
  <si>
    <t>Fixed Asset Turnover</t>
  </si>
  <si>
    <t>Total Turnover/Average Fixed Asset</t>
  </si>
  <si>
    <t>Working Capital Turnover</t>
  </si>
  <si>
    <t>Total Turnover/Working Capital</t>
  </si>
  <si>
    <t>Receivable Turnover</t>
  </si>
  <si>
    <t>Total Turnover/Average Total Receivables</t>
  </si>
  <si>
    <t>No. of days for receivables</t>
  </si>
  <si>
    <t>360/Receivable Turnover</t>
  </si>
  <si>
    <t>Long term Debt to Equity</t>
  </si>
  <si>
    <t>Interest Coverage Ratio</t>
  </si>
  <si>
    <t>EBIT/Interest</t>
  </si>
  <si>
    <t>(2011 AMOUNTS IN $ MILLION)</t>
  </si>
  <si>
    <t>Oral,personal and home care</t>
  </si>
  <si>
    <t>North America</t>
  </si>
  <si>
    <t>Latin America</t>
  </si>
  <si>
    <t>Europe/South Pacific</t>
  </si>
  <si>
    <t>Greater Asia/Africa</t>
  </si>
  <si>
    <t>Total oral,personal and home care</t>
  </si>
  <si>
    <t>Pet nutrition</t>
  </si>
  <si>
    <t>Corporate</t>
  </si>
  <si>
    <t>Total net sales</t>
  </si>
  <si>
    <t>NET SALES  ($)</t>
  </si>
  <si>
    <t>OPERATING PROFIT ($)</t>
  </si>
  <si>
    <t>TOTAL ASSETS ($)</t>
  </si>
  <si>
    <t>COLGATE'S OPERATING DIVISIONS</t>
  </si>
  <si>
    <t>Exhibit 1.1</t>
  </si>
  <si>
    <t>COLGATE'S SUMMARY FINANCIAL DATA (in billions, except per share data)</t>
  </si>
  <si>
    <t>Continuing Operations</t>
  </si>
  <si>
    <t>Operating Income</t>
  </si>
  <si>
    <t>Net Income</t>
  </si>
  <si>
    <t>Shareholder's equity</t>
  </si>
  <si>
    <t>Treasuary stock at cost</t>
  </si>
  <si>
    <t>Basic earnings per share</t>
  </si>
  <si>
    <t>Cash dividends per share</t>
  </si>
  <si>
    <t>Closing stock price</t>
  </si>
  <si>
    <t>Share outstanding (billions)</t>
  </si>
  <si>
    <t>2002 ($)</t>
  </si>
  <si>
    <t>2003 ($)</t>
  </si>
  <si>
    <t>2004 ($)</t>
  </si>
  <si>
    <t>2005 ($)</t>
  </si>
  <si>
    <t>2006 ($)</t>
  </si>
  <si>
    <t>2007 ($)</t>
  </si>
  <si>
    <t>2008 ($)</t>
  </si>
  <si>
    <t>2009 ($)</t>
  </si>
  <si>
    <t>2010 ($)</t>
  </si>
  <si>
    <t>2011 ($)</t>
  </si>
  <si>
    <t>Exhibit 1.6</t>
  </si>
  <si>
    <t>Exhibit 1.5</t>
  </si>
  <si>
    <t>Exhibit 1.8</t>
  </si>
  <si>
    <t>Exhibit 1.10</t>
  </si>
  <si>
    <t>Consolidated Statement of Income Statement</t>
  </si>
  <si>
    <t>Exhibit 1.12</t>
  </si>
  <si>
    <t>Preference stock</t>
  </si>
  <si>
    <t>Colgate's Common size Balance Sheet</t>
  </si>
  <si>
    <t>Exhibit 1.13</t>
  </si>
  <si>
    <t>COLGATE PALMOLIVE (INDIA) Ltd.</t>
  </si>
  <si>
    <t>Exhibit 1.3</t>
  </si>
  <si>
    <t>HORIZONTAL ANALYSIS</t>
  </si>
  <si>
    <t>VERTICAL ANALYSIS</t>
  </si>
  <si>
    <t>Ratio Analysis</t>
  </si>
  <si>
    <t>Quick Ratio</t>
  </si>
  <si>
    <t>Quick Asset/Current Liablities</t>
  </si>
  <si>
    <t>Probability</t>
  </si>
  <si>
    <t>Debt-equity Ratio</t>
  </si>
  <si>
    <t>Equity Multiplier</t>
  </si>
  <si>
    <t>Debt/Equity</t>
  </si>
  <si>
    <t>Long Term Debt/Equity</t>
  </si>
  <si>
    <t>Total Asset/Total Equity</t>
  </si>
  <si>
    <t>Capital Structure</t>
  </si>
  <si>
    <t xml:space="preserve">Debt Coverage </t>
  </si>
  <si>
    <t>Total fixed asset</t>
  </si>
  <si>
    <t xml:space="preserve">Valuation </t>
  </si>
  <si>
    <t>Receivables (net of allowance of $49 and $53, respectively)</t>
  </si>
  <si>
    <t>Price to EPS Ratio</t>
  </si>
  <si>
    <t>Market price per share/EPS</t>
  </si>
  <si>
    <t>Particular</t>
  </si>
  <si>
    <t>The balance sheet of Colgate-Palmolive from 2006 to 2011 reflects key financial trends, business decisions, and external market conditions affecting the company :-</t>
  </si>
  <si>
    <t>1. Growth in Total Assets (Financial Strength &amp; Investments)-</t>
  </si>
  <si>
    <t>Total assets increased from $9.1 billion (2006) to $12.7 billion (2011), reflecting a 39% growth over 6 years.</t>
  </si>
  <si>
    <t>Major contributors to this growth:</t>
  </si>
  <si>
    <t>(i)</t>
  </si>
  <si>
    <t>(ii)</t>
  </si>
  <si>
    <t>Increase in goodwill &amp; intangible assets (from $2.9 billion in 2006 to $4 billion in 2011) which suggests acquisitions or brand expansions.</t>
  </si>
  <si>
    <t>Increase in property, plant &amp; equipment (PPE) (from $2.7 billion in 2006 to $3.6 billion in 2011) which indicates capital investments in production &amp; operations.</t>
  </si>
  <si>
    <t>2. Changes in Current Assets (Liquidity &amp; Cash Flow)-</t>
  </si>
  <si>
    <t>Cash &amp; Cash Equivalents increased significantly from $489 million (2006) to $878 million (2011), which means there is a improved liquidity.</t>
  </si>
  <si>
    <t>Receivables &amp; Inventory also saw a steady rise, indicating growth in sales and operations.</t>
  </si>
  <si>
    <t>The increase in cash reserves suggests a strong cash flow position, enabling Colgate to reinvest in growth opportunities and manage short-term liabilities.Higher receivables &amp; inventory mean the company is selling more, but it also indicates higher credit sales and potential working capital challenges.</t>
  </si>
  <si>
    <t xml:space="preserve"> Total assets grew by 39%, primarily due to increased goodwill, intangible assets, and property investments, indicating expansion efforts.</t>
  </si>
  <si>
    <t>Interpretation</t>
  </si>
  <si>
    <t>3. Increase in Liabilities (Debt &amp; Financial Leverage)</t>
  </si>
  <si>
    <r>
      <rPr>
        <sz val="16"/>
        <color theme="1"/>
        <rFont val="Calibri"/>
        <family val="2"/>
        <scheme val="minor"/>
      </rPr>
      <t>Total liabilities rose from $7.7 billion (2006) to $10.1 billion (2011), showing an increase of 31%</t>
    </r>
    <r>
      <rPr>
        <b/>
        <sz val="16"/>
        <color theme="1"/>
        <rFont val="Calibri"/>
        <family val="2"/>
        <scheme val="minor"/>
      </rPr>
      <t>.</t>
    </r>
  </si>
  <si>
    <t>Long-term debt surged from $2.7 billion (2006) to $4.4 billion (2011).</t>
  </si>
  <si>
    <t xml:space="preserve">The rising debt suggests that Colgate has been leveraging external funding for expansion, acquisitions, or new market entries.
While debt increases financial risk, it also indicates confidence in future revenue growth. </t>
  </si>
  <si>
    <t>4. Shareholder’s Equity Trends (Stock Buybacks &amp; Profit Retention)</t>
  </si>
  <si>
    <t>Retained earnings grew from $9.6 billion (2006) to $15.6 billion (2011), showing strong profitability,  means the company has been reinvesting profits rather than distributing large dividends.</t>
  </si>
  <si>
    <t>Stock repurchases rose from $8.0 billion (2006) to $12.8 billion (2011), which indicates Colgate’s confidence in its stock value, improving earnings per share (EPS).</t>
  </si>
  <si>
    <t>The company maintained efficient inventory management, with turnover averaging 6 times per year, though asset turnover declined slightly, indicating recent investments had not yet translated into higher revenue. Stock buybacks significantly reduced shareholder equity, boosting earnings per share but raising financial risk. Overall, Colgate exhibited solid financial health, balancing profitability and growth, but the rising debt signals a more aggressive expansion strategy that requires careful management to sustain long-term stability.</t>
  </si>
  <si>
    <r>
      <rPr>
        <sz val="14"/>
        <color theme="1"/>
        <rFont val="Calibri"/>
        <family val="2"/>
        <scheme val="minor"/>
      </rPr>
      <t>Colgate’s net sales grew from $12.2 billion in 2006 to $16.7 billion in 2011, a 37% increase</t>
    </r>
    <r>
      <rPr>
        <b/>
        <sz val="14"/>
        <color theme="1"/>
        <rFont val="Calibri"/>
        <family val="2"/>
        <scheme val="minor"/>
      </rPr>
      <t>.</t>
    </r>
    <r>
      <rPr>
        <sz val="14"/>
        <color theme="1"/>
        <rFont val="Calibri"/>
        <family val="2"/>
        <scheme val="minor"/>
      </rPr>
      <t xml:space="preserve"> This steady growth indicates:</t>
    </r>
  </si>
  <si>
    <t>Strong demand for its products globally – possibly through aggressive marketing, brand loyalty, and an expanding product portfolio.</t>
  </si>
  <si>
    <r>
      <rPr>
        <sz val="14"/>
        <color theme="1"/>
        <rFont val="Calibri"/>
        <family val="2"/>
        <scheme val="minor"/>
      </rPr>
      <t xml:space="preserve">Geographical expansion </t>
    </r>
    <r>
      <rPr>
        <sz val="11"/>
        <color theme="1"/>
        <rFont val="Calibri"/>
        <family val="2"/>
        <scheme val="minor"/>
      </rPr>
      <t xml:space="preserve">– </t>
    </r>
    <r>
      <rPr>
        <sz val="14"/>
        <color theme="1"/>
        <rFont val="Calibri"/>
        <family val="2"/>
        <scheme val="minor"/>
      </rPr>
      <t>Colgate has a dominant presence in emerging markets, contributing to its rising sales.</t>
    </r>
  </si>
  <si>
    <t>Pricing strategies &amp; product innovation – Incremental increases in revenue suggest the company likely adjusted prices and introduced new products to sustain market share.</t>
  </si>
  <si>
    <t>1. Revenue Growth &amp; Market Expansion :-</t>
  </si>
  <si>
    <t>2. Cost Management &amp; Gross Profit Trends :-</t>
  </si>
  <si>
    <t>Cost of Sales (COGS) rose from $5.5 billion (2006) to $7.1 billion (2011), but gross profit also increased from $6.7 billion to $9.5 billion.</t>
  </si>
  <si>
    <t>Gross Margin remained strong (~57% in 2011), meaning Colgate successfully controlled raw material costs while maintaining premium pricing.</t>
  </si>
  <si>
    <t>The company likely optimized its supply chain, reduced wastage, or negotiated better deals with suppliers to keep costs in check.</t>
  </si>
  <si>
    <t>3. Operating Profit &amp; Expense Management :-</t>
  </si>
  <si>
    <r>
      <rPr>
        <sz val="14"/>
        <color theme="1"/>
        <rFont val="Calibri"/>
        <family val="2"/>
        <scheme val="minor"/>
      </rPr>
      <t>Selling, General &amp; Administrative Expenses (SG&amp;A) rose from $4.3 billion in 2006 to $5.7 billion in 2011</t>
    </r>
    <r>
      <rPr>
        <b/>
        <sz val="11"/>
        <color theme="1"/>
        <rFont val="Calibri"/>
        <family val="2"/>
        <scheme val="minor"/>
      </rPr>
      <t>.</t>
    </r>
    <r>
      <rPr>
        <sz val="11"/>
        <color theme="1"/>
        <rFont val="Calibri"/>
        <family val="2"/>
        <scheme val="minor"/>
      </rPr>
      <t xml:space="preserve"> </t>
    </r>
    <r>
      <rPr>
        <sz val="14"/>
        <color theme="1"/>
        <rFont val="Calibri"/>
        <family val="2"/>
        <scheme val="minor"/>
      </rPr>
      <t>However, this increase is proportional to revenue growth.</t>
    </r>
  </si>
  <si>
    <t>Despite higher expenses, operating profit surged from $2.1 billion to $3.8 billion, showing operational efficiency.</t>
  </si>
  <si>
    <t>The drop in ‘Other Expenses’ from $301 million (2010) to -$9 million (2011) indicates potential gains from investments, asset sales, or foreign exchange benefits.</t>
  </si>
  <si>
    <t>4. Declining Interest Expenses &amp; Strong Financial Position :-</t>
  </si>
  <si>
    <t>Interest expense dropped from $158 million (2006) to just $52 million (2011), indicating that colgate has reduced its debt burden or refinanced at lower interest rates.</t>
  </si>
  <si>
    <t>A lower interest expense means the company is spending less on financing costs and more on growth initiatives.</t>
  </si>
  <si>
    <t>5. Net Profit &amp; Shareholder Returns :-</t>
  </si>
  <si>
    <t>Net income increased significantly from $1.35 billion in 2006 to $2.55 billion in 2011 (88% growth).</t>
  </si>
  <si>
    <t>Earnings per Share (EPS) (Basic) jumped from $2.57 in 2006 to $4.98 in 2011 which indicates two things, strong profitability and revenue expansion and Share buybacks, reducing the number of outstanding shares and increasing EPS.</t>
  </si>
  <si>
    <t>Higher EPS and net profit show that Colgate is generating strong returns for shareholders.</t>
  </si>
  <si>
    <t>Colgate-Palmolive’s income statement from 2006 to 2011 reflects strong business growth, increasing profitability, and effective cost management strategies :-</t>
  </si>
  <si>
    <t>Vertical Analysis</t>
  </si>
  <si>
    <t>Horizontal Analysis</t>
  </si>
  <si>
    <t>Key Observations and Interpretation</t>
  </si>
  <si>
    <t>Net sales increased from $15.56 billion (2010) to $16.73 billion (2011), a 7.5% growth.</t>
  </si>
  <si>
    <t>Business Impact:</t>
  </si>
  <si>
    <r>
      <rPr>
        <sz val="14"/>
        <color theme="1"/>
        <rFont val="Calibri"/>
        <family val="2"/>
        <scheme val="minor"/>
      </rPr>
      <t>Cost of sales as a percentage of revenue increased from 40.86% (2010) to 42.69% (2011), meaning production costs rose at a faster rate than sales</t>
    </r>
    <r>
      <rPr>
        <sz val="11"/>
        <color theme="1"/>
        <rFont val="Calibri"/>
        <family val="2"/>
        <scheme val="minor"/>
      </rPr>
      <t>.</t>
    </r>
  </si>
  <si>
    <t>Higher raw material prices, supply chain costs, or changes in product mix may have increased production expenses.</t>
  </si>
  <si>
    <t>Despite revenue growth, the decline in gross margin (from 59.14% to 57.31%) suggests pressure on profit generation from direct costs.</t>
  </si>
  <si>
    <r>
      <rPr>
        <b/>
        <u/>
        <sz val="14"/>
        <color theme="1"/>
        <rFont val="Calibri"/>
        <family val="2"/>
        <scheme val="minor"/>
      </rPr>
      <t>1. Revenue Growth &amp; Cost of Sales Impact</t>
    </r>
    <r>
      <rPr>
        <b/>
        <sz val="14"/>
        <color theme="1"/>
        <rFont val="Calibri"/>
        <family val="2"/>
        <scheme val="minor"/>
      </rPr>
      <t xml:space="preserve"> :-</t>
    </r>
  </si>
  <si>
    <r>
      <rPr>
        <b/>
        <u/>
        <sz val="14"/>
        <color theme="1"/>
        <rFont val="Calibri"/>
        <family val="2"/>
        <scheme val="minor"/>
      </rPr>
      <t>2. Selling, General &amp; Administrative (SG&amp;A) Expenses</t>
    </r>
    <r>
      <rPr>
        <b/>
        <sz val="14"/>
        <color theme="1"/>
        <rFont val="Calibri"/>
        <family val="2"/>
        <scheme val="minor"/>
      </rPr>
      <t xml:space="preserve"> :-</t>
    </r>
  </si>
  <si>
    <t>This indicates consistent operational efficiency in managing marketing, distribution, and administrative costs.</t>
  </si>
  <si>
    <t>The company controlled its overhead expenses despite increased sales.</t>
  </si>
  <si>
    <t>Stable SG&amp;A expenses suggest Colgate invested in advertising, R&amp;D, and operational expansions without significantly increasing costs.</t>
  </si>
  <si>
    <r>
      <t xml:space="preserve">3. Operating Profit &amp; Efficiency Gains </t>
    </r>
    <r>
      <rPr>
        <b/>
        <sz val="14"/>
        <color theme="1"/>
        <rFont val="Calibri"/>
        <family val="2"/>
        <scheme val="minor"/>
      </rPr>
      <t xml:space="preserve"> :-</t>
    </r>
  </si>
  <si>
    <t>Operating profit margin slightly improved from 22.42% (2010) to 22.95% (2011).</t>
  </si>
  <si>
    <t>Key Driver:</t>
  </si>
  <si>
    <t>Lower Other expenses (-0.05% in 2011 vs. 1.93% in 2010) likely contributed to better margins.</t>
  </si>
  <si>
    <t>Gains from asset sales, reduced non-core business expenses, or one-time financial adjustments could be the possible reasons.</t>
  </si>
  <si>
    <t>This means Colgate managed to offset some of the rising production costs with operational efficiency.</t>
  </si>
  <si>
    <t>SG&amp;A expenses remained stable at 34% of net sales (34.79% in 2010 vs. 34.41% in 2011).</t>
  </si>
  <si>
    <r>
      <rPr>
        <b/>
        <u/>
        <sz val="14"/>
        <color theme="1"/>
        <rFont val="Calibri"/>
        <family val="2"/>
        <scheme val="minor"/>
      </rPr>
      <t>4. Net Income &amp; Profitability Trends</t>
    </r>
    <r>
      <rPr>
        <b/>
        <sz val="14"/>
        <color theme="1"/>
        <rFont val="Calibri"/>
        <family val="2"/>
        <scheme val="minor"/>
      </rPr>
      <t xml:space="preserve"> :-</t>
    </r>
  </si>
  <si>
    <t>Net income margin improved from 14.15% (2010) to 14.53% (2011), meaning Colgate retained more profit per dollar of sales.</t>
  </si>
  <si>
    <t>Key Profitability Drivers:</t>
  </si>
  <si>
    <t>Sales growth boosted total earnings.</t>
  </si>
  <si>
    <t>Lower other expenses improved operational efficiency</t>
  </si>
  <si>
    <r>
      <rPr>
        <sz val="14"/>
        <color theme="1"/>
        <rFont val="Calibri"/>
        <family val="2"/>
        <scheme val="minor"/>
      </rPr>
      <t>Income before taxes increased from 22.04% (2010) to 22.64% (2011), reflecting better pre-tax profitability</t>
    </r>
    <r>
      <rPr>
        <b/>
        <sz val="14"/>
        <color theme="1"/>
        <rFont val="Calibri"/>
        <family val="2"/>
        <scheme val="minor"/>
      </rPr>
      <t>.</t>
    </r>
  </si>
  <si>
    <t>5. Earnings Per Share (EPS) – Shareholder Value</t>
  </si>
  <si>
    <t>Basic EPS increased from $4.45 (2010) to $4.98 (2011), indicating higher per-share earnings.</t>
  </si>
  <si>
    <t>A higher EPS makes Colgate more attractive to investors, reinforcing confidence in its long-term profitability.</t>
  </si>
  <si>
    <t xml:space="preserve">Key observation </t>
  </si>
  <si>
    <r>
      <rPr>
        <b/>
        <u/>
        <sz val="11"/>
        <color theme="1"/>
        <rFont val="Calibri"/>
        <family val="2"/>
        <scheme val="minor"/>
      </rPr>
      <t>2. Cost of Sales</t>
    </r>
    <r>
      <rPr>
        <sz val="11"/>
        <color theme="1"/>
        <rFont val="Calibri"/>
        <family val="2"/>
        <scheme val="minor"/>
      </rPr>
      <t>: There is a 12.33% increase in the cost of sales, which also increased at a faster rate than net sales. This suggests rising production costs, raw material price hikes, or supply chain inefficiencies.</t>
    </r>
  </si>
  <si>
    <r>
      <rPr>
        <b/>
        <u/>
        <sz val="11"/>
        <color theme="1"/>
        <rFont val="Calibri"/>
        <family val="2"/>
        <scheme val="minor"/>
      </rPr>
      <t>3.Gross Profit</t>
    </r>
    <r>
      <rPr>
        <sz val="11"/>
        <color theme="1"/>
        <rFont val="Calibri"/>
        <family val="2"/>
        <scheme val="minor"/>
      </rPr>
      <t>: There is a 4.19% increase in the gross profit. This increase is due to growth in the net sales, product mix shifts and operational efficiencies. But there is a decline in the gross margin percentage due to the rising costs.</t>
    </r>
  </si>
  <si>
    <r>
      <rPr>
        <b/>
        <u/>
        <sz val="11"/>
        <color theme="1"/>
        <rFont val="Calibri"/>
        <family val="2"/>
        <scheme val="minor"/>
      </rPr>
      <t>4. Interest Expense</t>
    </r>
    <r>
      <rPr>
        <sz val="11"/>
        <color theme="1"/>
        <rFont val="Calibri"/>
        <family val="2"/>
        <scheme val="minor"/>
      </rPr>
      <t>: There is 11.86% decrease in the interest expenses. This could be because that company may have paid down existing debt, reducing the total outstanding loan amount. This is a positive indicator which suggests improved debt management and lower borrowing rates.</t>
    </r>
  </si>
  <si>
    <r>
      <rPr>
        <b/>
        <u/>
        <sz val="11"/>
        <color theme="1"/>
        <rFont val="Calibri"/>
        <family val="2"/>
        <scheme val="minor"/>
      </rPr>
      <t>5. Net Income</t>
    </r>
    <r>
      <rPr>
        <sz val="11"/>
        <color theme="1"/>
        <rFont val="Calibri"/>
        <family val="2"/>
        <scheme val="minor"/>
      </rPr>
      <t xml:space="preserve"> : There is a 10.35% increase in the net income as the net sales increased, strong operating profit, and reduction in the interest income.This  reflects efficient cost control and operational improvements, offsetting higher cost of sales.</t>
    </r>
  </si>
  <si>
    <r>
      <rPr>
        <b/>
        <u/>
        <sz val="11"/>
        <color theme="1"/>
        <rFont val="Calibri"/>
        <family val="2"/>
        <scheme val="minor"/>
      </rPr>
      <t>6. Earning Per Share</t>
    </r>
    <r>
      <rPr>
        <sz val="11"/>
        <color theme="1"/>
        <rFont val="Calibri"/>
        <family val="2"/>
        <scheme val="minor"/>
      </rPr>
      <t xml:space="preserve"> :The increase in both basic and diluted EPS indicates that Colgate-Palmolive not only grew its profits but also managed its capital structure efficiently, enhancing shareholder value. This is a positive signal for investors, reflecting both strong operational performance and strategic financial management.</t>
    </r>
  </si>
  <si>
    <t>Interpretation of vertical analysis</t>
  </si>
  <si>
    <t>Assets:</t>
  </si>
  <si>
    <t>Current Assets increased from 33.39% (2010) to 34.60% (2011) of total assets. This increased due to cash and cash equivalents which rose significantly (from 4.39% to 6.90%) due to better cash management, possibly from strong operational cash flows.</t>
  </si>
  <si>
    <t>Fixed Assets decreased slightly as a percentage of total assets (66.61% to 65.40%). This indicate either lower capital investments or higher growth in current assets relative to fixed assets.</t>
  </si>
  <si>
    <t>Intangible Assets (Goodwill &amp; Other Intangibles) rose from 28.58% to 31.42% which means the brand value has also increased.</t>
  </si>
  <si>
    <t>Liabilities:</t>
  </si>
  <si>
    <t>Total Liabilities rose from 74.79% (2010) to 80.03% (2011), indicating a shift towards a more leveraged capital structure. Current Liabilities decreased slightly as a percentage (33.37% to 29.20%), showing improved short-term liquidity. Long-Term Debt increased significantly (25.20% to 34.82%), suggesting reliance on long-term financing, possibly for acquisitions or expansion. This increase is due to significant rise in long term debts of about 9.62% and increase in the deferred income taxes.</t>
  </si>
  <si>
    <t>Shareholders' Equity:</t>
  </si>
  <si>
    <t>Equity declined from 25.21% (2010) to 19.97% (2011) of total assets. This decline in equity is due to increase in retained earnings , reflecting profitability, but this was offset by higher treasury stock and increased accumulated losses in other comprehensive income. Treasury Stock impact grew  from -101.19% to -100.66%, indicating aggressive share repurchase activities, which reduce equity.</t>
  </si>
  <si>
    <t>Interpretation of horizontal analysis</t>
  </si>
  <si>
    <t>Total assets increased by 13.89%, reflecting the company's growth initiatives. This growth was largely fueled by a remarkable 179.18% surge in cash and cash equivalents, indicating robust operational cash flows, potential asset sales, or reduced short-term investments. Additionally, the 161.37% increase in other intangible assets and a 12.49% rise in goodwill suggest that Colgate engaged in significant acquisitions, likely aiming to strengthen its brand portfolio and expand market reach. However, there was a slight decline in property, plant, and equipment (-0.68%), which could indicate minimal new capital investments or higher depreciation, raising concerns about the sustainability of physical asset growth.</t>
  </si>
  <si>
    <t>Total liabilities jumped by 21.88%, outpacing asset growth and indicating a heavier reliance on debt. The most striking change was the 57.37% increase in long-term debt, which indicates that Colgate financed its acquisitions and expansion through debt rather than equity. While leveraging debt can amplify growth during prosperous times, it also increases financial risk, especially if earnings do not grow proportionally. The short-term notes and loans payable decreased by 29.17%, reflecting a strategic shift toward long-term financing, which might reduce immediate liquidity pressures but increases long-term obligations.</t>
  </si>
  <si>
    <t xml:space="preserve">Shareholders’ equity declined by 9.80%, despite the company’s growth in assets and profits. This decline is primarily attributed to aggressive share buybacks, as evidenced by a 13.30% increase in treasury stock, which reduces outstanding shares and enhances earnings per share (EPS) but diminishes overall equity. </t>
  </si>
  <si>
    <t>Colgate Stock Price Growth vs. S&amp;P 500: Fact-Based Interpretation</t>
  </si>
  <si>
    <t>1. Overall Trend and Growth</t>
  </si>
  <si>
    <r>
      <t>Colgate:</t>
    </r>
    <r>
      <rPr>
        <sz val="11"/>
        <color theme="1"/>
        <rFont val="Calibri"/>
        <family val="2"/>
        <scheme val="minor"/>
      </rPr>
      <t xml:space="preserve"> Demonstrates a consistent upward trajectory, achieving nearly </t>
    </r>
    <r>
      <rPr>
        <b/>
        <sz val="11"/>
        <color theme="1"/>
        <rFont val="Calibri"/>
        <family val="2"/>
        <scheme val="minor"/>
      </rPr>
      <t>60% growth</t>
    </r>
    <r>
      <rPr>
        <sz val="11"/>
        <color theme="1"/>
        <rFont val="Calibri"/>
        <family val="2"/>
        <scheme val="minor"/>
      </rPr>
      <t xml:space="preserve"> by 2011.</t>
    </r>
  </si>
  <si>
    <r>
      <t>S&amp;P 500:</t>
    </r>
    <r>
      <rPr>
        <sz val="11"/>
        <color theme="1"/>
        <rFont val="Calibri"/>
        <family val="2"/>
        <scheme val="minor"/>
      </rPr>
      <t xml:space="preserve"> Ends the period with around </t>
    </r>
    <r>
      <rPr>
        <b/>
        <sz val="11"/>
        <color theme="1"/>
        <rFont val="Calibri"/>
        <family val="2"/>
        <scheme val="minor"/>
      </rPr>
      <t>20% growth</t>
    </r>
    <r>
      <rPr>
        <sz val="11"/>
        <color theme="1"/>
        <rFont val="Calibri"/>
        <family val="2"/>
        <scheme val="minor"/>
      </rPr>
      <t>, reflecting slower overall gains and higher volatility.</t>
    </r>
  </si>
  <si>
    <t>2. Key Periods</t>
  </si>
  <si>
    <t>2002-2004:</t>
  </si>
  <si>
    <r>
      <t xml:space="preserve">Colgate grows by approximately </t>
    </r>
    <r>
      <rPr>
        <b/>
        <sz val="11"/>
        <color theme="1"/>
        <rFont val="Calibri"/>
        <family val="2"/>
        <scheme val="minor"/>
      </rPr>
      <t>10%</t>
    </r>
    <r>
      <rPr>
        <sz val="11"/>
        <color theme="1"/>
        <rFont val="Calibri"/>
        <family val="2"/>
        <scheme val="minor"/>
      </rPr>
      <t xml:space="preserve">, slightly outperforming the S&amp;P 500's </t>
    </r>
    <r>
      <rPr>
        <b/>
        <sz val="11"/>
        <color theme="1"/>
        <rFont val="Calibri"/>
        <family val="2"/>
        <scheme val="minor"/>
      </rPr>
      <t>5%</t>
    </r>
    <r>
      <rPr>
        <sz val="11"/>
        <color theme="1"/>
        <rFont val="Calibri"/>
        <family val="2"/>
        <scheme val="minor"/>
      </rPr>
      <t xml:space="preserve"> growth.</t>
    </r>
  </si>
  <si>
    <t>2004-2007:</t>
  </si>
  <si>
    <r>
      <t xml:space="preserve">Colgate grows by roughly </t>
    </r>
    <r>
      <rPr>
        <b/>
        <sz val="11"/>
        <color theme="1"/>
        <rFont val="Calibri"/>
        <family val="2"/>
        <scheme val="minor"/>
      </rPr>
      <t>30%</t>
    </r>
    <r>
      <rPr>
        <sz val="11"/>
        <color theme="1"/>
        <rFont val="Calibri"/>
        <family val="2"/>
        <scheme val="minor"/>
      </rPr>
      <t xml:space="preserve"> during this period, significantly outpacing the S&amp;P 500's </t>
    </r>
    <r>
      <rPr>
        <b/>
        <sz val="11"/>
        <color theme="1"/>
        <rFont val="Calibri"/>
        <family val="2"/>
        <scheme val="minor"/>
      </rPr>
      <t>20%</t>
    </r>
    <r>
      <rPr>
        <sz val="11"/>
        <color theme="1"/>
        <rFont val="Calibri"/>
        <family val="2"/>
        <scheme val="minor"/>
      </rPr>
      <t xml:space="preserve"> growth.</t>
    </r>
  </si>
  <si>
    <t>2008-2009 (Financial Crisis):</t>
  </si>
  <si>
    <r>
      <t xml:space="preserve">S&amp;P 500 declines sharply, losing nearly </t>
    </r>
    <r>
      <rPr>
        <b/>
        <sz val="11"/>
        <color theme="1"/>
        <rFont val="Calibri"/>
        <family val="2"/>
        <scheme val="minor"/>
      </rPr>
      <t>40%</t>
    </r>
    <r>
      <rPr>
        <sz val="11"/>
        <color theme="1"/>
        <rFont val="Calibri"/>
        <family val="2"/>
        <scheme val="minor"/>
      </rPr>
      <t xml:space="preserve"> at its lowest point.</t>
    </r>
  </si>
  <si>
    <r>
      <t xml:space="preserve">Colgate experiences a milder decline of about </t>
    </r>
    <r>
      <rPr>
        <b/>
        <sz val="11"/>
        <color theme="1"/>
        <rFont val="Calibri"/>
        <family val="2"/>
        <scheme val="minor"/>
      </rPr>
      <t>15%</t>
    </r>
    <r>
      <rPr>
        <sz val="11"/>
        <color theme="1"/>
        <rFont val="Calibri"/>
        <family val="2"/>
        <scheme val="minor"/>
      </rPr>
      <t>, showcasing its resilience.</t>
    </r>
  </si>
  <si>
    <t>2009-2011 (Recovery):</t>
  </si>
  <si>
    <r>
      <t xml:space="preserve">Colgate rebounds strongly, growing by nearly </t>
    </r>
    <r>
      <rPr>
        <b/>
        <sz val="11"/>
        <color theme="1"/>
        <rFont val="Calibri"/>
        <family val="2"/>
        <scheme val="minor"/>
      </rPr>
      <t>35%</t>
    </r>
    <r>
      <rPr>
        <sz val="11"/>
        <color theme="1"/>
        <rFont val="Calibri"/>
        <family val="2"/>
        <scheme val="minor"/>
      </rPr>
      <t xml:space="preserve"> and surpassing its pre-crisis peak by early 2010.</t>
    </r>
  </si>
  <si>
    <r>
      <t xml:space="preserve">         S&amp;P 500 recovers more slowly, growing around </t>
    </r>
    <r>
      <rPr>
        <b/>
        <sz val="11"/>
        <color theme="1"/>
        <rFont val="Calibri"/>
        <family val="2"/>
        <scheme val="minor"/>
      </rPr>
      <t>25%</t>
    </r>
    <r>
      <rPr>
        <sz val="11"/>
        <color theme="1"/>
        <rFont val="Calibri"/>
        <family val="2"/>
        <scheme val="minor"/>
      </rPr>
      <t xml:space="preserve"> by 2011, taking longer to regain pre-crisis levels.</t>
    </r>
  </si>
  <si>
    <r>
      <rPr>
        <b/>
        <sz val="12"/>
        <color theme="1"/>
        <rFont val="Calibri"/>
        <family val="2"/>
        <scheme val="minor"/>
      </rPr>
      <t>1</t>
    </r>
    <r>
      <rPr>
        <sz val="12"/>
        <color theme="1"/>
        <rFont val="Calibri"/>
        <family val="2"/>
        <scheme val="minor"/>
      </rPr>
      <t xml:space="preserve">. </t>
    </r>
    <r>
      <rPr>
        <b/>
        <sz val="12"/>
        <color theme="1"/>
        <rFont val="Calibri"/>
        <family val="2"/>
        <scheme val="minor"/>
      </rPr>
      <t>Liquidity ratio</t>
    </r>
    <r>
      <rPr>
        <b/>
        <sz val="11"/>
        <color theme="1"/>
        <rFont val="Calibri"/>
        <family val="2"/>
        <scheme val="minor"/>
      </rPr>
      <t xml:space="preserve"> </t>
    </r>
  </si>
  <si>
    <r>
      <t xml:space="preserve">The </t>
    </r>
    <r>
      <rPr>
        <b/>
        <sz val="11"/>
        <color theme="1"/>
        <rFont val="Calibri"/>
        <family val="2"/>
        <scheme val="minor"/>
      </rPr>
      <t>current ratio</t>
    </r>
    <r>
      <rPr>
        <sz val="11"/>
        <color theme="1"/>
        <rFont val="Calibri"/>
        <family val="2"/>
        <scheme val="minor"/>
      </rPr>
      <t xml:space="preserve"> has increased which suggests improved short-term financial health. The company now has ₹1.18 in current assets for every ₹1 in liabilities, up from ₹1.00. This indicates better working capital management and a stronger liquidity position.                                                                                                                            The</t>
    </r>
    <r>
      <rPr>
        <b/>
        <sz val="11"/>
        <color theme="1"/>
        <rFont val="Calibri"/>
        <family val="2"/>
        <scheme val="minor"/>
      </rPr>
      <t xml:space="preserve"> quick ratio</t>
    </r>
    <r>
      <rPr>
        <sz val="11"/>
        <color theme="1"/>
        <rFont val="Calibri"/>
        <family val="2"/>
        <scheme val="minor"/>
      </rPr>
      <t xml:space="preserve"> shows the company is better at covering short-term liabilities without relying on inventory which indicates enhanced liquidity efficiency.  </t>
    </r>
  </si>
  <si>
    <t>2. Profitability ratio</t>
  </si>
  <si>
    <r>
      <t>There is a slight</t>
    </r>
    <r>
      <rPr>
        <b/>
        <sz val="11"/>
        <color theme="1"/>
        <rFont val="Calibri"/>
        <family val="2"/>
        <scheme val="minor"/>
      </rPr>
      <t xml:space="preserve"> increase in the net profit margin</t>
    </r>
    <r>
      <rPr>
        <sz val="11"/>
        <color theme="1"/>
        <rFont val="Calibri"/>
        <family val="2"/>
        <scheme val="minor"/>
      </rPr>
      <t xml:space="preserve"> which shows they are managing their costs well leading to a higher profitability from total income.                                                                                                                  There is a</t>
    </r>
    <r>
      <rPr>
        <b/>
        <sz val="11"/>
        <color theme="1"/>
        <rFont val="Calibri"/>
        <family val="2"/>
        <scheme val="minor"/>
      </rPr>
      <t xml:space="preserve"> 2% decrease in the gross profit margin</t>
    </r>
    <r>
      <rPr>
        <sz val="11"/>
        <color theme="1"/>
        <rFont val="Calibri"/>
        <family val="2"/>
        <scheme val="minor"/>
      </rPr>
      <t xml:space="preserve"> due to the rising production costs or the company may have faced increased raw material costs or competitive pressure reducing margins.                                                The r</t>
    </r>
    <r>
      <rPr>
        <b/>
        <sz val="11"/>
        <color theme="1"/>
        <rFont val="Calibri"/>
        <family val="2"/>
        <scheme val="minor"/>
      </rPr>
      <t>eturn on assets declined</t>
    </r>
    <r>
      <rPr>
        <sz val="11"/>
        <color theme="1"/>
        <rFont val="Calibri"/>
        <family val="2"/>
        <scheme val="minor"/>
      </rPr>
      <t xml:space="preserve"> a bit, implying that asset utilization efficiency dropped, possibly due to higher asset base or operational inefficiencies.                                                                                                                 There is a </t>
    </r>
    <r>
      <rPr>
        <b/>
        <sz val="11"/>
        <color theme="1"/>
        <rFont val="Calibri"/>
        <family val="2"/>
        <scheme val="minor"/>
      </rPr>
      <t xml:space="preserve">17% rise in the return on equity </t>
    </r>
    <r>
      <rPr>
        <sz val="11"/>
        <color theme="1"/>
        <rFont val="Calibri"/>
        <family val="2"/>
        <scheme val="minor"/>
      </rPr>
      <t xml:space="preserve">which indicates the company generated significantly more profit for every unit of shareholder equity, this could be due to increased leverage .                                                               There is a </t>
    </r>
    <r>
      <rPr>
        <b/>
        <sz val="11"/>
        <color theme="1"/>
        <rFont val="Calibri"/>
        <family val="2"/>
        <scheme val="minor"/>
      </rPr>
      <t>0.63% decline in the return on capital employed</t>
    </r>
    <r>
      <rPr>
        <sz val="11"/>
        <color theme="1"/>
        <rFont val="Calibri"/>
        <family val="2"/>
        <scheme val="minor"/>
      </rPr>
      <t>, possibly due to increased tax expenses or capital costs.</t>
    </r>
  </si>
  <si>
    <t>3. Turnover Ratio</t>
  </si>
  <si>
    <r>
      <t xml:space="preserve">There is a bit decline in the </t>
    </r>
    <r>
      <rPr>
        <b/>
        <sz val="11"/>
        <color theme="1"/>
        <rFont val="Calibri"/>
        <family val="2"/>
        <scheme val="minor"/>
      </rPr>
      <t>total asset turnover</t>
    </r>
    <r>
      <rPr>
        <sz val="11"/>
        <color theme="1"/>
        <rFont val="Calibri"/>
        <family val="2"/>
        <scheme val="minor"/>
      </rPr>
      <t xml:space="preserve"> due to decrease in the fixed assets turnover and this could be due to higher asset investments not yet translating into proportional revenue.                                       There is a massive drop in the</t>
    </r>
    <r>
      <rPr>
        <b/>
        <sz val="11"/>
        <color theme="1"/>
        <rFont val="Calibri"/>
        <family val="2"/>
        <scheme val="minor"/>
      </rPr>
      <t xml:space="preserve"> working capital</t>
    </r>
    <r>
      <rPr>
        <sz val="11"/>
        <color theme="1"/>
        <rFont val="Calibri"/>
        <family val="2"/>
        <scheme val="minor"/>
      </rPr>
      <t xml:space="preserve"> turnover due to increased current asset .                                 The </t>
    </r>
    <r>
      <rPr>
        <b/>
        <sz val="11"/>
        <color theme="1"/>
        <rFont val="Calibri"/>
        <family val="2"/>
        <scheme val="minor"/>
      </rPr>
      <t>recievables</t>
    </r>
    <r>
      <rPr>
        <sz val="11"/>
        <color theme="1"/>
        <rFont val="Calibri"/>
        <family val="2"/>
        <scheme val="minor"/>
      </rPr>
      <t xml:space="preserve"> has increased which means receivables are converted into cash faster, indicating better credit management.</t>
    </r>
  </si>
  <si>
    <t>4.Capital structure</t>
  </si>
  <si>
    <t>The debt to equity ratio has increased by 1.04% and the long-Term debt to equity by 0.91% . This noticeable increase shows the company has taken on more debt relative to equity. While this can boost returns (as seen in ROE), it also raises financial risk due to higher interest obligations.                                    The equity multiplier has also increased which reflects higher financial leverage, meaning the company relies more on debt financing, magnifying both potential returns and risks.</t>
  </si>
  <si>
    <t xml:space="preserve">5. Debt coverage </t>
  </si>
  <si>
    <t>There is a 14% increase in the debt coverage ratio which indicates the company’s earnings are more than sufficient to cover interest payments, reducing the risk of financial distress despite higher debt levels.</t>
  </si>
  <si>
    <t>6. Valuation</t>
  </si>
  <si>
    <r>
      <t>This shows Colgate’s stock repurchase program or higher profitability per share</t>
    </r>
    <r>
      <rPr>
        <b/>
        <sz val="14"/>
        <color theme="1"/>
        <rFont val="Calibri"/>
        <family val="2"/>
        <scheme val="minor"/>
      </rPr>
      <t>.</t>
    </r>
  </si>
  <si>
    <t>A decrease implies the stock became cheaper relative to its earnings. This could result from either a drop in market price or improved earnings.</t>
  </si>
  <si>
    <t>For the operating activity</t>
  </si>
  <si>
    <t>Trend :</t>
  </si>
  <si>
    <t>The net cash provided by operating activities decreased over the three years, from $3,277 million in 2009 to $3,211 million in 2010 and further down to $2,896 million in 2011.</t>
  </si>
  <si>
    <t>Analysis :</t>
  </si>
  <si>
    <t xml:space="preserve">Key components influencing this trend include depreciation and amortization, which increased over the years, while restructuring and termination benefits, as well as stock-based compensation, remained relatively stable. Variations in working capital components, such as changes in receivables, inventories, and accounts payable, also impacted operational cash flows.
</t>
  </si>
  <si>
    <t>For the Investing activity</t>
  </si>
  <si>
    <t>From 2009 to 2010, the net cash used decreased significantly showing Colgate reduced its investment outflows. From 2010 to 2011, there is a sharp rise in the cash outflows which is almost doubling and increased the investing activities.</t>
  </si>
  <si>
    <t>Capital expenditures remained relatively stable, indicating continued investment in assets. However, 2011 saw a significant cash outflow of $966 million for acquisitions, which was absent in previous years. This indicates a strategic expansion through acquisitions, which could have long-term benefits but impacted short-term liquidity. Additionally, purchases and sales of marketable securities and investments show moderate fluctuations, highlighting financial portfolio adjustments.</t>
  </si>
  <si>
    <t>For the financing activity</t>
  </si>
  <si>
    <t xml:space="preserve">There were substantial debt-related transactions, with proceeds from debt increasing significantly in 2011 to $5,843 million, compared to $5,015 million in 2010 and $3,424 million in 2009. </t>
  </si>
  <si>
    <t>Financing activities reveal the company’s capital structure management. This suggests reliance on external borrowing, possibly to fund acquisitions or other strategic initiatives. Principal payments on debt were also high, showing active debt management. Dividend payments increased steadily, reflecting the company’s commitment to shareholder returns. The repurchase of treasury shares remained significant, particularly in 2010 and 2011, indicating efforts to enhance shareholder value.</t>
  </si>
  <si>
    <r>
      <rPr>
        <b/>
        <u/>
        <sz val="11"/>
        <color theme="1"/>
        <rFont val="Calibri"/>
        <family val="2"/>
        <scheme val="minor"/>
      </rPr>
      <t>1. Net Sales Growth</t>
    </r>
    <r>
      <rPr>
        <sz val="11"/>
        <color theme="1"/>
        <rFont val="Calibri"/>
        <family val="2"/>
        <scheme val="minor"/>
      </rPr>
      <t xml:space="preserve">: Increased from $15,564 million to $16,734 million which is 7.52% increase.This moderate growth in sales indicates an increase in demand or effective pricing strategies. Factors like new product launches, expanded markets, or strong brand presence might have contributed. </t>
    </r>
  </si>
  <si>
    <t>Oral Care</t>
  </si>
  <si>
    <t>Sales</t>
  </si>
  <si>
    <t>Personal Care</t>
  </si>
  <si>
    <t>Home Care</t>
  </si>
  <si>
    <t>Pet Nutrition</t>
  </si>
  <si>
    <t xml:space="preserve">COLGATE REVENUE FROM DIFFERENT PRODUCT PORTFOLIO </t>
  </si>
  <si>
    <t>COLGATE REVENUE FROM DIFFERENT REGIONS ACROSS GLOBE</t>
  </si>
  <si>
    <t>Grater Asia</t>
  </si>
  <si>
    <t>Amount</t>
  </si>
  <si>
    <t>Latin  America</t>
  </si>
  <si>
    <t>Region</t>
  </si>
  <si>
    <t>Category</t>
  </si>
  <si>
    <t>Percentage Holding</t>
  </si>
  <si>
    <t>Promoter and Promoter Group</t>
  </si>
  <si>
    <t>Foreign Institutional Investors (FII)</t>
  </si>
  <si>
    <t>Domestic Institutional Investors (DII)</t>
  </si>
  <si>
    <t>Public (Non-Institutional)</t>
  </si>
  <si>
    <t>COLGATE-PALMOLIVE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</si>
</sst>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quot;₹&quot;\ * #,##0.00_ ;_ &quot;₹&quot;\ * \-#,##0.00_ ;_ &quot;₹&quot;\ * &quot;-&quot;??_ ;_ @_ "/>
    <numFmt numFmtId="165" formatCode="_ * #,##0.00_ ;_ * \-#,##0.00_ ;_ * &quot;-&quot;??_ ;_ @_ "/>
  </numFmts>
  <fonts count="33" x14ac:knownFonts="1">
    <font>
      <sz val="11"/>
      <color theme="1"/>
      <name val="Calibri"/>
      <family val="2"/>
      <scheme val="minor"/>
    </font>
    <font>
      <b/>
      <sz val="11"/>
      <color theme="1"/>
      <name val="Calibri"/>
      <family val="2"/>
      <scheme val="minor"/>
    </font>
    <font>
      <sz val="11"/>
      <color theme="1"/>
      <name val="Calibri"/>
      <family val="2"/>
      <scheme val="minor"/>
    </font>
    <font>
      <b/>
      <u/>
      <sz val="11"/>
      <color theme="1"/>
      <name val="Calibri"/>
      <family val="2"/>
      <scheme val="minor"/>
    </font>
    <font>
      <sz val="8"/>
      <name val="Calibri"/>
      <family val="2"/>
      <scheme val="minor"/>
    </font>
    <font>
      <b/>
      <sz val="11"/>
      <color theme="0"/>
      <name val="Calibri"/>
      <family val="2"/>
      <scheme val="minor"/>
    </font>
    <font>
      <sz val="11"/>
      <color theme="0"/>
      <name val="Calibri"/>
      <family val="2"/>
      <scheme val="minor"/>
    </font>
    <font>
      <sz val="12"/>
      <color theme="1"/>
      <name val="Calibri"/>
      <family val="2"/>
      <scheme val="minor"/>
    </font>
    <font>
      <b/>
      <sz val="20"/>
      <color theme="0"/>
      <name val="Calibri"/>
      <family val="2"/>
      <scheme val="minor"/>
    </font>
    <font>
      <b/>
      <sz val="18"/>
      <color theme="0"/>
      <name val="Calibri"/>
      <family val="2"/>
      <scheme val="minor"/>
    </font>
    <font>
      <b/>
      <sz val="14"/>
      <color theme="0"/>
      <name val="Calibri"/>
      <family val="2"/>
      <scheme val="minor"/>
    </font>
    <font>
      <b/>
      <sz val="15"/>
      <name val="Calibri"/>
      <family val="2"/>
      <scheme val="minor"/>
    </font>
    <font>
      <sz val="11"/>
      <name val="Calibri"/>
      <family val="2"/>
      <scheme val="minor"/>
    </font>
    <font>
      <b/>
      <sz val="15"/>
      <color theme="0"/>
      <name val="Calibri"/>
      <family val="2"/>
      <scheme val="minor"/>
    </font>
    <font>
      <b/>
      <sz val="16"/>
      <color theme="0"/>
      <name val="Calibri"/>
      <family val="2"/>
      <scheme val="minor"/>
    </font>
    <font>
      <sz val="14"/>
      <color theme="1"/>
      <name val="Calibri"/>
      <family val="2"/>
      <scheme val="minor"/>
    </font>
    <font>
      <sz val="16"/>
      <color theme="1"/>
      <name val="Calibri"/>
      <family val="2"/>
      <scheme val="minor"/>
    </font>
    <font>
      <b/>
      <sz val="16"/>
      <color theme="1"/>
      <name val="Calibri"/>
      <family val="2"/>
      <scheme val="minor"/>
    </font>
    <font>
      <b/>
      <sz val="14"/>
      <color theme="1"/>
      <name val="Calibri"/>
      <family val="2"/>
      <scheme val="minor"/>
    </font>
    <font>
      <sz val="15"/>
      <color theme="0" tint="-0.34998626667073579"/>
      <name val="Calibri"/>
      <family val="2"/>
      <scheme val="minor"/>
    </font>
    <font>
      <sz val="14"/>
      <color theme="0"/>
      <name val="Calibri"/>
      <family val="2"/>
      <scheme val="minor"/>
    </font>
    <font>
      <b/>
      <i/>
      <sz val="14"/>
      <color theme="0"/>
      <name val="Calibri"/>
      <family val="2"/>
      <scheme val="minor"/>
    </font>
    <font>
      <b/>
      <u/>
      <sz val="14"/>
      <color theme="1"/>
      <name val="Calibri"/>
      <family val="2"/>
      <scheme val="minor"/>
    </font>
    <font>
      <u/>
      <sz val="11"/>
      <color theme="1"/>
      <name val="Calibri"/>
      <family val="2"/>
      <scheme val="minor"/>
    </font>
    <font>
      <b/>
      <sz val="12"/>
      <color theme="1"/>
      <name val="Calibri"/>
      <family val="2"/>
      <scheme val="minor"/>
    </font>
    <font>
      <b/>
      <u/>
      <sz val="12"/>
      <color theme="1"/>
      <name val="Calibri"/>
      <family val="2"/>
      <scheme val="minor"/>
    </font>
    <font>
      <b/>
      <sz val="12"/>
      <color theme="0"/>
      <name val="Calibri"/>
      <family val="2"/>
      <scheme val="minor"/>
    </font>
    <font>
      <b/>
      <u/>
      <sz val="11"/>
      <color theme="0"/>
      <name val="Calibri"/>
      <family val="2"/>
      <scheme val="minor"/>
    </font>
    <font>
      <b/>
      <u/>
      <sz val="15"/>
      <color theme="0"/>
      <name val="Calibri"/>
      <family val="2"/>
      <scheme val="minor"/>
    </font>
    <font>
      <sz val="15"/>
      <color theme="0"/>
      <name val="Calibri"/>
      <family val="2"/>
      <scheme val="minor"/>
    </font>
    <font>
      <b/>
      <i/>
      <sz val="18"/>
      <color theme="0"/>
      <name val="Calibri"/>
      <family val="2"/>
      <scheme val="minor"/>
    </font>
    <font>
      <sz val="18"/>
      <color theme="0"/>
      <name val="Calibri"/>
      <family val="2"/>
      <scheme val="minor"/>
    </font>
    <font>
      <b/>
      <sz val="28"/>
      <color theme="0"/>
      <name val="Calibri"/>
      <family val="2"/>
      <scheme val="minor"/>
    </font>
  </fonts>
  <fills count="6">
    <fill>
      <patternFill patternType="none"/>
    </fill>
    <fill>
      <patternFill patternType="gray125"/>
    </fill>
    <fill>
      <patternFill patternType="solid">
        <fgColor theme="0"/>
        <bgColor indexed="64"/>
      </patternFill>
    </fill>
    <fill>
      <patternFill patternType="solid">
        <fgColor theme="4" tint="0.79998168889431442"/>
        <bgColor indexed="65"/>
      </patternFill>
    </fill>
    <fill>
      <patternFill patternType="solid">
        <fgColor rgb="FFFFFF00"/>
        <bgColor indexed="64"/>
      </patternFill>
    </fill>
    <fill>
      <patternFill patternType="solid">
        <fgColor rgb="FFFF0000"/>
        <bgColor indexed="64"/>
      </patternFill>
    </fill>
  </fills>
  <borders count="6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right style="thin">
        <color indexed="64"/>
      </right>
      <top style="thin">
        <color indexed="64"/>
      </top>
      <bottom style="thin">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medium">
        <color indexed="64"/>
      </top>
      <bottom style="double">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bottom style="double">
        <color indexed="64"/>
      </bottom>
      <diagonal/>
    </border>
    <border>
      <left style="medium">
        <color indexed="64"/>
      </left>
      <right style="medium">
        <color indexed="64"/>
      </right>
      <top style="thin">
        <color indexed="64"/>
      </top>
      <bottom/>
      <diagonal/>
    </border>
    <border>
      <left style="medium">
        <color indexed="64"/>
      </left>
      <right/>
      <top/>
      <bottom style="double">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top style="thin">
        <color indexed="64"/>
      </top>
      <bottom/>
      <diagonal/>
    </border>
    <border>
      <left style="medium">
        <color indexed="64"/>
      </left>
      <right/>
      <top/>
      <bottom style="thin">
        <color indexed="64"/>
      </bottom>
      <diagonal/>
    </border>
  </borders>
  <cellStyleXfs count="11">
    <xf numFmtId="0" fontId="0" fillId="0" borderId="0"/>
    <xf numFmtId="9" fontId="2" fillId="0" borderId="0" applyFont="0" applyFill="0" applyBorder="0" applyAlignment="0" applyProtection="0"/>
    <xf numFmtId="165" fontId="2" fillId="0" borderId="0" applyFont="0" applyFill="0" applyBorder="0" applyAlignment="0" applyProtection="0"/>
    <xf numFmtId="0" fontId="2" fillId="0" borderId="0"/>
    <xf numFmtId="165" fontId="2" fillId="0" borderId="0" applyFont="0" applyFill="0" applyBorder="0" applyAlignment="0" applyProtection="0"/>
    <xf numFmtId="9" fontId="2" fillId="0" borderId="0" applyFont="0" applyFill="0" applyBorder="0" applyAlignment="0" applyProtection="0"/>
    <xf numFmtId="0" fontId="2" fillId="3" borderId="0" applyNumberFormat="0" applyBorder="0" applyAlignment="0" applyProtection="0"/>
    <xf numFmtId="164"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4" fontId="2" fillId="0" borderId="0" applyFont="0" applyFill="0" applyBorder="0" applyAlignment="0" applyProtection="0"/>
  </cellStyleXfs>
  <cellXfs count="493">
    <xf numFmtId="0" fontId="0" fillId="0" borderId="0" xfId="0"/>
    <xf numFmtId="0" fontId="0" fillId="0" borderId="1" xfId="0" applyBorder="1"/>
    <xf numFmtId="0" fontId="0" fillId="0" borderId="6" xfId="0" applyBorder="1"/>
    <xf numFmtId="0" fontId="0" fillId="0" borderId="7" xfId="0" applyBorder="1"/>
    <xf numFmtId="0" fontId="0" fillId="0" borderId="17" xfId="0" applyBorder="1"/>
    <xf numFmtId="0" fontId="0" fillId="0" borderId="25" xfId="0" applyBorder="1"/>
    <xf numFmtId="0" fontId="0" fillId="0" borderId="26" xfId="0" applyBorder="1"/>
    <xf numFmtId="10" fontId="0" fillId="0" borderId="12" xfId="1" applyNumberFormat="1" applyFont="1" applyBorder="1"/>
    <xf numFmtId="0" fontId="0" fillId="0" borderId="27" xfId="0" applyBorder="1"/>
    <xf numFmtId="0" fontId="0" fillId="0" borderId="28" xfId="0" applyBorder="1"/>
    <xf numFmtId="0" fontId="0" fillId="0" borderId="29" xfId="0" applyBorder="1"/>
    <xf numFmtId="0" fontId="1" fillId="0" borderId="0" xfId="0" applyFont="1"/>
    <xf numFmtId="0" fontId="3" fillId="0" borderId="0" xfId="0" applyFont="1"/>
    <xf numFmtId="0" fontId="0" fillId="0" borderId="23" xfId="0" applyBorder="1"/>
    <xf numFmtId="2" fontId="0" fillId="0" borderId="22" xfId="0" applyNumberFormat="1" applyBorder="1"/>
    <xf numFmtId="10" fontId="0" fillId="0" borderId="19" xfId="1" applyNumberFormat="1" applyFont="1" applyBorder="1"/>
    <xf numFmtId="0" fontId="0" fillId="0" borderId="41" xfId="0" applyBorder="1"/>
    <xf numFmtId="2" fontId="0" fillId="0" borderId="24" xfId="1" applyNumberFormat="1" applyFont="1" applyBorder="1"/>
    <xf numFmtId="2" fontId="0" fillId="0" borderId="12" xfId="1" applyNumberFormat="1" applyFont="1" applyBorder="1"/>
    <xf numFmtId="2" fontId="0" fillId="2" borderId="19" xfId="1" applyNumberFormat="1" applyFont="1" applyFill="1" applyBorder="1"/>
    <xf numFmtId="2" fontId="0" fillId="2" borderId="12" xfId="0" applyNumberFormat="1" applyFill="1" applyBorder="1"/>
    <xf numFmtId="2" fontId="0" fillId="2" borderId="12" xfId="1" applyNumberFormat="1" applyFont="1" applyFill="1" applyBorder="1"/>
    <xf numFmtId="2" fontId="0" fillId="2" borderId="19" xfId="0" applyNumberFormat="1" applyFill="1" applyBorder="1"/>
    <xf numFmtId="2" fontId="0" fillId="0" borderId="36" xfId="0" applyNumberFormat="1" applyBorder="1"/>
    <xf numFmtId="10" fontId="0" fillId="2" borderId="12" xfId="1" applyNumberFormat="1" applyFont="1" applyFill="1" applyBorder="1"/>
    <xf numFmtId="10" fontId="0" fillId="2" borderId="24" xfId="1" applyNumberFormat="1" applyFont="1" applyFill="1" applyBorder="1"/>
    <xf numFmtId="10" fontId="0" fillId="2" borderId="22" xfId="1" applyNumberFormat="1" applyFont="1" applyFill="1" applyBorder="1"/>
    <xf numFmtId="0" fontId="0" fillId="2" borderId="36" xfId="0" applyFill="1" applyBorder="1" applyAlignment="1">
      <alignment vertical="center"/>
    </xf>
    <xf numFmtId="0" fontId="0" fillId="2" borderId="37" xfId="0" applyFill="1" applyBorder="1" applyAlignment="1">
      <alignment vertical="center"/>
    </xf>
    <xf numFmtId="0" fontId="0" fillId="2" borderId="23" xfId="0" applyFill="1" applyBorder="1" applyAlignment="1">
      <alignment vertical="center"/>
    </xf>
    <xf numFmtId="0" fontId="0" fillId="2" borderId="0" xfId="0" applyFill="1"/>
    <xf numFmtId="0" fontId="1" fillId="0" borderId="0" xfId="0" applyFont="1" applyAlignment="1">
      <alignment horizontal="center"/>
    </xf>
    <xf numFmtId="0" fontId="0" fillId="2" borderId="31" xfId="0" applyFill="1" applyBorder="1"/>
    <xf numFmtId="0" fontId="0" fillId="2" borderId="12" xfId="0" applyFill="1" applyBorder="1"/>
    <xf numFmtId="0" fontId="0" fillId="2" borderId="14" xfId="0" applyFill="1" applyBorder="1"/>
    <xf numFmtId="0" fontId="0" fillId="0" borderId="30" xfId="0" applyBorder="1"/>
    <xf numFmtId="2" fontId="0" fillId="0" borderId="39" xfId="1" applyNumberFormat="1" applyFont="1" applyBorder="1"/>
    <xf numFmtId="2" fontId="0" fillId="0" borderId="38" xfId="1" applyNumberFormat="1" applyFont="1" applyBorder="1"/>
    <xf numFmtId="2" fontId="7" fillId="0" borderId="0" xfId="0" applyNumberFormat="1" applyFont="1" applyAlignment="1">
      <alignment horizontal="center"/>
    </xf>
    <xf numFmtId="2" fontId="7" fillId="0" borderId="0" xfId="0" applyNumberFormat="1" applyFont="1"/>
    <xf numFmtId="0" fontId="7" fillId="0" borderId="0" xfId="0" applyFont="1"/>
    <xf numFmtId="0" fontId="19" fillId="0" borderId="0" xfId="0" applyFont="1" applyAlignment="1">
      <alignment horizontal="left"/>
    </xf>
    <xf numFmtId="0" fontId="1" fillId="0" borderId="0" xfId="0" applyFont="1" applyAlignment="1">
      <alignment horizontal="center" vertical="center"/>
    </xf>
    <xf numFmtId="0" fontId="0" fillId="0" borderId="0" xfId="0" applyAlignment="1">
      <alignment horizontal="center" vertical="center"/>
    </xf>
    <xf numFmtId="2" fontId="0" fillId="0" borderId="0" xfId="0" applyNumberFormat="1"/>
    <xf numFmtId="2" fontId="0" fillId="0" borderId="20" xfId="1" applyNumberFormat="1" applyFont="1" applyBorder="1"/>
    <xf numFmtId="2" fontId="0" fillId="0" borderId="16" xfId="1" applyNumberFormat="1" applyFont="1" applyBorder="1"/>
    <xf numFmtId="10" fontId="0" fillId="0" borderId="20" xfId="1" applyNumberFormat="1" applyFont="1" applyBorder="1"/>
    <xf numFmtId="10" fontId="0" fillId="0" borderId="14" xfId="1" applyNumberFormat="1" applyFont="1" applyBorder="1"/>
    <xf numFmtId="10" fontId="0" fillId="2" borderId="14" xfId="1" applyNumberFormat="1" applyFont="1" applyFill="1" applyBorder="1"/>
    <xf numFmtId="10" fontId="0" fillId="2" borderId="49" xfId="1" applyNumberFormat="1" applyFont="1" applyFill="1" applyBorder="1"/>
    <xf numFmtId="10" fontId="0" fillId="2" borderId="16" xfId="1" applyNumberFormat="1" applyFont="1" applyFill="1" applyBorder="1"/>
    <xf numFmtId="2" fontId="0" fillId="2" borderId="20" xfId="1" applyNumberFormat="1" applyFont="1" applyFill="1" applyBorder="1"/>
    <xf numFmtId="2" fontId="0" fillId="2" borderId="14" xfId="1" applyNumberFormat="1" applyFont="1" applyFill="1" applyBorder="1"/>
    <xf numFmtId="2" fontId="0" fillId="0" borderId="49" xfId="1" applyNumberFormat="1" applyFont="1" applyBorder="1"/>
    <xf numFmtId="2" fontId="0" fillId="0" borderId="14" xfId="1" applyNumberFormat="1" applyFont="1" applyBorder="1"/>
    <xf numFmtId="2" fontId="0" fillId="2" borderId="14" xfId="0" applyNumberFormat="1" applyFill="1" applyBorder="1"/>
    <xf numFmtId="2" fontId="0" fillId="2" borderId="20" xfId="0" applyNumberFormat="1" applyFill="1" applyBorder="1"/>
    <xf numFmtId="2" fontId="0" fillId="0" borderId="16" xfId="0" applyNumberFormat="1" applyBorder="1"/>
    <xf numFmtId="2" fontId="0" fillId="0" borderId="37" xfId="0" applyNumberFormat="1" applyBorder="1"/>
    <xf numFmtId="0" fontId="0" fillId="2" borderId="35" xfId="0" applyFill="1" applyBorder="1" applyAlignment="1">
      <alignment vertical="center"/>
    </xf>
    <xf numFmtId="0" fontId="12" fillId="0" borderId="0" xfId="0" applyFont="1" applyAlignment="1">
      <alignment horizontal="center"/>
    </xf>
    <xf numFmtId="0" fontId="5" fillId="0" borderId="0" xfId="0" applyFont="1" applyAlignment="1">
      <alignment horizontal="center" vertical="center"/>
    </xf>
    <xf numFmtId="0" fontId="6" fillId="0" borderId="0" xfId="0" applyFont="1" applyAlignment="1">
      <alignment horizontal="center" vertical="center"/>
    </xf>
    <xf numFmtId="2" fontId="1" fillId="0" borderId="0" xfId="0" applyNumberFormat="1" applyFont="1"/>
    <xf numFmtId="0" fontId="11" fillId="0" borderId="0" xfId="0" applyFont="1"/>
    <xf numFmtId="0" fontId="0" fillId="0" borderId="0" xfId="0" applyAlignment="1">
      <alignment horizontal="center"/>
    </xf>
    <xf numFmtId="0" fontId="22" fillId="0" borderId="0" xfId="0" applyFont="1"/>
    <xf numFmtId="0" fontId="23" fillId="0" borderId="0" xfId="0" applyFont="1"/>
    <xf numFmtId="0" fontId="24" fillId="0" borderId="0" xfId="0" applyFont="1"/>
    <xf numFmtId="0" fontId="7" fillId="2" borderId="0" xfId="0" applyFont="1" applyFill="1"/>
    <xf numFmtId="0" fontId="0" fillId="2" borderId="0" xfId="0" applyFill="1" applyAlignment="1">
      <alignment horizontal="left" vertical="center" indent="1"/>
    </xf>
    <xf numFmtId="0" fontId="0" fillId="4" borderId="0" xfId="0" applyFill="1"/>
    <xf numFmtId="0" fontId="24" fillId="2" borderId="0" xfId="0" applyFont="1" applyFill="1"/>
    <xf numFmtId="0" fontId="26" fillId="0" borderId="0" xfId="0" applyFont="1" applyAlignment="1">
      <alignment horizontal="center"/>
    </xf>
    <xf numFmtId="0" fontId="0" fillId="0" borderId="0" xfId="0" applyAlignment="1">
      <alignment horizontal="center" wrapText="1"/>
    </xf>
    <xf numFmtId="0" fontId="5" fillId="5" borderId="2" xfId="0" applyFont="1" applyFill="1" applyBorder="1" applyAlignment="1">
      <alignment horizontal="center" vertical="center"/>
    </xf>
    <xf numFmtId="0" fontId="5" fillId="5" borderId="3" xfId="0" applyFont="1" applyFill="1" applyBorder="1" applyAlignment="1">
      <alignment horizontal="center" vertical="center"/>
    </xf>
    <xf numFmtId="0" fontId="0" fillId="2" borderId="12" xfId="0" applyFill="1" applyBorder="1" applyAlignment="1">
      <alignment horizontal="center"/>
    </xf>
    <xf numFmtId="0" fontId="1" fillId="2" borderId="12" xfId="0" applyFont="1" applyFill="1" applyBorder="1" applyAlignment="1">
      <alignment horizontal="center"/>
    </xf>
    <xf numFmtId="0" fontId="0" fillId="2" borderId="14" xfId="0" applyFill="1" applyBorder="1" applyAlignment="1">
      <alignment horizontal="center"/>
    </xf>
    <xf numFmtId="0" fontId="1" fillId="2" borderId="14" xfId="0" applyFont="1" applyFill="1" applyBorder="1" applyAlignment="1">
      <alignment horizontal="center"/>
    </xf>
    <xf numFmtId="0" fontId="1" fillId="2" borderId="22" xfId="0" applyFont="1" applyFill="1" applyBorder="1" applyAlignment="1">
      <alignment horizontal="center"/>
    </xf>
    <xf numFmtId="0" fontId="1" fillId="2" borderId="16" xfId="0" applyFont="1" applyFill="1" applyBorder="1" applyAlignment="1">
      <alignment horizontal="center"/>
    </xf>
    <xf numFmtId="0" fontId="0" fillId="2" borderId="2" xfId="0" applyFill="1" applyBorder="1"/>
    <xf numFmtId="0" fontId="0" fillId="2" borderId="3" xfId="0" applyFill="1" applyBorder="1"/>
    <xf numFmtId="0" fontId="0" fillId="2" borderId="4" xfId="0" applyFill="1" applyBorder="1"/>
    <xf numFmtId="0" fontId="0" fillId="2" borderId="0" xfId="0" applyFill="1" applyBorder="1"/>
    <xf numFmtId="0" fontId="0" fillId="2" borderId="5" xfId="0" applyFill="1" applyBorder="1"/>
    <xf numFmtId="0" fontId="0" fillId="2" borderId="4" xfId="0" applyFill="1" applyBorder="1" applyAlignment="1">
      <alignment horizontal="left" vertical="center" indent="1"/>
    </xf>
    <xf numFmtId="0" fontId="1" fillId="2" borderId="4" xfId="0" applyFont="1" applyFill="1" applyBorder="1" applyAlignment="1">
      <alignment horizontal="left" vertical="center" indent="2"/>
    </xf>
    <xf numFmtId="0" fontId="0" fillId="2" borderId="4" xfId="0" applyFill="1" applyBorder="1" applyAlignment="1">
      <alignment horizontal="left" vertical="center" indent="3"/>
    </xf>
    <xf numFmtId="0" fontId="0" fillId="2" borderId="6" xfId="0" applyFill="1" applyBorder="1"/>
    <xf numFmtId="0" fontId="0" fillId="2" borderId="10" xfId="0" applyFill="1" applyBorder="1"/>
    <xf numFmtId="0" fontId="0" fillId="2" borderId="11" xfId="0" applyFill="1" applyBorder="1"/>
    <xf numFmtId="0" fontId="1" fillId="4" borderId="1" xfId="0" applyFont="1" applyFill="1" applyBorder="1" applyAlignment="1">
      <alignment horizontal="left" vertical="center" indent="1"/>
    </xf>
    <xf numFmtId="0" fontId="0" fillId="4" borderId="2" xfId="0" applyFill="1" applyBorder="1"/>
    <xf numFmtId="0" fontId="1" fillId="4" borderId="4" xfId="0" applyFont="1" applyFill="1" applyBorder="1" applyAlignment="1">
      <alignment horizontal="left" vertical="center" indent="1"/>
    </xf>
    <xf numFmtId="0" fontId="0" fillId="4" borderId="0" xfId="0" applyFill="1" applyBorder="1"/>
    <xf numFmtId="0" fontId="9" fillId="5" borderId="0" xfId="0" applyFont="1" applyFill="1" applyAlignment="1">
      <alignment vertical="center"/>
    </xf>
    <xf numFmtId="0" fontId="6" fillId="5" borderId="0" xfId="0" applyFont="1" applyFill="1"/>
    <xf numFmtId="0" fontId="0" fillId="5" borderId="0" xfId="0" applyFill="1"/>
    <xf numFmtId="0" fontId="1" fillId="2" borderId="0" xfId="0" applyFont="1" applyFill="1"/>
    <xf numFmtId="0" fontId="5" fillId="5" borderId="39" xfId="0" applyFont="1" applyFill="1" applyBorder="1"/>
    <xf numFmtId="0" fontId="5" fillId="5" borderId="19" xfId="0" applyFont="1" applyFill="1" applyBorder="1"/>
    <xf numFmtId="0" fontId="5" fillId="5" borderId="20" xfId="0" applyFont="1" applyFill="1" applyBorder="1"/>
    <xf numFmtId="0" fontId="0" fillId="2" borderId="38" xfId="0" applyFill="1" applyBorder="1"/>
    <xf numFmtId="0" fontId="0" fillId="2" borderId="22" xfId="0" applyFill="1" applyBorder="1"/>
    <xf numFmtId="0" fontId="0" fillId="2" borderId="16" xfId="0" applyFill="1" applyBorder="1"/>
    <xf numFmtId="0" fontId="0" fillId="2" borderId="53" xfId="0" applyFill="1" applyBorder="1"/>
    <xf numFmtId="0" fontId="0" fillId="2" borderId="54" xfId="0" applyFill="1" applyBorder="1"/>
    <xf numFmtId="0" fontId="0" fillId="2" borderId="40" xfId="0" applyFill="1" applyBorder="1"/>
    <xf numFmtId="0" fontId="0" fillId="2" borderId="55" xfId="0" applyFill="1" applyBorder="1"/>
    <xf numFmtId="0" fontId="0" fillId="2" borderId="24" xfId="0" applyFill="1" applyBorder="1"/>
    <xf numFmtId="0" fontId="0" fillId="2" borderId="49" xfId="0" applyFill="1" applyBorder="1"/>
    <xf numFmtId="0" fontId="0" fillId="2" borderId="35" xfId="0" applyFill="1" applyBorder="1"/>
    <xf numFmtId="0" fontId="0" fillId="2" borderId="36" xfId="0" applyFill="1" applyBorder="1"/>
    <xf numFmtId="0" fontId="0" fillId="2" borderId="37" xfId="0" applyFill="1" applyBorder="1"/>
    <xf numFmtId="0" fontId="0" fillId="2" borderId="56" xfId="0" applyFill="1" applyBorder="1"/>
    <xf numFmtId="0" fontId="0" fillId="2" borderId="57" xfId="0" applyFill="1" applyBorder="1"/>
    <xf numFmtId="0" fontId="0" fillId="2" borderId="58" xfId="0" applyFill="1" applyBorder="1"/>
    <xf numFmtId="0" fontId="6" fillId="5" borderId="17" xfId="0" applyFont="1" applyFill="1" applyBorder="1"/>
    <xf numFmtId="0" fontId="1" fillId="2" borderId="27" xfId="0" applyFont="1" applyFill="1" applyBorder="1"/>
    <xf numFmtId="0" fontId="0" fillId="2" borderId="27" xfId="0" applyFill="1" applyBorder="1"/>
    <xf numFmtId="0" fontId="1" fillId="2" borderId="12" xfId="0" applyFont="1" applyFill="1" applyBorder="1"/>
    <xf numFmtId="0" fontId="0" fillId="2" borderId="29" xfId="0" applyFill="1" applyBorder="1"/>
    <xf numFmtId="0" fontId="5" fillId="5" borderId="2" xfId="0" applyFont="1" applyFill="1" applyBorder="1"/>
    <xf numFmtId="0" fontId="5" fillId="5" borderId="3" xfId="0" applyFont="1" applyFill="1" applyBorder="1"/>
    <xf numFmtId="0" fontId="3" fillId="4" borderId="27" xfId="0" applyFont="1" applyFill="1" applyBorder="1"/>
    <xf numFmtId="0" fontId="1" fillId="4" borderId="12" xfId="0" applyFont="1" applyFill="1" applyBorder="1"/>
    <xf numFmtId="0" fontId="1" fillId="4" borderId="27" xfId="0" applyFont="1" applyFill="1" applyBorder="1"/>
    <xf numFmtId="0" fontId="0" fillId="0" borderId="2" xfId="0" applyBorder="1"/>
    <xf numFmtId="0" fontId="0" fillId="0" borderId="3" xfId="0" applyBorder="1"/>
    <xf numFmtId="0" fontId="0" fillId="0" borderId="4" xfId="0" applyBorder="1"/>
    <xf numFmtId="0" fontId="0" fillId="0" borderId="0" xfId="0" applyBorder="1"/>
    <xf numFmtId="0" fontId="0" fillId="0" borderId="5" xfId="0" applyBorder="1"/>
    <xf numFmtId="0" fontId="16" fillId="0" borderId="4" xfId="0" applyFont="1" applyBorder="1"/>
    <xf numFmtId="0" fontId="17" fillId="0" borderId="4" xfId="0" applyFont="1" applyBorder="1"/>
    <xf numFmtId="0" fontId="1" fillId="0" borderId="0" xfId="0" applyFont="1" applyBorder="1"/>
    <xf numFmtId="0" fontId="16" fillId="0" borderId="4" xfId="0" applyFont="1" applyBorder="1" applyAlignment="1">
      <alignment horizontal="center"/>
    </xf>
    <xf numFmtId="0" fontId="16" fillId="0" borderId="0" xfId="0" applyFont="1" applyBorder="1"/>
    <xf numFmtId="0" fontId="16" fillId="0" borderId="0" xfId="0" applyFont="1" applyBorder="1" applyAlignment="1">
      <alignment horizontal="left" vertical="center" indent="1"/>
    </xf>
    <xf numFmtId="0" fontId="17" fillId="0" borderId="0" xfId="0" applyFont="1" applyBorder="1"/>
    <xf numFmtId="0" fontId="0" fillId="0" borderId="10" xfId="0" applyBorder="1"/>
    <xf numFmtId="0" fontId="0" fillId="0" borderId="11" xfId="0" applyBorder="1"/>
    <xf numFmtId="0" fontId="0" fillId="2" borderId="41" xfId="0" applyFill="1" applyBorder="1"/>
    <xf numFmtId="0" fontId="0" fillId="2" borderId="48" xfId="0" applyFill="1" applyBorder="1"/>
    <xf numFmtId="0" fontId="0" fillId="2" borderId="13" xfId="0" applyFill="1" applyBorder="1"/>
    <xf numFmtId="0" fontId="0" fillId="2" borderId="15" xfId="0" applyFill="1" applyBorder="1"/>
    <xf numFmtId="0" fontId="5" fillId="5" borderId="35" xfId="0" applyFont="1" applyFill="1" applyBorder="1"/>
    <xf numFmtId="0" fontId="5" fillId="5" borderId="36" xfId="0" applyFont="1" applyFill="1" applyBorder="1"/>
    <xf numFmtId="0" fontId="5" fillId="5" borderId="37" xfId="0" applyFont="1" applyFill="1" applyBorder="1"/>
    <xf numFmtId="0" fontId="0" fillId="2" borderId="1" xfId="0" applyFill="1" applyBorder="1"/>
    <xf numFmtId="0" fontId="15" fillId="0" borderId="4" xfId="0" applyFont="1" applyBorder="1"/>
    <xf numFmtId="0" fontId="15" fillId="0" borderId="0" xfId="0" applyFont="1" applyBorder="1"/>
    <xf numFmtId="0" fontId="18" fillId="0" borderId="4" xfId="0" applyFont="1" applyBorder="1"/>
    <xf numFmtId="0" fontId="22" fillId="0" borderId="4" xfId="0" applyFont="1" applyBorder="1"/>
    <xf numFmtId="0" fontId="22" fillId="0" borderId="0" xfId="0" applyFont="1" applyBorder="1"/>
    <xf numFmtId="0" fontId="3" fillId="0" borderId="0" xfId="0" applyFont="1" applyBorder="1"/>
    <xf numFmtId="0" fontId="23" fillId="0" borderId="0" xfId="0" applyFont="1" applyBorder="1"/>
    <xf numFmtId="2" fontId="0" fillId="4" borderId="17" xfId="0" applyNumberFormat="1" applyFill="1" applyBorder="1"/>
    <xf numFmtId="0" fontId="0" fillId="4" borderId="26" xfId="0" applyFill="1" applyBorder="1"/>
    <xf numFmtId="2" fontId="0" fillId="4" borderId="30" xfId="0" applyNumberFormat="1" applyFill="1" applyBorder="1"/>
    <xf numFmtId="2" fontId="0" fillId="4" borderId="1" xfId="0" applyNumberFormat="1" applyFill="1" applyBorder="1"/>
    <xf numFmtId="0" fontId="0" fillId="4" borderId="7" xfId="0" applyFill="1" applyBorder="1"/>
    <xf numFmtId="0" fontId="0" fillId="4" borderId="8" xfId="0" applyFill="1" applyBorder="1"/>
    <xf numFmtId="2" fontId="0" fillId="4" borderId="23" xfId="0" applyNumberFormat="1" applyFill="1" applyBorder="1"/>
    <xf numFmtId="0" fontId="0" fillId="2" borderId="25" xfId="0" applyFill="1" applyBorder="1" applyAlignment="1">
      <alignment horizontal="center" vertical="center"/>
    </xf>
    <xf numFmtId="0" fontId="0" fillId="2" borderId="30" xfId="0" applyFill="1" applyBorder="1"/>
    <xf numFmtId="0" fontId="0" fillId="2" borderId="25" xfId="0" applyFill="1" applyBorder="1"/>
    <xf numFmtId="2" fontId="0" fillId="2" borderId="4" xfId="0" applyNumberFormat="1" applyFill="1" applyBorder="1"/>
    <xf numFmtId="2" fontId="0" fillId="2" borderId="17" xfId="0" applyNumberFormat="1" applyFill="1" applyBorder="1"/>
    <xf numFmtId="0" fontId="0" fillId="2" borderId="26" xfId="0" applyFill="1" applyBorder="1"/>
    <xf numFmtId="2" fontId="0" fillId="2" borderId="30" xfId="0" applyNumberFormat="1" applyFill="1" applyBorder="1"/>
    <xf numFmtId="2" fontId="0" fillId="2" borderId="1" xfId="0" applyNumberFormat="1" applyFill="1" applyBorder="1"/>
    <xf numFmtId="2" fontId="0" fillId="2" borderId="21" xfId="0" applyNumberFormat="1" applyFill="1" applyBorder="1"/>
    <xf numFmtId="2" fontId="0" fillId="2" borderId="6" xfId="0" applyNumberFormat="1" applyFill="1" applyBorder="1"/>
    <xf numFmtId="0" fontId="0" fillId="2" borderId="28" xfId="0" applyFill="1" applyBorder="1"/>
    <xf numFmtId="0" fontId="5" fillId="5" borderId="7" xfId="0" applyFont="1" applyFill="1" applyBorder="1" applyAlignment="1">
      <alignment horizontal="center"/>
    </xf>
    <xf numFmtId="0" fontId="5" fillId="5" borderId="9" xfId="0" applyFont="1" applyFill="1" applyBorder="1" applyAlignment="1">
      <alignment horizontal="center"/>
    </xf>
    <xf numFmtId="0" fontId="5" fillId="5" borderId="23" xfId="0" applyFont="1" applyFill="1" applyBorder="1"/>
    <xf numFmtId="0" fontId="6" fillId="0" borderId="0" xfId="0" applyFont="1"/>
    <xf numFmtId="0" fontId="29" fillId="0" borderId="0" xfId="0" applyFont="1" applyAlignment="1">
      <alignment horizontal="left"/>
    </xf>
    <xf numFmtId="0" fontId="5" fillId="0" borderId="0" xfId="0" applyFont="1" applyAlignment="1">
      <alignment horizontal="center"/>
    </xf>
    <xf numFmtId="0" fontId="5" fillId="5" borderId="1" xfId="0" applyFont="1" applyFill="1" applyBorder="1"/>
    <xf numFmtId="0" fontId="5" fillId="5" borderId="7" xfId="0" applyFont="1" applyFill="1" applyBorder="1"/>
    <xf numFmtId="0" fontId="5" fillId="5" borderId="9" xfId="0" applyFont="1" applyFill="1" applyBorder="1"/>
    <xf numFmtId="0" fontId="5" fillId="5" borderId="10" xfId="0" applyFont="1" applyFill="1" applyBorder="1" applyAlignment="1">
      <alignment horizontal="center"/>
    </xf>
    <xf numFmtId="0" fontId="5" fillId="5" borderId="11" xfId="0" applyFont="1" applyFill="1" applyBorder="1" applyAlignment="1">
      <alignment horizontal="center"/>
    </xf>
    <xf numFmtId="0" fontId="7" fillId="2" borderId="25" xfId="0" applyFont="1" applyFill="1" applyBorder="1"/>
    <xf numFmtId="0" fontId="7" fillId="2" borderId="5" xfId="0" applyFont="1" applyFill="1" applyBorder="1"/>
    <xf numFmtId="2" fontId="7" fillId="2" borderId="0" xfId="0" applyNumberFormat="1" applyFont="1" applyFill="1" applyAlignment="1">
      <alignment horizontal="center"/>
    </xf>
    <xf numFmtId="2" fontId="7" fillId="2" borderId="5" xfId="0" applyNumberFormat="1" applyFont="1" applyFill="1" applyBorder="1" applyAlignment="1">
      <alignment horizontal="center"/>
    </xf>
    <xf numFmtId="0" fontId="7" fillId="2" borderId="26" xfId="0" applyFont="1" applyFill="1" applyBorder="1"/>
    <xf numFmtId="0" fontId="7" fillId="2" borderId="10" xfId="0" applyFont="1" applyFill="1" applyBorder="1"/>
    <xf numFmtId="0" fontId="7" fillId="2" borderId="11" xfId="0" applyFont="1" applyFill="1" applyBorder="1"/>
    <xf numFmtId="2" fontId="7" fillId="2" borderId="10" xfId="0" applyNumberFormat="1" applyFont="1" applyFill="1" applyBorder="1" applyAlignment="1">
      <alignment horizontal="center"/>
    </xf>
    <xf numFmtId="2" fontId="7" fillId="2" borderId="11" xfId="0" applyNumberFormat="1" applyFont="1" applyFill="1" applyBorder="1" applyAlignment="1">
      <alignment horizontal="center"/>
    </xf>
    <xf numFmtId="0" fontId="7" fillId="2" borderId="32" xfId="0" applyFont="1" applyFill="1" applyBorder="1"/>
    <xf numFmtId="0" fontId="7" fillId="2" borderId="33" xfId="0" applyFont="1" applyFill="1" applyBorder="1"/>
    <xf numFmtId="2" fontId="7" fillId="2" borderId="32" xfId="0" applyNumberFormat="1" applyFont="1" applyFill="1" applyBorder="1" applyAlignment="1">
      <alignment horizontal="center"/>
    </xf>
    <xf numFmtId="2" fontId="7" fillId="2" borderId="33" xfId="0" applyNumberFormat="1" applyFont="1" applyFill="1" applyBorder="1" applyAlignment="1">
      <alignment horizontal="center"/>
    </xf>
    <xf numFmtId="2" fontId="7" fillId="2" borderId="0" xfId="0" applyNumberFormat="1" applyFont="1" applyFill="1"/>
    <xf numFmtId="2" fontId="7" fillId="2" borderId="5" xfId="0" applyNumberFormat="1" applyFont="1" applyFill="1" applyBorder="1"/>
    <xf numFmtId="0" fontId="7" fillId="2" borderId="28" xfId="0" applyFont="1" applyFill="1" applyBorder="1"/>
    <xf numFmtId="0" fontId="6" fillId="5" borderId="7" xfId="0" applyFont="1" applyFill="1" applyBorder="1"/>
    <xf numFmtId="0" fontId="6" fillId="5" borderId="9" xfId="0" applyFont="1" applyFill="1" applyBorder="1"/>
    <xf numFmtId="0" fontId="1" fillId="0" borderId="4" xfId="0" applyFont="1" applyBorder="1" applyAlignment="1">
      <alignment horizontal="center"/>
    </xf>
    <xf numFmtId="2" fontId="7" fillId="0" borderId="4" xfId="0" applyNumberFormat="1" applyFont="1" applyBorder="1" applyAlignment="1">
      <alignment horizontal="center"/>
    </xf>
    <xf numFmtId="0" fontId="15" fillId="0" borderId="6" xfId="0" applyFont="1" applyBorder="1" applyAlignment="1">
      <alignment horizontal="left" vertical="center" indent="1"/>
    </xf>
    <xf numFmtId="0" fontId="15" fillId="0" borderId="10" xfId="0" applyFont="1" applyBorder="1"/>
    <xf numFmtId="0" fontId="5" fillId="5" borderId="23" xfId="0" applyFont="1" applyFill="1" applyBorder="1" applyAlignment="1">
      <alignment horizontal="center" vertical="center"/>
    </xf>
    <xf numFmtId="0" fontId="6" fillId="5" borderId="21" xfId="0" applyFont="1" applyFill="1" applyBorder="1" applyAlignment="1">
      <alignment horizontal="center" vertical="center"/>
    </xf>
    <xf numFmtId="0" fontId="1" fillId="2" borderId="25" xfId="0" applyFont="1" applyFill="1" applyBorder="1"/>
    <xf numFmtId="2" fontId="0" fillId="2" borderId="5" xfId="0" applyNumberFormat="1" applyFill="1" applyBorder="1"/>
    <xf numFmtId="2" fontId="0" fillId="2" borderId="0" xfId="0" applyNumberFormat="1" applyFill="1"/>
    <xf numFmtId="2" fontId="0" fillId="2" borderId="11" xfId="0" applyNumberFormat="1" applyFill="1" applyBorder="1"/>
    <xf numFmtId="2" fontId="1" fillId="2" borderId="0" xfId="0" applyNumberFormat="1" applyFont="1" applyFill="1"/>
    <xf numFmtId="2" fontId="1" fillId="2" borderId="7" xfId="0" applyNumberFormat="1" applyFont="1" applyFill="1" applyBorder="1"/>
    <xf numFmtId="2" fontId="1" fillId="2" borderId="9" xfId="0" applyNumberFormat="1" applyFont="1" applyFill="1" applyBorder="1"/>
    <xf numFmtId="0" fontId="1" fillId="2" borderId="34" xfId="0" applyFont="1" applyFill="1" applyBorder="1"/>
    <xf numFmtId="0" fontId="1" fillId="2" borderId="33" xfId="0" applyFont="1" applyFill="1" applyBorder="1"/>
    <xf numFmtId="2" fontId="1" fillId="2" borderId="34" xfId="0" applyNumberFormat="1" applyFont="1" applyFill="1" applyBorder="1"/>
    <xf numFmtId="2" fontId="1" fillId="2" borderId="33" xfId="0" applyNumberFormat="1" applyFont="1" applyFill="1" applyBorder="1"/>
    <xf numFmtId="0" fontId="1" fillId="2" borderId="26" xfId="0" applyFont="1" applyFill="1" applyBorder="1"/>
    <xf numFmtId="2" fontId="0" fillId="2" borderId="3" xfId="0" applyNumberFormat="1" applyFill="1" applyBorder="1"/>
    <xf numFmtId="0" fontId="1" fillId="2" borderId="7" xfId="0" applyFont="1" applyFill="1" applyBorder="1"/>
    <xf numFmtId="0" fontId="1" fillId="2" borderId="9" xfId="0" applyFont="1" applyFill="1" applyBorder="1"/>
    <xf numFmtId="0" fontId="1" fillId="2" borderId="51" xfId="0" applyFont="1" applyFill="1" applyBorder="1"/>
    <xf numFmtId="2" fontId="0" fillId="2" borderId="34" xfId="0" applyNumberFormat="1" applyFill="1" applyBorder="1"/>
    <xf numFmtId="2" fontId="0" fillId="2" borderId="33" xfId="0" applyNumberFormat="1" applyFill="1" applyBorder="1"/>
    <xf numFmtId="0" fontId="6" fillId="5" borderId="23" xfId="0" applyFont="1" applyFill="1" applyBorder="1"/>
    <xf numFmtId="0" fontId="6" fillId="5" borderId="7" xfId="0" applyFont="1" applyFill="1" applyBorder="1" applyAlignment="1">
      <alignment horizontal="center"/>
    </xf>
    <xf numFmtId="0" fontId="6" fillId="5" borderId="9" xfId="0" applyFont="1" applyFill="1" applyBorder="1" applyAlignment="1">
      <alignment horizontal="center"/>
    </xf>
    <xf numFmtId="0" fontId="6" fillId="2" borderId="0" xfId="0" applyFont="1" applyFill="1"/>
    <xf numFmtId="0" fontId="28" fillId="2" borderId="0" xfId="0" applyFont="1" applyFill="1" applyAlignment="1">
      <alignment horizontal="center"/>
    </xf>
    <xf numFmtId="0" fontId="3" fillId="4" borderId="26" xfId="0" applyFont="1" applyFill="1" applyBorder="1"/>
    <xf numFmtId="0" fontId="1" fillId="4" borderId="4" xfId="0" applyFont="1" applyFill="1" applyBorder="1"/>
    <xf numFmtId="0" fontId="1" fillId="4" borderId="5" xfId="0" applyFont="1" applyFill="1" applyBorder="1"/>
    <xf numFmtId="2" fontId="1" fillId="4" borderId="1" xfId="0" applyNumberFormat="1" applyFont="1" applyFill="1" applyBorder="1"/>
    <xf numFmtId="2" fontId="1" fillId="4" borderId="3" xfId="0" applyNumberFormat="1" applyFont="1" applyFill="1" applyBorder="1"/>
    <xf numFmtId="0" fontId="1" fillId="4" borderId="34" xfId="0" applyFont="1" applyFill="1" applyBorder="1"/>
    <xf numFmtId="0" fontId="1" fillId="4" borderId="33" xfId="0" applyFont="1" applyFill="1" applyBorder="1"/>
    <xf numFmtId="2" fontId="0" fillId="4" borderId="52" xfId="0" applyNumberFormat="1" applyFill="1" applyBorder="1"/>
    <xf numFmtId="2" fontId="1" fillId="4" borderId="50" xfId="0" applyNumberFormat="1" applyFont="1" applyFill="1" applyBorder="1"/>
    <xf numFmtId="2" fontId="1" fillId="4" borderId="34" xfId="0" applyNumberFormat="1" applyFont="1" applyFill="1" applyBorder="1"/>
    <xf numFmtId="2" fontId="1" fillId="4" borderId="33" xfId="0" applyNumberFormat="1" applyFont="1" applyFill="1" applyBorder="1"/>
    <xf numFmtId="2" fontId="1" fillId="4" borderId="7" xfId="0" applyNumberFormat="1" applyFont="1" applyFill="1" applyBorder="1"/>
    <xf numFmtId="2" fontId="1" fillId="4" borderId="9" xfId="0" applyNumberFormat="1" applyFont="1" applyFill="1" applyBorder="1"/>
    <xf numFmtId="0" fontId="1" fillId="4" borderId="26" xfId="0" applyFont="1" applyFill="1" applyBorder="1"/>
    <xf numFmtId="2" fontId="0" fillId="4" borderId="3" xfId="0" applyNumberFormat="1" applyFill="1" applyBorder="1"/>
    <xf numFmtId="0" fontId="1" fillId="4" borderId="7" xfId="0" applyFont="1" applyFill="1" applyBorder="1"/>
    <xf numFmtId="0" fontId="1" fillId="4" borderId="9" xfId="0" applyFont="1" applyFill="1" applyBorder="1"/>
    <xf numFmtId="0" fontId="25" fillId="0" borderId="0" xfId="0" applyFont="1" applyAlignment="1">
      <alignment vertical="center"/>
    </xf>
    <xf numFmtId="0" fontId="10" fillId="5" borderId="18" xfId="0" applyFont="1" applyFill="1" applyBorder="1" applyAlignment="1">
      <alignment horizontal="center"/>
    </xf>
    <xf numFmtId="0" fontId="10" fillId="5" borderId="20" xfId="0" applyFont="1" applyFill="1" applyBorder="1" applyAlignment="1">
      <alignment horizontal="center"/>
    </xf>
    <xf numFmtId="0" fontId="10" fillId="5" borderId="42" xfId="0" applyFont="1" applyFill="1" applyBorder="1"/>
    <xf numFmtId="0" fontId="10" fillId="5" borderId="40" xfId="0" applyFont="1" applyFill="1" applyBorder="1"/>
    <xf numFmtId="0" fontId="5" fillId="5" borderId="7" xfId="0" applyFont="1" applyFill="1" applyBorder="1" applyAlignment="1">
      <alignment horizontal="center" vertical="center"/>
    </xf>
    <xf numFmtId="0" fontId="1" fillId="2" borderId="41" xfId="0" applyFont="1" applyFill="1" applyBorder="1"/>
    <xf numFmtId="0" fontId="6" fillId="5" borderId="4" xfId="0" applyFont="1" applyFill="1" applyBorder="1"/>
    <xf numFmtId="0" fontId="5" fillId="5" borderId="12" xfId="0" applyFont="1" applyFill="1" applyBorder="1"/>
    <xf numFmtId="0" fontId="5" fillId="5" borderId="14" xfId="0" applyFont="1" applyFill="1" applyBorder="1"/>
    <xf numFmtId="0" fontId="0" fillId="2" borderId="59" xfId="0" applyFill="1" applyBorder="1"/>
    <xf numFmtId="0" fontId="1" fillId="2" borderId="60" xfId="0" applyFont="1" applyFill="1" applyBorder="1"/>
    <xf numFmtId="0" fontId="1" fillId="4" borderId="36" xfId="0" applyFont="1" applyFill="1" applyBorder="1"/>
    <xf numFmtId="0" fontId="1" fillId="4" borderId="37" xfId="0" applyFont="1" applyFill="1" applyBorder="1"/>
    <xf numFmtId="3" fontId="0" fillId="0" borderId="0" xfId="0" applyNumberFormat="1"/>
    <xf numFmtId="0" fontId="1" fillId="0" borderId="4" xfId="0" applyFont="1" applyBorder="1"/>
    <xf numFmtId="3" fontId="0" fillId="0" borderId="5" xfId="0" applyNumberFormat="1" applyBorder="1"/>
    <xf numFmtId="0" fontId="1" fillId="0" borderId="6" xfId="0" applyFont="1" applyBorder="1"/>
    <xf numFmtId="0" fontId="1" fillId="0" borderId="10" xfId="0" applyFont="1" applyBorder="1"/>
    <xf numFmtId="0" fontId="5" fillId="5" borderId="8" xfId="0" applyFont="1" applyFill="1" applyBorder="1"/>
    <xf numFmtId="0" fontId="6" fillId="5" borderId="8" xfId="0" applyFont="1" applyFill="1" applyBorder="1"/>
    <xf numFmtId="0" fontId="0" fillId="0" borderId="12" xfId="0" applyBorder="1"/>
    <xf numFmtId="0" fontId="0" fillId="0" borderId="18" xfId="0" applyBorder="1"/>
    <xf numFmtId="0" fontId="0" fillId="0" borderId="19" xfId="0" applyBorder="1"/>
    <xf numFmtId="0" fontId="0" fillId="0" borderId="20" xfId="0" applyBorder="1"/>
    <xf numFmtId="0" fontId="0" fillId="0" borderId="13" xfId="0" applyBorder="1"/>
    <xf numFmtId="0" fontId="0" fillId="0" borderId="14" xfId="0" applyBorder="1"/>
    <xf numFmtId="0" fontId="0" fillId="0" borderId="15" xfId="0" applyBorder="1"/>
    <xf numFmtId="0" fontId="0" fillId="0" borderId="22" xfId="0" applyBorder="1"/>
    <xf numFmtId="0" fontId="0" fillId="0" borderId="16" xfId="0" applyBorder="1"/>
    <xf numFmtId="0" fontId="5" fillId="5" borderId="18" xfId="0" applyFont="1" applyFill="1" applyBorder="1"/>
    <xf numFmtId="0" fontId="5" fillId="0" borderId="0" xfId="0" applyFont="1" applyAlignment="1">
      <alignment horizontal="center"/>
    </xf>
    <xf numFmtId="0" fontId="5" fillId="5" borderId="0" xfId="0" applyFont="1" applyFill="1" applyAlignment="1">
      <alignment horizontal="center"/>
    </xf>
    <xf numFmtId="0" fontId="32" fillId="5" borderId="0" xfId="0" applyFont="1" applyFill="1" applyAlignment="1">
      <alignment horizontal="center" vertical="center"/>
    </xf>
    <xf numFmtId="0" fontId="6" fillId="5" borderId="1" xfId="0" applyFont="1" applyFill="1" applyBorder="1" applyAlignment="1">
      <alignment horizontal="center"/>
    </xf>
    <xf numFmtId="0" fontId="6" fillId="5" borderId="2" xfId="0" applyFont="1" applyFill="1" applyBorder="1" applyAlignment="1">
      <alignment horizontal="center"/>
    </xf>
    <xf numFmtId="0" fontId="6" fillId="5" borderId="3" xfId="0" applyFont="1" applyFill="1" applyBorder="1" applyAlignment="1">
      <alignment horizontal="center"/>
    </xf>
    <xf numFmtId="0" fontId="5" fillId="5" borderId="0" xfId="0" applyFont="1" applyFill="1" applyBorder="1" applyAlignment="1">
      <alignment horizontal="center"/>
    </xf>
    <xf numFmtId="0" fontId="5" fillId="5" borderId="5" xfId="0" applyFont="1" applyFill="1" applyBorder="1" applyAlignment="1">
      <alignment horizontal="center"/>
    </xf>
    <xf numFmtId="0" fontId="13" fillId="5" borderId="2" xfId="0" applyFont="1" applyFill="1" applyBorder="1" applyAlignment="1">
      <alignment horizontal="center"/>
    </xf>
    <xf numFmtId="0" fontId="13" fillId="5" borderId="3" xfId="0" applyFont="1" applyFill="1" applyBorder="1" applyAlignment="1">
      <alignment horizontal="center"/>
    </xf>
    <xf numFmtId="0" fontId="5" fillId="5" borderId="18" xfId="0" applyFont="1" applyFill="1" applyBorder="1" applyAlignment="1">
      <alignment horizontal="left"/>
    </xf>
    <xf numFmtId="0" fontId="5" fillId="5" borderId="19" xfId="0" applyFont="1" applyFill="1" applyBorder="1" applyAlignment="1">
      <alignment horizontal="left"/>
    </xf>
    <xf numFmtId="0" fontId="5" fillId="5" borderId="46" xfId="0" applyFont="1" applyFill="1" applyBorder="1" applyAlignment="1">
      <alignment horizontal="left"/>
    </xf>
    <xf numFmtId="0" fontId="27" fillId="5" borderId="1" xfId="0" applyFont="1" applyFill="1" applyBorder="1" applyAlignment="1">
      <alignment horizontal="center"/>
    </xf>
    <xf numFmtId="0" fontId="27" fillId="5" borderId="2" xfId="0" applyFont="1" applyFill="1" applyBorder="1" applyAlignment="1">
      <alignment horizontal="center"/>
    </xf>
    <xf numFmtId="0" fontId="27" fillId="5" borderId="6" xfId="0" applyFont="1" applyFill="1" applyBorder="1" applyAlignment="1">
      <alignment horizontal="center"/>
    </xf>
    <xf numFmtId="0" fontId="27" fillId="5" borderId="10" xfId="0" applyFont="1" applyFill="1" applyBorder="1" applyAlignment="1">
      <alignment horizontal="center"/>
    </xf>
    <xf numFmtId="0" fontId="5" fillId="5" borderId="15" xfId="0" applyFont="1" applyFill="1" applyBorder="1" applyAlignment="1">
      <alignment horizontal="left"/>
    </xf>
    <xf numFmtId="0" fontId="5" fillId="5" borderId="22" xfId="0" applyFont="1" applyFill="1" applyBorder="1" applyAlignment="1">
      <alignment horizontal="left"/>
    </xf>
    <xf numFmtId="0" fontId="5" fillId="5" borderId="47" xfId="0" applyFont="1" applyFill="1" applyBorder="1" applyAlignment="1">
      <alignment horizontal="left"/>
    </xf>
    <xf numFmtId="0" fontId="5" fillId="5" borderId="13" xfId="0" applyFont="1" applyFill="1" applyBorder="1" applyAlignment="1">
      <alignment horizontal="left"/>
    </xf>
    <xf numFmtId="0" fontId="5" fillId="5" borderId="12" xfId="0" applyFont="1" applyFill="1" applyBorder="1" applyAlignment="1">
      <alignment horizontal="left"/>
    </xf>
    <xf numFmtId="0" fontId="5" fillId="5" borderId="44" xfId="0" applyFont="1" applyFill="1" applyBorder="1" applyAlignment="1">
      <alignment horizontal="left"/>
    </xf>
    <xf numFmtId="0" fontId="6" fillId="5" borderId="27" xfId="0" applyFont="1" applyFill="1" applyBorder="1" applyAlignment="1">
      <alignment horizontal="left"/>
    </xf>
    <xf numFmtId="0" fontId="6" fillId="5" borderId="45" xfId="0" applyFont="1" applyFill="1" applyBorder="1" applyAlignment="1">
      <alignment horizontal="left"/>
    </xf>
    <xf numFmtId="0" fontId="6" fillId="5" borderId="31" xfId="0" applyFont="1" applyFill="1" applyBorder="1" applyAlignment="1">
      <alignment horizontal="left"/>
    </xf>
    <xf numFmtId="0" fontId="14" fillId="2" borderId="0" xfId="0" applyFont="1" applyFill="1" applyAlignment="1">
      <alignment horizontal="center" vertical="center"/>
    </xf>
    <xf numFmtId="0" fontId="3" fillId="0" borderId="7" xfId="0" applyFont="1" applyBorder="1" applyAlignment="1">
      <alignment horizontal="center"/>
    </xf>
    <xf numFmtId="0" fontId="3" fillId="0" borderId="9" xfId="0" applyFont="1" applyBorder="1" applyAlignment="1">
      <alignment horizontal="center"/>
    </xf>
    <xf numFmtId="0" fontId="13" fillId="5" borderId="10" xfId="0" applyFont="1" applyFill="1" applyBorder="1" applyAlignment="1">
      <alignment horizontal="center"/>
    </xf>
    <xf numFmtId="0" fontId="6" fillId="5" borderId="13" xfId="0" applyFont="1" applyFill="1" applyBorder="1"/>
    <xf numFmtId="0" fontId="6" fillId="5" borderId="14" xfId="0" applyFont="1" applyFill="1" applyBorder="1"/>
    <xf numFmtId="0" fontId="6" fillId="5" borderId="15" xfId="0" applyFont="1" applyFill="1" applyBorder="1"/>
    <xf numFmtId="0" fontId="6" fillId="5" borderId="16" xfId="0" applyFont="1" applyFill="1" applyBorder="1"/>
    <xf numFmtId="0" fontId="6" fillId="5" borderId="18" xfId="0" applyFont="1" applyFill="1" applyBorder="1" applyAlignment="1">
      <alignment horizontal="center"/>
    </xf>
    <xf numFmtId="0" fontId="6" fillId="5" borderId="20" xfId="0" applyFont="1" applyFill="1" applyBorder="1" applyAlignment="1">
      <alignment horizontal="center"/>
    </xf>
    <xf numFmtId="0" fontId="6" fillId="5" borderId="27" xfId="0" applyFont="1" applyFill="1" applyBorder="1" applyAlignment="1">
      <alignment horizontal="center"/>
    </xf>
    <xf numFmtId="0" fontId="6" fillId="5" borderId="43" xfId="0" applyFont="1" applyFill="1" applyBorder="1" applyAlignment="1">
      <alignment horizontal="center"/>
    </xf>
    <xf numFmtId="0" fontId="5" fillId="5" borderId="7" xfId="0" applyFont="1" applyFill="1" applyBorder="1" applyAlignment="1">
      <alignment horizontal="center" vertical="center"/>
    </xf>
    <xf numFmtId="0" fontId="5" fillId="5" borderId="8" xfId="0" applyFont="1" applyFill="1" applyBorder="1" applyAlignment="1">
      <alignment horizontal="center" vertical="center"/>
    </xf>
    <xf numFmtId="0" fontId="5" fillId="5" borderId="9" xfId="0" applyFont="1" applyFill="1" applyBorder="1" applyAlignment="1">
      <alignment horizontal="center" vertical="center"/>
    </xf>
    <xf numFmtId="0" fontId="6" fillId="5" borderId="7" xfId="0" applyFont="1" applyFill="1" applyBorder="1" applyAlignment="1">
      <alignment horizontal="center" vertical="center"/>
    </xf>
    <xf numFmtId="0" fontId="6" fillId="5" borderId="8" xfId="0" applyFont="1" applyFill="1" applyBorder="1" applyAlignment="1">
      <alignment horizontal="center" vertical="center"/>
    </xf>
    <xf numFmtId="0" fontId="6" fillId="5" borderId="9" xfId="0" applyFont="1" applyFill="1" applyBorder="1" applyAlignment="1">
      <alignment horizontal="center" vertical="center"/>
    </xf>
    <xf numFmtId="0" fontId="14" fillId="0" borderId="2" xfId="0" applyFont="1" applyBorder="1" applyAlignment="1">
      <alignment horizontal="center"/>
    </xf>
    <xf numFmtId="0" fontId="3" fillId="0" borderId="17" xfId="0" applyFont="1" applyBorder="1" applyAlignment="1">
      <alignment horizontal="center" vertical="center"/>
    </xf>
    <xf numFmtId="0" fontId="3" fillId="0" borderId="21" xfId="0" applyFont="1" applyBorder="1" applyAlignment="1">
      <alignment horizontal="center" vertical="center"/>
    </xf>
    <xf numFmtId="0" fontId="8" fillId="5" borderId="2" xfId="0" applyFont="1" applyFill="1" applyBorder="1" applyAlignment="1">
      <alignment horizontal="center" vertical="center"/>
    </xf>
    <xf numFmtId="0" fontId="14" fillId="5" borderId="1" xfId="0" applyFont="1" applyFill="1" applyBorder="1" applyAlignment="1">
      <alignment horizontal="center" vertical="center" wrapText="1"/>
    </xf>
    <xf numFmtId="0" fontId="14" fillId="5" borderId="2" xfId="0" applyFont="1" applyFill="1" applyBorder="1" applyAlignment="1">
      <alignment horizontal="center" vertical="center"/>
    </xf>
    <xf numFmtId="0" fontId="14" fillId="5" borderId="3" xfId="0" applyFont="1" applyFill="1" applyBorder="1" applyAlignment="1">
      <alignment horizontal="center" vertical="center"/>
    </xf>
    <xf numFmtId="0" fontId="14" fillId="5" borderId="4" xfId="0" applyFont="1" applyFill="1" applyBorder="1" applyAlignment="1">
      <alignment horizontal="center" vertical="center"/>
    </xf>
    <xf numFmtId="0" fontId="14" fillId="5" borderId="0" xfId="0" applyFont="1" applyFill="1" applyBorder="1" applyAlignment="1">
      <alignment horizontal="center" vertical="center"/>
    </xf>
    <xf numFmtId="0" fontId="14" fillId="5" borderId="5" xfId="0" applyFont="1" applyFill="1" applyBorder="1" applyAlignment="1">
      <alignment horizontal="center" vertical="center"/>
    </xf>
    <xf numFmtId="0" fontId="14" fillId="5" borderId="6" xfId="0" applyFont="1" applyFill="1" applyBorder="1" applyAlignment="1">
      <alignment horizontal="center" vertical="center"/>
    </xf>
    <xf numFmtId="0" fontId="14" fillId="5" borderId="10" xfId="0" applyFont="1" applyFill="1" applyBorder="1" applyAlignment="1">
      <alignment horizontal="center" vertical="center"/>
    </xf>
    <xf numFmtId="0" fontId="14" fillId="5" borderId="11" xfId="0" applyFont="1" applyFill="1" applyBorder="1" applyAlignment="1">
      <alignment horizontal="center" vertical="center"/>
    </xf>
    <xf numFmtId="0" fontId="14" fillId="5" borderId="2" xfId="0" applyFont="1" applyFill="1" applyBorder="1" applyAlignment="1">
      <alignment horizontal="center" vertical="center" wrapText="1"/>
    </xf>
    <xf numFmtId="0" fontId="14" fillId="5" borderId="3" xfId="0" applyFont="1" applyFill="1" applyBorder="1" applyAlignment="1">
      <alignment horizontal="center" vertical="center" wrapText="1"/>
    </xf>
    <xf numFmtId="0" fontId="14" fillId="5" borderId="4" xfId="0" applyFont="1" applyFill="1" applyBorder="1" applyAlignment="1">
      <alignment horizontal="center" vertical="center" wrapText="1"/>
    </xf>
    <xf numFmtId="0" fontId="14" fillId="5" borderId="0" xfId="0" applyFont="1" applyFill="1" applyBorder="1" applyAlignment="1">
      <alignment horizontal="center" vertical="center" wrapText="1"/>
    </xf>
    <xf numFmtId="0" fontId="14" fillId="5" borderId="5" xfId="0" applyFont="1" applyFill="1" applyBorder="1" applyAlignment="1">
      <alignment horizontal="center" vertical="center" wrapText="1"/>
    </xf>
    <xf numFmtId="0" fontId="14" fillId="5" borderId="6" xfId="0" applyFont="1" applyFill="1" applyBorder="1" applyAlignment="1">
      <alignment horizontal="center" vertical="center" wrapText="1"/>
    </xf>
    <xf numFmtId="0" fontId="14" fillId="5" borderId="10" xfId="0" applyFont="1" applyFill="1" applyBorder="1" applyAlignment="1">
      <alignment horizontal="center" vertical="center" wrapText="1"/>
    </xf>
    <xf numFmtId="0" fontId="14" fillId="5" borderId="11" xfId="0" applyFont="1" applyFill="1" applyBorder="1" applyAlignment="1">
      <alignment horizontal="center" vertical="center" wrapText="1"/>
    </xf>
    <xf numFmtId="0" fontId="5" fillId="5" borderId="2" xfId="0" applyFont="1" applyFill="1" applyBorder="1" applyAlignment="1">
      <alignment horizontal="center" vertical="center"/>
    </xf>
    <xf numFmtId="0" fontId="5" fillId="5" borderId="3" xfId="0" applyFont="1" applyFill="1" applyBorder="1" applyAlignment="1">
      <alignment horizontal="center" vertical="center"/>
    </xf>
    <xf numFmtId="0" fontId="5" fillId="5" borderId="4" xfId="0" applyFont="1" applyFill="1" applyBorder="1" applyAlignment="1">
      <alignment horizontal="center" vertical="center"/>
    </xf>
    <xf numFmtId="0" fontId="5" fillId="5" borderId="0" xfId="0" applyFont="1" applyFill="1" applyBorder="1" applyAlignment="1">
      <alignment horizontal="center" vertical="center"/>
    </xf>
    <xf numFmtId="0" fontId="5" fillId="5" borderId="5" xfId="0" applyFont="1" applyFill="1" applyBorder="1" applyAlignment="1">
      <alignment horizontal="center" vertical="center"/>
    </xf>
    <xf numFmtId="0" fontId="5" fillId="5" borderId="6" xfId="0" applyFont="1" applyFill="1" applyBorder="1" applyAlignment="1">
      <alignment horizontal="center" vertical="center"/>
    </xf>
    <xf numFmtId="0" fontId="5" fillId="5" borderId="10" xfId="0" applyFont="1" applyFill="1" applyBorder="1" applyAlignment="1">
      <alignment horizontal="center" vertical="center"/>
    </xf>
    <xf numFmtId="0" fontId="5" fillId="5" borderId="11" xfId="0" applyFont="1" applyFill="1" applyBorder="1" applyAlignment="1">
      <alignment horizontal="center" vertical="center"/>
    </xf>
    <xf numFmtId="0" fontId="14" fillId="5" borderId="1" xfId="0" applyFont="1" applyFill="1" applyBorder="1" applyAlignment="1">
      <alignment horizontal="center" vertical="center"/>
    </xf>
    <xf numFmtId="0" fontId="6" fillId="5" borderId="2" xfId="0" applyFont="1" applyFill="1" applyBorder="1" applyAlignment="1">
      <alignment horizontal="center" vertical="center"/>
    </xf>
    <xf numFmtId="0" fontId="6" fillId="5" borderId="3" xfId="0" applyFont="1" applyFill="1" applyBorder="1" applyAlignment="1">
      <alignment horizontal="center" vertical="center"/>
    </xf>
    <xf numFmtId="0" fontId="14" fillId="5" borderId="7" xfId="0" applyFont="1" applyFill="1" applyBorder="1" applyAlignment="1">
      <alignment horizontal="center"/>
    </xf>
    <xf numFmtId="0" fontId="14" fillId="5" borderId="8" xfId="0" applyFont="1" applyFill="1" applyBorder="1" applyAlignment="1">
      <alignment horizontal="center"/>
    </xf>
    <xf numFmtId="0" fontId="14" fillId="5" borderId="9" xfId="0" applyFont="1" applyFill="1" applyBorder="1" applyAlignment="1">
      <alignment horizontal="center"/>
    </xf>
    <xf numFmtId="0" fontId="13" fillId="5" borderId="7" xfId="0" applyFont="1" applyFill="1" applyBorder="1" applyAlignment="1">
      <alignment horizontal="center"/>
    </xf>
    <xf numFmtId="0" fontId="13" fillId="5" borderId="8" xfId="0" applyFont="1" applyFill="1" applyBorder="1" applyAlignment="1">
      <alignment horizontal="center"/>
    </xf>
    <xf numFmtId="0" fontId="13" fillId="5" borderId="9" xfId="0" applyFont="1" applyFill="1" applyBorder="1" applyAlignment="1">
      <alignment horizontal="center"/>
    </xf>
    <xf numFmtId="0" fontId="6" fillId="5" borderId="1" xfId="0" applyFont="1" applyFill="1" applyBorder="1" applyAlignment="1">
      <alignment horizontal="center" vertical="center"/>
    </xf>
    <xf numFmtId="0" fontId="0" fillId="2" borderId="1" xfId="0" applyFill="1" applyBorder="1" applyAlignment="1">
      <alignment horizontal="left" vertical="center" wrapText="1"/>
    </xf>
    <xf numFmtId="0" fontId="0" fillId="2" borderId="2" xfId="0" applyFill="1" applyBorder="1" applyAlignment="1">
      <alignment horizontal="left" vertical="center" wrapText="1"/>
    </xf>
    <xf numFmtId="0" fontId="0" fillId="2" borderId="3" xfId="0" applyFill="1" applyBorder="1" applyAlignment="1">
      <alignment horizontal="left" vertical="center" wrapText="1"/>
    </xf>
    <xf numFmtId="0" fontId="0" fillId="2" borderId="4" xfId="0" applyFill="1" applyBorder="1" applyAlignment="1">
      <alignment horizontal="left" vertical="center" wrapText="1"/>
    </xf>
    <xf numFmtId="0" fontId="0" fillId="2" borderId="0" xfId="0" applyFill="1" applyAlignment="1">
      <alignment horizontal="left" vertical="center" wrapText="1"/>
    </xf>
    <xf numFmtId="0" fontId="0" fillId="2" borderId="5" xfId="0" applyFill="1" applyBorder="1" applyAlignment="1">
      <alignment horizontal="left" vertical="center" wrapText="1"/>
    </xf>
    <xf numFmtId="0" fontId="0" fillId="2" borderId="6" xfId="0" applyFill="1" applyBorder="1" applyAlignment="1">
      <alignment horizontal="left" vertical="center" wrapText="1"/>
    </xf>
    <xf numFmtId="0" fontId="0" fillId="2" borderId="10" xfId="0" applyFill="1" applyBorder="1" applyAlignment="1">
      <alignment horizontal="left" vertical="center" wrapText="1"/>
    </xf>
    <xf numFmtId="0" fontId="0" fillId="2" borderId="11" xfId="0" applyFill="1" applyBorder="1" applyAlignment="1">
      <alignment horizontal="left" vertical="center" wrapText="1"/>
    </xf>
    <xf numFmtId="0" fontId="10" fillId="5" borderId="7" xfId="0" applyFont="1" applyFill="1" applyBorder="1" applyAlignment="1">
      <alignment horizontal="center"/>
    </xf>
    <xf numFmtId="0" fontId="20" fillId="5" borderId="8" xfId="0" applyFont="1" applyFill="1" applyBorder="1" applyAlignment="1">
      <alignment horizontal="center"/>
    </xf>
    <xf numFmtId="0" fontId="20" fillId="5" borderId="9" xfId="0" applyFont="1" applyFill="1" applyBorder="1" applyAlignment="1">
      <alignment horizontal="center"/>
    </xf>
    <xf numFmtId="0" fontId="0" fillId="2" borderId="1" xfId="0" applyFont="1" applyFill="1" applyBorder="1" applyAlignment="1">
      <alignment horizontal="left" vertical="center" wrapText="1"/>
    </xf>
    <xf numFmtId="0" fontId="0" fillId="2" borderId="2" xfId="0" applyFont="1" applyFill="1" applyBorder="1" applyAlignment="1">
      <alignment horizontal="left" vertical="center" wrapText="1"/>
    </xf>
    <xf numFmtId="0" fontId="0" fillId="2" borderId="3" xfId="0" applyFont="1" applyFill="1" applyBorder="1" applyAlignment="1">
      <alignment horizontal="left" vertical="center" wrapText="1"/>
    </xf>
    <xf numFmtId="0" fontId="0" fillId="2" borderId="4" xfId="0" applyFont="1" applyFill="1" applyBorder="1" applyAlignment="1">
      <alignment horizontal="left" vertical="center" wrapText="1"/>
    </xf>
    <xf numFmtId="0" fontId="0" fillId="2" borderId="0" xfId="0" applyFont="1" applyFill="1" applyAlignment="1">
      <alignment horizontal="left" vertical="center" wrapText="1"/>
    </xf>
    <xf numFmtId="0" fontId="0" fillId="2" borderId="5" xfId="0" applyFont="1" applyFill="1" applyBorder="1" applyAlignment="1">
      <alignment horizontal="left" vertical="center" wrapText="1"/>
    </xf>
    <xf numFmtId="0" fontId="0" fillId="2" borderId="6" xfId="0" applyFont="1" applyFill="1" applyBorder="1" applyAlignment="1">
      <alignment horizontal="left" vertical="center" wrapText="1"/>
    </xf>
    <xf numFmtId="0" fontId="0" fillId="2" borderId="10" xfId="0" applyFont="1" applyFill="1" applyBorder="1" applyAlignment="1">
      <alignment horizontal="left" vertical="center" wrapText="1"/>
    </xf>
    <xf numFmtId="0" fontId="0" fillId="2" borderId="11" xfId="0" applyFont="1" applyFill="1" applyBorder="1" applyAlignment="1">
      <alignment horizontal="left" vertical="center" wrapText="1"/>
    </xf>
    <xf numFmtId="0" fontId="9" fillId="5" borderId="1" xfId="0" applyFont="1" applyFill="1" applyBorder="1" applyAlignment="1">
      <alignment horizontal="center"/>
    </xf>
    <xf numFmtId="0" fontId="9" fillId="5" borderId="2" xfId="0" applyFont="1" applyFill="1" applyBorder="1" applyAlignment="1">
      <alignment horizontal="center"/>
    </xf>
    <xf numFmtId="0" fontId="6" fillId="5" borderId="10" xfId="0" applyFont="1" applyFill="1" applyBorder="1" applyAlignment="1">
      <alignment horizontal="center"/>
    </xf>
    <xf numFmtId="0" fontId="6" fillId="5" borderId="11" xfId="0" applyFont="1" applyFill="1" applyBorder="1" applyAlignment="1">
      <alignment horizontal="center"/>
    </xf>
    <xf numFmtId="0" fontId="28" fillId="5" borderId="8" xfId="0" applyFont="1" applyFill="1" applyBorder="1" applyAlignment="1">
      <alignment horizontal="center"/>
    </xf>
    <xf numFmtId="0" fontId="28" fillId="5" borderId="9" xfId="0" applyFont="1" applyFill="1" applyBorder="1" applyAlignment="1">
      <alignment horizontal="center"/>
    </xf>
    <xf numFmtId="0" fontId="5" fillId="0" borderId="0" xfId="0" applyFont="1" applyAlignment="1">
      <alignment horizontal="left"/>
    </xf>
    <xf numFmtId="0" fontId="10" fillId="5" borderId="0" xfId="0" applyFont="1" applyFill="1" applyAlignment="1">
      <alignment horizontal="center"/>
    </xf>
    <xf numFmtId="0" fontId="15" fillId="2" borderId="1" xfId="0" applyFont="1" applyFill="1" applyBorder="1" applyAlignment="1">
      <alignment horizontal="center" vertical="center" wrapText="1"/>
    </xf>
    <xf numFmtId="0" fontId="15" fillId="2" borderId="2" xfId="0" applyFont="1" applyFill="1" applyBorder="1" applyAlignment="1">
      <alignment horizontal="center" vertical="center" wrapText="1"/>
    </xf>
    <xf numFmtId="0" fontId="15" fillId="2" borderId="3" xfId="0" applyFont="1" applyFill="1" applyBorder="1" applyAlignment="1">
      <alignment horizontal="center" vertical="center" wrapText="1"/>
    </xf>
    <xf numFmtId="0" fontId="15" fillId="2" borderId="4" xfId="0" applyFont="1" applyFill="1" applyBorder="1" applyAlignment="1">
      <alignment horizontal="center" vertical="center" wrapText="1"/>
    </xf>
    <xf numFmtId="0" fontId="15" fillId="2" borderId="0" xfId="0" applyFont="1" applyFill="1" applyAlignment="1">
      <alignment horizontal="center" vertical="center" wrapText="1"/>
    </xf>
    <xf numFmtId="0" fontId="15" fillId="2" borderId="5" xfId="0" applyFont="1" applyFill="1" applyBorder="1" applyAlignment="1">
      <alignment horizontal="center" vertical="center" wrapText="1"/>
    </xf>
    <xf numFmtId="0" fontId="15" fillId="2" borderId="6" xfId="0" applyFont="1" applyFill="1" applyBorder="1" applyAlignment="1">
      <alignment horizontal="center" vertical="center" wrapText="1"/>
    </xf>
    <xf numFmtId="0" fontId="15" fillId="2" borderId="10" xfId="0" applyFont="1" applyFill="1" applyBorder="1" applyAlignment="1">
      <alignment horizontal="center" vertical="center" wrapText="1"/>
    </xf>
    <xf numFmtId="0" fontId="15" fillId="2" borderId="11" xfId="0" applyFont="1" applyFill="1" applyBorder="1" applyAlignment="1">
      <alignment horizontal="center" vertical="center" wrapText="1"/>
    </xf>
    <xf numFmtId="0" fontId="15" fillId="2" borderId="2" xfId="0" applyFont="1" applyFill="1" applyBorder="1" applyAlignment="1">
      <alignment horizontal="center" vertical="center"/>
    </xf>
    <xf numFmtId="0" fontId="15" fillId="2" borderId="3" xfId="0" applyFont="1" applyFill="1" applyBorder="1" applyAlignment="1">
      <alignment horizontal="center" vertical="center"/>
    </xf>
    <xf numFmtId="0" fontId="15" fillId="2" borderId="4" xfId="0" applyFont="1" applyFill="1" applyBorder="1" applyAlignment="1">
      <alignment horizontal="center" vertical="center"/>
    </xf>
    <xf numFmtId="0" fontId="15" fillId="2" borderId="0" xfId="0" applyFont="1" applyFill="1" applyAlignment="1">
      <alignment horizontal="center" vertical="center"/>
    </xf>
    <xf numFmtId="0" fontId="15" fillId="2" borderId="5" xfId="0" applyFont="1" applyFill="1" applyBorder="1" applyAlignment="1">
      <alignment horizontal="center" vertical="center"/>
    </xf>
    <xf numFmtId="0" fontId="15" fillId="2" borderId="6" xfId="0" applyFont="1" applyFill="1" applyBorder="1" applyAlignment="1">
      <alignment horizontal="center" vertical="center"/>
    </xf>
    <xf numFmtId="0" fontId="15" fillId="2" borderId="10" xfId="0" applyFont="1" applyFill="1" applyBorder="1" applyAlignment="1">
      <alignment horizontal="center" vertical="center"/>
    </xf>
    <xf numFmtId="0" fontId="15" fillId="2" borderId="11" xfId="0" applyFont="1" applyFill="1" applyBorder="1" applyAlignment="1">
      <alignment horizontal="center" vertical="center"/>
    </xf>
    <xf numFmtId="0" fontId="30" fillId="5" borderId="7" xfId="0" applyFont="1" applyFill="1" applyBorder="1" applyAlignment="1">
      <alignment horizontal="center"/>
    </xf>
    <xf numFmtId="0" fontId="30" fillId="5" borderId="8" xfId="0" applyFont="1" applyFill="1" applyBorder="1" applyAlignment="1">
      <alignment horizontal="center"/>
    </xf>
    <xf numFmtId="0" fontId="30" fillId="5" borderId="9" xfId="0" applyFont="1" applyFill="1" applyBorder="1" applyAlignment="1">
      <alignment horizontal="center"/>
    </xf>
    <xf numFmtId="0" fontId="9" fillId="5" borderId="0" xfId="0" applyFont="1" applyFill="1" applyAlignment="1">
      <alignment horizontal="center"/>
    </xf>
    <xf numFmtId="0" fontId="31" fillId="5" borderId="0" xfId="0" applyFont="1" applyFill="1" applyAlignment="1">
      <alignment horizontal="center"/>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0" fillId="2" borderId="0" xfId="0" applyFill="1" applyAlignment="1">
      <alignment horizontal="center" vertical="center" wrapText="1"/>
    </xf>
    <xf numFmtId="0" fontId="0" fillId="2" borderId="5" xfId="0" applyFill="1" applyBorder="1" applyAlignment="1">
      <alignment horizontal="center" vertical="center" wrapText="1"/>
    </xf>
    <xf numFmtId="0" fontId="0" fillId="2" borderId="6" xfId="0" applyFill="1" applyBorder="1" applyAlignment="1">
      <alignment horizontal="center" vertical="center" wrapText="1"/>
    </xf>
    <xf numFmtId="0" fontId="0" fillId="2" borderId="10" xfId="0" applyFill="1" applyBorder="1" applyAlignment="1">
      <alignment horizontal="center" vertical="center" wrapText="1"/>
    </xf>
    <xf numFmtId="0" fontId="0" fillId="2" borderId="11" xfId="0" applyFill="1" applyBorder="1" applyAlignment="1">
      <alignment horizontal="center" vertical="center" wrapText="1"/>
    </xf>
    <xf numFmtId="0" fontId="28" fillId="5" borderId="10" xfId="0" applyFont="1" applyFill="1" applyBorder="1" applyAlignment="1">
      <alignment horizontal="center" vertical="center"/>
    </xf>
    <xf numFmtId="0" fontId="28" fillId="5" borderId="10" xfId="0" applyFont="1" applyFill="1" applyBorder="1" applyAlignment="1">
      <alignment horizontal="center"/>
    </xf>
    <xf numFmtId="0" fontId="21" fillId="0" borderId="0" xfId="0" applyFont="1" applyAlignment="1">
      <alignment horizontal="center"/>
    </xf>
    <xf numFmtId="0" fontId="24" fillId="0" borderId="0" xfId="0" applyFont="1" applyAlignment="1">
      <alignment horizontal="center"/>
    </xf>
    <xf numFmtId="0" fontId="0" fillId="2" borderId="1" xfId="0" applyFill="1" applyBorder="1" applyAlignment="1">
      <alignment horizontal="center" vertical="top" wrapText="1"/>
    </xf>
    <xf numFmtId="0" fontId="0" fillId="2" borderId="2" xfId="0" applyFill="1" applyBorder="1" applyAlignment="1">
      <alignment horizontal="center" vertical="top" wrapText="1"/>
    </xf>
    <xf numFmtId="0" fontId="0" fillId="2" borderId="3" xfId="0" applyFill="1" applyBorder="1" applyAlignment="1">
      <alignment horizontal="center" vertical="top" wrapText="1"/>
    </xf>
    <xf numFmtId="0" fontId="0" fillId="2" borderId="6" xfId="0" applyFill="1" applyBorder="1" applyAlignment="1">
      <alignment horizontal="center" vertical="top" wrapText="1"/>
    </xf>
    <xf numFmtId="0" fontId="0" fillId="2" borderId="10" xfId="0" applyFill="1" applyBorder="1" applyAlignment="1">
      <alignment horizontal="center" vertical="top" wrapText="1"/>
    </xf>
    <xf numFmtId="0" fontId="0" fillId="2" borderId="11" xfId="0" applyFill="1" applyBorder="1" applyAlignment="1">
      <alignment horizontal="center" vertical="top" wrapText="1"/>
    </xf>
    <xf numFmtId="0" fontId="0" fillId="2" borderId="1" xfId="0" applyFill="1" applyBorder="1" applyAlignment="1">
      <alignment horizontal="center" wrapText="1"/>
    </xf>
    <xf numFmtId="0" fontId="0" fillId="2" borderId="2" xfId="0" applyFill="1" applyBorder="1" applyAlignment="1">
      <alignment horizontal="center" wrapText="1"/>
    </xf>
    <xf numFmtId="0" fontId="0" fillId="2" borderId="3" xfId="0" applyFill="1" applyBorder="1" applyAlignment="1">
      <alignment horizontal="center" wrapText="1"/>
    </xf>
    <xf numFmtId="0" fontId="0" fillId="2" borderId="6" xfId="0" applyFill="1" applyBorder="1" applyAlignment="1">
      <alignment horizontal="center" wrapText="1"/>
    </xf>
    <xf numFmtId="0" fontId="0" fillId="2" borderId="10" xfId="0" applyFill="1" applyBorder="1" applyAlignment="1">
      <alignment horizontal="center" wrapText="1"/>
    </xf>
    <xf numFmtId="0" fontId="0" fillId="2" borderId="11" xfId="0" applyFill="1" applyBorder="1" applyAlignment="1">
      <alignment horizontal="center" wrapText="1"/>
    </xf>
    <xf numFmtId="0" fontId="0" fillId="2" borderId="1" xfId="0" applyFill="1" applyBorder="1" applyAlignment="1">
      <alignment horizontal="left" vertical="top" wrapText="1"/>
    </xf>
    <xf numFmtId="0" fontId="0" fillId="2" borderId="2" xfId="0" applyFill="1" applyBorder="1" applyAlignment="1">
      <alignment horizontal="left" vertical="top" wrapText="1"/>
    </xf>
    <xf numFmtId="0" fontId="0" fillId="2" borderId="3" xfId="0" applyFill="1" applyBorder="1" applyAlignment="1">
      <alignment horizontal="left" vertical="top" wrapText="1"/>
    </xf>
    <xf numFmtId="0" fontId="0" fillId="2" borderId="4" xfId="0" applyFill="1" applyBorder="1" applyAlignment="1">
      <alignment horizontal="left" vertical="top" wrapText="1"/>
    </xf>
    <xf numFmtId="0" fontId="0" fillId="2" borderId="0" xfId="0" applyFill="1" applyAlignment="1">
      <alignment horizontal="left" vertical="top" wrapText="1"/>
    </xf>
    <xf numFmtId="0" fontId="0" fillId="2" borderId="5" xfId="0" applyFill="1" applyBorder="1" applyAlignment="1">
      <alignment horizontal="left" vertical="top" wrapText="1"/>
    </xf>
    <xf numFmtId="0" fontId="0" fillId="2" borderId="6" xfId="0" applyFill="1" applyBorder="1" applyAlignment="1">
      <alignment horizontal="left" vertical="top" wrapText="1"/>
    </xf>
    <xf numFmtId="0" fontId="0" fillId="2" borderId="10" xfId="0" applyFill="1" applyBorder="1" applyAlignment="1">
      <alignment horizontal="left" vertical="top" wrapText="1"/>
    </xf>
    <xf numFmtId="0" fontId="0" fillId="2" borderId="11" xfId="0" applyFill="1" applyBorder="1" applyAlignment="1">
      <alignment horizontal="left" vertical="top" wrapText="1"/>
    </xf>
    <xf numFmtId="0" fontId="0" fillId="2" borderId="1" xfId="0" applyFill="1" applyBorder="1" applyAlignment="1">
      <alignment horizontal="left" wrapText="1"/>
    </xf>
    <xf numFmtId="0" fontId="0" fillId="2" borderId="2" xfId="0" applyFill="1" applyBorder="1" applyAlignment="1">
      <alignment horizontal="left" wrapText="1"/>
    </xf>
    <xf numFmtId="0" fontId="0" fillId="2" borderId="3" xfId="0" applyFill="1" applyBorder="1" applyAlignment="1">
      <alignment horizontal="left" wrapText="1"/>
    </xf>
    <xf numFmtId="0" fontId="0" fillId="2" borderId="4" xfId="0" applyFill="1" applyBorder="1" applyAlignment="1">
      <alignment horizontal="left" wrapText="1"/>
    </xf>
    <xf numFmtId="0" fontId="0" fillId="2" borderId="0" xfId="0" applyFill="1" applyAlignment="1">
      <alignment horizontal="left" wrapText="1"/>
    </xf>
    <xf numFmtId="0" fontId="0" fillId="2" borderId="5" xfId="0" applyFill="1" applyBorder="1" applyAlignment="1">
      <alignment horizontal="left" wrapText="1"/>
    </xf>
    <xf numFmtId="0" fontId="0" fillId="2" borderId="6" xfId="0" applyFill="1" applyBorder="1" applyAlignment="1">
      <alignment horizontal="left" wrapText="1"/>
    </xf>
    <xf numFmtId="0" fontId="0" fillId="2" borderId="10" xfId="0" applyFill="1" applyBorder="1" applyAlignment="1">
      <alignment horizontal="left" wrapText="1"/>
    </xf>
    <xf numFmtId="0" fontId="0" fillId="2" borderId="11" xfId="0" applyFill="1" applyBorder="1" applyAlignment="1">
      <alignment horizontal="left" wrapText="1"/>
    </xf>
    <xf numFmtId="0" fontId="10" fillId="5" borderId="7" xfId="0" applyFont="1" applyFill="1" applyBorder="1" applyAlignment="1">
      <alignment horizontal="center" vertical="center"/>
    </xf>
    <xf numFmtId="0" fontId="10" fillId="5" borderId="8" xfId="0" applyFont="1" applyFill="1" applyBorder="1" applyAlignment="1">
      <alignment horizontal="center" vertical="center"/>
    </xf>
    <xf numFmtId="0" fontId="10" fillId="5" borderId="9" xfId="0" applyFont="1" applyFill="1" applyBorder="1" applyAlignment="1">
      <alignment horizontal="center" vertical="center"/>
    </xf>
    <xf numFmtId="0" fontId="0" fillId="0" borderId="0" xfId="0" applyAlignment="1">
      <alignment horizontal="center"/>
    </xf>
    <xf numFmtId="0" fontId="8" fillId="5" borderId="0" xfId="0" applyFont="1" applyFill="1" applyAlignment="1">
      <alignment horizontal="center" vertical="center"/>
    </xf>
    <xf numFmtId="0" fontId="8" fillId="5" borderId="10" xfId="0" applyFont="1" applyFill="1" applyBorder="1" applyAlignment="1">
      <alignment horizontal="center" vertical="center"/>
    </xf>
    <xf numFmtId="0" fontId="10" fillId="5" borderId="17" xfId="0" applyFont="1" applyFill="1" applyBorder="1" applyAlignment="1">
      <alignment horizontal="center" vertical="center"/>
    </xf>
    <xf numFmtId="0" fontId="10" fillId="5" borderId="21" xfId="0" applyFont="1" applyFill="1" applyBorder="1" applyAlignment="1">
      <alignment horizontal="center" vertical="center"/>
    </xf>
    <xf numFmtId="0" fontId="5" fillId="5" borderId="21" xfId="0" applyFont="1" applyFill="1" applyBorder="1" applyAlignment="1">
      <alignment horizontal="center" vertical="center"/>
    </xf>
    <xf numFmtId="0" fontId="5" fillId="5" borderId="30" xfId="0" applyFont="1" applyFill="1" applyBorder="1" applyAlignment="1">
      <alignment horizontal="center" vertical="center"/>
    </xf>
    <xf numFmtId="0" fontId="5" fillId="5" borderId="17" xfId="0" applyFont="1" applyFill="1" applyBorder="1" applyAlignment="1">
      <alignment horizontal="center" vertical="center"/>
    </xf>
    <xf numFmtId="0" fontId="9" fillId="5" borderId="1" xfId="0" applyFont="1" applyFill="1" applyBorder="1" applyAlignment="1">
      <alignment horizontal="center" vertical="center"/>
    </xf>
    <xf numFmtId="0" fontId="9" fillId="5" borderId="2" xfId="0" applyFont="1" applyFill="1" applyBorder="1" applyAlignment="1">
      <alignment horizontal="center" vertical="center"/>
    </xf>
    <xf numFmtId="0" fontId="9" fillId="5" borderId="4" xfId="0" applyFont="1" applyFill="1" applyBorder="1" applyAlignment="1">
      <alignment horizontal="center" vertical="center"/>
    </xf>
    <xf numFmtId="0" fontId="9" fillId="5" borderId="0" xfId="0" applyFont="1" applyFill="1" applyAlignment="1">
      <alignment horizontal="center" vertical="center"/>
    </xf>
    <xf numFmtId="0" fontId="9" fillId="5" borderId="6" xfId="0" applyFont="1" applyFill="1" applyBorder="1" applyAlignment="1">
      <alignment horizontal="center" vertical="center"/>
    </xf>
    <xf numFmtId="0" fontId="9" fillId="5" borderId="10" xfId="0" applyFont="1" applyFill="1" applyBorder="1" applyAlignment="1">
      <alignment horizontal="center" vertical="center"/>
    </xf>
    <xf numFmtId="0" fontId="25" fillId="0" borderId="0" xfId="0" applyFont="1" applyAlignment="1">
      <alignment horizontal="left"/>
    </xf>
    <xf numFmtId="0" fontId="0" fillId="2" borderId="1" xfId="0" applyFill="1" applyBorder="1" applyAlignment="1">
      <alignment horizontal="center" vertical="center" wrapText="1"/>
    </xf>
    <xf numFmtId="0" fontId="0" fillId="2" borderId="4" xfId="0" applyFill="1" applyBorder="1" applyAlignment="1">
      <alignment horizontal="center" wrapText="1"/>
    </xf>
    <xf numFmtId="0" fontId="0" fillId="2" borderId="0" xfId="0" applyFill="1" applyAlignment="1">
      <alignment horizontal="center" wrapText="1"/>
    </xf>
    <xf numFmtId="0" fontId="0" fillId="2" borderId="5" xfId="0" applyFill="1" applyBorder="1" applyAlignment="1">
      <alignment horizontal="center" wrapText="1"/>
    </xf>
    <xf numFmtId="0" fontId="1" fillId="0" borderId="0" xfId="0" applyFont="1" applyAlignment="1">
      <alignment horizontal="center"/>
    </xf>
    <xf numFmtId="0" fontId="1" fillId="0" borderId="5" xfId="0" applyFont="1" applyBorder="1" applyAlignment="1">
      <alignment horizontal="center"/>
    </xf>
    <xf numFmtId="0" fontId="0" fillId="2" borderId="2" xfId="0" applyFill="1" applyBorder="1" applyAlignment="1">
      <alignment horizontal="center" vertical="top"/>
    </xf>
    <xf numFmtId="0" fontId="0" fillId="2" borderId="3" xfId="0" applyFill="1" applyBorder="1" applyAlignment="1">
      <alignment horizontal="center" vertical="top"/>
    </xf>
    <xf numFmtId="0" fontId="0" fillId="2" borderId="4" xfId="0" applyFill="1" applyBorder="1" applyAlignment="1">
      <alignment horizontal="center" vertical="top"/>
    </xf>
    <xf numFmtId="0" fontId="0" fillId="2" borderId="0" xfId="0" applyFill="1" applyAlignment="1">
      <alignment horizontal="center" vertical="top"/>
    </xf>
    <xf numFmtId="0" fontId="0" fillId="2" borderId="5" xfId="0" applyFill="1" applyBorder="1" applyAlignment="1">
      <alignment horizontal="center" vertical="top"/>
    </xf>
    <xf numFmtId="0" fontId="0" fillId="2" borderId="6" xfId="0" applyFill="1" applyBorder="1" applyAlignment="1">
      <alignment horizontal="center" vertical="top"/>
    </xf>
    <xf numFmtId="0" fontId="0" fillId="2" borderId="10" xfId="0" applyFill="1" applyBorder="1" applyAlignment="1">
      <alignment horizontal="center" vertical="top"/>
    </xf>
    <xf numFmtId="0" fontId="0" fillId="2" borderId="11" xfId="0" applyFill="1" applyBorder="1" applyAlignment="1">
      <alignment horizontal="center" vertical="top"/>
    </xf>
    <xf numFmtId="0" fontId="14" fillId="5" borderId="0" xfId="0" applyFont="1" applyFill="1" applyAlignment="1">
      <alignment horizontal="center"/>
    </xf>
  </cellXfs>
  <cellStyles count="11">
    <cellStyle name="20% - Accent1 2" xfId="6" xr:uid="{00000000-0005-0000-0000-000000000000}"/>
    <cellStyle name="Comma 2" xfId="4" xr:uid="{00000000-0005-0000-0000-000001000000}"/>
    <cellStyle name="Comma 2 2" xfId="9" xr:uid="{00000000-0005-0000-0000-000002000000}"/>
    <cellStyle name="Comma 3" xfId="2" xr:uid="{00000000-0005-0000-0000-000003000000}"/>
    <cellStyle name="Comma 3 2" xfId="8" xr:uid="{00000000-0005-0000-0000-000004000000}"/>
    <cellStyle name="Currency 2" xfId="7" xr:uid="{00000000-0005-0000-0000-000005000000}"/>
    <cellStyle name="Currency 2 2" xfId="10" xr:uid="{00000000-0005-0000-0000-000006000000}"/>
    <cellStyle name="Normal" xfId="0" builtinId="0"/>
    <cellStyle name="Normal 2" xfId="3" xr:uid="{00000000-0005-0000-0000-000008000000}"/>
    <cellStyle name="Percent" xfId="1" builtinId="5"/>
    <cellStyle name="Percent 2" xfId="5" xr:uid="{00000000-0005-0000-0000-00000A000000}"/>
  </cellStyles>
  <dxfs count="12">
    <dxf>
      <fill>
        <patternFill patternType="solid">
          <fgColor rgb="FFD8D8D8"/>
          <bgColor rgb="FFD8D8D8"/>
        </patternFill>
      </fill>
    </dxf>
    <dxf>
      <fill>
        <patternFill patternType="solid">
          <fgColor rgb="FFA5A5A5"/>
          <bgColor rgb="FFA5A5A5"/>
        </patternFill>
      </fill>
    </dxf>
    <dxf>
      <fill>
        <patternFill patternType="solid">
          <fgColor theme="0"/>
          <bgColor theme="0"/>
        </patternFill>
      </fill>
    </dxf>
    <dxf>
      <fill>
        <patternFill patternType="solid">
          <fgColor rgb="FFD8D8D8"/>
          <bgColor rgb="FFD8D8D8"/>
        </patternFill>
      </fill>
    </dxf>
    <dxf>
      <fill>
        <patternFill patternType="solid">
          <fgColor rgb="FFA5A5A5"/>
          <bgColor rgb="FFA5A5A5"/>
        </patternFill>
      </fill>
    </dxf>
    <dxf>
      <fill>
        <patternFill patternType="solid">
          <fgColor theme="0"/>
          <bgColor theme="0"/>
        </patternFill>
      </fill>
    </dxf>
    <dxf>
      <fill>
        <patternFill patternType="solid">
          <fgColor rgb="FFD8D8D8"/>
          <bgColor rgb="FFD8D8D8"/>
        </patternFill>
      </fill>
    </dxf>
    <dxf>
      <fill>
        <patternFill patternType="solid">
          <fgColor rgb="FFA5A5A5"/>
          <bgColor rgb="FFA5A5A5"/>
        </patternFill>
      </fill>
    </dxf>
    <dxf>
      <fill>
        <patternFill patternType="solid">
          <fgColor theme="0"/>
          <bgColor theme="0"/>
        </patternFill>
      </fill>
    </dxf>
    <dxf>
      <fill>
        <patternFill patternType="solid">
          <fgColor rgb="FFD8D8D8"/>
          <bgColor rgb="FFD8D8D8"/>
        </patternFill>
      </fill>
    </dxf>
    <dxf>
      <fill>
        <patternFill patternType="solid">
          <fgColor rgb="FFA5A5A5"/>
          <bgColor rgb="FFA5A5A5"/>
        </patternFill>
      </fill>
    </dxf>
    <dxf>
      <fill>
        <patternFill patternType="solid">
          <fgColor theme="0"/>
          <bgColor theme="0"/>
        </patternFill>
      </fill>
    </dxf>
  </dxfs>
  <tableStyles count="5" defaultTableStyle="TableStyleMedium2" defaultPivotStyle="PivotStyleLight16">
    <tableStyle name="10 Year Highlight-style" pivot="0" count="3" xr9:uid="{00000000-0011-0000-FFFF-FFFF00000000}">
      <tableStyleElement type="headerRow" dxfId="11"/>
      <tableStyleElement type="firstRowStripe" dxfId="10"/>
      <tableStyleElement type="secondRowStripe" dxfId="9"/>
    </tableStyle>
    <tableStyle name="Balance Sheet-style" pivot="0" count="3" xr9:uid="{00000000-0011-0000-FFFF-FFFF01000000}">
      <tableStyleElement type="headerRow" dxfId="8"/>
      <tableStyleElement type="firstRowStripe" dxfId="7"/>
      <tableStyleElement type="secondRowStripe" dxfId="6"/>
    </tableStyle>
    <tableStyle name="Income Statement-style" pivot="0" count="3" xr9:uid="{00000000-0011-0000-FFFF-FFFF02000000}">
      <tableStyleElement type="headerRow" dxfId="5"/>
      <tableStyleElement type="firstRowStripe" dxfId="4"/>
      <tableStyleElement type="secondRowStripe" dxfId="3"/>
    </tableStyle>
    <tableStyle name="Cash Flow-style" pivot="0" count="3" xr9:uid="{00000000-0011-0000-FFFF-FFFF03000000}">
      <tableStyleElement type="headerRow" dxfId="2"/>
      <tableStyleElement type="firstRowStripe" dxfId="1"/>
      <tableStyleElement type="secondRowStripe" dxfId="0"/>
    </tableStyle>
    <tableStyle name="Invisible" pivot="0" table="0" count="0" xr9:uid="{00000000-0011-0000-FFFF-FFFF04000000}"/>
  </tableStyles>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COLGATE-PALMOLIVE SALES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CF9-4252-846A-DA14023FC4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CF9-4252-846A-DA14023FC41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CF9-4252-846A-DA14023FC41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CF9-4252-846A-DA14023FC414}"/>
              </c:ext>
            </c:extLst>
          </c:dPt>
          <c:dLbls>
            <c:dLbl>
              <c:idx val="0"/>
              <c:dLblPos val="ctr"/>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CF9-4252-846A-DA14023FC414}"/>
                </c:ext>
              </c:extLst>
            </c:dLbl>
            <c:dLbl>
              <c:idx val="1"/>
              <c:dLblPos val="ctr"/>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CF9-4252-846A-DA14023FC414}"/>
                </c:ext>
              </c:extLst>
            </c:dLbl>
            <c:dLbl>
              <c:idx val="2"/>
              <c:dLblPos val="ctr"/>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CF9-4252-846A-DA14023FC414}"/>
                </c:ext>
              </c:extLst>
            </c:dLbl>
            <c:dLbl>
              <c:idx val="3"/>
              <c:dLblPos val="ctr"/>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2CF9-4252-846A-DA14023FC41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'[1]About company'!$F$6:$F$9</c:f>
              <c:numCache>
                <c:formatCode>General</c:formatCode>
                <c:ptCount val="4"/>
                <c:pt idx="0" formatCode="#,##0">
                  <c:v>9832</c:v>
                </c:pt>
                <c:pt idx="1">
                  <c:v>2830</c:v>
                </c:pt>
                <c:pt idx="2">
                  <c:v>1900</c:v>
                </c:pt>
                <c:pt idx="3">
                  <c:v>2172</c:v>
                </c:pt>
              </c:numCache>
            </c:numRef>
          </c:val>
          <c:extLst>
            <c:ext xmlns:c16="http://schemas.microsoft.com/office/drawing/2014/chart" uri="{C3380CC4-5D6E-409C-BE32-E72D297353CC}">
              <c16:uniqueId val="{00000008-2CF9-4252-846A-DA14023FC41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Across Globe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6D3-4F4B-BE83-68C758DA90E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6D3-4F4B-BE83-68C758DA90E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6D3-4F4B-BE83-68C758DA90E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6D3-4F4B-BE83-68C758DA90EF}"/>
              </c:ext>
            </c:extLst>
          </c:dPt>
          <c:dLbls>
            <c:dLbl>
              <c:idx val="0"/>
              <c:dLblPos val="ctr"/>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6D3-4F4B-BE83-68C758DA90EF}"/>
                </c:ext>
              </c:extLst>
            </c:dLbl>
            <c:dLbl>
              <c:idx val="1"/>
              <c:dLblPos val="ctr"/>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6D3-4F4B-BE83-68C758DA90EF}"/>
                </c:ext>
              </c:extLst>
            </c:dLbl>
            <c:dLbl>
              <c:idx val="2"/>
              <c:dLblPos val="ctr"/>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6D3-4F4B-BE83-68C758DA90EF}"/>
                </c:ext>
              </c:extLst>
            </c:dLbl>
            <c:dLbl>
              <c:idx val="3"/>
              <c:dLblPos val="ctr"/>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D6D3-4F4B-BE83-68C758DA90E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'[1]About company'!$E$31:$E$34</c:f>
              <c:numCache>
                <c:formatCode>General</c:formatCode>
                <c:ptCount val="4"/>
                <c:pt idx="0">
                  <c:v>2995</c:v>
                </c:pt>
                <c:pt idx="1">
                  <c:v>4778</c:v>
                </c:pt>
                <c:pt idx="2">
                  <c:v>3508</c:v>
                </c:pt>
                <c:pt idx="3">
                  <c:v>3281</c:v>
                </c:pt>
              </c:numCache>
            </c:numRef>
          </c:val>
          <c:extLst>
            <c:ext xmlns:c16="http://schemas.microsoft.com/office/drawing/2014/chart" uri="{C3380CC4-5D6E-409C-BE32-E72D297353CC}">
              <c16:uniqueId val="{00000008-D6D3-4F4B-BE83-68C758DA90E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90647</xdr:colOff>
      <xdr:row>15</xdr:row>
      <xdr:rowOff>123298</xdr:rowOff>
    </xdr:from>
    <xdr:to>
      <xdr:col>4</xdr:col>
      <xdr:colOff>364055</xdr:colOff>
      <xdr:row>31</xdr:row>
      <xdr:rowOff>73653</xdr:rowOff>
    </xdr:to>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254374</xdr:colOff>
      <xdr:row>14</xdr:row>
      <xdr:rowOff>164727</xdr:rowOff>
    </xdr:from>
    <xdr:to>
      <xdr:col>12</xdr:col>
      <xdr:colOff>420968</xdr:colOff>
      <xdr:row>29</xdr:row>
      <xdr:rowOff>145677</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326570</xdr:colOff>
      <xdr:row>15</xdr:row>
      <xdr:rowOff>122464</xdr:rowOff>
    </xdr:from>
    <xdr:to>
      <xdr:col>15</xdr:col>
      <xdr:colOff>1568112</xdr:colOff>
      <xdr:row>29</xdr:row>
      <xdr:rowOff>108288</xdr:rowOff>
    </xdr:to>
    <xdr:pic>
      <xdr:nvPicPr>
        <xdr:cNvPr id="4" name="Picture 3">
          <a:extLst>
            <a:ext uri="{FF2B5EF4-FFF2-40B4-BE49-F238E27FC236}">
              <a16:creationId xmlns:a16="http://schemas.microsoft.com/office/drawing/2014/main" id="{2462F502-0673-F4CA-7440-B6B810366699}"/>
            </a:ext>
          </a:extLst>
        </xdr:cNvPr>
        <xdr:cNvPicPr>
          <a:picLocks noChangeAspect="1"/>
        </xdr:cNvPicPr>
      </xdr:nvPicPr>
      <xdr:blipFill>
        <a:blip xmlns:r="http://schemas.openxmlformats.org/officeDocument/2006/relationships" r:embed="rId3"/>
        <a:stretch>
          <a:fillRect/>
        </a:stretch>
      </xdr:blipFill>
      <xdr:spPr>
        <a:xfrm>
          <a:off x="12572999" y="3061607"/>
          <a:ext cx="4616113" cy="26528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370416</xdr:colOff>
      <xdr:row>13</xdr:row>
      <xdr:rowOff>141818</xdr:rowOff>
    </xdr:from>
    <xdr:to>
      <xdr:col>17</xdr:col>
      <xdr:colOff>84666</xdr:colOff>
      <xdr:row>32</xdr:row>
      <xdr:rowOff>10584</xdr:rowOff>
    </xdr:to>
    <xdr:sp macro="" textlink="">
      <xdr:nvSpPr>
        <xdr:cNvPr id="2" name="TextBox 1">
          <a:extLst>
            <a:ext uri="{FF2B5EF4-FFF2-40B4-BE49-F238E27FC236}">
              <a16:creationId xmlns:a16="http://schemas.microsoft.com/office/drawing/2014/main" id="{23C45186-6B23-AC2C-D4E2-1F6796836073}"/>
            </a:ext>
          </a:extLst>
        </xdr:cNvPr>
        <xdr:cNvSpPr txBox="1"/>
      </xdr:nvSpPr>
      <xdr:spPr>
        <a:xfrm>
          <a:off x="370416" y="2713568"/>
          <a:ext cx="11673417" cy="34882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dk1"/>
              </a:solidFill>
              <a:effectLst/>
              <a:latin typeface="+mn-lt"/>
              <a:ea typeface="+mn-ea"/>
              <a:cs typeface="+mn-cs"/>
            </a:rPr>
            <a:t>Interpretation </a:t>
          </a:r>
        </a:p>
        <a:p>
          <a:pPr algn="ctr"/>
          <a:endParaRPr lang="en-IN">
            <a:effectLst/>
          </a:endParaRPr>
        </a:p>
        <a:p>
          <a:r>
            <a:rPr lang="en-IN" sz="1100">
              <a:solidFill>
                <a:schemeClr val="dk1"/>
              </a:solidFill>
              <a:effectLst/>
              <a:latin typeface="+mn-lt"/>
              <a:ea typeface="+mn-ea"/>
              <a:cs typeface="+mn-cs"/>
            </a:rPr>
            <a:t>Colgate's revenue primarily comes from its Oral, Personal, and Home Care segment, which generates $14,562 million, accounting for </a:t>
          </a:r>
          <a:r>
            <a:rPr lang="en-IN" sz="1100" b="1">
              <a:solidFill>
                <a:schemeClr val="dk1"/>
              </a:solidFill>
              <a:effectLst/>
              <a:latin typeface="+mn-lt"/>
              <a:ea typeface="+mn-ea"/>
              <a:cs typeface="+mn-cs"/>
            </a:rPr>
            <a:t>87.02</a:t>
          </a:r>
          <a:r>
            <a:rPr lang="en-IN" sz="1100">
              <a:solidFill>
                <a:schemeClr val="dk1"/>
              </a:solidFill>
              <a:effectLst/>
              <a:latin typeface="+mn-lt"/>
              <a:ea typeface="+mn-ea"/>
              <a:cs typeface="+mn-cs"/>
            </a:rPr>
            <a:t>% of total net sales, making it the dominant contributor to the company's overall earnings. Within this segment, Latin America emerges as the highest revenue-generating region with $4,778 million, followed by Europe/South Pacific at $3,508 million, Greater Asia/Africa at $3,281 million, and North America at $2,995 million. This indicates that </a:t>
          </a:r>
          <a:r>
            <a:rPr lang="en-IN" sz="1100" b="1">
              <a:solidFill>
                <a:schemeClr val="dk1"/>
              </a:solidFill>
              <a:effectLst/>
              <a:latin typeface="+mn-lt"/>
              <a:ea typeface="+mn-ea"/>
              <a:cs typeface="+mn-cs"/>
            </a:rPr>
            <a:t>Colgate has a strong international </a:t>
          </a:r>
          <a:r>
            <a:rPr lang="en-IN" sz="1100">
              <a:solidFill>
                <a:schemeClr val="dk1"/>
              </a:solidFill>
              <a:effectLst/>
              <a:latin typeface="+mn-lt"/>
              <a:ea typeface="+mn-ea"/>
              <a:cs typeface="+mn-cs"/>
            </a:rPr>
            <a:t>presence, with Latin America being a particularly significant market.</a:t>
          </a:r>
        </a:p>
        <a:p>
          <a:endParaRPr lang="en-IN" sz="1100">
            <a:solidFill>
              <a:schemeClr val="dk1"/>
            </a:solidFill>
            <a:effectLst/>
            <a:latin typeface="+mn-lt"/>
            <a:ea typeface="+mn-ea"/>
            <a:cs typeface="+mn-cs"/>
          </a:endParaRPr>
        </a:p>
        <a:p>
          <a:r>
            <a:rPr lang="en-IN" b="1"/>
            <a:t>Latin America</a:t>
          </a:r>
          <a:r>
            <a:rPr lang="en-IN"/>
            <a:t>: $4,778 million (</a:t>
          </a:r>
          <a:r>
            <a:rPr lang="en-IN" b="1"/>
            <a:t>28.54%</a:t>
          </a:r>
          <a:r>
            <a:rPr lang="en-IN"/>
            <a:t>) – </a:t>
          </a:r>
          <a:r>
            <a:rPr lang="en-IN" b="1"/>
            <a:t>largest revenue contributor</a:t>
          </a:r>
        </a:p>
        <a:p>
          <a:r>
            <a:rPr lang="en-IN" b="1"/>
            <a:t>Europe/South Pacific</a:t>
          </a:r>
          <a:r>
            <a:rPr lang="en-IN"/>
            <a:t>: $3,508 million (</a:t>
          </a:r>
          <a:r>
            <a:rPr lang="en-IN" b="1"/>
            <a:t>20.96%</a:t>
          </a:r>
          <a:r>
            <a:rPr lang="en-IN"/>
            <a:t>)</a:t>
          </a:r>
        </a:p>
        <a:p>
          <a:r>
            <a:rPr lang="en-IN" b="1"/>
            <a:t>Greater Asia/Africa</a:t>
          </a:r>
          <a:r>
            <a:rPr lang="en-IN"/>
            <a:t>: $3,281 million (</a:t>
          </a:r>
          <a:r>
            <a:rPr lang="en-IN" b="1"/>
            <a:t>19.61%</a:t>
          </a:r>
          <a:r>
            <a:rPr lang="en-IN"/>
            <a:t>)</a:t>
          </a:r>
        </a:p>
        <a:p>
          <a:r>
            <a:rPr lang="en-IN" b="1"/>
            <a:t>North America</a:t>
          </a:r>
          <a:r>
            <a:rPr lang="en-IN"/>
            <a:t>: $2,995 million (</a:t>
          </a:r>
          <a:r>
            <a:rPr lang="en-IN" b="1"/>
            <a:t>17.91%</a:t>
          </a:r>
          <a:r>
            <a:rPr lang="en-IN"/>
            <a:t>)</a:t>
          </a:r>
          <a:endParaRPr lang="en-IN" sz="1100">
            <a:solidFill>
              <a:schemeClr val="dk1"/>
            </a:solidFill>
            <a:effectLst/>
            <a:latin typeface="+mn-lt"/>
            <a:ea typeface="+mn-ea"/>
            <a:cs typeface="+mn-cs"/>
          </a:endParaRPr>
        </a:p>
        <a:p>
          <a:endParaRPr lang="en-IN">
            <a:effectLst/>
          </a:endParaRPr>
        </a:p>
        <a:p>
          <a:r>
            <a:rPr lang="en-IN" sz="1100">
              <a:solidFill>
                <a:schemeClr val="dk1"/>
              </a:solidFill>
              <a:effectLst/>
              <a:latin typeface="+mn-lt"/>
              <a:ea typeface="+mn-ea"/>
              <a:cs typeface="+mn-cs"/>
            </a:rPr>
            <a:t>In addition to oral and personal care products, Colgate also generates revenue from its Pet Nutrition segment, contributing $2,172 million in net sales </a:t>
          </a:r>
          <a:r>
            <a:rPr lang="en-IN"/>
            <a:t>(</a:t>
          </a:r>
          <a:r>
            <a:rPr lang="en-IN" b="1"/>
            <a:t>12.98%</a:t>
          </a:r>
          <a:r>
            <a:rPr lang="en-IN"/>
            <a:t> of total revenue)</a:t>
          </a:r>
          <a:r>
            <a:rPr lang="en-IN" sz="1100">
              <a:solidFill>
                <a:schemeClr val="dk1"/>
              </a:solidFill>
              <a:effectLst/>
              <a:latin typeface="+mn-lt"/>
              <a:ea typeface="+mn-ea"/>
              <a:cs typeface="+mn-cs"/>
            </a:rPr>
            <a:t>. While </a:t>
          </a:r>
          <a:r>
            <a:rPr lang="en-IN" sz="1100" b="1">
              <a:solidFill>
                <a:schemeClr val="dk1"/>
              </a:solidFill>
              <a:effectLst/>
              <a:latin typeface="+mn-lt"/>
              <a:ea typeface="+mn-ea"/>
              <a:cs typeface="+mn-cs"/>
            </a:rPr>
            <a:t>smaller</a:t>
          </a:r>
          <a:r>
            <a:rPr lang="en-IN" sz="1100">
              <a:solidFill>
                <a:schemeClr val="dk1"/>
              </a:solidFill>
              <a:effectLst/>
              <a:latin typeface="+mn-lt"/>
              <a:ea typeface="+mn-ea"/>
              <a:cs typeface="+mn-cs"/>
            </a:rPr>
            <a:t> compared to the </a:t>
          </a:r>
          <a:r>
            <a:rPr lang="en-IN" sz="1100" b="1">
              <a:solidFill>
                <a:schemeClr val="dk1"/>
              </a:solidFill>
              <a:effectLst/>
              <a:latin typeface="+mn-lt"/>
              <a:ea typeface="+mn-ea"/>
              <a:cs typeface="+mn-cs"/>
            </a:rPr>
            <a:t>core business</a:t>
          </a:r>
          <a:r>
            <a:rPr lang="en-IN" sz="1100">
              <a:solidFill>
                <a:schemeClr val="dk1"/>
              </a:solidFill>
              <a:effectLst/>
              <a:latin typeface="+mn-lt"/>
              <a:ea typeface="+mn-ea"/>
              <a:cs typeface="+mn-cs"/>
            </a:rPr>
            <a:t>, this segment still plays an important role in the company's overall financial performance. The corporate division, on the other hand, does not contribute to revenue and instead reports an </a:t>
          </a:r>
          <a:r>
            <a:rPr lang="en-IN" sz="1100" b="1">
              <a:solidFill>
                <a:schemeClr val="dk1"/>
              </a:solidFill>
              <a:effectLst/>
              <a:latin typeface="+mn-lt"/>
              <a:ea typeface="+mn-ea"/>
              <a:cs typeface="+mn-cs"/>
            </a:rPr>
            <a:t>operating loss of $446 million</a:t>
          </a:r>
          <a:r>
            <a:rPr lang="en-IN" sz="1100">
              <a:solidFill>
                <a:schemeClr val="dk1"/>
              </a:solidFill>
              <a:effectLst/>
              <a:latin typeface="+mn-lt"/>
              <a:ea typeface="+mn-ea"/>
              <a:cs typeface="+mn-cs"/>
            </a:rPr>
            <a:t>.</a:t>
          </a:r>
        </a:p>
        <a:p>
          <a:endParaRPr lang="en-IN">
            <a:effectLst/>
          </a:endParaRPr>
        </a:p>
        <a:p>
          <a:r>
            <a:rPr lang="en-IN" sz="1100">
              <a:solidFill>
                <a:schemeClr val="dk1"/>
              </a:solidFill>
              <a:effectLst/>
              <a:latin typeface="+mn-lt"/>
              <a:ea typeface="+mn-ea"/>
              <a:cs typeface="+mn-cs"/>
            </a:rPr>
            <a:t>A closer look at the numbers suggests that Colgate's growth is largely driven by its global market reach rather than being </a:t>
          </a:r>
          <a:r>
            <a:rPr lang="en-IN" b="1"/>
            <a:t>71.46%</a:t>
          </a:r>
          <a:r>
            <a:rPr lang="en-IN"/>
            <a:t> of total revenue comes from markets outside North America</a:t>
          </a:r>
          <a:r>
            <a:rPr lang="en-IN" sz="1100">
              <a:solidFill>
                <a:schemeClr val="dk1"/>
              </a:solidFill>
              <a:effectLst/>
              <a:latin typeface="+mn-lt"/>
              <a:ea typeface="+mn-ea"/>
              <a:cs typeface="+mn-cs"/>
            </a:rPr>
            <a:t>. The company has successfully capitalized on demand across Latin America, Europe, and Asia, reinforcing its position as a global leader in consumer products. The presence of a profitable pet nutrition business further diversifies its revenue streams, reducing dependence on a single segment.</a:t>
          </a:r>
          <a:endParaRPr lang="en-IN">
            <a:effectLst/>
          </a:endParaRPr>
        </a:p>
        <a:p>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306938</xdr:colOff>
      <xdr:row>0</xdr:row>
      <xdr:rowOff>245001</xdr:rowOff>
    </xdr:from>
    <xdr:to>
      <xdr:col>11</xdr:col>
      <xdr:colOff>383607</xdr:colOff>
      <xdr:row>14</xdr:row>
      <xdr:rowOff>70366</xdr:rowOff>
    </xdr:to>
    <xdr:pic>
      <xdr:nvPicPr>
        <xdr:cNvPr id="2" name="Picture 1">
          <a:extLst>
            <a:ext uri="{FF2B5EF4-FFF2-40B4-BE49-F238E27FC236}">
              <a16:creationId xmlns:a16="http://schemas.microsoft.com/office/drawing/2014/main" id="{44E0B413-29EE-5F61-5AE7-E41A57A08C48}"/>
            </a:ext>
          </a:extLst>
        </xdr:cNvPr>
        <xdr:cNvPicPr>
          <a:picLocks noChangeAspect="1"/>
        </xdr:cNvPicPr>
      </xdr:nvPicPr>
      <xdr:blipFill>
        <a:blip xmlns:r="http://schemas.openxmlformats.org/officeDocument/2006/relationships" r:embed="rId1"/>
        <a:stretch>
          <a:fillRect/>
        </a:stretch>
      </xdr:blipFill>
      <xdr:spPr>
        <a:xfrm>
          <a:off x="900850" y="245001"/>
          <a:ext cx="6015786" cy="2570806"/>
        </a:xfrm>
        <a:prstGeom prst="rect">
          <a:avLst/>
        </a:prstGeom>
        <a:ln w="88900" cap="sq" cmpd="thickThin">
          <a:solidFill>
            <a:srgbClr val="000000"/>
          </a:solidFill>
          <a:prstDash val="solid"/>
          <a:miter lim="800000"/>
        </a:ln>
        <a:effectLst>
          <a:innerShdw blurRad="76200">
            <a:srgbClr val="000000"/>
          </a:innerShdw>
        </a:effec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21</xdr:row>
      <xdr:rowOff>0</xdr:rowOff>
    </xdr:from>
    <xdr:to>
      <xdr:col>18</xdr:col>
      <xdr:colOff>588309</xdr:colOff>
      <xdr:row>45</xdr:row>
      <xdr:rowOff>127000</xdr:rowOff>
    </xdr:to>
    <xdr:sp macro="" textlink="">
      <xdr:nvSpPr>
        <xdr:cNvPr id="4" name="TextBox 3">
          <a:extLst>
            <a:ext uri="{FF2B5EF4-FFF2-40B4-BE49-F238E27FC236}">
              <a16:creationId xmlns:a16="http://schemas.microsoft.com/office/drawing/2014/main" id="{29FAB750-F32E-49CF-B3CB-26B65EB59390}"/>
            </a:ext>
          </a:extLst>
        </xdr:cNvPr>
        <xdr:cNvSpPr txBox="1"/>
      </xdr:nvSpPr>
      <xdr:spPr>
        <a:xfrm>
          <a:off x="606985" y="4062132"/>
          <a:ext cx="11411324" cy="46093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Interpretation </a:t>
          </a:r>
        </a:p>
        <a:p>
          <a:pPr algn="ctr"/>
          <a:endParaRPr lang="en-IN" sz="1100" b="1"/>
        </a:p>
        <a:p>
          <a:pPr algn="l"/>
          <a:r>
            <a:rPr lang="en-IN" sz="1100"/>
            <a:t>Colgate’s financial data from 2002 to 2011 reveals a steady and consistent growth trajectory, demonstrating its strong business fundamentals and effective management strategies. Over the years, the company’s net sales have steadily increased from $9.29 billion in 2002 to $16.73 billion in 2011, reflecting its ability to expand market share and drive revenue growth. This upward trend is supported by a proportional increase in gross profit, which rose from $5.35 billion in 2002 to $9.59 billion in 2011, indicating effective cost management and pricing strategies that helped maintain profitability despite rising operational expenses.</a:t>
          </a:r>
        </a:p>
        <a:p>
          <a:pPr algn="l"/>
          <a:endParaRPr lang="en-IN" sz="1100"/>
        </a:p>
        <a:p>
          <a:pPr algn="l"/>
          <a:r>
            <a:rPr lang="en-IN" sz="1100"/>
            <a:t>Operating income and net income have also seen significant improvements, highlighting Colgate’s ability to translate revenue growth into higher profits. Net income grew from $1.29 billion in 2002 to $2.43 billion in 2011, showing that the company maintained profitability while expanding its operations. Earnings per share (EPS) followed a similar trend, increasing from $2.03 in 2002 to $4.98 in 2011, benefiting from both higher earnings and share repurchases, as evidenced by the declining number of shares outstanding over the years.</a:t>
          </a:r>
        </a:p>
        <a:p>
          <a:pPr algn="l"/>
          <a:endParaRPr lang="en-IN" sz="1100"/>
        </a:p>
        <a:p>
          <a:pPr algn="l"/>
          <a:r>
            <a:rPr lang="en-IN" sz="1100"/>
            <a:t>Colgate’s balance sheet data further reflects its financial strength. Total assets grew from $7.09 billion in 2002 to $12.72 billion in 2011, demonstrating steady expansion and investment in long-term growth. However, liabilities, particularly long-term debt, also increased, reaching $4.43 billion in 2011, suggesting that Colgate leveraged debt financing to support its expansion initiatives. Despite the rise in liabilities, shareholders' equity remained positive, though slightly declining in recent years, reflecting strong capital management strategies.</a:t>
          </a:r>
        </a:p>
        <a:p>
          <a:pPr algn="l"/>
          <a:endParaRPr lang="en-IN" sz="1100"/>
        </a:p>
        <a:p>
          <a:pPr algn="l"/>
          <a:r>
            <a:rPr lang="en-IN" sz="1100"/>
            <a:t>From a shareholder perspective, Colgate has been rewarding investors consistently. Dividends per share increased steadily from $0.76 in 2002 to $2.27 in 2011, indicating a commitment to returning value to shareholders. Furthermore, the closing stock price rose significantly from $30.63 in 2002 to $92.39 in 2011, reinforcing investor confidence in the company’s long-term growth potential.</a:t>
          </a:r>
        </a:p>
        <a:p>
          <a:pPr algn="l"/>
          <a:endParaRPr lang="en-IN" sz="1100"/>
        </a:p>
        <a:p>
          <a:pPr algn="l"/>
          <a:r>
            <a:rPr lang="en-IN" sz="1100"/>
            <a:t>Overall, Colgate’s financial data indicates a well-managed company with a strong track record of revenue and profit growth, strategic cost management, and shareholder value creation. While increasing debt levels warrant attention, the company’s ability to generate higher earnings and sustain stock price growth suggests a resilient business model. Colgate’s financial stability, profitability, and market expansion efforts position it as a dominant player in the consumer goods industry, with continued growth potential in the years ahead.</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10</xdr:col>
      <xdr:colOff>273844</xdr:colOff>
      <xdr:row>9</xdr:row>
      <xdr:rowOff>83344</xdr:rowOff>
    </xdr:from>
    <xdr:to>
      <xdr:col>11</xdr:col>
      <xdr:colOff>11206</xdr:colOff>
      <xdr:row>9</xdr:row>
      <xdr:rowOff>236220</xdr:rowOff>
    </xdr:to>
    <xdr:sp macro="" textlink="">
      <xdr:nvSpPr>
        <xdr:cNvPr id="2" name="Arrow: Right 1">
          <a:extLst>
            <a:ext uri="{FF2B5EF4-FFF2-40B4-BE49-F238E27FC236}">
              <a16:creationId xmlns:a16="http://schemas.microsoft.com/office/drawing/2014/main" id="{C57E1681-273D-0A36-4E44-1B4A7C2D3683}"/>
            </a:ext>
          </a:extLst>
        </xdr:cNvPr>
        <xdr:cNvSpPr/>
      </xdr:nvSpPr>
      <xdr:spPr>
        <a:xfrm>
          <a:off x="10703719" y="2238375"/>
          <a:ext cx="344581" cy="152876"/>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273844</xdr:colOff>
      <xdr:row>10</xdr:row>
      <xdr:rowOff>47625</xdr:rowOff>
    </xdr:from>
    <xdr:to>
      <xdr:col>11</xdr:col>
      <xdr:colOff>11208</xdr:colOff>
      <xdr:row>10</xdr:row>
      <xdr:rowOff>224117</xdr:rowOff>
    </xdr:to>
    <xdr:sp macro="" textlink="">
      <xdr:nvSpPr>
        <xdr:cNvPr id="4" name="Arrow: Right 3">
          <a:extLst>
            <a:ext uri="{FF2B5EF4-FFF2-40B4-BE49-F238E27FC236}">
              <a16:creationId xmlns:a16="http://schemas.microsoft.com/office/drawing/2014/main" id="{7A1D79DE-74DA-4811-910A-C208A27A300E}"/>
            </a:ext>
          </a:extLst>
        </xdr:cNvPr>
        <xdr:cNvSpPr/>
      </xdr:nvSpPr>
      <xdr:spPr>
        <a:xfrm>
          <a:off x="10703719" y="2464594"/>
          <a:ext cx="344583" cy="176492"/>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10</xdr:col>
      <xdr:colOff>453571</xdr:colOff>
      <xdr:row>7</xdr:row>
      <xdr:rowOff>45359</xdr:rowOff>
    </xdr:from>
    <xdr:to>
      <xdr:col>10</xdr:col>
      <xdr:colOff>580571</xdr:colOff>
      <xdr:row>7</xdr:row>
      <xdr:rowOff>190501</xdr:rowOff>
    </xdr:to>
    <xdr:sp macro="" textlink="">
      <xdr:nvSpPr>
        <xdr:cNvPr id="2" name="Star: 5 Points 1">
          <a:extLst>
            <a:ext uri="{FF2B5EF4-FFF2-40B4-BE49-F238E27FC236}">
              <a16:creationId xmlns:a16="http://schemas.microsoft.com/office/drawing/2014/main" id="{9CB688DC-7050-946E-8C72-76FAA441DC31}"/>
            </a:ext>
          </a:extLst>
        </xdr:cNvPr>
        <xdr:cNvSpPr/>
      </xdr:nvSpPr>
      <xdr:spPr>
        <a:xfrm>
          <a:off x="11629571" y="1723573"/>
          <a:ext cx="127000" cy="145142"/>
        </a:xfrm>
        <a:prstGeom prst="star5">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436880</xdr:colOff>
      <xdr:row>9</xdr:row>
      <xdr:rowOff>45357</xdr:rowOff>
    </xdr:from>
    <xdr:to>
      <xdr:col>10</xdr:col>
      <xdr:colOff>571500</xdr:colOff>
      <xdr:row>9</xdr:row>
      <xdr:rowOff>203200</xdr:rowOff>
    </xdr:to>
    <xdr:sp macro="" textlink="">
      <xdr:nvSpPr>
        <xdr:cNvPr id="4" name="Star: 5 Points 3">
          <a:extLst>
            <a:ext uri="{FF2B5EF4-FFF2-40B4-BE49-F238E27FC236}">
              <a16:creationId xmlns:a16="http://schemas.microsoft.com/office/drawing/2014/main" id="{3DBDC091-D039-4567-B721-06A62A36004D}"/>
            </a:ext>
          </a:extLst>
        </xdr:cNvPr>
        <xdr:cNvSpPr/>
      </xdr:nvSpPr>
      <xdr:spPr>
        <a:xfrm>
          <a:off x="11633200" y="2158637"/>
          <a:ext cx="134620" cy="157843"/>
        </a:xfrm>
        <a:prstGeom prst="star5">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462642</xdr:colOff>
      <xdr:row>11</xdr:row>
      <xdr:rowOff>27214</xdr:rowOff>
    </xdr:from>
    <xdr:to>
      <xdr:col>10</xdr:col>
      <xdr:colOff>589642</xdr:colOff>
      <xdr:row>11</xdr:row>
      <xdr:rowOff>172356</xdr:rowOff>
    </xdr:to>
    <xdr:sp macro="" textlink="">
      <xdr:nvSpPr>
        <xdr:cNvPr id="6" name="Star: 5 Points 5">
          <a:extLst>
            <a:ext uri="{FF2B5EF4-FFF2-40B4-BE49-F238E27FC236}">
              <a16:creationId xmlns:a16="http://schemas.microsoft.com/office/drawing/2014/main" id="{738DEA34-2972-4678-B21B-722D9F46CE9A}"/>
            </a:ext>
          </a:extLst>
        </xdr:cNvPr>
        <xdr:cNvSpPr/>
      </xdr:nvSpPr>
      <xdr:spPr>
        <a:xfrm>
          <a:off x="11638642" y="2521857"/>
          <a:ext cx="127000" cy="145142"/>
        </a:xfrm>
        <a:prstGeom prst="star5">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426357</xdr:colOff>
      <xdr:row>15</xdr:row>
      <xdr:rowOff>36286</xdr:rowOff>
    </xdr:from>
    <xdr:to>
      <xdr:col>10</xdr:col>
      <xdr:colOff>553357</xdr:colOff>
      <xdr:row>15</xdr:row>
      <xdr:rowOff>181428</xdr:rowOff>
    </xdr:to>
    <xdr:sp macro="" textlink="">
      <xdr:nvSpPr>
        <xdr:cNvPr id="8" name="Star: 5 Points 7">
          <a:extLst>
            <a:ext uri="{FF2B5EF4-FFF2-40B4-BE49-F238E27FC236}">
              <a16:creationId xmlns:a16="http://schemas.microsoft.com/office/drawing/2014/main" id="{17551EFB-EBFA-407E-9AE3-BA94E6EF0B21}"/>
            </a:ext>
          </a:extLst>
        </xdr:cNvPr>
        <xdr:cNvSpPr/>
      </xdr:nvSpPr>
      <xdr:spPr>
        <a:xfrm>
          <a:off x="11602357" y="3347357"/>
          <a:ext cx="127000" cy="145142"/>
        </a:xfrm>
        <a:prstGeom prst="star5">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435429</xdr:colOff>
      <xdr:row>17</xdr:row>
      <xdr:rowOff>27214</xdr:rowOff>
    </xdr:from>
    <xdr:to>
      <xdr:col>10</xdr:col>
      <xdr:colOff>562429</xdr:colOff>
      <xdr:row>17</xdr:row>
      <xdr:rowOff>172356</xdr:rowOff>
    </xdr:to>
    <xdr:sp macro="" textlink="">
      <xdr:nvSpPr>
        <xdr:cNvPr id="10" name="Star: 5 Points 9">
          <a:extLst>
            <a:ext uri="{FF2B5EF4-FFF2-40B4-BE49-F238E27FC236}">
              <a16:creationId xmlns:a16="http://schemas.microsoft.com/office/drawing/2014/main" id="{45226637-75EC-47AF-B6A5-F9F8F555C059}"/>
            </a:ext>
          </a:extLst>
        </xdr:cNvPr>
        <xdr:cNvSpPr/>
      </xdr:nvSpPr>
      <xdr:spPr>
        <a:xfrm>
          <a:off x="11611429" y="3746500"/>
          <a:ext cx="127000" cy="145142"/>
        </a:xfrm>
        <a:prstGeom prst="star5">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435429</xdr:colOff>
      <xdr:row>19</xdr:row>
      <xdr:rowOff>54429</xdr:rowOff>
    </xdr:from>
    <xdr:to>
      <xdr:col>10</xdr:col>
      <xdr:colOff>562429</xdr:colOff>
      <xdr:row>19</xdr:row>
      <xdr:rowOff>199571</xdr:rowOff>
    </xdr:to>
    <xdr:sp macro="" textlink="">
      <xdr:nvSpPr>
        <xdr:cNvPr id="12" name="Star: 5 Points 11">
          <a:extLst>
            <a:ext uri="{FF2B5EF4-FFF2-40B4-BE49-F238E27FC236}">
              <a16:creationId xmlns:a16="http://schemas.microsoft.com/office/drawing/2014/main" id="{42866DA7-DC83-4998-B0A4-371E20A2F787}"/>
            </a:ext>
          </a:extLst>
        </xdr:cNvPr>
        <xdr:cNvSpPr/>
      </xdr:nvSpPr>
      <xdr:spPr>
        <a:xfrm>
          <a:off x="11611429" y="4191000"/>
          <a:ext cx="127000" cy="145142"/>
        </a:xfrm>
        <a:prstGeom prst="star5">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436880</xdr:colOff>
      <xdr:row>23</xdr:row>
      <xdr:rowOff>50800</xdr:rowOff>
    </xdr:from>
    <xdr:to>
      <xdr:col>10</xdr:col>
      <xdr:colOff>563880</xdr:colOff>
      <xdr:row>23</xdr:row>
      <xdr:rowOff>195942</xdr:rowOff>
    </xdr:to>
    <xdr:sp macro="" textlink="">
      <xdr:nvSpPr>
        <xdr:cNvPr id="14" name="Star: 5 Points 13">
          <a:extLst>
            <a:ext uri="{FF2B5EF4-FFF2-40B4-BE49-F238E27FC236}">
              <a16:creationId xmlns:a16="http://schemas.microsoft.com/office/drawing/2014/main" id="{5129FE08-2345-444C-9B2F-F1A6E52D0A57}"/>
            </a:ext>
          </a:extLst>
        </xdr:cNvPr>
        <xdr:cNvSpPr/>
      </xdr:nvSpPr>
      <xdr:spPr>
        <a:xfrm>
          <a:off x="11633200" y="5090160"/>
          <a:ext cx="127000" cy="145142"/>
        </a:xfrm>
        <a:prstGeom prst="star5">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447040</xdr:colOff>
      <xdr:row>25</xdr:row>
      <xdr:rowOff>50800</xdr:rowOff>
    </xdr:from>
    <xdr:to>
      <xdr:col>10</xdr:col>
      <xdr:colOff>574040</xdr:colOff>
      <xdr:row>25</xdr:row>
      <xdr:rowOff>195942</xdr:rowOff>
    </xdr:to>
    <xdr:sp macro="" textlink="">
      <xdr:nvSpPr>
        <xdr:cNvPr id="16" name="Star: 5 Points 15">
          <a:extLst>
            <a:ext uri="{FF2B5EF4-FFF2-40B4-BE49-F238E27FC236}">
              <a16:creationId xmlns:a16="http://schemas.microsoft.com/office/drawing/2014/main" id="{87E18BC9-D4E6-41F5-954D-E39FD75E6054}"/>
            </a:ext>
          </a:extLst>
        </xdr:cNvPr>
        <xdr:cNvSpPr/>
      </xdr:nvSpPr>
      <xdr:spPr>
        <a:xfrm>
          <a:off x="11643360" y="5506720"/>
          <a:ext cx="127000" cy="145142"/>
        </a:xfrm>
        <a:prstGeom prst="star5">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447040</xdr:colOff>
      <xdr:row>27</xdr:row>
      <xdr:rowOff>40640</xdr:rowOff>
    </xdr:from>
    <xdr:to>
      <xdr:col>10</xdr:col>
      <xdr:colOff>574040</xdr:colOff>
      <xdr:row>27</xdr:row>
      <xdr:rowOff>185782</xdr:rowOff>
    </xdr:to>
    <xdr:sp macro="" textlink="">
      <xdr:nvSpPr>
        <xdr:cNvPr id="18" name="Star: 5 Points 17">
          <a:extLst>
            <a:ext uri="{FF2B5EF4-FFF2-40B4-BE49-F238E27FC236}">
              <a16:creationId xmlns:a16="http://schemas.microsoft.com/office/drawing/2014/main" id="{C6FE6DC4-1F75-41B6-A1E3-66E4D320C934}"/>
            </a:ext>
          </a:extLst>
        </xdr:cNvPr>
        <xdr:cNvSpPr/>
      </xdr:nvSpPr>
      <xdr:spPr>
        <a:xfrm>
          <a:off x="11643360" y="5913120"/>
          <a:ext cx="127000" cy="145142"/>
        </a:xfrm>
        <a:prstGeom prst="star5">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447040</xdr:colOff>
      <xdr:row>31</xdr:row>
      <xdr:rowOff>40640</xdr:rowOff>
    </xdr:from>
    <xdr:to>
      <xdr:col>10</xdr:col>
      <xdr:colOff>574040</xdr:colOff>
      <xdr:row>31</xdr:row>
      <xdr:rowOff>185782</xdr:rowOff>
    </xdr:to>
    <xdr:sp macro="" textlink="">
      <xdr:nvSpPr>
        <xdr:cNvPr id="20" name="Star: 5 Points 19">
          <a:extLst>
            <a:ext uri="{FF2B5EF4-FFF2-40B4-BE49-F238E27FC236}">
              <a16:creationId xmlns:a16="http://schemas.microsoft.com/office/drawing/2014/main" id="{74F56729-016E-41C9-A86A-73A9101600E7}"/>
            </a:ext>
          </a:extLst>
        </xdr:cNvPr>
        <xdr:cNvSpPr/>
      </xdr:nvSpPr>
      <xdr:spPr>
        <a:xfrm>
          <a:off x="11643360" y="6746240"/>
          <a:ext cx="127000" cy="145142"/>
        </a:xfrm>
        <a:prstGeom prst="star5">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457200</xdr:colOff>
      <xdr:row>33</xdr:row>
      <xdr:rowOff>50800</xdr:rowOff>
    </xdr:from>
    <xdr:to>
      <xdr:col>10</xdr:col>
      <xdr:colOff>584200</xdr:colOff>
      <xdr:row>33</xdr:row>
      <xdr:rowOff>195942</xdr:rowOff>
    </xdr:to>
    <xdr:sp macro="" textlink="">
      <xdr:nvSpPr>
        <xdr:cNvPr id="22" name="Star: 5 Points 21">
          <a:extLst>
            <a:ext uri="{FF2B5EF4-FFF2-40B4-BE49-F238E27FC236}">
              <a16:creationId xmlns:a16="http://schemas.microsoft.com/office/drawing/2014/main" id="{AAFEEB6B-0AA7-468A-B220-80D0189C5480}"/>
            </a:ext>
          </a:extLst>
        </xdr:cNvPr>
        <xdr:cNvSpPr/>
      </xdr:nvSpPr>
      <xdr:spPr>
        <a:xfrm>
          <a:off x="11653520" y="7172960"/>
          <a:ext cx="127000" cy="145142"/>
        </a:xfrm>
        <a:prstGeom prst="star5">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447040</xdr:colOff>
      <xdr:row>37</xdr:row>
      <xdr:rowOff>40640</xdr:rowOff>
    </xdr:from>
    <xdr:to>
      <xdr:col>10</xdr:col>
      <xdr:colOff>574040</xdr:colOff>
      <xdr:row>37</xdr:row>
      <xdr:rowOff>185782</xdr:rowOff>
    </xdr:to>
    <xdr:sp macro="" textlink="">
      <xdr:nvSpPr>
        <xdr:cNvPr id="24" name="Star: 5 Points 23">
          <a:extLst>
            <a:ext uri="{FF2B5EF4-FFF2-40B4-BE49-F238E27FC236}">
              <a16:creationId xmlns:a16="http://schemas.microsoft.com/office/drawing/2014/main" id="{D292A994-459B-4B5B-9A33-3462F1FBDA96}"/>
            </a:ext>
          </a:extLst>
        </xdr:cNvPr>
        <xdr:cNvSpPr/>
      </xdr:nvSpPr>
      <xdr:spPr>
        <a:xfrm>
          <a:off x="11643360" y="6746240"/>
          <a:ext cx="127000" cy="145142"/>
        </a:xfrm>
        <a:prstGeom prst="star5">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447040</xdr:colOff>
      <xdr:row>39</xdr:row>
      <xdr:rowOff>40640</xdr:rowOff>
    </xdr:from>
    <xdr:to>
      <xdr:col>10</xdr:col>
      <xdr:colOff>574040</xdr:colOff>
      <xdr:row>39</xdr:row>
      <xdr:rowOff>185782</xdr:rowOff>
    </xdr:to>
    <xdr:sp macro="" textlink="">
      <xdr:nvSpPr>
        <xdr:cNvPr id="26" name="Star: 5 Points 25">
          <a:extLst>
            <a:ext uri="{FF2B5EF4-FFF2-40B4-BE49-F238E27FC236}">
              <a16:creationId xmlns:a16="http://schemas.microsoft.com/office/drawing/2014/main" id="{9AB82840-B820-4389-93C8-C60ED5FA2792}"/>
            </a:ext>
          </a:extLst>
        </xdr:cNvPr>
        <xdr:cNvSpPr/>
      </xdr:nvSpPr>
      <xdr:spPr>
        <a:xfrm>
          <a:off x="11643360" y="6746240"/>
          <a:ext cx="127000" cy="145142"/>
        </a:xfrm>
        <a:prstGeom prst="star5">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447040</xdr:colOff>
      <xdr:row>41</xdr:row>
      <xdr:rowOff>40640</xdr:rowOff>
    </xdr:from>
    <xdr:to>
      <xdr:col>10</xdr:col>
      <xdr:colOff>574040</xdr:colOff>
      <xdr:row>41</xdr:row>
      <xdr:rowOff>185782</xdr:rowOff>
    </xdr:to>
    <xdr:sp macro="" textlink="">
      <xdr:nvSpPr>
        <xdr:cNvPr id="28" name="Star: 5 Points 27">
          <a:extLst>
            <a:ext uri="{FF2B5EF4-FFF2-40B4-BE49-F238E27FC236}">
              <a16:creationId xmlns:a16="http://schemas.microsoft.com/office/drawing/2014/main" id="{B8B3FB44-7D67-467D-9FA8-C4B50F06A99B}"/>
            </a:ext>
          </a:extLst>
        </xdr:cNvPr>
        <xdr:cNvSpPr/>
      </xdr:nvSpPr>
      <xdr:spPr>
        <a:xfrm>
          <a:off x="11643360" y="6746240"/>
          <a:ext cx="127000" cy="145142"/>
        </a:xfrm>
        <a:prstGeom prst="star5">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7</xdr:col>
      <xdr:colOff>299358</xdr:colOff>
      <xdr:row>5</xdr:row>
      <xdr:rowOff>117928</xdr:rowOff>
    </xdr:from>
    <xdr:to>
      <xdr:col>8</xdr:col>
      <xdr:colOff>9072</xdr:colOff>
      <xdr:row>5</xdr:row>
      <xdr:rowOff>117928</xdr:rowOff>
    </xdr:to>
    <xdr:cxnSp macro="">
      <xdr:nvCxnSpPr>
        <xdr:cNvPr id="3" name="Straight Arrow Connector 2">
          <a:extLst>
            <a:ext uri="{FF2B5EF4-FFF2-40B4-BE49-F238E27FC236}">
              <a16:creationId xmlns:a16="http://schemas.microsoft.com/office/drawing/2014/main" id="{F082C438-B528-20CF-9C59-DF6B525790BF}"/>
            </a:ext>
          </a:extLst>
        </xdr:cNvPr>
        <xdr:cNvCxnSpPr/>
      </xdr:nvCxnSpPr>
      <xdr:spPr>
        <a:xfrm>
          <a:off x="8118929" y="1188357"/>
          <a:ext cx="317500" cy="0"/>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7</xdr:col>
      <xdr:colOff>290286</xdr:colOff>
      <xdr:row>6</xdr:row>
      <xdr:rowOff>117928</xdr:rowOff>
    </xdr:from>
    <xdr:to>
      <xdr:col>8</xdr:col>
      <xdr:colOff>0</xdr:colOff>
      <xdr:row>6</xdr:row>
      <xdr:rowOff>117928</xdr:rowOff>
    </xdr:to>
    <xdr:cxnSp macro="">
      <xdr:nvCxnSpPr>
        <xdr:cNvPr id="7" name="Straight Arrow Connector 6">
          <a:extLst>
            <a:ext uri="{FF2B5EF4-FFF2-40B4-BE49-F238E27FC236}">
              <a16:creationId xmlns:a16="http://schemas.microsoft.com/office/drawing/2014/main" id="{FB1CAFA1-0F02-4BCE-A1A1-F5257A801618}"/>
            </a:ext>
          </a:extLst>
        </xdr:cNvPr>
        <xdr:cNvCxnSpPr/>
      </xdr:nvCxnSpPr>
      <xdr:spPr>
        <a:xfrm>
          <a:off x="8109857" y="1424214"/>
          <a:ext cx="317500" cy="0"/>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7</xdr:col>
      <xdr:colOff>290285</xdr:colOff>
      <xdr:row>9</xdr:row>
      <xdr:rowOff>117928</xdr:rowOff>
    </xdr:from>
    <xdr:to>
      <xdr:col>7</xdr:col>
      <xdr:colOff>607785</xdr:colOff>
      <xdr:row>9</xdr:row>
      <xdr:rowOff>117928</xdr:rowOff>
    </xdr:to>
    <xdr:cxnSp macro="">
      <xdr:nvCxnSpPr>
        <xdr:cNvPr id="9" name="Straight Arrow Connector 8">
          <a:extLst>
            <a:ext uri="{FF2B5EF4-FFF2-40B4-BE49-F238E27FC236}">
              <a16:creationId xmlns:a16="http://schemas.microsoft.com/office/drawing/2014/main" id="{82504E91-59CC-416B-A7DA-3CC4FC97B45D}"/>
            </a:ext>
          </a:extLst>
        </xdr:cNvPr>
        <xdr:cNvCxnSpPr/>
      </xdr:nvCxnSpPr>
      <xdr:spPr>
        <a:xfrm>
          <a:off x="8109856" y="2086428"/>
          <a:ext cx="317500" cy="0"/>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7</xdr:col>
      <xdr:colOff>290286</xdr:colOff>
      <xdr:row>10</xdr:row>
      <xdr:rowOff>127000</xdr:rowOff>
    </xdr:from>
    <xdr:to>
      <xdr:col>8</xdr:col>
      <xdr:colOff>0</xdr:colOff>
      <xdr:row>10</xdr:row>
      <xdr:rowOff>127000</xdr:rowOff>
    </xdr:to>
    <xdr:cxnSp macro="">
      <xdr:nvCxnSpPr>
        <xdr:cNvPr id="11" name="Straight Arrow Connector 10">
          <a:extLst>
            <a:ext uri="{FF2B5EF4-FFF2-40B4-BE49-F238E27FC236}">
              <a16:creationId xmlns:a16="http://schemas.microsoft.com/office/drawing/2014/main" id="{7D2FB7EA-C128-43A9-83CF-F4A77232B4AF}"/>
            </a:ext>
          </a:extLst>
        </xdr:cNvPr>
        <xdr:cNvCxnSpPr/>
      </xdr:nvCxnSpPr>
      <xdr:spPr>
        <a:xfrm>
          <a:off x="8109857" y="2322286"/>
          <a:ext cx="317500" cy="0"/>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7</xdr:col>
      <xdr:colOff>290286</xdr:colOff>
      <xdr:row>14</xdr:row>
      <xdr:rowOff>117929</xdr:rowOff>
    </xdr:from>
    <xdr:to>
      <xdr:col>8</xdr:col>
      <xdr:colOff>0</xdr:colOff>
      <xdr:row>14</xdr:row>
      <xdr:rowOff>117929</xdr:rowOff>
    </xdr:to>
    <xdr:cxnSp macro="">
      <xdr:nvCxnSpPr>
        <xdr:cNvPr id="13" name="Straight Arrow Connector 12">
          <a:extLst>
            <a:ext uri="{FF2B5EF4-FFF2-40B4-BE49-F238E27FC236}">
              <a16:creationId xmlns:a16="http://schemas.microsoft.com/office/drawing/2014/main" id="{C9B99BAD-523A-4EE2-9954-39EF28D08B5D}"/>
            </a:ext>
          </a:extLst>
        </xdr:cNvPr>
        <xdr:cNvCxnSpPr/>
      </xdr:nvCxnSpPr>
      <xdr:spPr>
        <a:xfrm>
          <a:off x="8109857" y="3184072"/>
          <a:ext cx="317500" cy="0"/>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7</xdr:col>
      <xdr:colOff>299357</xdr:colOff>
      <xdr:row>15</xdr:row>
      <xdr:rowOff>108857</xdr:rowOff>
    </xdr:from>
    <xdr:to>
      <xdr:col>8</xdr:col>
      <xdr:colOff>9071</xdr:colOff>
      <xdr:row>15</xdr:row>
      <xdr:rowOff>108857</xdr:rowOff>
    </xdr:to>
    <xdr:cxnSp macro="">
      <xdr:nvCxnSpPr>
        <xdr:cNvPr id="15" name="Straight Arrow Connector 14">
          <a:extLst>
            <a:ext uri="{FF2B5EF4-FFF2-40B4-BE49-F238E27FC236}">
              <a16:creationId xmlns:a16="http://schemas.microsoft.com/office/drawing/2014/main" id="{BB2C245C-4A92-4118-86AD-BA8D9D77FFF8}"/>
            </a:ext>
          </a:extLst>
        </xdr:cNvPr>
        <xdr:cNvCxnSpPr/>
      </xdr:nvCxnSpPr>
      <xdr:spPr>
        <a:xfrm>
          <a:off x="8118928" y="3410857"/>
          <a:ext cx="317500" cy="0"/>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7</xdr:col>
      <xdr:colOff>299357</xdr:colOff>
      <xdr:row>18</xdr:row>
      <xdr:rowOff>99786</xdr:rowOff>
    </xdr:from>
    <xdr:to>
      <xdr:col>8</xdr:col>
      <xdr:colOff>9071</xdr:colOff>
      <xdr:row>18</xdr:row>
      <xdr:rowOff>99786</xdr:rowOff>
    </xdr:to>
    <xdr:cxnSp macro="">
      <xdr:nvCxnSpPr>
        <xdr:cNvPr id="17" name="Straight Arrow Connector 16">
          <a:extLst>
            <a:ext uri="{FF2B5EF4-FFF2-40B4-BE49-F238E27FC236}">
              <a16:creationId xmlns:a16="http://schemas.microsoft.com/office/drawing/2014/main" id="{81B7B379-1FCD-40A2-88AD-DBE38F3C1F7A}"/>
            </a:ext>
          </a:extLst>
        </xdr:cNvPr>
        <xdr:cNvCxnSpPr/>
      </xdr:nvCxnSpPr>
      <xdr:spPr>
        <a:xfrm>
          <a:off x="8118928" y="4073072"/>
          <a:ext cx="317500" cy="0"/>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7</xdr:col>
      <xdr:colOff>290286</xdr:colOff>
      <xdr:row>19</xdr:row>
      <xdr:rowOff>108857</xdr:rowOff>
    </xdr:from>
    <xdr:to>
      <xdr:col>8</xdr:col>
      <xdr:colOff>0</xdr:colOff>
      <xdr:row>19</xdr:row>
      <xdr:rowOff>108857</xdr:rowOff>
    </xdr:to>
    <xdr:cxnSp macro="">
      <xdr:nvCxnSpPr>
        <xdr:cNvPr id="19" name="Straight Arrow Connector 18">
          <a:extLst>
            <a:ext uri="{FF2B5EF4-FFF2-40B4-BE49-F238E27FC236}">
              <a16:creationId xmlns:a16="http://schemas.microsoft.com/office/drawing/2014/main" id="{E191794A-DE87-47FD-8C74-6798A6809F26}"/>
            </a:ext>
          </a:extLst>
        </xdr:cNvPr>
        <xdr:cNvCxnSpPr/>
      </xdr:nvCxnSpPr>
      <xdr:spPr>
        <a:xfrm>
          <a:off x="8109857" y="4318000"/>
          <a:ext cx="317500" cy="0"/>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7</xdr:col>
      <xdr:colOff>281214</xdr:colOff>
      <xdr:row>23</xdr:row>
      <xdr:rowOff>117929</xdr:rowOff>
    </xdr:from>
    <xdr:to>
      <xdr:col>7</xdr:col>
      <xdr:colOff>598714</xdr:colOff>
      <xdr:row>23</xdr:row>
      <xdr:rowOff>117929</xdr:rowOff>
    </xdr:to>
    <xdr:cxnSp macro="">
      <xdr:nvCxnSpPr>
        <xdr:cNvPr id="21" name="Straight Arrow Connector 20">
          <a:extLst>
            <a:ext uri="{FF2B5EF4-FFF2-40B4-BE49-F238E27FC236}">
              <a16:creationId xmlns:a16="http://schemas.microsoft.com/office/drawing/2014/main" id="{D1B3BC5C-6127-4EC7-A46F-9A35DFEE6B03}"/>
            </a:ext>
          </a:extLst>
        </xdr:cNvPr>
        <xdr:cNvCxnSpPr/>
      </xdr:nvCxnSpPr>
      <xdr:spPr>
        <a:xfrm>
          <a:off x="8100785" y="5152572"/>
          <a:ext cx="317500" cy="0"/>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7</xdr:col>
      <xdr:colOff>281214</xdr:colOff>
      <xdr:row>24</xdr:row>
      <xdr:rowOff>108857</xdr:rowOff>
    </xdr:from>
    <xdr:to>
      <xdr:col>7</xdr:col>
      <xdr:colOff>598714</xdr:colOff>
      <xdr:row>24</xdr:row>
      <xdr:rowOff>108857</xdr:rowOff>
    </xdr:to>
    <xdr:cxnSp macro="">
      <xdr:nvCxnSpPr>
        <xdr:cNvPr id="23" name="Straight Arrow Connector 22">
          <a:extLst>
            <a:ext uri="{FF2B5EF4-FFF2-40B4-BE49-F238E27FC236}">
              <a16:creationId xmlns:a16="http://schemas.microsoft.com/office/drawing/2014/main" id="{67D393F0-863D-4E0C-B9DC-2844F640E784}"/>
            </a:ext>
          </a:extLst>
        </xdr:cNvPr>
        <xdr:cNvCxnSpPr/>
      </xdr:nvCxnSpPr>
      <xdr:spPr>
        <a:xfrm>
          <a:off x="8100785" y="5370286"/>
          <a:ext cx="317500" cy="0"/>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7</xdr:col>
      <xdr:colOff>290285</xdr:colOff>
      <xdr:row>27</xdr:row>
      <xdr:rowOff>117929</xdr:rowOff>
    </xdr:from>
    <xdr:to>
      <xdr:col>7</xdr:col>
      <xdr:colOff>607785</xdr:colOff>
      <xdr:row>27</xdr:row>
      <xdr:rowOff>117929</xdr:rowOff>
    </xdr:to>
    <xdr:cxnSp macro="">
      <xdr:nvCxnSpPr>
        <xdr:cNvPr id="25" name="Straight Arrow Connector 24">
          <a:extLst>
            <a:ext uri="{FF2B5EF4-FFF2-40B4-BE49-F238E27FC236}">
              <a16:creationId xmlns:a16="http://schemas.microsoft.com/office/drawing/2014/main" id="{31198910-1DB6-4D80-9C21-C0946B3927C0}"/>
            </a:ext>
          </a:extLst>
        </xdr:cNvPr>
        <xdr:cNvCxnSpPr/>
      </xdr:nvCxnSpPr>
      <xdr:spPr>
        <a:xfrm>
          <a:off x="8109856" y="6014358"/>
          <a:ext cx="317500" cy="0"/>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7</xdr:col>
      <xdr:colOff>290286</xdr:colOff>
      <xdr:row>28</xdr:row>
      <xdr:rowOff>117928</xdr:rowOff>
    </xdr:from>
    <xdr:to>
      <xdr:col>8</xdr:col>
      <xdr:colOff>0</xdr:colOff>
      <xdr:row>28</xdr:row>
      <xdr:rowOff>117928</xdr:rowOff>
    </xdr:to>
    <xdr:cxnSp macro="">
      <xdr:nvCxnSpPr>
        <xdr:cNvPr id="27" name="Straight Arrow Connector 26">
          <a:extLst>
            <a:ext uri="{FF2B5EF4-FFF2-40B4-BE49-F238E27FC236}">
              <a16:creationId xmlns:a16="http://schemas.microsoft.com/office/drawing/2014/main" id="{3C8F7CE8-4B36-429B-9B59-D6E6DEB8AEBA}"/>
            </a:ext>
          </a:extLst>
        </xdr:cNvPr>
        <xdr:cNvCxnSpPr/>
      </xdr:nvCxnSpPr>
      <xdr:spPr>
        <a:xfrm>
          <a:off x="8109857" y="6241142"/>
          <a:ext cx="317500" cy="0"/>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7</xdr:col>
      <xdr:colOff>290286</xdr:colOff>
      <xdr:row>32</xdr:row>
      <xdr:rowOff>127000</xdr:rowOff>
    </xdr:from>
    <xdr:to>
      <xdr:col>8</xdr:col>
      <xdr:colOff>0</xdr:colOff>
      <xdr:row>32</xdr:row>
      <xdr:rowOff>127000</xdr:rowOff>
    </xdr:to>
    <xdr:cxnSp macro="">
      <xdr:nvCxnSpPr>
        <xdr:cNvPr id="29" name="Straight Arrow Connector 28">
          <a:extLst>
            <a:ext uri="{FF2B5EF4-FFF2-40B4-BE49-F238E27FC236}">
              <a16:creationId xmlns:a16="http://schemas.microsoft.com/office/drawing/2014/main" id="{4AC6A81F-9B21-4C69-9256-D0675C6D1783}"/>
            </a:ext>
          </a:extLst>
        </xdr:cNvPr>
        <xdr:cNvCxnSpPr/>
      </xdr:nvCxnSpPr>
      <xdr:spPr>
        <a:xfrm>
          <a:off x="8109857" y="7066643"/>
          <a:ext cx="317500" cy="0"/>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7</xdr:col>
      <xdr:colOff>290286</xdr:colOff>
      <xdr:row>33</xdr:row>
      <xdr:rowOff>127000</xdr:rowOff>
    </xdr:from>
    <xdr:to>
      <xdr:col>8</xdr:col>
      <xdr:colOff>0</xdr:colOff>
      <xdr:row>33</xdr:row>
      <xdr:rowOff>127000</xdr:rowOff>
    </xdr:to>
    <xdr:cxnSp macro="">
      <xdr:nvCxnSpPr>
        <xdr:cNvPr id="31" name="Straight Arrow Connector 30">
          <a:extLst>
            <a:ext uri="{FF2B5EF4-FFF2-40B4-BE49-F238E27FC236}">
              <a16:creationId xmlns:a16="http://schemas.microsoft.com/office/drawing/2014/main" id="{EBE45E5A-ED29-4C3F-9868-BEDE5B13EB7C}"/>
            </a:ext>
          </a:extLst>
        </xdr:cNvPr>
        <xdr:cNvCxnSpPr/>
      </xdr:nvCxnSpPr>
      <xdr:spPr>
        <a:xfrm>
          <a:off x="8109857" y="7293429"/>
          <a:ext cx="317500" cy="0"/>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7</xdr:col>
      <xdr:colOff>299357</xdr:colOff>
      <xdr:row>37</xdr:row>
      <xdr:rowOff>117929</xdr:rowOff>
    </xdr:from>
    <xdr:to>
      <xdr:col>8</xdr:col>
      <xdr:colOff>9071</xdr:colOff>
      <xdr:row>37</xdr:row>
      <xdr:rowOff>117929</xdr:rowOff>
    </xdr:to>
    <xdr:cxnSp macro="">
      <xdr:nvCxnSpPr>
        <xdr:cNvPr id="33" name="Straight Arrow Connector 32">
          <a:extLst>
            <a:ext uri="{FF2B5EF4-FFF2-40B4-BE49-F238E27FC236}">
              <a16:creationId xmlns:a16="http://schemas.microsoft.com/office/drawing/2014/main" id="{1BB71168-D97F-400E-8694-D90CEFF39905}"/>
            </a:ext>
          </a:extLst>
        </xdr:cNvPr>
        <xdr:cNvCxnSpPr/>
      </xdr:nvCxnSpPr>
      <xdr:spPr>
        <a:xfrm>
          <a:off x="8118928" y="8100786"/>
          <a:ext cx="317500" cy="0"/>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7</xdr:col>
      <xdr:colOff>290286</xdr:colOff>
      <xdr:row>38</xdr:row>
      <xdr:rowOff>117929</xdr:rowOff>
    </xdr:from>
    <xdr:to>
      <xdr:col>8</xdr:col>
      <xdr:colOff>0</xdr:colOff>
      <xdr:row>38</xdr:row>
      <xdr:rowOff>117929</xdr:rowOff>
    </xdr:to>
    <xdr:cxnSp macro="">
      <xdr:nvCxnSpPr>
        <xdr:cNvPr id="35" name="Straight Arrow Connector 34">
          <a:extLst>
            <a:ext uri="{FF2B5EF4-FFF2-40B4-BE49-F238E27FC236}">
              <a16:creationId xmlns:a16="http://schemas.microsoft.com/office/drawing/2014/main" id="{3F46F14F-492B-481D-A577-F9AEE44180DF}"/>
            </a:ext>
          </a:extLst>
        </xdr:cNvPr>
        <xdr:cNvCxnSpPr/>
      </xdr:nvCxnSpPr>
      <xdr:spPr>
        <a:xfrm>
          <a:off x="8109857" y="8327572"/>
          <a:ext cx="317500" cy="0"/>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7</xdr:col>
      <xdr:colOff>281214</xdr:colOff>
      <xdr:row>42</xdr:row>
      <xdr:rowOff>117929</xdr:rowOff>
    </xdr:from>
    <xdr:to>
      <xdr:col>7</xdr:col>
      <xdr:colOff>598714</xdr:colOff>
      <xdr:row>42</xdr:row>
      <xdr:rowOff>117929</xdr:rowOff>
    </xdr:to>
    <xdr:cxnSp macro="">
      <xdr:nvCxnSpPr>
        <xdr:cNvPr id="37" name="Straight Arrow Connector 36">
          <a:extLst>
            <a:ext uri="{FF2B5EF4-FFF2-40B4-BE49-F238E27FC236}">
              <a16:creationId xmlns:a16="http://schemas.microsoft.com/office/drawing/2014/main" id="{468450F2-0A68-4A04-B686-4015CE3FA4B2}"/>
            </a:ext>
          </a:extLst>
        </xdr:cNvPr>
        <xdr:cNvCxnSpPr/>
      </xdr:nvCxnSpPr>
      <xdr:spPr>
        <a:xfrm>
          <a:off x="8100785" y="9144000"/>
          <a:ext cx="317500" cy="0"/>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7</xdr:col>
      <xdr:colOff>290286</xdr:colOff>
      <xdr:row>43</xdr:row>
      <xdr:rowOff>99786</xdr:rowOff>
    </xdr:from>
    <xdr:to>
      <xdr:col>8</xdr:col>
      <xdr:colOff>0</xdr:colOff>
      <xdr:row>43</xdr:row>
      <xdr:rowOff>99786</xdr:rowOff>
    </xdr:to>
    <xdr:cxnSp macro="">
      <xdr:nvCxnSpPr>
        <xdr:cNvPr id="38" name="Straight Arrow Connector 37">
          <a:extLst>
            <a:ext uri="{FF2B5EF4-FFF2-40B4-BE49-F238E27FC236}">
              <a16:creationId xmlns:a16="http://schemas.microsoft.com/office/drawing/2014/main" id="{47D7B7C1-4BED-4D00-A14F-F46F93C534E3}"/>
            </a:ext>
          </a:extLst>
        </xdr:cNvPr>
        <xdr:cNvCxnSpPr/>
      </xdr:nvCxnSpPr>
      <xdr:spPr>
        <a:xfrm>
          <a:off x="8109857" y="9307286"/>
          <a:ext cx="317500" cy="0"/>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7</xdr:col>
      <xdr:colOff>290286</xdr:colOff>
      <xdr:row>44</xdr:row>
      <xdr:rowOff>117928</xdr:rowOff>
    </xdr:from>
    <xdr:to>
      <xdr:col>8</xdr:col>
      <xdr:colOff>0</xdr:colOff>
      <xdr:row>44</xdr:row>
      <xdr:rowOff>117928</xdr:rowOff>
    </xdr:to>
    <xdr:cxnSp macro="">
      <xdr:nvCxnSpPr>
        <xdr:cNvPr id="40" name="Straight Arrow Connector 39">
          <a:extLst>
            <a:ext uri="{FF2B5EF4-FFF2-40B4-BE49-F238E27FC236}">
              <a16:creationId xmlns:a16="http://schemas.microsoft.com/office/drawing/2014/main" id="{CAE3926C-8428-436E-B02E-E7741DF5CE98}"/>
            </a:ext>
          </a:extLst>
        </xdr:cNvPr>
        <xdr:cNvCxnSpPr/>
      </xdr:nvCxnSpPr>
      <xdr:spPr>
        <a:xfrm>
          <a:off x="8109857" y="9506857"/>
          <a:ext cx="317500" cy="0"/>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5"/>
  <sheetViews>
    <sheetView zoomScale="70" zoomScaleNormal="70" workbookViewId="0">
      <selection activeCell="D13" sqref="D13"/>
    </sheetView>
  </sheetViews>
  <sheetFormatPr defaultRowHeight="15" x14ac:dyDescent="0.25"/>
  <cols>
    <col min="2" max="2" width="13.28515625" bestFit="1" customWidth="1"/>
    <col min="4" max="4" width="26" customWidth="1"/>
    <col min="5" max="5" width="21.5703125" customWidth="1"/>
    <col min="7" max="7" width="28" customWidth="1"/>
    <col min="8" max="8" width="21.42578125" customWidth="1"/>
    <col min="15" max="15" width="41.42578125" customWidth="1"/>
    <col min="16" max="16" width="25.140625" customWidth="1"/>
  </cols>
  <sheetData>
    <row r="1" spans="1:16" ht="15" customHeight="1" x14ac:dyDescent="0.25">
      <c r="A1" s="286" t="s">
        <v>336</v>
      </c>
      <c r="B1" s="286"/>
      <c r="C1" s="286"/>
      <c r="D1" s="286"/>
      <c r="E1" s="286"/>
      <c r="F1" s="286"/>
      <c r="G1" s="286"/>
      <c r="H1" s="286"/>
      <c r="I1" s="286"/>
      <c r="J1" s="286"/>
      <c r="K1" s="286"/>
      <c r="L1" s="286"/>
      <c r="M1" s="286"/>
      <c r="N1" s="286"/>
      <c r="O1" s="286"/>
      <c r="P1" s="286"/>
    </row>
    <row r="2" spans="1:16" ht="15" customHeight="1" x14ac:dyDescent="0.25">
      <c r="A2" s="286"/>
      <c r="B2" s="286"/>
      <c r="C2" s="286"/>
      <c r="D2" s="286"/>
      <c r="E2" s="286"/>
      <c r="F2" s="286"/>
      <c r="G2" s="286"/>
      <c r="H2" s="286"/>
      <c r="I2" s="286"/>
      <c r="J2" s="286"/>
      <c r="K2" s="286"/>
      <c r="L2" s="286"/>
      <c r="M2" s="286"/>
      <c r="N2" s="286"/>
      <c r="O2" s="286"/>
      <c r="P2" s="286"/>
    </row>
    <row r="3" spans="1:16" ht="15" customHeight="1" x14ac:dyDescent="0.25">
      <c r="A3" s="286"/>
      <c r="B3" s="286"/>
      <c r="C3" s="286"/>
      <c r="D3" s="286"/>
      <c r="E3" s="286"/>
      <c r="F3" s="286"/>
      <c r="G3" s="286"/>
      <c r="H3" s="286"/>
      <c r="I3" s="286"/>
      <c r="J3" s="286"/>
      <c r="K3" s="286"/>
      <c r="L3" s="286"/>
      <c r="M3" s="286"/>
      <c r="N3" s="286"/>
      <c r="O3" s="286"/>
      <c r="P3" s="286"/>
    </row>
    <row r="4" spans="1:16" ht="15" customHeight="1" x14ac:dyDescent="0.25">
      <c r="A4" s="286"/>
      <c r="B4" s="286"/>
      <c r="C4" s="286"/>
      <c r="D4" s="286"/>
      <c r="E4" s="286"/>
      <c r="F4" s="286"/>
      <c r="G4" s="286"/>
      <c r="H4" s="286"/>
      <c r="I4" s="286"/>
      <c r="J4" s="286"/>
      <c r="K4" s="286"/>
      <c r="L4" s="286"/>
      <c r="M4" s="286"/>
      <c r="N4" s="286"/>
      <c r="O4" s="286"/>
      <c r="P4" s="286"/>
    </row>
    <row r="5" spans="1:16" x14ac:dyDescent="0.25">
      <c r="C5" s="181"/>
      <c r="D5" s="284"/>
      <c r="E5" s="284"/>
      <c r="F5" s="284"/>
      <c r="G5" s="284"/>
      <c r="H5" s="284"/>
      <c r="I5" s="284"/>
      <c r="J5" s="284"/>
      <c r="K5" s="284"/>
      <c r="L5" s="284"/>
      <c r="M5" s="284"/>
      <c r="N5" s="284"/>
    </row>
    <row r="6" spans="1:16" x14ac:dyDescent="0.25">
      <c r="C6" s="181"/>
      <c r="D6" s="181"/>
      <c r="E6" s="181"/>
      <c r="F6" s="181"/>
      <c r="G6" s="181"/>
      <c r="H6" s="181"/>
      <c r="I6" s="181"/>
      <c r="J6" s="181"/>
      <c r="K6" s="181"/>
      <c r="L6" s="181"/>
      <c r="M6" s="181"/>
      <c r="N6" s="181"/>
    </row>
    <row r="8" spans="1:16" ht="15.75" thickBot="1" x14ac:dyDescent="0.3">
      <c r="A8" s="285" t="s">
        <v>324</v>
      </c>
      <c r="B8" s="285"/>
      <c r="C8" s="285"/>
      <c r="D8" s="285"/>
      <c r="G8" s="285" t="s">
        <v>325</v>
      </c>
      <c r="H8" s="285"/>
      <c r="I8" s="285"/>
      <c r="J8" s="285"/>
      <c r="K8" s="285"/>
    </row>
    <row r="9" spans="1:16" ht="15.75" thickBot="1" x14ac:dyDescent="0.3">
      <c r="G9" s="205"/>
      <c r="H9" s="273" t="s">
        <v>329</v>
      </c>
      <c r="I9" s="206" t="s">
        <v>327</v>
      </c>
      <c r="O9" s="283" t="s">
        <v>330</v>
      </c>
      <c r="P9" s="105" t="s">
        <v>331</v>
      </c>
    </row>
    <row r="10" spans="1:16" ht="15.75" thickBot="1" x14ac:dyDescent="0.3">
      <c r="A10" s="185"/>
      <c r="B10" s="272" t="s">
        <v>320</v>
      </c>
      <c r="C10" s="272"/>
      <c r="D10" s="186" t="s">
        <v>327</v>
      </c>
      <c r="G10" s="275">
        <v>1</v>
      </c>
      <c r="H10" s="276" t="s">
        <v>125</v>
      </c>
      <c r="I10" s="277">
        <v>2995</v>
      </c>
      <c r="O10" s="278" t="s">
        <v>332</v>
      </c>
      <c r="P10" s="279">
        <v>0.51</v>
      </c>
    </row>
    <row r="11" spans="1:16" x14ac:dyDescent="0.25">
      <c r="A11" s="268">
        <v>1</v>
      </c>
      <c r="B11" s="138" t="s">
        <v>319</v>
      </c>
      <c r="C11" s="134"/>
      <c r="D11" s="269">
        <v>9832</v>
      </c>
      <c r="G11" s="278">
        <v>2</v>
      </c>
      <c r="H11" s="274" t="s">
        <v>328</v>
      </c>
      <c r="I11" s="279">
        <v>4778</v>
      </c>
      <c r="O11" s="278" t="s">
        <v>333</v>
      </c>
      <c r="P11" s="279">
        <v>0.23699999999999999</v>
      </c>
    </row>
    <row r="12" spans="1:16" x14ac:dyDescent="0.25">
      <c r="A12" s="268">
        <v>2</v>
      </c>
      <c r="B12" s="138" t="s">
        <v>321</v>
      </c>
      <c r="C12" s="134"/>
      <c r="D12" s="135">
        <v>2830</v>
      </c>
      <c r="G12" s="278">
        <v>3</v>
      </c>
      <c r="H12" s="274" t="s">
        <v>127</v>
      </c>
      <c r="I12" s="279">
        <v>3508</v>
      </c>
      <c r="O12" s="278" t="s">
        <v>334</v>
      </c>
      <c r="P12" s="279">
        <v>6.9000000000000006E-2</v>
      </c>
    </row>
    <row r="13" spans="1:16" ht="15.75" thickBot="1" x14ac:dyDescent="0.3">
      <c r="A13" s="268">
        <v>3</v>
      </c>
      <c r="B13" s="138" t="s">
        <v>322</v>
      </c>
      <c r="C13" s="134"/>
      <c r="D13" s="135">
        <v>1900</v>
      </c>
      <c r="G13" s="280">
        <v>4</v>
      </c>
      <c r="H13" s="281" t="s">
        <v>326</v>
      </c>
      <c r="I13" s="282">
        <v>3281</v>
      </c>
      <c r="O13" s="280" t="s">
        <v>335</v>
      </c>
      <c r="P13" s="282">
        <v>0.184</v>
      </c>
    </row>
    <row r="14" spans="1:16" ht="15.75" thickBot="1" x14ac:dyDescent="0.3">
      <c r="A14" s="270">
        <v>4</v>
      </c>
      <c r="B14" s="271" t="s">
        <v>323</v>
      </c>
      <c r="C14" s="143"/>
      <c r="D14" s="144">
        <v>2172</v>
      </c>
    </row>
    <row r="15" spans="1:16" x14ac:dyDescent="0.25">
      <c r="K15" s="267"/>
    </row>
  </sheetData>
  <mergeCells count="4">
    <mergeCell ref="D5:N5"/>
    <mergeCell ref="A8:D8"/>
    <mergeCell ref="G8:K8"/>
    <mergeCell ref="A1:P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J13"/>
  <sheetViews>
    <sheetView zoomScale="85" zoomScaleNormal="85" workbookViewId="0">
      <selection activeCell="F10" sqref="F10"/>
    </sheetView>
  </sheetViews>
  <sheetFormatPr defaultRowHeight="15" x14ac:dyDescent="0.25"/>
  <cols>
    <col min="2" max="2" width="9.5703125" bestFit="1" customWidth="1"/>
    <col min="4" max="4" width="11.42578125" customWidth="1"/>
    <col min="5" max="5" width="12.5703125" bestFit="1" customWidth="1"/>
    <col min="6" max="6" width="20" bestFit="1" customWidth="1"/>
    <col min="7" max="7" width="15.42578125" bestFit="1" customWidth="1"/>
  </cols>
  <sheetData>
    <row r="1" spans="2:10" ht="15.75" thickBot="1" x14ac:dyDescent="0.3"/>
    <row r="2" spans="2:10" ht="19.5" x14ac:dyDescent="0.3">
      <c r="B2" s="297" t="s">
        <v>137</v>
      </c>
      <c r="C2" s="298"/>
      <c r="D2" s="298"/>
      <c r="E2" s="292" t="s">
        <v>136</v>
      </c>
      <c r="F2" s="292"/>
      <c r="G2" s="293"/>
    </row>
    <row r="3" spans="2:10" ht="15.75" thickBot="1" x14ac:dyDescent="0.3">
      <c r="B3" s="299"/>
      <c r="C3" s="300"/>
      <c r="D3" s="300"/>
      <c r="E3" s="290" t="s">
        <v>123</v>
      </c>
      <c r="F3" s="290"/>
      <c r="G3" s="291"/>
    </row>
    <row r="4" spans="2:10" ht="15.75" thickBot="1" x14ac:dyDescent="0.3">
      <c r="B4" s="287"/>
      <c r="C4" s="288"/>
      <c r="D4" s="289"/>
      <c r="E4" s="76" t="s">
        <v>133</v>
      </c>
      <c r="F4" s="76" t="s">
        <v>134</v>
      </c>
      <c r="G4" s="77" t="s">
        <v>135</v>
      </c>
    </row>
    <row r="5" spans="2:10" x14ac:dyDescent="0.25">
      <c r="B5" s="294" t="s">
        <v>124</v>
      </c>
      <c r="C5" s="295"/>
      <c r="D5" s="296"/>
      <c r="E5" s="78"/>
      <c r="F5" s="78"/>
      <c r="G5" s="80"/>
    </row>
    <row r="6" spans="2:10" x14ac:dyDescent="0.25">
      <c r="B6" s="307" t="s">
        <v>125</v>
      </c>
      <c r="C6" s="308"/>
      <c r="D6" s="309"/>
      <c r="E6" s="78">
        <v>2995</v>
      </c>
      <c r="F6" s="78">
        <v>791</v>
      </c>
      <c r="G6" s="80">
        <v>2288</v>
      </c>
    </row>
    <row r="7" spans="2:10" x14ac:dyDescent="0.25">
      <c r="B7" s="307" t="s">
        <v>126</v>
      </c>
      <c r="C7" s="308"/>
      <c r="D7" s="309"/>
      <c r="E7" s="78">
        <v>4778</v>
      </c>
      <c r="F7" s="78">
        <v>1414</v>
      </c>
      <c r="G7" s="80">
        <v>3636</v>
      </c>
    </row>
    <row r="8" spans="2:10" x14ac:dyDescent="0.25">
      <c r="B8" s="307" t="s">
        <v>127</v>
      </c>
      <c r="C8" s="308"/>
      <c r="D8" s="309"/>
      <c r="E8" s="78">
        <v>3508</v>
      </c>
      <c r="F8" s="78">
        <v>715</v>
      </c>
      <c r="G8" s="80">
        <v>3555</v>
      </c>
    </row>
    <row r="9" spans="2:10" x14ac:dyDescent="0.25">
      <c r="B9" s="307" t="s">
        <v>128</v>
      </c>
      <c r="C9" s="308"/>
      <c r="D9" s="309"/>
      <c r="E9" s="78">
        <v>3281</v>
      </c>
      <c r="F9" s="78">
        <v>807</v>
      </c>
      <c r="G9" s="80">
        <v>2069</v>
      </c>
    </row>
    <row r="10" spans="2:10" x14ac:dyDescent="0.25">
      <c r="B10" s="304" t="s">
        <v>129</v>
      </c>
      <c r="C10" s="305"/>
      <c r="D10" s="306"/>
      <c r="E10" s="79">
        <f>SUM(E6:E9)</f>
        <v>14562</v>
      </c>
      <c r="F10" s="79">
        <f t="shared" ref="F10:G10" si="0">SUM(F6:F9)</f>
        <v>3727</v>
      </c>
      <c r="G10" s="81">
        <f t="shared" si="0"/>
        <v>11548</v>
      </c>
      <c r="J10" s="11"/>
    </row>
    <row r="11" spans="2:10" x14ac:dyDescent="0.25">
      <c r="B11" s="307" t="s">
        <v>130</v>
      </c>
      <c r="C11" s="308"/>
      <c r="D11" s="309"/>
      <c r="E11" s="78">
        <v>2172</v>
      </c>
      <c r="F11" s="78">
        <v>560</v>
      </c>
      <c r="G11" s="80">
        <v>1078</v>
      </c>
    </row>
    <row r="12" spans="2:10" x14ac:dyDescent="0.25">
      <c r="B12" s="307" t="s">
        <v>131</v>
      </c>
      <c r="C12" s="308"/>
      <c r="D12" s="309"/>
      <c r="E12" s="78"/>
      <c r="F12" s="78">
        <v>-446</v>
      </c>
      <c r="G12" s="80">
        <v>98</v>
      </c>
    </row>
    <row r="13" spans="2:10" ht="15.75" thickBot="1" x14ac:dyDescent="0.3">
      <c r="B13" s="301" t="s">
        <v>132</v>
      </c>
      <c r="C13" s="302"/>
      <c r="D13" s="303"/>
      <c r="E13" s="82">
        <f>SUM(E10:E12)</f>
        <v>16734</v>
      </c>
      <c r="F13" s="82">
        <f t="shared" ref="F13:G13" si="1">SUM(F10:F12)</f>
        <v>3841</v>
      </c>
      <c r="G13" s="83">
        <f t="shared" si="1"/>
        <v>12724</v>
      </c>
    </row>
  </sheetData>
  <mergeCells count="13">
    <mergeCell ref="B13:D13"/>
    <mergeCell ref="B10:D10"/>
    <mergeCell ref="B6:D6"/>
    <mergeCell ref="B7:D7"/>
    <mergeCell ref="B8:D8"/>
    <mergeCell ref="B9:D9"/>
    <mergeCell ref="B11:D11"/>
    <mergeCell ref="B12:D12"/>
    <mergeCell ref="B4:D4"/>
    <mergeCell ref="E3:G3"/>
    <mergeCell ref="E2:G2"/>
    <mergeCell ref="B5:D5"/>
    <mergeCell ref="B2:D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5"/>
  <sheetViews>
    <sheetView showGridLines="0" zoomScale="85" zoomScaleNormal="85" workbookViewId="0">
      <selection activeCell="K37" sqref="K36:K37"/>
    </sheetView>
  </sheetViews>
  <sheetFormatPr defaultColWidth="8.85546875" defaultRowHeight="15" x14ac:dyDescent="0.25"/>
  <cols>
    <col min="1" max="16384" width="8.85546875" style="30"/>
  </cols>
  <sheetData>
    <row r="1" spans="15:19" ht="21" x14ac:dyDescent="0.25">
      <c r="O1" s="310" t="s">
        <v>201</v>
      </c>
      <c r="P1" s="310"/>
      <c r="Q1" s="310"/>
      <c r="R1" s="310"/>
      <c r="S1" s="310"/>
    </row>
    <row r="18" spans="1:12" ht="23.25" x14ac:dyDescent="0.25">
      <c r="B18" s="99" t="s">
        <v>279</v>
      </c>
      <c r="C18" s="100"/>
      <c r="D18" s="100"/>
      <c r="E18" s="100"/>
      <c r="F18" s="100"/>
      <c r="G18" s="100"/>
      <c r="H18" s="100"/>
      <c r="I18" s="100"/>
      <c r="J18" s="100"/>
      <c r="K18" s="100"/>
      <c r="L18" s="101"/>
    </row>
    <row r="19" spans="1:12" ht="15.75" thickBot="1" x14ac:dyDescent="0.3">
      <c r="A19" s="71"/>
    </row>
    <row r="20" spans="1:12" x14ac:dyDescent="0.25">
      <c r="B20" s="95" t="s">
        <v>280</v>
      </c>
      <c r="C20" s="96"/>
      <c r="D20" s="96"/>
      <c r="E20" s="84"/>
      <c r="F20" s="84"/>
      <c r="G20" s="84"/>
      <c r="H20" s="84"/>
      <c r="I20" s="84"/>
      <c r="J20" s="84"/>
      <c r="K20" s="84"/>
      <c r="L20" s="85"/>
    </row>
    <row r="21" spans="1:12" x14ac:dyDescent="0.25">
      <c r="B21" s="89"/>
      <c r="C21" s="87"/>
      <c r="D21" s="87"/>
      <c r="E21" s="87"/>
      <c r="F21" s="87"/>
      <c r="G21" s="87"/>
      <c r="H21" s="87"/>
      <c r="I21" s="87"/>
      <c r="J21" s="87"/>
      <c r="K21" s="87"/>
      <c r="L21" s="88"/>
    </row>
    <row r="22" spans="1:12" x14ac:dyDescent="0.25">
      <c r="B22" s="90" t="s">
        <v>281</v>
      </c>
      <c r="C22" s="87"/>
      <c r="D22" s="87"/>
      <c r="E22" s="87"/>
      <c r="F22" s="87"/>
      <c r="G22" s="87"/>
      <c r="H22" s="87"/>
      <c r="I22" s="87"/>
      <c r="J22" s="87"/>
      <c r="K22" s="87"/>
      <c r="L22" s="88"/>
    </row>
    <row r="23" spans="1:12" x14ac:dyDescent="0.25">
      <c r="B23" s="90" t="s">
        <v>282</v>
      </c>
      <c r="C23" s="87"/>
      <c r="D23" s="87"/>
      <c r="E23" s="87"/>
      <c r="F23" s="87"/>
      <c r="G23" s="87"/>
      <c r="H23" s="87"/>
      <c r="I23" s="87"/>
      <c r="J23" s="87"/>
      <c r="K23" s="87"/>
      <c r="L23" s="88"/>
    </row>
    <row r="24" spans="1:12" s="73" customFormat="1" ht="15.75" x14ac:dyDescent="0.25">
      <c r="A24" s="30"/>
      <c r="B24" s="86"/>
      <c r="C24" s="87"/>
      <c r="D24" s="87"/>
      <c r="E24" s="87"/>
      <c r="F24" s="87"/>
      <c r="G24" s="87"/>
      <c r="H24" s="87"/>
      <c r="I24" s="87"/>
      <c r="J24" s="87"/>
      <c r="K24" s="87"/>
      <c r="L24" s="88"/>
    </row>
    <row r="25" spans="1:12" x14ac:dyDescent="0.25">
      <c r="B25" s="97" t="s">
        <v>283</v>
      </c>
      <c r="C25" s="98"/>
      <c r="D25" s="87"/>
      <c r="E25" s="87"/>
      <c r="F25" s="87"/>
      <c r="G25" s="87"/>
      <c r="H25" s="87"/>
      <c r="I25" s="87"/>
      <c r="J25" s="87"/>
      <c r="K25" s="87"/>
      <c r="L25" s="88"/>
    </row>
    <row r="26" spans="1:12" x14ac:dyDescent="0.25">
      <c r="B26" s="90" t="s">
        <v>284</v>
      </c>
      <c r="C26" s="87"/>
      <c r="D26" s="87"/>
      <c r="E26" s="87"/>
      <c r="F26" s="87"/>
      <c r="G26" s="87"/>
      <c r="H26" s="87"/>
      <c r="I26" s="87"/>
      <c r="J26" s="87"/>
      <c r="K26" s="87"/>
      <c r="L26" s="88"/>
    </row>
    <row r="27" spans="1:12" x14ac:dyDescent="0.25">
      <c r="B27" s="91" t="s">
        <v>285</v>
      </c>
      <c r="C27" s="87"/>
      <c r="D27" s="87"/>
      <c r="E27" s="87"/>
      <c r="F27" s="87"/>
      <c r="G27" s="87"/>
      <c r="H27" s="87"/>
      <c r="I27" s="87"/>
      <c r="J27" s="87"/>
      <c r="K27" s="87"/>
      <c r="L27" s="88"/>
    </row>
    <row r="28" spans="1:12" x14ac:dyDescent="0.25">
      <c r="B28" s="90" t="s">
        <v>286</v>
      </c>
      <c r="C28" s="87"/>
      <c r="D28" s="87"/>
      <c r="E28" s="87"/>
      <c r="F28" s="87"/>
      <c r="G28" s="87"/>
      <c r="H28" s="87"/>
      <c r="I28" s="87"/>
      <c r="J28" s="87"/>
      <c r="K28" s="87"/>
      <c r="L28" s="88"/>
    </row>
    <row r="29" spans="1:12" x14ac:dyDescent="0.25">
      <c r="B29" s="91" t="s">
        <v>287</v>
      </c>
      <c r="C29" s="87"/>
      <c r="D29" s="87"/>
      <c r="E29" s="87"/>
      <c r="F29" s="87"/>
      <c r="G29" s="87"/>
      <c r="H29" s="87"/>
      <c r="I29" s="87"/>
      <c r="J29" s="87"/>
      <c r="K29" s="87"/>
      <c r="L29" s="88"/>
    </row>
    <row r="30" spans="1:12" x14ac:dyDescent="0.25">
      <c r="B30" s="90" t="s">
        <v>288</v>
      </c>
      <c r="C30" s="87"/>
      <c r="D30" s="87"/>
      <c r="E30" s="87"/>
      <c r="F30" s="87"/>
      <c r="G30" s="87"/>
      <c r="H30" s="87"/>
      <c r="I30" s="87"/>
      <c r="J30" s="87"/>
      <c r="K30" s="87"/>
      <c r="L30" s="88"/>
    </row>
    <row r="31" spans="1:12" x14ac:dyDescent="0.25">
      <c r="B31" s="91" t="s">
        <v>289</v>
      </c>
      <c r="C31" s="87"/>
      <c r="D31" s="87"/>
      <c r="E31" s="87"/>
      <c r="F31" s="87"/>
      <c r="G31" s="87"/>
      <c r="H31" s="87"/>
      <c r="I31" s="87"/>
      <c r="J31" s="87"/>
      <c r="K31" s="87"/>
      <c r="L31" s="88"/>
    </row>
    <row r="32" spans="1:12" x14ac:dyDescent="0.25">
      <c r="B32" s="91" t="s">
        <v>290</v>
      </c>
      <c r="C32" s="87"/>
      <c r="D32" s="87"/>
      <c r="E32" s="87"/>
      <c r="F32" s="87"/>
      <c r="G32" s="87"/>
      <c r="H32" s="87"/>
      <c r="I32" s="87"/>
      <c r="J32" s="87"/>
      <c r="K32" s="87"/>
      <c r="L32" s="88"/>
    </row>
    <row r="33" spans="2:12" x14ac:dyDescent="0.25">
      <c r="B33" s="90" t="s">
        <v>291</v>
      </c>
      <c r="C33" s="87"/>
      <c r="D33" s="87"/>
      <c r="E33" s="87"/>
      <c r="F33" s="87"/>
      <c r="G33" s="87"/>
      <c r="H33" s="87"/>
      <c r="I33" s="87"/>
      <c r="J33" s="87"/>
      <c r="K33" s="87"/>
      <c r="L33" s="88"/>
    </row>
    <row r="34" spans="2:12" x14ac:dyDescent="0.25">
      <c r="B34" s="91" t="s">
        <v>292</v>
      </c>
      <c r="C34" s="87"/>
      <c r="D34" s="87"/>
      <c r="E34" s="87"/>
      <c r="F34" s="87"/>
      <c r="G34" s="87"/>
      <c r="H34" s="87"/>
      <c r="I34" s="87"/>
      <c r="J34" s="87"/>
      <c r="K34" s="87"/>
      <c r="L34" s="88"/>
    </row>
    <row r="35" spans="2:12" ht="15.75" thickBot="1" x14ac:dyDescent="0.3">
      <c r="B35" s="92" t="s">
        <v>293</v>
      </c>
      <c r="C35" s="93"/>
      <c r="D35" s="93"/>
      <c r="E35" s="93"/>
      <c r="F35" s="93"/>
      <c r="G35" s="93"/>
      <c r="H35" s="93"/>
      <c r="I35" s="93"/>
      <c r="J35" s="93"/>
      <c r="K35" s="93"/>
      <c r="L35" s="94"/>
    </row>
  </sheetData>
  <mergeCells count="1">
    <mergeCell ref="O1:S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O20"/>
  <sheetViews>
    <sheetView zoomScaleNormal="100" workbookViewId="0">
      <selection activeCell="B3" sqref="B3:C3"/>
    </sheetView>
  </sheetViews>
  <sheetFormatPr defaultRowHeight="15" x14ac:dyDescent="0.25"/>
  <cols>
    <col min="2" max="2" width="9.42578125" bestFit="1" customWidth="1"/>
    <col min="3" max="3" width="16.42578125" customWidth="1"/>
  </cols>
  <sheetData>
    <row r="2" spans="2:15" ht="15.75" thickBot="1" x14ac:dyDescent="0.3"/>
    <row r="3" spans="2:15" ht="20.25" thickBot="1" x14ac:dyDescent="0.35">
      <c r="B3" s="311" t="s">
        <v>168</v>
      </c>
      <c r="C3" s="312"/>
      <c r="D3" s="313" t="s">
        <v>138</v>
      </c>
      <c r="E3" s="313"/>
      <c r="F3" s="313"/>
      <c r="G3" s="313"/>
      <c r="H3" s="313"/>
      <c r="I3" s="313"/>
      <c r="J3" s="313"/>
      <c r="K3" s="313"/>
      <c r="L3" s="313"/>
      <c r="M3" s="313"/>
    </row>
    <row r="4" spans="2:15" x14ac:dyDescent="0.25">
      <c r="B4" s="318"/>
      <c r="C4" s="319"/>
      <c r="D4" s="103" t="s">
        <v>157</v>
      </c>
      <c r="E4" s="104" t="s">
        <v>156</v>
      </c>
      <c r="F4" s="104" t="s">
        <v>155</v>
      </c>
      <c r="G4" s="104" t="s">
        <v>154</v>
      </c>
      <c r="H4" s="104" t="s">
        <v>153</v>
      </c>
      <c r="I4" s="104" t="s">
        <v>152</v>
      </c>
      <c r="J4" s="104" t="s">
        <v>151</v>
      </c>
      <c r="K4" s="104" t="s">
        <v>150</v>
      </c>
      <c r="L4" s="104" t="s">
        <v>149</v>
      </c>
      <c r="M4" s="105" t="s">
        <v>148</v>
      </c>
    </row>
    <row r="5" spans="2:15" x14ac:dyDescent="0.25">
      <c r="B5" s="314" t="s">
        <v>139</v>
      </c>
      <c r="C5" s="315"/>
      <c r="D5" s="30"/>
      <c r="E5" s="30"/>
      <c r="F5" s="30"/>
      <c r="G5" s="30"/>
      <c r="H5" s="30"/>
      <c r="I5" s="30"/>
      <c r="J5" s="30"/>
      <c r="K5" s="30"/>
      <c r="L5" s="30"/>
      <c r="M5" s="88"/>
    </row>
    <row r="6" spans="2:15" x14ac:dyDescent="0.25">
      <c r="B6" s="314" t="s">
        <v>0</v>
      </c>
      <c r="C6" s="315"/>
      <c r="D6" s="32">
        <v>16.73</v>
      </c>
      <c r="E6" s="33">
        <v>15.56</v>
      </c>
      <c r="F6" s="33">
        <v>15.33</v>
      </c>
      <c r="G6" s="33">
        <v>15.33</v>
      </c>
      <c r="H6" s="33">
        <v>13.79</v>
      </c>
      <c r="I6" s="33">
        <v>12.24</v>
      </c>
      <c r="J6" s="33">
        <v>11.4</v>
      </c>
      <c r="K6" s="33">
        <v>10.58</v>
      </c>
      <c r="L6" s="33">
        <v>9.9</v>
      </c>
      <c r="M6" s="34">
        <v>9.2899999999999991</v>
      </c>
    </row>
    <row r="7" spans="2:15" x14ac:dyDescent="0.25">
      <c r="B7" s="314" t="s">
        <v>16</v>
      </c>
      <c r="C7" s="315"/>
      <c r="D7" s="32">
        <v>9.59</v>
      </c>
      <c r="E7" s="33">
        <v>9.1999999999999993</v>
      </c>
      <c r="F7" s="33">
        <v>9.01</v>
      </c>
      <c r="G7" s="33">
        <v>9.01</v>
      </c>
      <c r="H7" s="33">
        <v>8.2200000000000006</v>
      </c>
      <c r="I7" s="33">
        <v>7.21</v>
      </c>
      <c r="J7" s="33">
        <v>6.62</v>
      </c>
      <c r="K7" s="33">
        <v>6.15</v>
      </c>
      <c r="L7" s="33">
        <v>5.75</v>
      </c>
      <c r="M7" s="34">
        <v>5.35</v>
      </c>
    </row>
    <row r="8" spans="2:15" ht="15.75" thickBot="1" x14ac:dyDescent="0.3">
      <c r="B8" s="314" t="s">
        <v>140</v>
      </c>
      <c r="C8" s="315"/>
      <c r="D8" s="109">
        <v>3.84</v>
      </c>
      <c r="E8" s="110">
        <v>3.49</v>
      </c>
      <c r="F8" s="110">
        <v>3.62</v>
      </c>
      <c r="G8" s="110">
        <v>3.33</v>
      </c>
      <c r="H8" s="110">
        <v>2.96</v>
      </c>
      <c r="I8" s="110">
        <v>2.57</v>
      </c>
      <c r="J8" s="110">
        <v>2.37</v>
      </c>
      <c r="K8" s="110">
        <v>2.2000000000000002</v>
      </c>
      <c r="L8" s="110">
        <v>2.14</v>
      </c>
      <c r="M8" s="111">
        <v>2.02</v>
      </c>
    </row>
    <row r="9" spans="2:15" ht="15.75" thickBot="1" x14ac:dyDescent="0.3">
      <c r="B9" s="314" t="s">
        <v>141</v>
      </c>
      <c r="C9" s="315"/>
      <c r="D9" s="115">
        <v>2.4300000000000002</v>
      </c>
      <c r="E9" s="116">
        <v>2.2000000000000002</v>
      </c>
      <c r="F9" s="116">
        <v>2.29</v>
      </c>
      <c r="G9" s="116">
        <v>1.96</v>
      </c>
      <c r="H9" s="116">
        <v>1.74</v>
      </c>
      <c r="I9" s="116">
        <v>1.35</v>
      </c>
      <c r="J9" s="116">
        <v>1.35</v>
      </c>
      <c r="K9" s="116">
        <v>1.33</v>
      </c>
      <c r="L9" s="116">
        <v>1.42</v>
      </c>
      <c r="M9" s="117">
        <v>1.29</v>
      </c>
    </row>
    <row r="10" spans="2:15" s="30" customFormat="1" ht="15.75" thickBot="1" x14ac:dyDescent="0.3">
      <c r="B10" s="320"/>
      <c r="C10" s="321"/>
      <c r="D10" s="118"/>
      <c r="E10" s="119"/>
      <c r="F10" s="119"/>
      <c r="G10" s="119"/>
      <c r="H10" s="119"/>
      <c r="I10" s="119"/>
      <c r="J10" s="119"/>
      <c r="K10" s="119"/>
      <c r="L10" s="119"/>
      <c r="M10" s="120"/>
      <c r="O10"/>
    </row>
    <row r="11" spans="2:15" ht="15.75" thickBot="1" x14ac:dyDescent="0.3">
      <c r="B11" s="314" t="s">
        <v>32</v>
      </c>
      <c r="C11" s="315"/>
      <c r="D11" s="115">
        <v>12.72</v>
      </c>
      <c r="E11" s="116">
        <v>11.17</v>
      </c>
      <c r="F11" s="116">
        <v>11.13</v>
      </c>
      <c r="G11" s="116">
        <v>9.98</v>
      </c>
      <c r="H11" s="116">
        <v>10.11</v>
      </c>
      <c r="I11" s="116">
        <v>9.14</v>
      </c>
      <c r="J11" s="116">
        <v>8.51</v>
      </c>
      <c r="K11" s="116">
        <v>8.67</v>
      </c>
      <c r="L11" s="116">
        <v>7.48</v>
      </c>
      <c r="M11" s="117">
        <v>7.09</v>
      </c>
    </row>
    <row r="12" spans="2:15" ht="15.75" thickBot="1" x14ac:dyDescent="0.3">
      <c r="B12" s="314" t="s">
        <v>43</v>
      </c>
      <c r="C12" s="315"/>
      <c r="D12" s="115">
        <v>10.18</v>
      </c>
      <c r="E12" s="116">
        <v>8.36</v>
      </c>
      <c r="F12" s="116">
        <v>7.88</v>
      </c>
      <c r="G12" s="116">
        <v>7.94</v>
      </c>
      <c r="H12" s="116">
        <v>7.72</v>
      </c>
      <c r="I12" s="116">
        <v>7.62</v>
      </c>
      <c r="J12" s="116">
        <v>7.05</v>
      </c>
      <c r="K12" s="116">
        <v>7.21</v>
      </c>
      <c r="L12" s="116">
        <v>6.38</v>
      </c>
      <c r="M12" s="117">
        <v>6.53</v>
      </c>
    </row>
    <row r="13" spans="2:15" x14ac:dyDescent="0.25">
      <c r="B13" s="314" t="s">
        <v>41</v>
      </c>
      <c r="C13" s="315"/>
      <c r="D13" s="112">
        <v>4.43</v>
      </c>
      <c r="E13" s="113">
        <v>2.82</v>
      </c>
      <c r="F13" s="113">
        <v>2.82</v>
      </c>
      <c r="G13" s="113">
        <v>3.59</v>
      </c>
      <c r="H13" s="113">
        <v>3.22</v>
      </c>
      <c r="I13" s="113">
        <v>2.72</v>
      </c>
      <c r="J13" s="113">
        <v>2.92</v>
      </c>
      <c r="K13" s="113">
        <v>3.09</v>
      </c>
      <c r="L13" s="113">
        <v>2.68</v>
      </c>
      <c r="M13" s="114">
        <v>3.21</v>
      </c>
    </row>
    <row r="14" spans="2:15" x14ac:dyDescent="0.25">
      <c r="B14" s="314" t="s">
        <v>142</v>
      </c>
      <c r="C14" s="315"/>
      <c r="D14" s="32">
        <v>2.38</v>
      </c>
      <c r="E14" s="33">
        <v>2.68</v>
      </c>
      <c r="F14" s="33">
        <v>3.12</v>
      </c>
      <c r="G14" s="33">
        <v>1.92</v>
      </c>
      <c r="H14" s="33">
        <v>2.29</v>
      </c>
      <c r="I14" s="33">
        <v>1.41</v>
      </c>
      <c r="J14" s="33">
        <v>1.35</v>
      </c>
      <c r="K14" s="33">
        <v>1.25</v>
      </c>
      <c r="L14" s="33">
        <v>0.89</v>
      </c>
      <c r="M14" s="34">
        <v>0.35</v>
      </c>
    </row>
    <row r="15" spans="2:15" x14ac:dyDescent="0.25">
      <c r="B15" s="314" t="s">
        <v>143</v>
      </c>
      <c r="C15" s="315"/>
      <c r="D15" s="32">
        <v>12.81</v>
      </c>
      <c r="E15" s="33">
        <v>11.31</v>
      </c>
      <c r="F15" s="33">
        <v>10.48</v>
      </c>
      <c r="G15" s="33">
        <v>9.6999999999999993</v>
      </c>
      <c r="H15" s="33">
        <v>8.9</v>
      </c>
      <c r="I15" s="33">
        <v>8.07</v>
      </c>
      <c r="J15" s="33">
        <v>7.58</v>
      </c>
      <c r="K15" s="33">
        <v>6.97</v>
      </c>
      <c r="L15" s="33">
        <v>6.5</v>
      </c>
      <c r="M15" s="34">
        <v>6.15</v>
      </c>
    </row>
    <row r="16" spans="2:15" s="30" customFormat="1" x14ac:dyDescent="0.25">
      <c r="B16" s="320"/>
      <c r="C16" s="321"/>
      <c r="D16" s="32"/>
      <c r="E16" s="33"/>
      <c r="F16" s="33"/>
      <c r="G16" s="33"/>
      <c r="H16" s="33"/>
      <c r="I16" s="33"/>
      <c r="J16" s="33"/>
      <c r="K16" s="33"/>
      <c r="L16" s="33"/>
      <c r="M16" s="34"/>
    </row>
    <row r="17" spans="2:13" x14ac:dyDescent="0.25">
      <c r="B17" s="314" t="s">
        <v>144</v>
      </c>
      <c r="C17" s="315"/>
      <c r="D17" s="32">
        <v>4.9800000000000004</v>
      </c>
      <c r="E17" s="33">
        <v>4.45</v>
      </c>
      <c r="F17" s="33">
        <v>4.53</v>
      </c>
      <c r="G17" s="33">
        <v>3.81</v>
      </c>
      <c r="H17" s="33">
        <v>3.35</v>
      </c>
      <c r="I17" s="33">
        <v>2.57</v>
      </c>
      <c r="J17" s="33">
        <v>2.54</v>
      </c>
      <c r="K17" s="33">
        <v>2.4500000000000002</v>
      </c>
      <c r="L17" s="33">
        <v>2.6</v>
      </c>
      <c r="M17" s="34">
        <v>2.33</v>
      </c>
    </row>
    <row r="18" spans="2:13" x14ac:dyDescent="0.25">
      <c r="B18" s="314" t="s">
        <v>145</v>
      </c>
      <c r="C18" s="315"/>
      <c r="D18" s="32">
        <v>2.27</v>
      </c>
      <c r="E18" s="33">
        <v>2.0299999999999998</v>
      </c>
      <c r="F18" s="33">
        <v>1.72</v>
      </c>
      <c r="G18" s="33">
        <v>1.56</v>
      </c>
      <c r="H18" s="33">
        <v>1.4</v>
      </c>
      <c r="I18" s="33">
        <v>1.25</v>
      </c>
      <c r="J18" s="33">
        <v>1.1100000000000001</v>
      </c>
      <c r="K18" s="33">
        <v>0.96</v>
      </c>
      <c r="L18" s="33">
        <v>0.9</v>
      </c>
      <c r="M18" s="34">
        <v>0.72</v>
      </c>
    </row>
    <row r="19" spans="2:13" x14ac:dyDescent="0.25">
      <c r="B19" s="314" t="s">
        <v>146</v>
      </c>
      <c r="C19" s="315"/>
      <c r="D19" s="32">
        <v>92.39</v>
      </c>
      <c r="E19" s="33">
        <v>80.37</v>
      </c>
      <c r="F19" s="33">
        <v>82.15</v>
      </c>
      <c r="G19" s="33">
        <v>68.540000000000006</v>
      </c>
      <c r="H19" s="33">
        <v>77.959999999999994</v>
      </c>
      <c r="I19" s="33">
        <v>65.239999999999995</v>
      </c>
      <c r="J19" s="33">
        <v>54.85</v>
      </c>
      <c r="K19" s="33">
        <v>51.16</v>
      </c>
      <c r="L19" s="33">
        <v>50.05</v>
      </c>
      <c r="M19" s="34">
        <v>52.43</v>
      </c>
    </row>
    <row r="20" spans="2:13" ht="15.75" thickBot="1" x14ac:dyDescent="0.3">
      <c r="B20" s="316" t="s">
        <v>147</v>
      </c>
      <c r="C20" s="317"/>
      <c r="D20" s="106">
        <v>0.48</v>
      </c>
      <c r="E20" s="107">
        <v>0.49</v>
      </c>
      <c r="F20" s="107">
        <v>0.49</v>
      </c>
      <c r="G20" s="107">
        <v>0.5</v>
      </c>
      <c r="H20" s="107">
        <v>0.51</v>
      </c>
      <c r="I20" s="107">
        <v>0.51</v>
      </c>
      <c r="J20" s="107">
        <v>0.52</v>
      </c>
      <c r="K20" s="107">
        <v>0.53</v>
      </c>
      <c r="L20" s="107">
        <v>0.53</v>
      </c>
      <c r="M20" s="108">
        <v>0.54</v>
      </c>
    </row>
  </sheetData>
  <mergeCells count="19">
    <mergeCell ref="B11:C11"/>
    <mergeCell ref="B10:C10"/>
    <mergeCell ref="B16:C16"/>
    <mergeCell ref="B3:C3"/>
    <mergeCell ref="D3:M3"/>
    <mergeCell ref="B19:C19"/>
    <mergeCell ref="B20:C20"/>
    <mergeCell ref="B4:C4"/>
    <mergeCell ref="B12:C12"/>
    <mergeCell ref="B13:C13"/>
    <mergeCell ref="B14:C14"/>
    <mergeCell ref="B15:C15"/>
    <mergeCell ref="B17:C17"/>
    <mergeCell ref="B18:C18"/>
    <mergeCell ref="B5:C5"/>
    <mergeCell ref="B6:C6"/>
    <mergeCell ref="B7:C7"/>
    <mergeCell ref="B8:C8"/>
    <mergeCell ref="B9:C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AO57"/>
  <sheetViews>
    <sheetView zoomScale="55" zoomScaleNormal="55" workbookViewId="0">
      <selection activeCell="AH30" sqref="AH30"/>
    </sheetView>
  </sheetViews>
  <sheetFormatPr defaultRowHeight="15" x14ac:dyDescent="0.25"/>
  <cols>
    <col min="2" max="2" width="71.85546875" bestFit="1" customWidth="1"/>
    <col min="3" max="3" width="10.5703125" bestFit="1" customWidth="1"/>
    <col min="4" max="4" width="11" bestFit="1" customWidth="1"/>
    <col min="5" max="7" width="11.42578125" bestFit="1" customWidth="1"/>
    <col min="8" max="8" width="13.28515625" bestFit="1" customWidth="1"/>
    <col min="15" max="15" width="12.5703125" customWidth="1"/>
  </cols>
  <sheetData>
    <row r="1" spans="2:41" ht="27" thickBot="1" x14ac:dyDescent="0.4">
      <c r="B1" s="322" t="s">
        <v>12</v>
      </c>
      <c r="C1" s="323"/>
      <c r="D1" s="323"/>
      <c r="E1" s="323"/>
      <c r="F1" s="323"/>
      <c r="G1" s="324"/>
      <c r="H1" s="329" t="s">
        <v>159</v>
      </c>
      <c r="K1" s="1"/>
      <c r="L1" s="131"/>
      <c r="M1" s="131"/>
      <c r="N1" s="328"/>
      <c r="O1" s="328"/>
      <c r="P1" s="131"/>
      <c r="Q1" s="131"/>
      <c r="R1" s="131"/>
      <c r="S1" s="131"/>
      <c r="T1" s="331" t="s">
        <v>201</v>
      </c>
      <c r="U1" s="331"/>
      <c r="V1" s="331"/>
      <c r="W1" s="331"/>
      <c r="X1" s="331"/>
      <c r="Y1" s="131"/>
      <c r="Z1" s="131"/>
      <c r="AA1" s="131"/>
      <c r="AB1" s="131"/>
      <c r="AC1" s="131"/>
      <c r="AD1" s="131"/>
      <c r="AE1" s="131"/>
      <c r="AF1" s="131"/>
      <c r="AG1" s="131"/>
      <c r="AH1" s="131"/>
      <c r="AI1" s="131"/>
      <c r="AJ1" s="131"/>
      <c r="AK1" s="131"/>
      <c r="AL1" s="131"/>
      <c r="AM1" s="131"/>
      <c r="AN1" s="131"/>
      <c r="AO1" s="132"/>
    </row>
    <row r="2" spans="2:41" ht="15.75" thickBot="1" x14ac:dyDescent="0.3">
      <c r="B2" s="322" t="s">
        <v>18</v>
      </c>
      <c r="C2" s="323"/>
      <c r="D2" s="323"/>
      <c r="E2" s="323"/>
      <c r="F2" s="323"/>
      <c r="G2" s="324"/>
      <c r="H2" s="330"/>
      <c r="K2" s="133"/>
      <c r="L2" s="134"/>
      <c r="M2" s="134"/>
      <c r="N2" s="134"/>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5"/>
    </row>
    <row r="3" spans="2:41" ht="21.75" thickBot="1" x14ac:dyDescent="0.4">
      <c r="B3" s="322" t="s">
        <v>19</v>
      </c>
      <c r="C3" s="323"/>
      <c r="D3" s="323"/>
      <c r="E3" s="323"/>
      <c r="F3" s="323"/>
      <c r="G3" s="324"/>
      <c r="H3" s="330"/>
      <c r="K3" s="136" t="s">
        <v>188</v>
      </c>
      <c r="L3" s="134"/>
      <c r="M3" s="134"/>
      <c r="N3" s="134"/>
      <c r="O3" s="134"/>
      <c r="P3" s="134"/>
      <c r="Q3" s="134"/>
      <c r="R3" s="134"/>
      <c r="S3" s="134"/>
      <c r="T3" s="134"/>
      <c r="U3" s="134"/>
      <c r="V3" s="134"/>
      <c r="W3" s="134"/>
      <c r="X3" s="134"/>
      <c r="Y3" s="134"/>
      <c r="Z3" s="134"/>
      <c r="AA3" s="134"/>
      <c r="AB3" s="134"/>
      <c r="AC3" s="134"/>
      <c r="AD3" s="134"/>
      <c r="AE3" s="134"/>
      <c r="AF3" s="134"/>
      <c r="AG3" s="134"/>
      <c r="AH3" s="134"/>
      <c r="AI3" s="134"/>
      <c r="AJ3" s="134"/>
      <c r="AK3" s="134"/>
      <c r="AL3" s="134"/>
      <c r="AM3" s="134"/>
      <c r="AN3" s="134"/>
      <c r="AO3" s="135"/>
    </row>
    <row r="4" spans="2:41" ht="15.75" thickBot="1" x14ac:dyDescent="0.3">
      <c r="B4" s="325" t="s">
        <v>15</v>
      </c>
      <c r="C4" s="326"/>
      <c r="D4" s="326"/>
      <c r="E4" s="326"/>
      <c r="F4" s="326"/>
      <c r="G4" s="327"/>
      <c r="H4" s="35">
        <v>100</v>
      </c>
      <c r="K4" s="133"/>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34"/>
      <c r="AK4" s="134"/>
      <c r="AL4" s="134"/>
      <c r="AM4" s="134"/>
      <c r="AN4" s="134"/>
      <c r="AO4" s="135"/>
    </row>
    <row r="5" spans="2:41" ht="21" x14ac:dyDescent="0.35">
      <c r="B5" s="121"/>
      <c r="C5" s="126" t="s">
        <v>157</v>
      </c>
      <c r="D5" s="126" t="s">
        <v>156</v>
      </c>
      <c r="E5" s="126" t="s">
        <v>155</v>
      </c>
      <c r="F5" s="126" t="s">
        <v>154</v>
      </c>
      <c r="G5" s="126" t="s">
        <v>153</v>
      </c>
      <c r="H5" s="127" t="s">
        <v>152</v>
      </c>
      <c r="K5" s="137" t="s">
        <v>189</v>
      </c>
      <c r="L5" s="138"/>
      <c r="M5" s="138"/>
      <c r="N5" s="138"/>
      <c r="O5" s="138"/>
      <c r="P5" s="138"/>
      <c r="Q5" s="138"/>
      <c r="R5" s="138"/>
      <c r="S5" s="134"/>
      <c r="T5" s="134"/>
      <c r="U5" s="134"/>
      <c r="V5" s="134"/>
      <c r="W5" s="134"/>
      <c r="X5" s="134"/>
      <c r="Y5" s="134"/>
      <c r="Z5" s="134"/>
      <c r="AA5" s="134"/>
      <c r="AB5" s="134"/>
      <c r="AC5" s="134"/>
      <c r="AD5" s="134"/>
      <c r="AE5" s="134"/>
      <c r="AF5" s="134"/>
      <c r="AG5" s="134"/>
      <c r="AH5" s="134"/>
      <c r="AI5" s="134"/>
      <c r="AJ5" s="134"/>
      <c r="AK5" s="134"/>
      <c r="AL5" s="134"/>
      <c r="AM5" s="134"/>
      <c r="AN5" s="134"/>
      <c r="AO5" s="135"/>
    </row>
    <row r="6" spans="2:41" ht="21" x14ac:dyDescent="0.35">
      <c r="B6" s="122" t="s">
        <v>20</v>
      </c>
      <c r="C6" s="33"/>
      <c r="D6" s="33"/>
      <c r="E6" s="33"/>
      <c r="F6" s="33"/>
      <c r="G6" s="33"/>
      <c r="H6" s="33"/>
      <c r="K6" s="139" t="s">
        <v>192</v>
      </c>
      <c r="L6" s="140" t="s">
        <v>190</v>
      </c>
      <c r="M6" s="134"/>
      <c r="N6" s="134"/>
      <c r="O6" s="134"/>
      <c r="P6" s="134"/>
      <c r="Q6" s="134"/>
      <c r="R6" s="134"/>
      <c r="S6" s="134"/>
      <c r="T6" s="134"/>
      <c r="U6" s="134"/>
      <c r="V6" s="134"/>
      <c r="W6" s="134"/>
      <c r="X6" s="134"/>
      <c r="Y6" s="134"/>
      <c r="Z6" s="134"/>
      <c r="AA6" s="134"/>
      <c r="AB6" s="134"/>
      <c r="AC6" s="134"/>
      <c r="AD6" s="134"/>
      <c r="AE6" s="134"/>
      <c r="AF6" s="134"/>
      <c r="AG6" s="134"/>
      <c r="AH6" s="134"/>
      <c r="AI6" s="134"/>
      <c r="AJ6" s="134"/>
      <c r="AK6" s="134"/>
      <c r="AL6" s="134"/>
      <c r="AM6" s="134"/>
      <c r="AN6" s="134"/>
      <c r="AO6" s="135"/>
    </row>
    <row r="7" spans="2:41" x14ac:dyDescent="0.25">
      <c r="B7" s="123" t="s">
        <v>21</v>
      </c>
      <c r="C7" s="33"/>
      <c r="D7" s="33"/>
      <c r="E7" s="33"/>
      <c r="F7" s="33"/>
      <c r="G7" s="33"/>
      <c r="H7" s="33"/>
      <c r="K7" s="133"/>
      <c r="L7" s="134"/>
      <c r="M7" s="134"/>
      <c r="N7" s="134"/>
      <c r="O7" s="134"/>
      <c r="P7" s="134"/>
      <c r="Q7" s="134"/>
      <c r="R7" s="134"/>
      <c r="S7" s="134"/>
      <c r="T7" s="134"/>
      <c r="U7" s="134"/>
      <c r="V7" s="134"/>
      <c r="W7" s="134"/>
      <c r="X7" s="134"/>
      <c r="Y7" s="134"/>
      <c r="Z7" s="134"/>
      <c r="AA7" s="134"/>
      <c r="AB7" s="134"/>
      <c r="AC7" s="134"/>
      <c r="AD7" s="134"/>
      <c r="AE7" s="134"/>
      <c r="AF7" s="134"/>
      <c r="AG7" s="134"/>
      <c r="AH7" s="134"/>
      <c r="AI7" s="134"/>
      <c r="AJ7" s="134"/>
      <c r="AK7" s="134"/>
      <c r="AL7" s="134"/>
      <c r="AM7" s="134"/>
      <c r="AN7" s="134"/>
      <c r="AO7" s="135"/>
    </row>
    <row r="8" spans="2:41" ht="21" x14ac:dyDescent="0.35">
      <c r="B8" s="123" t="s">
        <v>22</v>
      </c>
      <c r="C8" s="33">
        <v>878</v>
      </c>
      <c r="D8" s="33">
        <v>490</v>
      </c>
      <c r="E8" s="33">
        <v>600</v>
      </c>
      <c r="F8" s="33">
        <v>554.9</v>
      </c>
      <c r="G8" s="33">
        <v>428.7</v>
      </c>
      <c r="H8" s="33">
        <v>489.5</v>
      </c>
      <c r="K8" s="139" t="s">
        <v>193</v>
      </c>
      <c r="L8" s="140" t="s">
        <v>191</v>
      </c>
      <c r="M8" s="140"/>
      <c r="N8" s="140"/>
      <c r="O8" s="140"/>
      <c r="P8" s="140"/>
      <c r="Q8" s="140"/>
      <c r="R8" s="140"/>
      <c r="S8" s="140"/>
      <c r="T8" s="140"/>
      <c r="U8" s="140"/>
      <c r="V8" s="140"/>
      <c r="W8" s="140"/>
      <c r="X8" s="140"/>
      <c r="Y8" s="140"/>
      <c r="Z8" s="140"/>
      <c r="AA8" s="140"/>
      <c r="AB8" s="134"/>
      <c r="AC8" s="134"/>
      <c r="AD8" s="134"/>
      <c r="AE8" s="134"/>
      <c r="AF8" s="134"/>
      <c r="AG8" s="134"/>
      <c r="AH8" s="134"/>
      <c r="AI8" s="134"/>
      <c r="AJ8" s="134"/>
      <c r="AK8" s="134"/>
      <c r="AL8" s="134"/>
      <c r="AM8" s="134"/>
      <c r="AN8" s="134"/>
      <c r="AO8" s="135"/>
    </row>
    <row r="9" spans="2:41" ht="21" x14ac:dyDescent="0.35">
      <c r="B9" s="123" t="s">
        <v>184</v>
      </c>
      <c r="C9" s="33">
        <v>1675</v>
      </c>
      <c r="D9" s="33">
        <v>1610</v>
      </c>
      <c r="E9" s="33">
        <v>1626</v>
      </c>
      <c r="F9" s="33">
        <v>1591.9</v>
      </c>
      <c r="G9" s="33">
        <v>1680.7</v>
      </c>
      <c r="H9" s="33">
        <v>1523.2</v>
      </c>
      <c r="K9" s="133"/>
      <c r="L9" s="141"/>
      <c r="M9" s="140"/>
      <c r="N9" s="140"/>
      <c r="O9" s="140"/>
      <c r="P9" s="140"/>
      <c r="Q9" s="140"/>
      <c r="R9" s="140"/>
      <c r="S9" s="140"/>
      <c r="T9" s="140"/>
      <c r="U9" s="140"/>
      <c r="V9" s="140"/>
      <c r="W9" s="140"/>
      <c r="X9" s="140"/>
      <c r="Y9" s="140"/>
      <c r="Z9" s="140"/>
      <c r="AA9" s="140"/>
      <c r="AB9" s="134"/>
      <c r="AC9" s="134"/>
      <c r="AD9" s="134"/>
      <c r="AE9" s="134"/>
      <c r="AF9" s="134"/>
      <c r="AG9" s="134"/>
      <c r="AH9" s="134"/>
      <c r="AI9" s="134"/>
      <c r="AJ9" s="134"/>
      <c r="AK9" s="134"/>
      <c r="AL9" s="134"/>
      <c r="AM9" s="134"/>
      <c r="AN9" s="134"/>
      <c r="AO9" s="135"/>
    </row>
    <row r="10" spans="2:41" ht="21" x14ac:dyDescent="0.35">
      <c r="B10" s="123" t="s">
        <v>30</v>
      </c>
      <c r="C10" s="33">
        <v>1327</v>
      </c>
      <c r="D10" s="33">
        <v>1222</v>
      </c>
      <c r="E10" s="33">
        <v>1209</v>
      </c>
      <c r="F10" s="33">
        <v>1197.0999999999999</v>
      </c>
      <c r="G10" s="33">
        <v>1171</v>
      </c>
      <c r="H10" s="33">
        <v>1008.4</v>
      </c>
      <c r="K10" s="133"/>
      <c r="L10" s="141" t="s">
        <v>194</v>
      </c>
      <c r="M10" s="140"/>
      <c r="N10" s="140"/>
      <c r="O10" s="140"/>
      <c r="P10" s="140"/>
      <c r="Q10" s="140"/>
      <c r="R10" s="140"/>
      <c r="S10" s="140"/>
      <c r="T10" s="140"/>
      <c r="U10" s="140"/>
      <c r="V10" s="140"/>
      <c r="W10" s="140"/>
      <c r="X10" s="140"/>
      <c r="Y10" s="140"/>
      <c r="Z10" s="140"/>
      <c r="AA10" s="140"/>
      <c r="AB10" s="134"/>
      <c r="AC10" s="134"/>
      <c r="AD10" s="134"/>
      <c r="AE10" s="134"/>
      <c r="AF10" s="134"/>
      <c r="AG10" s="134"/>
      <c r="AH10" s="134"/>
      <c r="AI10" s="134"/>
      <c r="AJ10" s="134"/>
      <c r="AK10" s="134"/>
      <c r="AL10" s="134"/>
      <c r="AM10" s="134"/>
      <c r="AN10" s="134"/>
      <c r="AO10" s="135"/>
    </row>
    <row r="11" spans="2:41" ht="21.75" thickBot="1" x14ac:dyDescent="0.4">
      <c r="B11" s="123" t="s">
        <v>24</v>
      </c>
      <c r="C11" s="33">
        <v>522</v>
      </c>
      <c r="D11" s="33">
        <v>408</v>
      </c>
      <c r="E11" s="33">
        <v>375</v>
      </c>
      <c r="F11" s="33">
        <v>366.1</v>
      </c>
      <c r="G11" s="33">
        <v>338.1</v>
      </c>
      <c r="H11" s="33">
        <v>279.89999999999998</v>
      </c>
      <c r="K11" s="133"/>
      <c r="L11" s="141" t="s">
        <v>195</v>
      </c>
      <c r="M11" s="140"/>
      <c r="N11" s="140"/>
      <c r="O11" s="140"/>
      <c r="P11" s="140"/>
      <c r="Q11" s="140"/>
      <c r="R11" s="140"/>
      <c r="S11" s="140"/>
      <c r="T11" s="140"/>
      <c r="U11" s="140"/>
      <c r="V11" s="140"/>
      <c r="W11" s="140"/>
      <c r="X11" s="140"/>
      <c r="Y11" s="140"/>
      <c r="Z11" s="140"/>
      <c r="AA11" s="140"/>
      <c r="AB11" s="134"/>
      <c r="AC11" s="134"/>
      <c r="AD11" s="134"/>
      <c r="AE11" s="134"/>
      <c r="AF11" s="134"/>
      <c r="AG11" s="134"/>
      <c r="AH11" s="134"/>
      <c r="AI11" s="134"/>
      <c r="AJ11" s="134"/>
      <c r="AK11" s="134"/>
      <c r="AL11" s="134"/>
      <c r="AM11" s="134"/>
      <c r="AN11" s="134"/>
      <c r="AO11" s="135"/>
    </row>
    <row r="12" spans="2:41" x14ac:dyDescent="0.25">
      <c r="B12" s="128" t="s">
        <v>25</v>
      </c>
      <c r="C12" s="129">
        <f>SUM(C8:C11)</f>
        <v>4402</v>
      </c>
      <c r="D12" s="129">
        <f t="shared" ref="D12:H12" si="0">SUM(D8:D11)</f>
        <v>3730</v>
      </c>
      <c r="E12" s="129">
        <f t="shared" si="0"/>
        <v>3810</v>
      </c>
      <c r="F12" s="129">
        <f t="shared" si="0"/>
        <v>3710</v>
      </c>
      <c r="G12" s="129">
        <f t="shared" si="0"/>
        <v>3618.5</v>
      </c>
      <c r="H12" s="129">
        <f t="shared" si="0"/>
        <v>3301</v>
      </c>
      <c r="K12" s="133"/>
      <c r="L12" s="357" t="s">
        <v>200</v>
      </c>
      <c r="M12" s="349"/>
      <c r="N12" s="349"/>
      <c r="O12" s="349"/>
      <c r="P12" s="349"/>
      <c r="Q12" s="349"/>
      <c r="R12" s="349"/>
      <c r="S12" s="349"/>
      <c r="T12" s="349"/>
      <c r="U12" s="349"/>
      <c r="V12" s="349"/>
      <c r="W12" s="349"/>
      <c r="X12" s="349"/>
      <c r="Y12" s="349"/>
      <c r="Z12" s="349"/>
      <c r="AA12" s="349"/>
      <c r="AB12" s="349"/>
      <c r="AC12" s="349"/>
      <c r="AD12" s="350"/>
      <c r="AE12" s="134"/>
      <c r="AF12" s="134"/>
      <c r="AG12" s="134"/>
      <c r="AH12" s="134"/>
      <c r="AI12" s="134"/>
      <c r="AJ12" s="134"/>
      <c r="AK12" s="134"/>
      <c r="AL12" s="134"/>
      <c r="AM12" s="134"/>
      <c r="AN12" s="134"/>
      <c r="AO12" s="135"/>
    </row>
    <row r="13" spans="2:41" ht="15.75" thickBot="1" x14ac:dyDescent="0.3">
      <c r="B13" s="123" t="s">
        <v>26</v>
      </c>
      <c r="C13" s="33">
        <v>3668</v>
      </c>
      <c r="D13" s="33">
        <v>3693</v>
      </c>
      <c r="E13" s="33">
        <v>3516</v>
      </c>
      <c r="F13" s="33">
        <v>3119.5</v>
      </c>
      <c r="G13" s="33">
        <v>3015.2</v>
      </c>
      <c r="H13" s="33">
        <v>2696.1</v>
      </c>
      <c r="K13" s="133"/>
      <c r="L13" s="354"/>
      <c r="M13" s="355"/>
      <c r="N13" s="355"/>
      <c r="O13" s="355"/>
      <c r="P13" s="355"/>
      <c r="Q13" s="355"/>
      <c r="R13" s="355"/>
      <c r="S13" s="355"/>
      <c r="T13" s="355"/>
      <c r="U13" s="355"/>
      <c r="V13" s="355"/>
      <c r="W13" s="355"/>
      <c r="X13" s="355"/>
      <c r="Y13" s="355"/>
      <c r="Z13" s="355"/>
      <c r="AA13" s="355"/>
      <c r="AB13" s="355"/>
      <c r="AC13" s="355"/>
      <c r="AD13" s="356"/>
      <c r="AE13" s="134"/>
      <c r="AF13" s="134"/>
      <c r="AG13" s="134"/>
      <c r="AH13" s="134"/>
      <c r="AI13" s="134"/>
      <c r="AJ13" s="134"/>
      <c r="AK13" s="134"/>
      <c r="AL13" s="134"/>
      <c r="AM13" s="134"/>
      <c r="AN13" s="134"/>
      <c r="AO13" s="135"/>
    </row>
    <row r="14" spans="2:41" ht="17.45" customHeight="1" x14ac:dyDescent="0.35">
      <c r="B14" s="123" t="s">
        <v>27</v>
      </c>
      <c r="C14" s="33">
        <v>2657</v>
      </c>
      <c r="D14" s="33">
        <v>2362</v>
      </c>
      <c r="E14" s="33">
        <v>2302</v>
      </c>
      <c r="F14" s="33">
        <v>2152</v>
      </c>
      <c r="G14" s="33">
        <v>2272</v>
      </c>
      <c r="H14" s="33">
        <v>2081.8000000000002</v>
      </c>
      <c r="K14" s="137"/>
      <c r="L14" s="142"/>
      <c r="M14" s="142"/>
      <c r="N14" s="142"/>
      <c r="O14" s="142"/>
      <c r="P14" s="134"/>
      <c r="Q14" s="134"/>
      <c r="R14" s="134"/>
      <c r="S14" s="134"/>
      <c r="T14" s="134"/>
      <c r="U14" s="134"/>
      <c r="V14" s="134"/>
      <c r="W14" s="134"/>
      <c r="X14" s="134"/>
      <c r="Y14" s="134"/>
      <c r="Z14" s="134"/>
      <c r="AA14" s="134"/>
      <c r="AB14" s="134"/>
      <c r="AC14" s="134"/>
      <c r="AD14" s="134"/>
      <c r="AE14" s="134"/>
      <c r="AF14" s="134"/>
      <c r="AG14" s="134"/>
      <c r="AH14" s="134"/>
      <c r="AI14" s="134"/>
      <c r="AJ14" s="134"/>
      <c r="AK14" s="134"/>
      <c r="AL14" s="134"/>
      <c r="AM14" s="134"/>
      <c r="AN14" s="134"/>
      <c r="AO14" s="135"/>
    </row>
    <row r="15" spans="2:41" ht="21" x14ac:dyDescent="0.35">
      <c r="B15" s="123" t="s">
        <v>28</v>
      </c>
      <c r="C15" s="33">
        <v>1341</v>
      </c>
      <c r="D15" s="33">
        <v>831</v>
      </c>
      <c r="E15" s="33">
        <v>821</v>
      </c>
      <c r="F15" s="33">
        <v>833.5</v>
      </c>
      <c r="G15" s="33">
        <v>844.8</v>
      </c>
      <c r="H15" s="33">
        <v>831.1</v>
      </c>
      <c r="K15" s="137" t="s">
        <v>196</v>
      </c>
      <c r="L15" s="142"/>
      <c r="M15" s="142"/>
      <c r="N15" s="142"/>
      <c r="O15" s="142"/>
      <c r="P15" s="134"/>
      <c r="Q15" s="134"/>
      <c r="R15" s="134"/>
      <c r="S15" s="134"/>
      <c r="T15" s="134"/>
      <c r="U15" s="134"/>
      <c r="V15" s="134"/>
      <c r="W15" s="134"/>
      <c r="X15" s="134"/>
      <c r="Y15" s="134"/>
      <c r="Z15" s="134"/>
      <c r="AA15" s="134"/>
      <c r="AB15" s="134"/>
      <c r="AC15" s="134"/>
      <c r="AD15" s="134"/>
      <c r="AE15" s="134"/>
      <c r="AF15" s="134"/>
      <c r="AG15" s="134"/>
      <c r="AH15" s="134"/>
      <c r="AI15" s="134"/>
      <c r="AJ15" s="134"/>
      <c r="AK15" s="134"/>
      <c r="AL15" s="134"/>
      <c r="AM15" s="134"/>
      <c r="AN15" s="134"/>
      <c r="AO15" s="135"/>
    </row>
    <row r="16" spans="2:41" ht="21" x14ac:dyDescent="0.35">
      <c r="B16" s="123" t="s">
        <v>29</v>
      </c>
      <c r="C16" s="33">
        <v>115</v>
      </c>
      <c r="D16" s="33">
        <v>84</v>
      </c>
      <c r="E16" s="33"/>
      <c r="F16" s="33"/>
      <c r="G16" s="33"/>
      <c r="H16" s="33"/>
      <c r="K16" s="139" t="s">
        <v>192</v>
      </c>
      <c r="L16" s="140" t="s">
        <v>197</v>
      </c>
      <c r="M16" s="140"/>
      <c r="N16" s="140"/>
      <c r="O16" s="140"/>
      <c r="P16" s="140"/>
      <c r="Q16" s="140"/>
      <c r="R16" s="140"/>
      <c r="S16" s="140"/>
      <c r="T16" s="140"/>
      <c r="U16" s="140"/>
      <c r="V16" s="140"/>
      <c r="W16" s="140"/>
      <c r="X16" s="140"/>
      <c r="Y16" s="134"/>
      <c r="Z16" s="134"/>
      <c r="AA16" s="134"/>
      <c r="AB16" s="134"/>
      <c r="AC16" s="134"/>
      <c r="AD16" s="134"/>
      <c r="AE16" s="134"/>
      <c r="AF16" s="134"/>
      <c r="AG16" s="134"/>
      <c r="AH16" s="134"/>
      <c r="AI16" s="134"/>
      <c r="AJ16" s="134"/>
      <c r="AK16" s="134"/>
      <c r="AL16" s="134"/>
      <c r="AM16" s="134"/>
      <c r="AN16" s="134"/>
      <c r="AO16" s="135"/>
    </row>
    <row r="17" spans="2:41" x14ac:dyDescent="0.25">
      <c r="B17" s="123" t="s">
        <v>31</v>
      </c>
      <c r="C17" s="33">
        <v>541</v>
      </c>
      <c r="D17" s="33">
        <v>472</v>
      </c>
      <c r="E17" s="33">
        <v>685</v>
      </c>
      <c r="F17" s="33">
        <v>164.3</v>
      </c>
      <c r="G17" s="33">
        <v>361.5</v>
      </c>
      <c r="H17" s="33">
        <v>228</v>
      </c>
      <c r="K17" s="133"/>
      <c r="L17" s="134"/>
      <c r="M17" s="134"/>
      <c r="N17" s="134"/>
      <c r="O17" s="134"/>
      <c r="P17" s="134"/>
      <c r="Q17" s="134"/>
      <c r="R17" s="134"/>
      <c r="S17" s="134"/>
      <c r="T17" s="134"/>
      <c r="U17" s="134"/>
      <c r="V17" s="134"/>
      <c r="W17" s="134"/>
      <c r="X17" s="134"/>
      <c r="Y17" s="134"/>
      <c r="Z17" s="134"/>
      <c r="AA17" s="134"/>
      <c r="AB17" s="134"/>
      <c r="AC17" s="134"/>
      <c r="AD17" s="134"/>
      <c r="AE17" s="134"/>
      <c r="AF17" s="134"/>
      <c r="AG17" s="134"/>
      <c r="AH17" s="134"/>
      <c r="AI17" s="134"/>
      <c r="AJ17" s="134"/>
      <c r="AK17" s="134"/>
      <c r="AL17" s="134"/>
      <c r="AM17" s="134"/>
      <c r="AN17" s="134"/>
      <c r="AO17" s="135"/>
    </row>
    <row r="18" spans="2:41" ht="21" x14ac:dyDescent="0.35">
      <c r="B18" s="128" t="s">
        <v>32</v>
      </c>
      <c r="C18" s="129">
        <f>SUM(C12:C17)</f>
        <v>12724</v>
      </c>
      <c r="D18" s="129">
        <f t="shared" ref="D18:H18" si="1">SUM(D12:D17)</f>
        <v>11172</v>
      </c>
      <c r="E18" s="129">
        <f t="shared" si="1"/>
        <v>11134</v>
      </c>
      <c r="F18" s="129">
        <f t="shared" si="1"/>
        <v>9979.2999999999993</v>
      </c>
      <c r="G18" s="129">
        <f t="shared" si="1"/>
        <v>10112</v>
      </c>
      <c r="H18" s="129">
        <f t="shared" si="1"/>
        <v>9138</v>
      </c>
      <c r="K18" s="139" t="s">
        <v>193</v>
      </c>
      <c r="L18" s="140" t="s">
        <v>198</v>
      </c>
      <c r="M18" s="134"/>
      <c r="N18" s="134"/>
      <c r="O18" s="134"/>
      <c r="P18" s="134"/>
      <c r="Q18" s="134"/>
      <c r="R18" s="134"/>
      <c r="S18" s="134"/>
      <c r="T18" s="134"/>
      <c r="U18" s="134"/>
      <c r="V18" s="134"/>
      <c r="W18" s="134"/>
      <c r="X18" s="134"/>
      <c r="Y18" s="134"/>
      <c r="Z18" s="134"/>
      <c r="AA18" s="134"/>
      <c r="AB18" s="134"/>
      <c r="AC18" s="134"/>
      <c r="AD18" s="134"/>
      <c r="AE18" s="134"/>
      <c r="AF18" s="134"/>
      <c r="AG18" s="134"/>
      <c r="AH18" s="134"/>
      <c r="AI18" s="134"/>
      <c r="AJ18" s="134"/>
      <c r="AK18" s="134"/>
      <c r="AL18" s="134"/>
      <c r="AM18" s="134"/>
      <c r="AN18" s="134"/>
      <c r="AO18" s="135"/>
    </row>
    <row r="19" spans="2:41" ht="15.75" thickBot="1" x14ac:dyDescent="0.3">
      <c r="B19" s="122" t="s">
        <v>33</v>
      </c>
      <c r="C19" s="33"/>
      <c r="D19" s="33"/>
      <c r="E19" s="33"/>
      <c r="F19" s="33"/>
      <c r="G19" s="33"/>
      <c r="H19" s="33"/>
      <c r="K19" s="133"/>
      <c r="L19" s="134"/>
      <c r="M19" s="134"/>
      <c r="N19" s="134"/>
      <c r="O19" s="134"/>
      <c r="P19" s="134"/>
      <c r="Q19" s="134"/>
      <c r="R19" s="134"/>
      <c r="S19" s="134"/>
      <c r="T19" s="134"/>
      <c r="U19" s="134"/>
      <c r="V19" s="134"/>
      <c r="W19" s="134"/>
      <c r="X19" s="134"/>
      <c r="Y19" s="134"/>
      <c r="Z19" s="134"/>
      <c r="AA19" s="134"/>
      <c r="AB19" s="134"/>
      <c r="AC19" s="134"/>
      <c r="AD19" s="134"/>
      <c r="AE19" s="134"/>
      <c r="AF19" s="134"/>
      <c r="AG19" s="134"/>
      <c r="AH19" s="134"/>
      <c r="AI19" s="134"/>
      <c r="AJ19" s="134"/>
      <c r="AK19" s="134"/>
      <c r="AL19" s="134"/>
      <c r="AM19" s="134"/>
      <c r="AN19" s="134"/>
      <c r="AO19" s="135"/>
    </row>
    <row r="20" spans="2:41" x14ac:dyDescent="0.25">
      <c r="B20" s="123" t="s">
        <v>34</v>
      </c>
      <c r="C20" s="33"/>
      <c r="D20" s="33"/>
      <c r="E20" s="33"/>
      <c r="F20" s="33"/>
      <c r="G20" s="33"/>
      <c r="H20" s="33"/>
      <c r="K20" s="133"/>
      <c r="L20" s="332" t="s">
        <v>199</v>
      </c>
      <c r="M20" s="349"/>
      <c r="N20" s="349"/>
      <c r="O20" s="349"/>
      <c r="P20" s="349"/>
      <c r="Q20" s="349"/>
      <c r="R20" s="349"/>
      <c r="S20" s="349"/>
      <c r="T20" s="349"/>
      <c r="U20" s="349"/>
      <c r="V20" s="349"/>
      <c r="W20" s="349"/>
      <c r="X20" s="349"/>
      <c r="Y20" s="349"/>
      <c r="Z20" s="349"/>
      <c r="AA20" s="349"/>
      <c r="AB20" s="349"/>
      <c r="AC20" s="349"/>
      <c r="AD20" s="350"/>
      <c r="AE20" s="134"/>
      <c r="AF20" s="134"/>
      <c r="AG20" s="134"/>
      <c r="AH20" s="134"/>
      <c r="AI20" s="134"/>
      <c r="AJ20" s="134"/>
      <c r="AK20" s="134"/>
      <c r="AL20" s="134"/>
      <c r="AM20" s="134"/>
      <c r="AN20" s="134"/>
      <c r="AO20" s="135"/>
    </row>
    <row r="21" spans="2:41" x14ac:dyDescent="0.25">
      <c r="B21" s="123" t="s">
        <v>35</v>
      </c>
      <c r="C21" s="33">
        <v>34</v>
      </c>
      <c r="D21" s="33">
        <v>48</v>
      </c>
      <c r="E21" s="33">
        <v>35</v>
      </c>
      <c r="F21" s="33">
        <v>107.2</v>
      </c>
      <c r="G21" s="33">
        <v>155.9</v>
      </c>
      <c r="H21" s="33">
        <v>174.1</v>
      </c>
      <c r="K21" s="133"/>
      <c r="L21" s="351"/>
      <c r="M21" s="352"/>
      <c r="N21" s="352"/>
      <c r="O21" s="352"/>
      <c r="P21" s="352"/>
      <c r="Q21" s="352"/>
      <c r="R21" s="352"/>
      <c r="S21" s="352"/>
      <c r="T21" s="352"/>
      <c r="U21" s="352"/>
      <c r="V21" s="352"/>
      <c r="W21" s="352"/>
      <c r="X21" s="352"/>
      <c r="Y21" s="352"/>
      <c r="Z21" s="352"/>
      <c r="AA21" s="352"/>
      <c r="AB21" s="352"/>
      <c r="AC21" s="352"/>
      <c r="AD21" s="353"/>
      <c r="AE21" s="134"/>
      <c r="AF21" s="134"/>
      <c r="AG21" s="134"/>
      <c r="AH21" s="134"/>
      <c r="AI21" s="134"/>
      <c r="AJ21" s="134"/>
      <c r="AK21" s="134"/>
      <c r="AL21" s="134"/>
      <c r="AM21" s="134"/>
      <c r="AN21" s="134"/>
      <c r="AO21" s="135"/>
    </row>
    <row r="22" spans="2:41" x14ac:dyDescent="0.25">
      <c r="B22" s="123" t="s">
        <v>36</v>
      </c>
      <c r="C22" s="33">
        <v>346</v>
      </c>
      <c r="D22" s="33">
        <v>561</v>
      </c>
      <c r="E22" s="33">
        <v>326</v>
      </c>
      <c r="F22" s="33">
        <v>91</v>
      </c>
      <c r="G22" s="33">
        <v>138.1</v>
      </c>
      <c r="H22" s="33">
        <v>776.7</v>
      </c>
      <c r="K22" s="133"/>
      <c r="L22" s="351"/>
      <c r="M22" s="352"/>
      <c r="N22" s="352"/>
      <c r="O22" s="352"/>
      <c r="P22" s="352"/>
      <c r="Q22" s="352"/>
      <c r="R22" s="352"/>
      <c r="S22" s="352"/>
      <c r="T22" s="352"/>
      <c r="U22" s="352"/>
      <c r="V22" s="352"/>
      <c r="W22" s="352"/>
      <c r="X22" s="352"/>
      <c r="Y22" s="352"/>
      <c r="Z22" s="352"/>
      <c r="AA22" s="352"/>
      <c r="AB22" s="352"/>
      <c r="AC22" s="352"/>
      <c r="AD22" s="353"/>
      <c r="AE22" s="134"/>
      <c r="AF22" s="134"/>
      <c r="AG22" s="134"/>
      <c r="AH22" s="134"/>
      <c r="AI22" s="134"/>
      <c r="AJ22" s="134"/>
      <c r="AK22" s="134"/>
      <c r="AL22" s="134"/>
      <c r="AM22" s="134"/>
      <c r="AN22" s="134"/>
      <c r="AO22" s="135"/>
    </row>
    <row r="23" spans="2:41" x14ac:dyDescent="0.25">
      <c r="B23" s="123" t="s">
        <v>37</v>
      </c>
      <c r="C23" s="33">
        <v>1244</v>
      </c>
      <c r="D23" s="33">
        <v>1165</v>
      </c>
      <c r="E23" s="33">
        <v>1172</v>
      </c>
      <c r="F23" s="33">
        <v>1061.4000000000001</v>
      </c>
      <c r="G23" s="33">
        <v>1066.8</v>
      </c>
      <c r="H23" s="33">
        <v>1039.7</v>
      </c>
      <c r="K23" s="133"/>
      <c r="L23" s="351"/>
      <c r="M23" s="352"/>
      <c r="N23" s="352"/>
      <c r="O23" s="352"/>
      <c r="P23" s="352"/>
      <c r="Q23" s="352"/>
      <c r="R23" s="352"/>
      <c r="S23" s="352"/>
      <c r="T23" s="352"/>
      <c r="U23" s="352"/>
      <c r="V23" s="352"/>
      <c r="W23" s="352"/>
      <c r="X23" s="352"/>
      <c r="Y23" s="352"/>
      <c r="Z23" s="352"/>
      <c r="AA23" s="352"/>
      <c r="AB23" s="352"/>
      <c r="AC23" s="352"/>
      <c r="AD23" s="353"/>
      <c r="AE23" s="134"/>
      <c r="AF23" s="134"/>
      <c r="AG23" s="134"/>
      <c r="AH23" s="134"/>
      <c r="AI23" s="134"/>
      <c r="AJ23" s="134"/>
      <c r="AK23" s="134"/>
      <c r="AL23" s="134"/>
      <c r="AM23" s="134"/>
      <c r="AN23" s="134"/>
      <c r="AO23" s="135"/>
    </row>
    <row r="24" spans="2:41" x14ac:dyDescent="0.25">
      <c r="B24" s="123" t="s">
        <v>38</v>
      </c>
      <c r="C24" s="33">
        <v>392</v>
      </c>
      <c r="D24" s="33">
        <v>272</v>
      </c>
      <c r="E24" s="33">
        <v>387</v>
      </c>
      <c r="F24" s="33">
        <v>272.39999999999998</v>
      </c>
      <c r="G24" s="33">
        <v>262.7</v>
      </c>
      <c r="H24" s="33">
        <v>161.5</v>
      </c>
      <c r="K24" s="133"/>
      <c r="L24" s="351"/>
      <c r="M24" s="352"/>
      <c r="N24" s="352"/>
      <c r="O24" s="352"/>
      <c r="P24" s="352"/>
      <c r="Q24" s="352"/>
      <c r="R24" s="352"/>
      <c r="S24" s="352"/>
      <c r="T24" s="352"/>
      <c r="U24" s="352"/>
      <c r="V24" s="352"/>
      <c r="W24" s="352"/>
      <c r="X24" s="352"/>
      <c r="Y24" s="352"/>
      <c r="Z24" s="352"/>
      <c r="AA24" s="352"/>
      <c r="AB24" s="352"/>
      <c r="AC24" s="352"/>
      <c r="AD24" s="353"/>
      <c r="AE24" s="134"/>
      <c r="AF24" s="134"/>
      <c r="AG24" s="134"/>
      <c r="AH24" s="134"/>
      <c r="AI24" s="134"/>
      <c r="AJ24" s="134"/>
      <c r="AK24" s="134"/>
      <c r="AL24" s="134"/>
      <c r="AM24" s="134"/>
      <c r="AN24" s="134"/>
      <c r="AO24" s="135"/>
    </row>
    <row r="25" spans="2:41" ht="15.75" thickBot="1" x14ac:dyDescent="0.3">
      <c r="B25" s="123" t="s">
        <v>39</v>
      </c>
      <c r="C25" s="33">
        <v>1700</v>
      </c>
      <c r="D25" s="33">
        <v>1682</v>
      </c>
      <c r="E25" s="33">
        <v>1679</v>
      </c>
      <c r="F25" s="33">
        <v>1421.3</v>
      </c>
      <c r="G25" s="33">
        <v>1539.2</v>
      </c>
      <c r="H25" s="33">
        <v>1317.1</v>
      </c>
      <c r="K25" s="133"/>
      <c r="L25" s="354"/>
      <c r="M25" s="355"/>
      <c r="N25" s="355"/>
      <c r="O25" s="355"/>
      <c r="P25" s="355"/>
      <c r="Q25" s="355"/>
      <c r="R25" s="355"/>
      <c r="S25" s="355"/>
      <c r="T25" s="355"/>
      <c r="U25" s="355"/>
      <c r="V25" s="355"/>
      <c r="W25" s="355"/>
      <c r="X25" s="355"/>
      <c r="Y25" s="355"/>
      <c r="Z25" s="355"/>
      <c r="AA25" s="355"/>
      <c r="AB25" s="355"/>
      <c r="AC25" s="355"/>
      <c r="AD25" s="356"/>
      <c r="AE25" s="134"/>
      <c r="AF25" s="134"/>
      <c r="AG25" s="134"/>
      <c r="AH25" s="134"/>
      <c r="AI25" s="134"/>
      <c r="AJ25" s="134"/>
      <c r="AK25" s="134"/>
      <c r="AL25" s="134"/>
      <c r="AM25" s="134"/>
      <c r="AN25" s="134"/>
      <c r="AO25" s="135"/>
    </row>
    <row r="26" spans="2:41" x14ac:dyDescent="0.25">
      <c r="B26" s="130" t="s">
        <v>40</v>
      </c>
      <c r="C26" s="129">
        <f>SUM(C21:C25)</f>
        <v>3716</v>
      </c>
      <c r="D26" s="129">
        <f t="shared" ref="D26:H26" si="2">SUM(D21:D25)</f>
        <v>3728</v>
      </c>
      <c r="E26" s="129">
        <f t="shared" si="2"/>
        <v>3599</v>
      </c>
      <c r="F26" s="129">
        <f t="shared" si="2"/>
        <v>2953.3</v>
      </c>
      <c r="G26" s="129">
        <f t="shared" si="2"/>
        <v>3162.7</v>
      </c>
      <c r="H26" s="129">
        <f t="shared" si="2"/>
        <v>3469.1</v>
      </c>
      <c r="K26" s="133"/>
      <c r="L26" s="134"/>
      <c r="M26" s="134"/>
      <c r="N26" s="134"/>
      <c r="O26" s="134"/>
      <c r="P26" s="134"/>
      <c r="Q26" s="134"/>
      <c r="R26" s="134"/>
      <c r="S26" s="134"/>
      <c r="T26" s="134"/>
      <c r="U26" s="134"/>
      <c r="V26" s="134"/>
      <c r="W26" s="134"/>
      <c r="X26" s="134"/>
      <c r="Y26" s="134"/>
      <c r="Z26" s="134"/>
      <c r="AA26" s="134"/>
      <c r="AB26" s="134"/>
      <c r="AC26" s="134"/>
      <c r="AD26" s="134"/>
      <c r="AE26" s="134"/>
      <c r="AF26" s="134"/>
      <c r="AG26" s="134"/>
      <c r="AH26" s="134"/>
      <c r="AI26" s="134"/>
      <c r="AJ26" s="134"/>
      <c r="AK26" s="134"/>
      <c r="AL26" s="134"/>
      <c r="AM26" s="134"/>
      <c r="AN26" s="134"/>
      <c r="AO26" s="135"/>
    </row>
    <row r="27" spans="2:41" ht="21" x14ac:dyDescent="0.35">
      <c r="B27" s="123" t="s">
        <v>41</v>
      </c>
      <c r="C27" s="33">
        <v>4430</v>
      </c>
      <c r="D27" s="33">
        <v>2815</v>
      </c>
      <c r="E27" s="33">
        <v>2821</v>
      </c>
      <c r="F27" s="33">
        <v>3585.3</v>
      </c>
      <c r="G27" s="33">
        <v>3221.9</v>
      </c>
      <c r="H27" s="33">
        <v>2720.4</v>
      </c>
      <c r="K27" s="137" t="s">
        <v>202</v>
      </c>
      <c r="L27" s="134"/>
      <c r="M27" s="134"/>
      <c r="N27" s="134"/>
      <c r="O27" s="134"/>
      <c r="P27" s="134"/>
      <c r="Q27" s="134"/>
      <c r="R27" s="134"/>
      <c r="S27" s="134"/>
      <c r="T27" s="134"/>
      <c r="U27" s="134"/>
      <c r="V27" s="134"/>
      <c r="W27" s="134"/>
      <c r="X27" s="134"/>
      <c r="Y27" s="134"/>
      <c r="Z27" s="134"/>
      <c r="AA27" s="134"/>
      <c r="AB27" s="134"/>
      <c r="AC27" s="134"/>
      <c r="AD27" s="134"/>
      <c r="AE27" s="134"/>
      <c r="AF27" s="134"/>
      <c r="AG27" s="134"/>
      <c r="AH27" s="134"/>
      <c r="AI27" s="134"/>
      <c r="AJ27" s="134"/>
      <c r="AK27" s="134"/>
      <c r="AL27" s="134"/>
      <c r="AM27" s="134"/>
      <c r="AN27" s="134"/>
      <c r="AO27" s="135"/>
    </row>
    <row r="28" spans="2:41" x14ac:dyDescent="0.25">
      <c r="B28" s="123" t="s">
        <v>29</v>
      </c>
      <c r="C28" s="33">
        <v>252</v>
      </c>
      <c r="D28" s="33">
        <v>108</v>
      </c>
      <c r="E28" s="33">
        <v>82</v>
      </c>
      <c r="F28" s="33">
        <v>81.900000000000006</v>
      </c>
      <c r="G28" s="33">
        <v>264.10000000000002</v>
      </c>
      <c r="H28" s="33">
        <v>309.89999999999998</v>
      </c>
      <c r="K28" s="133"/>
      <c r="L28" s="134"/>
      <c r="M28" s="134"/>
      <c r="N28" s="134"/>
      <c r="O28" s="134"/>
      <c r="P28" s="134"/>
      <c r="Q28" s="134"/>
      <c r="R28" s="134"/>
      <c r="S28" s="134"/>
      <c r="T28" s="134"/>
      <c r="U28" s="134"/>
      <c r="V28" s="134"/>
      <c r="W28" s="134"/>
      <c r="X28" s="134"/>
      <c r="Y28" s="134"/>
      <c r="Z28" s="134"/>
      <c r="AA28" s="134"/>
      <c r="AB28" s="134"/>
      <c r="AC28" s="134"/>
      <c r="AD28" s="134"/>
      <c r="AE28" s="134"/>
      <c r="AF28" s="134"/>
      <c r="AG28" s="134"/>
      <c r="AH28" s="134"/>
      <c r="AI28" s="134"/>
      <c r="AJ28" s="134"/>
      <c r="AK28" s="134"/>
      <c r="AL28" s="134"/>
      <c r="AM28" s="134"/>
      <c r="AN28" s="134"/>
      <c r="AO28" s="135"/>
    </row>
    <row r="29" spans="2:41" ht="21" x14ac:dyDescent="0.35">
      <c r="B29" s="123" t="s">
        <v>42</v>
      </c>
      <c r="C29" s="33">
        <v>1785</v>
      </c>
      <c r="D29" s="33">
        <v>1704</v>
      </c>
      <c r="E29" s="33">
        <v>1375</v>
      </c>
      <c r="F29" s="33">
        <v>1436.7</v>
      </c>
      <c r="G29" s="33">
        <v>1177.0999999999999</v>
      </c>
      <c r="H29" s="33">
        <v>1227.7</v>
      </c>
      <c r="K29" s="139" t="s">
        <v>192</v>
      </c>
      <c r="L29" s="142" t="s">
        <v>203</v>
      </c>
      <c r="M29" s="134"/>
      <c r="N29" s="134"/>
      <c r="O29" s="134"/>
      <c r="P29" s="134"/>
      <c r="Q29" s="134"/>
      <c r="R29" s="134"/>
      <c r="S29" s="134"/>
      <c r="T29" s="134"/>
      <c r="U29" s="134"/>
      <c r="V29" s="134"/>
      <c r="W29" s="134"/>
      <c r="X29" s="134"/>
      <c r="Y29" s="134"/>
      <c r="Z29" s="134"/>
      <c r="AA29" s="134"/>
      <c r="AB29" s="134"/>
      <c r="AC29" s="134"/>
      <c r="AD29" s="134"/>
      <c r="AE29" s="134"/>
      <c r="AF29" s="134"/>
      <c r="AG29" s="134"/>
      <c r="AH29" s="134"/>
      <c r="AI29" s="134"/>
      <c r="AJ29" s="134"/>
      <c r="AK29" s="134"/>
      <c r="AL29" s="134"/>
      <c r="AM29" s="134"/>
      <c r="AN29" s="134"/>
      <c r="AO29" s="135"/>
    </row>
    <row r="30" spans="2:41" x14ac:dyDescent="0.25">
      <c r="B30" s="130" t="s">
        <v>43</v>
      </c>
      <c r="C30" s="129">
        <f>SUM(C26:C29)</f>
        <v>10183</v>
      </c>
      <c r="D30" s="129">
        <f t="shared" ref="D30:H30" si="3">SUM(D26:D29)</f>
        <v>8355</v>
      </c>
      <c r="E30" s="129">
        <f t="shared" si="3"/>
        <v>7877</v>
      </c>
      <c r="F30" s="129">
        <f t="shared" si="3"/>
        <v>8057.2</v>
      </c>
      <c r="G30" s="129">
        <f t="shared" si="3"/>
        <v>7825.8000000000011</v>
      </c>
      <c r="H30" s="129">
        <f t="shared" si="3"/>
        <v>7727.0999999999995</v>
      </c>
      <c r="K30" s="133"/>
      <c r="L30" s="134"/>
      <c r="M30" s="134"/>
      <c r="N30" s="134"/>
      <c r="O30" s="134"/>
      <c r="P30" s="134"/>
      <c r="Q30" s="134"/>
      <c r="R30" s="134"/>
      <c r="S30" s="134"/>
      <c r="T30" s="134"/>
      <c r="U30" s="134"/>
      <c r="V30" s="134"/>
      <c r="W30" s="134"/>
      <c r="X30" s="134"/>
      <c r="Y30" s="134"/>
      <c r="Z30" s="134"/>
      <c r="AA30" s="134"/>
      <c r="AB30" s="134"/>
      <c r="AC30" s="134"/>
      <c r="AD30" s="134"/>
      <c r="AE30" s="134"/>
      <c r="AF30" s="134"/>
      <c r="AG30" s="134"/>
      <c r="AH30" s="134"/>
      <c r="AI30" s="134"/>
      <c r="AJ30" s="134"/>
      <c r="AK30" s="134"/>
      <c r="AL30" s="134"/>
      <c r="AM30" s="134"/>
      <c r="AN30" s="134"/>
      <c r="AO30" s="135"/>
    </row>
    <row r="31" spans="2:41" ht="21" x14ac:dyDescent="0.35">
      <c r="B31" s="123" t="s">
        <v>44</v>
      </c>
      <c r="C31" s="33"/>
      <c r="D31" s="33"/>
      <c r="E31" s="33"/>
      <c r="F31" s="33"/>
      <c r="G31" s="33"/>
      <c r="H31" s="33"/>
      <c r="K31" s="139" t="s">
        <v>193</v>
      </c>
      <c r="L31" s="140" t="s">
        <v>204</v>
      </c>
      <c r="M31" s="134"/>
      <c r="N31" s="134"/>
      <c r="O31" s="134"/>
      <c r="P31" s="134"/>
      <c r="Q31" s="134"/>
      <c r="R31" s="134"/>
      <c r="S31" s="134"/>
      <c r="T31" s="134"/>
      <c r="U31" s="134"/>
      <c r="V31" s="134"/>
      <c r="W31" s="134"/>
      <c r="X31" s="134"/>
      <c r="Y31" s="134"/>
      <c r="Z31" s="134"/>
      <c r="AA31" s="134"/>
      <c r="AB31" s="134"/>
      <c r="AC31" s="134"/>
      <c r="AD31" s="134"/>
      <c r="AE31" s="134"/>
      <c r="AF31" s="134"/>
      <c r="AG31" s="134"/>
      <c r="AH31" s="134"/>
      <c r="AI31" s="134"/>
      <c r="AJ31" s="134"/>
      <c r="AK31" s="134"/>
      <c r="AL31" s="134"/>
      <c r="AM31" s="134"/>
      <c r="AN31" s="134"/>
      <c r="AO31" s="135"/>
    </row>
    <row r="32" spans="2:41" ht="15.75" thickBot="1" x14ac:dyDescent="0.3">
      <c r="B32" s="123" t="s">
        <v>45</v>
      </c>
      <c r="C32" s="33"/>
      <c r="D32" s="33"/>
      <c r="E32" s="33"/>
      <c r="F32" s="33"/>
      <c r="G32" s="33"/>
      <c r="H32" s="33"/>
      <c r="K32" s="133"/>
      <c r="L32" s="134"/>
      <c r="M32" s="134"/>
      <c r="N32" s="134"/>
      <c r="O32" s="134"/>
      <c r="P32" s="134"/>
      <c r="Q32" s="134"/>
      <c r="R32" s="134"/>
      <c r="S32" s="134"/>
      <c r="T32" s="134"/>
      <c r="U32" s="134"/>
      <c r="V32" s="134"/>
      <c r="W32" s="134"/>
      <c r="X32" s="134"/>
      <c r="Y32" s="134"/>
      <c r="Z32" s="134"/>
      <c r="AA32" s="134"/>
      <c r="AB32" s="134"/>
      <c r="AC32" s="134"/>
      <c r="AD32" s="134"/>
      <c r="AE32" s="134"/>
      <c r="AF32" s="134"/>
      <c r="AG32" s="134"/>
      <c r="AH32" s="134"/>
      <c r="AI32" s="134"/>
      <c r="AJ32" s="134"/>
      <c r="AK32" s="134"/>
      <c r="AL32" s="134"/>
      <c r="AM32" s="134"/>
      <c r="AN32" s="134"/>
      <c r="AO32" s="135"/>
    </row>
    <row r="33" spans="2:41" x14ac:dyDescent="0.25">
      <c r="B33" s="123" t="s">
        <v>164</v>
      </c>
      <c r="C33" s="33">
        <v>0</v>
      </c>
      <c r="D33" s="33">
        <v>0</v>
      </c>
      <c r="E33" s="33">
        <v>169</v>
      </c>
      <c r="F33" s="33">
        <v>181</v>
      </c>
      <c r="G33" s="33">
        <v>197.5</v>
      </c>
      <c r="H33" s="33">
        <v>222.7</v>
      </c>
      <c r="K33" s="133"/>
      <c r="L33" s="332" t="s">
        <v>205</v>
      </c>
      <c r="M33" s="333"/>
      <c r="N33" s="333"/>
      <c r="O33" s="333"/>
      <c r="P33" s="333"/>
      <c r="Q33" s="333"/>
      <c r="R33" s="333"/>
      <c r="S33" s="333"/>
      <c r="T33" s="333"/>
      <c r="U33" s="333"/>
      <c r="V33" s="333"/>
      <c r="W33" s="333"/>
      <c r="X33" s="333"/>
      <c r="Y33" s="333"/>
      <c r="Z33" s="333"/>
      <c r="AA33" s="333"/>
      <c r="AB33" s="333"/>
      <c r="AC33" s="333"/>
      <c r="AD33" s="334"/>
      <c r="AE33" s="134"/>
      <c r="AF33" s="134"/>
      <c r="AG33" s="134"/>
      <c r="AH33" s="134"/>
      <c r="AI33" s="134"/>
      <c r="AJ33" s="134"/>
      <c r="AK33" s="134"/>
      <c r="AL33" s="134"/>
      <c r="AM33" s="134"/>
      <c r="AN33" s="134"/>
      <c r="AO33" s="135"/>
    </row>
    <row r="34" spans="2:41" x14ac:dyDescent="0.25">
      <c r="B34" s="123" t="s">
        <v>46</v>
      </c>
      <c r="C34" s="33">
        <v>733</v>
      </c>
      <c r="D34" s="33">
        <v>733</v>
      </c>
      <c r="E34" s="33">
        <v>733</v>
      </c>
      <c r="F34" s="33">
        <v>732.9</v>
      </c>
      <c r="G34" s="33">
        <v>732.9</v>
      </c>
      <c r="H34" s="33">
        <v>732.9</v>
      </c>
      <c r="K34" s="133"/>
      <c r="L34" s="335"/>
      <c r="M34" s="336"/>
      <c r="N34" s="336"/>
      <c r="O34" s="336"/>
      <c r="P34" s="336"/>
      <c r="Q34" s="336"/>
      <c r="R34" s="336"/>
      <c r="S34" s="336"/>
      <c r="T34" s="336"/>
      <c r="U34" s="336"/>
      <c r="V34" s="336"/>
      <c r="W34" s="336"/>
      <c r="X34" s="336"/>
      <c r="Y34" s="336"/>
      <c r="Z34" s="336"/>
      <c r="AA34" s="336"/>
      <c r="AB34" s="336"/>
      <c r="AC34" s="336"/>
      <c r="AD34" s="337"/>
      <c r="AE34" s="134"/>
      <c r="AF34" s="134"/>
      <c r="AG34" s="134"/>
      <c r="AH34" s="134"/>
      <c r="AI34" s="134"/>
      <c r="AJ34" s="134"/>
      <c r="AK34" s="134"/>
      <c r="AL34" s="134"/>
      <c r="AM34" s="134"/>
      <c r="AN34" s="134"/>
      <c r="AO34" s="135"/>
    </row>
    <row r="35" spans="2:41" x14ac:dyDescent="0.25">
      <c r="B35" s="123" t="s">
        <v>47</v>
      </c>
      <c r="C35" s="33">
        <v>1336</v>
      </c>
      <c r="D35" s="33">
        <v>1132</v>
      </c>
      <c r="E35" s="33">
        <v>1764</v>
      </c>
      <c r="F35" s="33">
        <v>1609.7</v>
      </c>
      <c r="G35" s="33">
        <v>1517.7</v>
      </c>
      <c r="H35" s="33">
        <v>1218.0999999999999</v>
      </c>
      <c r="K35" s="133"/>
      <c r="L35" s="335"/>
      <c r="M35" s="336"/>
      <c r="N35" s="336"/>
      <c r="O35" s="336"/>
      <c r="P35" s="336"/>
      <c r="Q35" s="336"/>
      <c r="R35" s="336"/>
      <c r="S35" s="336"/>
      <c r="T35" s="336"/>
      <c r="U35" s="336"/>
      <c r="V35" s="336"/>
      <c r="W35" s="336"/>
      <c r="X35" s="336"/>
      <c r="Y35" s="336"/>
      <c r="Z35" s="336"/>
      <c r="AA35" s="336"/>
      <c r="AB35" s="336"/>
      <c r="AC35" s="336"/>
      <c r="AD35" s="337"/>
      <c r="AE35" s="134"/>
      <c r="AF35" s="134"/>
      <c r="AG35" s="134"/>
      <c r="AH35" s="134"/>
      <c r="AI35" s="134"/>
      <c r="AJ35" s="134"/>
      <c r="AK35" s="134"/>
      <c r="AL35" s="134"/>
      <c r="AM35" s="134"/>
      <c r="AN35" s="134"/>
      <c r="AO35" s="135"/>
    </row>
    <row r="36" spans="2:41" x14ac:dyDescent="0.25">
      <c r="B36" s="123" t="s">
        <v>48</v>
      </c>
      <c r="C36" s="33">
        <v>15649</v>
      </c>
      <c r="D36" s="33">
        <v>14329</v>
      </c>
      <c r="E36" s="33">
        <v>13157</v>
      </c>
      <c r="F36" s="33">
        <v>11759.5</v>
      </c>
      <c r="G36" s="33">
        <v>10627.5</v>
      </c>
      <c r="H36" s="33">
        <v>9643.7000000000007</v>
      </c>
      <c r="K36" s="133"/>
      <c r="L36" s="335"/>
      <c r="M36" s="336"/>
      <c r="N36" s="336"/>
      <c r="O36" s="336"/>
      <c r="P36" s="336"/>
      <c r="Q36" s="336"/>
      <c r="R36" s="336"/>
      <c r="S36" s="336"/>
      <c r="T36" s="336"/>
      <c r="U36" s="336"/>
      <c r="V36" s="336"/>
      <c r="W36" s="336"/>
      <c r="X36" s="336"/>
      <c r="Y36" s="336"/>
      <c r="Z36" s="336"/>
      <c r="AA36" s="336"/>
      <c r="AB36" s="336"/>
      <c r="AC36" s="336"/>
      <c r="AD36" s="337"/>
      <c r="AE36" s="134"/>
      <c r="AF36" s="134"/>
      <c r="AG36" s="134"/>
      <c r="AH36" s="134"/>
      <c r="AI36" s="134"/>
      <c r="AJ36" s="134"/>
      <c r="AK36" s="134"/>
      <c r="AL36" s="134"/>
      <c r="AM36" s="134"/>
      <c r="AN36" s="134"/>
      <c r="AO36" s="135"/>
    </row>
    <row r="37" spans="2:41" ht="15.75" thickBot="1" x14ac:dyDescent="0.3">
      <c r="B37" s="123" t="s">
        <v>49</v>
      </c>
      <c r="C37" s="33">
        <v>-2475</v>
      </c>
      <c r="D37" s="33">
        <v>-2115</v>
      </c>
      <c r="E37" s="33">
        <v>-2096</v>
      </c>
      <c r="F37" s="33">
        <v>-2477.3000000000002</v>
      </c>
      <c r="G37" s="33">
        <v>-1666.8</v>
      </c>
      <c r="H37" s="33">
        <v>-2081.1999999999998</v>
      </c>
      <c r="K37" s="133"/>
      <c r="L37" s="338"/>
      <c r="M37" s="339"/>
      <c r="N37" s="339"/>
      <c r="O37" s="339"/>
      <c r="P37" s="339"/>
      <c r="Q37" s="339"/>
      <c r="R37" s="339"/>
      <c r="S37" s="339"/>
      <c r="T37" s="339"/>
      <c r="U37" s="339"/>
      <c r="V37" s="339"/>
      <c r="W37" s="339"/>
      <c r="X37" s="339"/>
      <c r="Y37" s="339"/>
      <c r="Z37" s="339"/>
      <c r="AA37" s="339"/>
      <c r="AB37" s="339"/>
      <c r="AC37" s="339"/>
      <c r="AD37" s="340"/>
      <c r="AE37" s="134"/>
      <c r="AF37" s="134"/>
      <c r="AG37" s="134"/>
      <c r="AH37" s="134"/>
      <c r="AI37" s="134"/>
      <c r="AJ37" s="134"/>
      <c r="AK37" s="134"/>
      <c r="AL37" s="134"/>
      <c r="AM37" s="134"/>
      <c r="AN37" s="134"/>
      <c r="AO37" s="135"/>
    </row>
    <row r="38" spans="2:41" x14ac:dyDescent="0.25">
      <c r="B38" s="123"/>
      <c r="C38" s="124">
        <f t="shared" ref="C38:H38" si="4">SUM(C33:C37)</f>
        <v>15243</v>
      </c>
      <c r="D38" s="124">
        <f t="shared" si="4"/>
        <v>14079</v>
      </c>
      <c r="E38" s="124">
        <f t="shared" si="4"/>
        <v>13727</v>
      </c>
      <c r="F38" s="124">
        <f t="shared" si="4"/>
        <v>11805.8</v>
      </c>
      <c r="G38" s="124">
        <f t="shared" si="4"/>
        <v>11408.800000000001</v>
      </c>
      <c r="H38" s="124">
        <f t="shared" si="4"/>
        <v>9736.2000000000007</v>
      </c>
      <c r="K38" s="133"/>
      <c r="L38" s="134"/>
      <c r="M38" s="134"/>
      <c r="N38" s="134"/>
      <c r="O38" s="134"/>
      <c r="P38" s="134"/>
      <c r="Q38" s="134"/>
      <c r="R38" s="134"/>
      <c r="S38" s="134"/>
      <c r="T38" s="134"/>
      <c r="U38" s="134"/>
      <c r="V38" s="134"/>
      <c r="W38" s="134"/>
      <c r="X38" s="134"/>
      <c r="Y38" s="134"/>
      <c r="Z38" s="134"/>
      <c r="AA38" s="134"/>
      <c r="AB38" s="134"/>
      <c r="AC38" s="134"/>
      <c r="AD38" s="134"/>
      <c r="AE38" s="134"/>
      <c r="AF38" s="134"/>
      <c r="AG38" s="134"/>
      <c r="AH38" s="134"/>
      <c r="AI38" s="134"/>
      <c r="AJ38" s="134"/>
      <c r="AK38" s="134"/>
      <c r="AL38" s="134"/>
      <c r="AM38" s="134"/>
      <c r="AN38" s="134"/>
      <c r="AO38" s="135"/>
    </row>
    <row r="39" spans="2:41" x14ac:dyDescent="0.25">
      <c r="B39" s="123" t="s">
        <v>50</v>
      </c>
      <c r="C39" s="33">
        <v>-60</v>
      </c>
      <c r="D39" s="33">
        <v>-99</v>
      </c>
      <c r="E39" s="33">
        <v>-133</v>
      </c>
      <c r="F39" s="33">
        <v>-187</v>
      </c>
      <c r="G39" s="33">
        <v>-218</v>
      </c>
      <c r="H39" s="33">
        <v>-251.4</v>
      </c>
      <c r="K39" s="133"/>
      <c r="L39" s="134"/>
      <c r="M39" s="134"/>
      <c r="N39" s="134"/>
      <c r="O39" s="134"/>
      <c r="P39" s="134"/>
      <c r="Q39" s="134"/>
      <c r="R39" s="134"/>
      <c r="S39" s="134"/>
      <c r="T39" s="134"/>
      <c r="U39" s="134"/>
      <c r="V39" s="134"/>
      <c r="W39" s="134"/>
      <c r="X39" s="134"/>
      <c r="Y39" s="134"/>
      <c r="Z39" s="134"/>
      <c r="AA39" s="134"/>
      <c r="AB39" s="134"/>
      <c r="AC39" s="134"/>
      <c r="AD39" s="134"/>
      <c r="AE39" s="134"/>
      <c r="AF39" s="134"/>
      <c r="AG39" s="134"/>
      <c r="AH39" s="134"/>
      <c r="AI39" s="134"/>
      <c r="AJ39" s="134"/>
      <c r="AK39" s="134"/>
      <c r="AL39" s="134"/>
      <c r="AM39" s="134"/>
      <c r="AN39" s="134"/>
      <c r="AO39" s="135"/>
    </row>
    <row r="40" spans="2:41" ht="21" x14ac:dyDescent="0.35">
      <c r="B40" s="123" t="s">
        <v>51</v>
      </c>
      <c r="C40" s="33">
        <v>-12808</v>
      </c>
      <c r="D40" s="33">
        <v>-11305</v>
      </c>
      <c r="E40" s="33">
        <v>-10478</v>
      </c>
      <c r="F40" s="33">
        <v>-9696.7000000000007</v>
      </c>
      <c r="G40" s="33">
        <v>-8903.7000000000007</v>
      </c>
      <c r="H40" s="33">
        <v>-8073.9</v>
      </c>
      <c r="K40" s="137" t="s">
        <v>206</v>
      </c>
      <c r="L40" s="134"/>
      <c r="M40" s="134"/>
      <c r="N40" s="134"/>
      <c r="O40" s="134"/>
      <c r="P40" s="134"/>
      <c r="Q40" s="134"/>
      <c r="R40" s="134"/>
      <c r="S40" s="134"/>
      <c r="T40" s="134"/>
      <c r="U40" s="134"/>
      <c r="V40" s="134"/>
      <c r="W40" s="134"/>
      <c r="X40" s="134"/>
      <c r="Y40" s="134"/>
      <c r="Z40" s="134"/>
      <c r="AA40" s="134"/>
      <c r="AB40" s="134"/>
      <c r="AC40" s="134"/>
      <c r="AD40" s="134"/>
      <c r="AE40" s="134"/>
      <c r="AF40" s="134"/>
      <c r="AG40" s="134"/>
      <c r="AH40" s="134"/>
      <c r="AI40" s="134"/>
      <c r="AJ40" s="134"/>
      <c r="AK40" s="134"/>
      <c r="AL40" s="134"/>
      <c r="AM40" s="134"/>
      <c r="AN40" s="134"/>
      <c r="AO40" s="135"/>
    </row>
    <row r="41" spans="2:41" x14ac:dyDescent="0.25">
      <c r="B41" s="123" t="s">
        <v>52</v>
      </c>
      <c r="C41" s="124">
        <f>SUM(C38:C40)</f>
        <v>2375</v>
      </c>
      <c r="D41" s="124">
        <f t="shared" ref="D41:H41" si="5">SUM(D38:D40)</f>
        <v>2675</v>
      </c>
      <c r="E41" s="124">
        <f t="shared" si="5"/>
        <v>3116</v>
      </c>
      <c r="F41" s="124">
        <f t="shared" si="5"/>
        <v>1922.0999999999985</v>
      </c>
      <c r="G41" s="124">
        <f t="shared" si="5"/>
        <v>2287.1000000000004</v>
      </c>
      <c r="H41" s="124">
        <f t="shared" si="5"/>
        <v>1410.9000000000015</v>
      </c>
      <c r="K41" s="133"/>
      <c r="L41" s="134"/>
      <c r="M41" s="134"/>
      <c r="N41" s="134"/>
      <c r="O41" s="134"/>
      <c r="P41" s="134"/>
      <c r="Q41" s="134"/>
      <c r="R41" s="134"/>
      <c r="S41" s="134"/>
      <c r="T41" s="134"/>
      <c r="U41" s="134"/>
      <c r="V41" s="134"/>
      <c r="W41" s="134"/>
      <c r="X41" s="134"/>
      <c r="Y41" s="134"/>
      <c r="Z41" s="134"/>
      <c r="AA41" s="134"/>
      <c r="AB41" s="134"/>
      <c r="AC41" s="134"/>
      <c r="AD41" s="134"/>
      <c r="AE41" s="134"/>
      <c r="AF41" s="134"/>
      <c r="AG41" s="134"/>
      <c r="AH41" s="134"/>
      <c r="AI41" s="134"/>
      <c r="AJ41" s="134"/>
      <c r="AK41" s="134"/>
      <c r="AL41" s="134"/>
      <c r="AM41" s="134"/>
      <c r="AN41" s="134"/>
      <c r="AO41" s="135"/>
    </row>
    <row r="42" spans="2:41" ht="21" x14ac:dyDescent="0.35">
      <c r="B42" s="123" t="s">
        <v>53</v>
      </c>
      <c r="C42" s="33">
        <v>166</v>
      </c>
      <c r="D42" s="33">
        <v>142</v>
      </c>
      <c r="E42" s="33">
        <v>141</v>
      </c>
      <c r="F42" s="33"/>
      <c r="G42" s="33"/>
      <c r="H42" s="33"/>
      <c r="K42" s="139" t="s">
        <v>192</v>
      </c>
      <c r="L42" s="140" t="s">
        <v>207</v>
      </c>
      <c r="M42" s="134"/>
      <c r="N42" s="134"/>
      <c r="O42" s="134"/>
      <c r="P42" s="134"/>
      <c r="Q42" s="134"/>
      <c r="R42" s="134"/>
      <c r="S42" s="134"/>
      <c r="T42" s="134"/>
      <c r="U42" s="134"/>
      <c r="V42" s="134"/>
      <c r="W42" s="134"/>
      <c r="X42" s="134"/>
      <c r="Y42" s="134"/>
      <c r="Z42" s="134"/>
      <c r="AA42" s="134"/>
      <c r="AB42" s="134"/>
      <c r="AC42" s="134"/>
      <c r="AD42" s="134"/>
      <c r="AE42" s="134"/>
      <c r="AF42" s="134"/>
      <c r="AG42" s="134"/>
      <c r="AH42" s="134"/>
      <c r="AI42" s="134"/>
      <c r="AJ42" s="134"/>
      <c r="AK42" s="134"/>
      <c r="AL42" s="134"/>
      <c r="AM42" s="134"/>
      <c r="AN42" s="134"/>
      <c r="AO42" s="135"/>
    </row>
    <row r="43" spans="2:41" x14ac:dyDescent="0.25">
      <c r="B43" s="123" t="s">
        <v>54</v>
      </c>
      <c r="C43" s="124">
        <f>SUM(C41:C42)</f>
        <v>2541</v>
      </c>
      <c r="D43" s="124">
        <f t="shared" ref="D43:H43" si="6">SUM(D41:D42)</f>
        <v>2817</v>
      </c>
      <c r="E43" s="124">
        <f t="shared" si="6"/>
        <v>3257</v>
      </c>
      <c r="F43" s="124">
        <f t="shared" si="6"/>
        <v>1922.0999999999985</v>
      </c>
      <c r="G43" s="124">
        <f t="shared" si="6"/>
        <v>2287.1000000000004</v>
      </c>
      <c r="H43" s="124">
        <f t="shared" si="6"/>
        <v>1410.9000000000015</v>
      </c>
      <c r="K43" s="133"/>
      <c r="L43" s="134"/>
      <c r="M43" s="134"/>
      <c r="N43" s="134"/>
      <c r="O43" s="134"/>
      <c r="P43" s="134"/>
      <c r="Q43" s="134"/>
      <c r="R43" s="134"/>
      <c r="S43" s="134"/>
      <c r="T43" s="134"/>
      <c r="U43" s="134"/>
      <c r="V43" s="134"/>
      <c r="W43" s="134"/>
      <c r="X43" s="134"/>
      <c r="Y43" s="134"/>
      <c r="Z43" s="134"/>
      <c r="AA43" s="134"/>
      <c r="AB43" s="134"/>
      <c r="AC43" s="134"/>
      <c r="AD43" s="134"/>
      <c r="AE43" s="134"/>
      <c r="AF43" s="134"/>
      <c r="AG43" s="134"/>
      <c r="AH43" s="134"/>
      <c r="AI43" s="134"/>
      <c r="AJ43" s="134"/>
      <c r="AK43" s="134"/>
      <c r="AL43" s="134"/>
      <c r="AM43" s="134"/>
      <c r="AN43" s="134"/>
      <c r="AO43" s="135"/>
    </row>
    <row r="44" spans="2:41" ht="21" x14ac:dyDescent="0.35">
      <c r="B44" s="123" t="s">
        <v>55</v>
      </c>
      <c r="C44" s="124">
        <f>C30+C43</f>
        <v>12724</v>
      </c>
      <c r="D44" s="124">
        <f>D30+D43</f>
        <v>11172</v>
      </c>
      <c r="E44" s="124">
        <f t="shared" ref="E44:H44" si="7">E30+E43</f>
        <v>11134</v>
      </c>
      <c r="F44" s="124">
        <f t="shared" si="7"/>
        <v>9979.2999999999993</v>
      </c>
      <c r="G44" s="124">
        <f t="shared" si="7"/>
        <v>10112.900000000001</v>
      </c>
      <c r="H44" s="124">
        <f t="shared" si="7"/>
        <v>9138</v>
      </c>
      <c r="K44" s="139" t="s">
        <v>193</v>
      </c>
      <c r="L44" s="140" t="s">
        <v>208</v>
      </c>
      <c r="M44" s="134"/>
      <c r="N44" s="134"/>
      <c r="O44" s="134"/>
      <c r="P44" s="134"/>
      <c r="Q44" s="134"/>
      <c r="R44" s="134"/>
      <c r="S44" s="134"/>
      <c r="T44" s="134"/>
      <c r="U44" s="134"/>
      <c r="V44" s="134"/>
      <c r="W44" s="134"/>
      <c r="X44" s="134"/>
      <c r="Y44" s="134"/>
      <c r="Z44" s="134"/>
      <c r="AA44" s="134"/>
      <c r="AB44" s="134"/>
      <c r="AC44" s="134"/>
      <c r="AD44" s="134"/>
      <c r="AE44" s="134"/>
      <c r="AF44" s="134"/>
      <c r="AG44" s="134"/>
      <c r="AH44" s="134"/>
      <c r="AI44" s="134"/>
      <c r="AJ44" s="134"/>
      <c r="AK44" s="134"/>
      <c r="AL44" s="134"/>
      <c r="AM44" s="134"/>
      <c r="AN44" s="134"/>
      <c r="AO44" s="135"/>
    </row>
    <row r="45" spans="2:41" ht="15.75" thickBot="1" x14ac:dyDescent="0.3">
      <c r="B45" s="125"/>
      <c r="C45" s="33"/>
      <c r="D45" s="33"/>
      <c r="E45" s="33"/>
      <c r="F45" s="33"/>
      <c r="G45" s="33"/>
      <c r="H45" s="33"/>
      <c r="K45" s="133"/>
      <c r="L45" s="134"/>
      <c r="M45" s="134"/>
      <c r="N45" s="134"/>
      <c r="O45" s="134"/>
      <c r="P45" s="134"/>
      <c r="Q45" s="134"/>
      <c r="R45" s="134"/>
      <c r="S45" s="134"/>
      <c r="T45" s="134"/>
      <c r="U45" s="134"/>
      <c r="V45" s="134"/>
      <c r="W45" s="134"/>
      <c r="X45" s="134"/>
      <c r="Y45" s="134"/>
      <c r="Z45" s="134"/>
      <c r="AA45" s="134"/>
      <c r="AB45" s="134"/>
      <c r="AC45" s="134"/>
      <c r="AD45" s="134"/>
      <c r="AE45" s="134"/>
      <c r="AF45" s="134"/>
      <c r="AG45" s="134"/>
      <c r="AH45" s="134"/>
      <c r="AI45" s="134"/>
      <c r="AJ45" s="134"/>
      <c r="AK45" s="134"/>
      <c r="AL45" s="134"/>
      <c r="AM45" s="134"/>
      <c r="AN45" s="134"/>
      <c r="AO45" s="135"/>
    </row>
    <row r="46" spans="2:41" ht="21.75" customHeight="1" x14ac:dyDescent="0.25">
      <c r="K46" s="332" t="s">
        <v>209</v>
      </c>
      <c r="L46" s="341"/>
      <c r="M46" s="341"/>
      <c r="N46" s="341"/>
      <c r="O46" s="341"/>
      <c r="P46" s="341"/>
      <c r="Q46" s="341"/>
      <c r="R46" s="341"/>
      <c r="S46" s="341"/>
      <c r="T46" s="341"/>
      <c r="U46" s="341"/>
      <c r="V46" s="341"/>
      <c r="W46" s="341"/>
      <c r="X46" s="341"/>
      <c r="Y46" s="341"/>
      <c r="Z46" s="341"/>
      <c r="AA46" s="341"/>
      <c r="AB46" s="341"/>
      <c r="AC46" s="341"/>
      <c r="AD46" s="341"/>
      <c r="AE46" s="341"/>
      <c r="AF46" s="341"/>
      <c r="AG46" s="341"/>
      <c r="AH46" s="342"/>
      <c r="AI46" s="134"/>
      <c r="AJ46" s="134"/>
      <c r="AK46" s="134"/>
      <c r="AL46" s="134"/>
      <c r="AM46" s="134"/>
      <c r="AN46" s="134"/>
      <c r="AO46" s="135"/>
    </row>
    <row r="47" spans="2:41" x14ac:dyDescent="0.25">
      <c r="K47" s="343"/>
      <c r="L47" s="344"/>
      <c r="M47" s="344"/>
      <c r="N47" s="344"/>
      <c r="O47" s="344"/>
      <c r="P47" s="344"/>
      <c r="Q47" s="344"/>
      <c r="R47" s="344"/>
      <c r="S47" s="344"/>
      <c r="T47" s="344"/>
      <c r="U47" s="344"/>
      <c r="V47" s="344"/>
      <c r="W47" s="344"/>
      <c r="X47" s="344"/>
      <c r="Y47" s="344"/>
      <c r="Z47" s="344"/>
      <c r="AA47" s="344"/>
      <c r="AB47" s="344"/>
      <c r="AC47" s="344"/>
      <c r="AD47" s="344"/>
      <c r="AE47" s="344"/>
      <c r="AF47" s="344"/>
      <c r="AG47" s="344"/>
      <c r="AH47" s="345"/>
      <c r="AI47" s="134"/>
      <c r="AJ47" s="134"/>
      <c r="AK47" s="134"/>
      <c r="AL47" s="134"/>
      <c r="AM47" s="134"/>
      <c r="AN47" s="134"/>
      <c r="AO47" s="135"/>
    </row>
    <row r="48" spans="2:41" x14ac:dyDescent="0.25">
      <c r="K48" s="343"/>
      <c r="L48" s="344"/>
      <c r="M48" s="344"/>
      <c r="N48" s="344"/>
      <c r="O48" s="344"/>
      <c r="P48" s="344"/>
      <c r="Q48" s="344"/>
      <c r="R48" s="344"/>
      <c r="S48" s="344"/>
      <c r="T48" s="344"/>
      <c r="U48" s="344"/>
      <c r="V48" s="344"/>
      <c r="W48" s="344"/>
      <c r="X48" s="344"/>
      <c r="Y48" s="344"/>
      <c r="Z48" s="344"/>
      <c r="AA48" s="344"/>
      <c r="AB48" s="344"/>
      <c r="AC48" s="344"/>
      <c r="AD48" s="344"/>
      <c r="AE48" s="344"/>
      <c r="AF48" s="344"/>
      <c r="AG48" s="344"/>
      <c r="AH48" s="345"/>
      <c r="AI48" s="134"/>
      <c r="AJ48" s="134"/>
      <c r="AK48" s="134"/>
      <c r="AL48" s="134"/>
      <c r="AM48" s="134"/>
      <c r="AN48" s="134"/>
      <c r="AO48" s="135"/>
    </row>
    <row r="49" spans="11:41" x14ac:dyDescent="0.25">
      <c r="K49" s="343"/>
      <c r="L49" s="344"/>
      <c r="M49" s="344"/>
      <c r="N49" s="344"/>
      <c r="O49" s="344"/>
      <c r="P49" s="344"/>
      <c r="Q49" s="344"/>
      <c r="R49" s="344"/>
      <c r="S49" s="344"/>
      <c r="T49" s="344"/>
      <c r="U49" s="344"/>
      <c r="V49" s="344"/>
      <c r="W49" s="344"/>
      <c r="X49" s="344"/>
      <c r="Y49" s="344"/>
      <c r="Z49" s="344"/>
      <c r="AA49" s="344"/>
      <c r="AB49" s="344"/>
      <c r="AC49" s="344"/>
      <c r="AD49" s="344"/>
      <c r="AE49" s="344"/>
      <c r="AF49" s="344"/>
      <c r="AG49" s="344"/>
      <c r="AH49" s="345"/>
      <c r="AI49" s="134"/>
      <c r="AJ49" s="134"/>
      <c r="AK49" s="134"/>
      <c r="AL49" s="134"/>
      <c r="AM49" s="134"/>
      <c r="AN49" s="134"/>
      <c r="AO49" s="135"/>
    </row>
    <row r="50" spans="11:41" x14ac:dyDescent="0.25">
      <c r="K50" s="343"/>
      <c r="L50" s="344"/>
      <c r="M50" s="344"/>
      <c r="N50" s="344"/>
      <c r="O50" s="344"/>
      <c r="P50" s="344"/>
      <c r="Q50" s="344"/>
      <c r="R50" s="344"/>
      <c r="S50" s="344"/>
      <c r="T50" s="344"/>
      <c r="U50" s="344"/>
      <c r="V50" s="344"/>
      <c r="W50" s="344"/>
      <c r="X50" s="344"/>
      <c r="Y50" s="344"/>
      <c r="Z50" s="344"/>
      <c r="AA50" s="344"/>
      <c r="AB50" s="344"/>
      <c r="AC50" s="344"/>
      <c r="AD50" s="344"/>
      <c r="AE50" s="344"/>
      <c r="AF50" s="344"/>
      <c r="AG50" s="344"/>
      <c r="AH50" s="345"/>
      <c r="AI50" s="134"/>
      <c r="AJ50" s="134"/>
      <c r="AK50" s="134"/>
      <c r="AL50" s="134"/>
      <c r="AM50" s="134"/>
      <c r="AN50" s="134"/>
      <c r="AO50" s="135"/>
    </row>
    <row r="51" spans="11:41" x14ac:dyDescent="0.25">
      <c r="K51" s="343"/>
      <c r="L51" s="344"/>
      <c r="M51" s="344"/>
      <c r="N51" s="344"/>
      <c r="O51" s="344"/>
      <c r="P51" s="344"/>
      <c r="Q51" s="344"/>
      <c r="R51" s="344"/>
      <c r="S51" s="344"/>
      <c r="T51" s="344"/>
      <c r="U51" s="344"/>
      <c r="V51" s="344"/>
      <c r="W51" s="344"/>
      <c r="X51" s="344"/>
      <c r="Y51" s="344"/>
      <c r="Z51" s="344"/>
      <c r="AA51" s="344"/>
      <c r="AB51" s="344"/>
      <c r="AC51" s="344"/>
      <c r="AD51" s="344"/>
      <c r="AE51" s="344"/>
      <c r="AF51" s="344"/>
      <c r="AG51" s="344"/>
      <c r="AH51" s="345"/>
      <c r="AI51" s="134"/>
      <c r="AJ51" s="134"/>
      <c r="AK51" s="134"/>
      <c r="AL51" s="134"/>
      <c r="AM51" s="134"/>
      <c r="AN51" s="134"/>
      <c r="AO51" s="135"/>
    </row>
    <row r="52" spans="11:41" x14ac:dyDescent="0.25">
      <c r="K52" s="343"/>
      <c r="L52" s="344"/>
      <c r="M52" s="344"/>
      <c r="N52" s="344"/>
      <c r="O52" s="344"/>
      <c r="P52" s="344"/>
      <c r="Q52" s="344"/>
      <c r="R52" s="344"/>
      <c r="S52" s="344"/>
      <c r="T52" s="344"/>
      <c r="U52" s="344"/>
      <c r="V52" s="344"/>
      <c r="W52" s="344"/>
      <c r="X52" s="344"/>
      <c r="Y52" s="344"/>
      <c r="Z52" s="344"/>
      <c r="AA52" s="344"/>
      <c r="AB52" s="344"/>
      <c r="AC52" s="344"/>
      <c r="AD52" s="344"/>
      <c r="AE52" s="344"/>
      <c r="AF52" s="344"/>
      <c r="AG52" s="344"/>
      <c r="AH52" s="345"/>
      <c r="AI52" s="134"/>
      <c r="AJ52" s="134"/>
      <c r="AK52" s="134"/>
      <c r="AL52" s="134"/>
      <c r="AM52" s="134"/>
      <c r="AN52" s="134"/>
      <c r="AO52" s="135"/>
    </row>
    <row r="53" spans="11:41" x14ac:dyDescent="0.25">
      <c r="K53" s="343"/>
      <c r="L53" s="344"/>
      <c r="M53" s="344"/>
      <c r="N53" s="344"/>
      <c r="O53" s="344"/>
      <c r="P53" s="344"/>
      <c r="Q53" s="344"/>
      <c r="R53" s="344"/>
      <c r="S53" s="344"/>
      <c r="T53" s="344"/>
      <c r="U53" s="344"/>
      <c r="V53" s="344"/>
      <c r="W53" s="344"/>
      <c r="X53" s="344"/>
      <c r="Y53" s="344"/>
      <c r="Z53" s="344"/>
      <c r="AA53" s="344"/>
      <c r="AB53" s="344"/>
      <c r="AC53" s="344"/>
      <c r="AD53" s="344"/>
      <c r="AE53" s="344"/>
      <c r="AF53" s="344"/>
      <c r="AG53" s="344"/>
      <c r="AH53" s="345"/>
      <c r="AI53" s="134"/>
      <c r="AJ53" s="134"/>
      <c r="AK53" s="134"/>
      <c r="AL53" s="134"/>
      <c r="AM53" s="134"/>
      <c r="AN53" s="134"/>
      <c r="AO53" s="135"/>
    </row>
    <row r="54" spans="11:41" x14ac:dyDescent="0.25">
      <c r="K54" s="343"/>
      <c r="L54" s="344"/>
      <c r="M54" s="344"/>
      <c r="N54" s="344"/>
      <c r="O54" s="344"/>
      <c r="P54" s="344"/>
      <c r="Q54" s="344"/>
      <c r="R54" s="344"/>
      <c r="S54" s="344"/>
      <c r="T54" s="344"/>
      <c r="U54" s="344"/>
      <c r="V54" s="344"/>
      <c r="W54" s="344"/>
      <c r="X54" s="344"/>
      <c r="Y54" s="344"/>
      <c r="Z54" s="344"/>
      <c r="AA54" s="344"/>
      <c r="AB54" s="344"/>
      <c r="AC54" s="344"/>
      <c r="AD54" s="344"/>
      <c r="AE54" s="344"/>
      <c r="AF54" s="344"/>
      <c r="AG54" s="344"/>
      <c r="AH54" s="345"/>
      <c r="AI54" s="134"/>
      <c r="AJ54" s="134"/>
      <c r="AK54" s="134"/>
      <c r="AL54" s="134"/>
      <c r="AM54" s="134"/>
      <c r="AN54" s="134"/>
      <c r="AO54" s="135"/>
    </row>
    <row r="55" spans="11:41" x14ac:dyDescent="0.25">
      <c r="K55" s="343"/>
      <c r="L55" s="344"/>
      <c r="M55" s="344"/>
      <c r="N55" s="344"/>
      <c r="O55" s="344"/>
      <c r="P55" s="344"/>
      <c r="Q55" s="344"/>
      <c r="R55" s="344"/>
      <c r="S55" s="344"/>
      <c r="T55" s="344"/>
      <c r="U55" s="344"/>
      <c r="V55" s="344"/>
      <c r="W55" s="344"/>
      <c r="X55" s="344"/>
      <c r="Y55" s="344"/>
      <c r="Z55" s="344"/>
      <c r="AA55" s="344"/>
      <c r="AB55" s="344"/>
      <c r="AC55" s="344"/>
      <c r="AD55" s="344"/>
      <c r="AE55" s="344"/>
      <c r="AF55" s="344"/>
      <c r="AG55" s="344"/>
      <c r="AH55" s="345"/>
      <c r="AI55" s="134"/>
      <c r="AJ55" s="134"/>
      <c r="AK55" s="134"/>
      <c r="AL55" s="134"/>
      <c r="AM55" s="134"/>
      <c r="AN55" s="134"/>
      <c r="AO55" s="135"/>
    </row>
    <row r="56" spans="11:41" ht="15.75" thickBot="1" x14ac:dyDescent="0.3">
      <c r="K56" s="346"/>
      <c r="L56" s="347"/>
      <c r="M56" s="347"/>
      <c r="N56" s="347"/>
      <c r="O56" s="347"/>
      <c r="P56" s="347"/>
      <c r="Q56" s="347"/>
      <c r="R56" s="347"/>
      <c r="S56" s="347"/>
      <c r="T56" s="347"/>
      <c r="U56" s="347"/>
      <c r="V56" s="347"/>
      <c r="W56" s="347"/>
      <c r="X56" s="347"/>
      <c r="Y56" s="347"/>
      <c r="Z56" s="347"/>
      <c r="AA56" s="347"/>
      <c r="AB56" s="347"/>
      <c r="AC56" s="347"/>
      <c r="AD56" s="347"/>
      <c r="AE56" s="347"/>
      <c r="AF56" s="347"/>
      <c r="AG56" s="347"/>
      <c r="AH56" s="348"/>
      <c r="AI56" s="134"/>
      <c r="AJ56" s="134"/>
      <c r="AK56" s="134"/>
      <c r="AL56" s="134"/>
      <c r="AM56" s="134"/>
      <c r="AN56" s="134"/>
      <c r="AO56" s="135"/>
    </row>
    <row r="57" spans="11:41" ht="15.75" thickBot="1" x14ac:dyDescent="0.3">
      <c r="K57" s="2"/>
      <c r="L57" s="143"/>
      <c r="M57" s="143"/>
      <c r="N57" s="143"/>
      <c r="O57" s="143"/>
      <c r="P57" s="143"/>
      <c r="Q57" s="143"/>
      <c r="R57" s="143"/>
      <c r="S57" s="143"/>
      <c r="T57" s="143"/>
      <c r="U57" s="143"/>
      <c r="V57" s="143"/>
      <c r="W57" s="143"/>
      <c r="X57" s="143"/>
      <c r="Y57" s="143"/>
      <c r="Z57" s="143"/>
      <c r="AA57" s="143"/>
      <c r="AB57" s="143"/>
      <c r="AC57" s="143"/>
      <c r="AD57" s="143"/>
      <c r="AE57" s="143"/>
      <c r="AF57" s="143"/>
      <c r="AG57" s="143"/>
      <c r="AH57" s="143"/>
      <c r="AI57" s="143"/>
      <c r="AJ57" s="143"/>
      <c r="AK57" s="143"/>
      <c r="AL57" s="143"/>
      <c r="AM57" s="143"/>
      <c r="AN57" s="143"/>
      <c r="AO57" s="144"/>
    </row>
  </sheetData>
  <mergeCells count="11">
    <mergeCell ref="T1:X1"/>
    <mergeCell ref="L33:AD37"/>
    <mergeCell ref="K46:AH56"/>
    <mergeCell ref="L20:AD25"/>
    <mergeCell ref="L12:AD13"/>
    <mergeCell ref="B1:G1"/>
    <mergeCell ref="B2:G2"/>
    <mergeCell ref="B3:G3"/>
    <mergeCell ref="B4:G4"/>
    <mergeCell ref="N1:O1"/>
    <mergeCell ref="H1:H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AP43"/>
  <sheetViews>
    <sheetView zoomScale="85" zoomScaleNormal="85" workbookViewId="0">
      <selection activeCell="N2" sqref="N2"/>
    </sheetView>
  </sheetViews>
  <sheetFormatPr defaultRowHeight="15" x14ac:dyDescent="0.25"/>
  <cols>
    <col min="2" max="2" width="48.140625" bestFit="1" customWidth="1"/>
    <col min="5" max="5" width="7.85546875" bestFit="1" customWidth="1"/>
    <col min="11" max="11" width="9.5703125" bestFit="1" customWidth="1"/>
  </cols>
  <sheetData>
    <row r="1" spans="2:42" ht="21.75" thickBot="1" x14ac:dyDescent="0.4">
      <c r="K1" s="1"/>
      <c r="L1" s="131"/>
      <c r="M1" s="131"/>
      <c r="N1" s="131"/>
      <c r="O1" s="131"/>
      <c r="P1" s="360" t="s">
        <v>201</v>
      </c>
      <c r="Q1" s="361"/>
      <c r="R1" s="362"/>
      <c r="S1" s="131"/>
      <c r="T1" s="131"/>
      <c r="U1" s="131"/>
      <c r="V1" s="131"/>
      <c r="W1" s="131"/>
      <c r="X1" s="131"/>
      <c r="Y1" s="131"/>
      <c r="Z1" s="131"/>
      <c r="AA1" s="131"/>
      <c r="AB1" s="131"/>
      <c r="AC1" s="131"/>
      <c r="AD1" s="131"/>
      <c r="AE1" s="131"/>
      <c r="AF1" s="131"/>
      <c r="AG1" s="131"/>
      <c r="AH1" s="131"/>
      <c r="AI1" s="131"/>
      <c r="AJ1" s="131"/>
      <c r="AK1" s="131"/>
      <c r="AL1" s="131"/>
      <c r="AM1" s="131"/>
      <c r="AN1" s="131"/>
      <c r="AO1" s="131"/>
      <c r="AP1" s="132"/>
    </row>
    <row r="2" spans="2:42" ht="15.75" thickBot="1" x14ac:dyDescent="0.3">
      <c r="B2" s="322" t="s">
        <v>12</v>
      </c>
      <c r="C2" s="323"/>
      <c r="D2" s="323"/>
      <c r="E2" s="323"/>
      <c r="F2" s="323"/>
      <c r="G2" s="323"/>
      <c r="H2" s="324"/>
      <c r="K2" s="133"/>
      <c r="L2" s="134"/>
      <c r="M2" s="134"/>
      <c r="N2" s="134"/>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c r="AP2" s="135"/>
    </row>
    <row r="3" spans="2:42" ht="19.5" thickBot="1" x14ac:dyDescent="0.35">
      <c r="B3" s="322" t="s">
        <v>13</v>
      </c>
      <c r="C3" s="323"/>
      <c r="D3" s="323"/>
      <c r="E3" s="323"/>
      <c r="F3" s="323"/>
      <c r="G3" s="323"/>
      <c r="H3" s="324"/>
      <c r="I3" s="12" t="s">
        <v>158</v>
      </c>
      <c r="K3" s="153" t="s">
        <v>230</v>
      </c>
      <c r="L3" s="154"/>
      <c r="M3" s="154"/>
      <c r="N3" s="154"/>
      <c r="O3" s="154"/>
      <c r="P3" s="154"/>
      <c r="Q3" s="154"/>
      <c r="R3" s="154"/>
      <c r="S3" s="154"/>
      <c r="T3" s="154"/>
      <c r="U3" s="154"/>
      <c r="V3" s="154"/>
      <c r="W3" s="154"/>
      <c r="X3" s="154"/>
      <c r="Y3" s="154"/>
      <c r="Z3" s="154"/>
      <c r="AA3" s="134"/>
      <c r="AB3" s="134"/>
      <c r="AC3" s="134"/>
      <c r="AD3" s="134"/>
      <c r="AE3" s="134"/>
      <c r="AF3" s="134"/>
      <c r="AG3" s="134"/>
      <c r="AH3" s="134"/>
      <c r="AI3" s="134"/>
      <c r="AJ3" s="134"/>
      <c r="AK3" s="134"/>
      <c r="AL3" s="134"/>
      <c r="AM3" s="134"/>
      <c r="AN3" s="134"/>
      <c r="AO3" s="134"/>
      <c r="AP3" s="135"/>
    </row>
    <row r="4" spans="2:42" ht="15.75" thickBot="1" x14ac:dyDescent="0.3">
      <c r="B4" s="322" t="s">
        <v>14</v>
      </c>
      <c r="C4" s="323"/>
      <c r="D4" s="323"/>
      <c r="E4" s="323"/>
      <c r="F4" s="323"/>
      <c r="G4" s="323"/>
      <c r="H4" s="324"/>
      <c r="K4" s="133"/>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34"/>
      <c r="AK4" s="134"/>
      <c r="AL4" s="134"/>
      <c r="AM4" s="134"/>
      <c r="AN4" s="134"/>
      <c r="AO4" s="134"/>
      <c r="AP4" s="135"/>
    </row>
    <row r="5" spans="2:42" ht="19.5" thickBot="1" x14ac:dyDescent="0.35">
      <c r="B5" s="325" t="s">
        <v>15</v>
      </c>
      <c r="C5" s="358"/>
      <c r="D5" s="358"/>
      <c r="E5" s="358"/>
      <c r="F5" s="358"/>
      <c r="G5" s="358"/>
      <c r="H5" s="359"/>
      <c r="K5" s="156" t="s">
        <v>214</v>
      </c>
      <c r="L5" s="157"/>
      <c r="M5" s="157"/>
      <c r="N5" s="157"/>
      <c r="O5" s="158"/>
      <c r="P5" s="159"/>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5"/>
    </row>
    <row r="6" spans="2:42" ht="19.5" thickBot="1" x14ac:dyDescent="0.35">
      <c r="B6" s="152"/>
      <c r="C6" s="149" t="s">
        <v>157</v>
      </c>
      <c r="D6" s="150" t="s">
        <v>156</v>
      </c>
      <c r="E6" s="150" t="s">
        <v>155</v>
      </c>
      <c r="F6" s="150" t="s">
        <v>154</v>
      </c>
      <c r="G6" s="150" t="s">
        <v>153</v>
      </c>
      <c r="H6" s="151" t="s">
        <v>152</v>
      </c>
      <c r="K6" s="153" t="s">
        <v>210</v>
      </c>
      <c r="L6" s="134"/>
      <c r="M6" s="134"/>
      <c r="N6" s="134"/>
      <c r="O6" s="134"/>
      <c r="P6" s="134"/>
      <c r="Q6" s="134"/>
      <c r="R6" s="134"/>
      <c r="S6" s="134"/>
      <c r="T6" s="134"/>
      <c r="U6" s="134"/>
      <c r="V6" s="134"/>
      <c r="W6" s="134"/>
      <c r="X6" s="134"/>
      <c r="Y6" s="134"/>
      <c r="Z6" s="134"/>
      <c r="AA6" s="134"/>
      <c r="AB6" s="134"/>
      <c r="AC6" s="134"/>
      <c r="AD6" s="134"/>
      <c r="AE6" s="134"/>
      <c r="AF6" s="134"/>
      <c r="AG6" s="134"/>
      <c r="AH6" s="134"/>
      <c r="AI6" s="134"/>
      <c r="AJ6" s="134"/>
      <c r="AK6" s="134"/>
      <c r="AL6" s="134"/>
      <c r="AM6" s="134"/>
      <c r="AN6" s="134"/>
      <c r="AO6" s="134"/>
      <c r="AP6" s="135"/>
    </row>
    <row r="7" spans="2:42" x14ac:dyDescent="0.25">
      <c r="B7" s="145" t="s">
        <v>0</v>
      </c>
      <c r="C7" s="146">
        <v>16734</v>
      </c>
      <c r="D7" s="113">
        <v>15564</v>
      </c>
      <c r="E7" s="113">
        <v>15327</v>
      </c>
      <c r="F7" s="113">
        <v>15329.9</v>
      </c>
      <c r="G7" s="113">
        <v>13789.7</v>
      </c>
      <c r="H7" s="114">
        <v>12237.7</v>
      </c>
      <c r="K7" s="133"/>
      <c r="L7" s="134"/>
      <c r="M7" s="134"/>
      <c r="N7" s="134"/>
      <c r="O7" s="134"/>
      <c r="P7" s="134"/>
      <c r="Q7" s="134"/>
      <c r="R7" s="134"/>
      <c r="S7" s="134"/>
      <c r="T7" s="134"/>
      <c r="U7" s="134"/>
      <c r="V7" s="134"/>
      <c r="W7" s="134"/>
      <c r="X7" s="134"/>
      <c r="Y7" s="134"/>
      <c r="Z7" s="134"/>
      <c r="AA7" s="134"/>
      <c r="AB7" s="134"/>
      <c r="AC7" s="134"/>
      <c r="AD7" s="134"/>
      <c r="AE7" s="134"/>
      <c r="AF7" s="134"/>
      <c r="AG7" s="134"/>
      <c r="AH7" s="134"/>
      <c r="AI7" s="134"/>
      <c r="AJ7" s="134"/>
      <c r="AK7" s="134"/>
      <c r="AL7" s="134"/>
      <c r="AM7" s="134"/>
      <c r="AN7" s="134"/>
      <c r="AO7" s="134"/>
      <c r="AP7" s="135"/>
    </row>
    <row r="8" spans="2:42" ht="18.75" x14ac:dyDescent="0.3">
      <c r="B8" s="123" t="s">
        <v>1</v>
      </c>
      <c r="C8" s="147">
        <v>7144</v>
      </c>
      <c r="D8" s="33">
        <v>6360</v>
      </c>
      <c r="E8" s="33">
        <v>6319</v>
      </c>
      <c r="F8" s="33">
        <v>6703.5</v>
      </c>
      <c r="G8" s="33">
        <v>6042.3</v>
      </c>
      <c r="H8" s="34">
        <v>5536.1</v>
      </c>
      <c r="K8" s="133"/>
      <c r="L8" s="154" t="s">
        <v>211</v>
      </c>
      <c r="M8" s="134"/>
      <c r="N8" s="134"/>
      <c r="O8" s="134"/>
      <c r="P8" s="134"/>
      <c r="Q8" s="134"/>
      <c r="R8" s="134"/>
      <c r="S8" s="134"/>
      <c r="T8" s="134"/>
      <c r="U8" s="134"/>
      <c r="V8" s="134"/>
      <c r="W8" s="134"/>
      <c r="X8" s="134"/>
      <c r="Y8" s="134"/>
      <c r="Z8" s="134"/>
      <c r="AA8" s="134"/>
      <c r="AB8" s="134"/>
      <c r="AC8" s="134"/>
      <c r="AD8" s="134"/>
      <c r="AE8" s="134"/>
      <c r="AF8" s="134"/>
      <c r="AG8" s="134"/>
      <c r="AH8" s="134"/>
      <c r="AI8" s="134"/>
      <c r="AJ8" s="134"/>
      <c r="AK8" s="134"/>
      <c r="AL8" s="134"/>
      <c r="AM8" s="134"/>
      <c r="AN8" s="134"/>
      <c r="AO8" s="134"/>
      <c r="AP8" s="135"/>
    </row>
    <row r="9" spans="2:42" x14ac:dyDescent="0.25">
      <c r="B9" s="123" t="s">
        <v>16</v>
      </c>
      <c r="C9" s="147">
        <f>C7-C8</f>
        <v>9590</v>
      </c>
      <c r="D9" s="33">
        <f t="shared" ref="D9:H9" si="0">D7-D8</f>
        <v>9204</v>
      </c>
      <c r="E9" s="33">
        <f t="shared" si="0"/>
        <v>9008</v>
      </c>
      <c r="F9" s="33">
        <f t="shared" si="0"/>
        <v>8626.4</v>
      </c>
      <c r="G9" s="33">
        <f t="shared" si="0"/>
        <v>7747.4000000000005</v>
      </c>
      <c r="H9" s="34">
        <f t="shared" si="0"/>
        <v>6701.6</v>
      </c>
      <c r="K9" s="133"/>
      <c r="L9" s="134"/>
      <c r="M9" s="134"/>
      <c r="N9" s="134"/>
      <c r="O9" s="134"/>
      <c r="P9" s="134"/>
      <c r="Q9" s="134"/>
      <c r="R9" s="134"/>
      <c r="S9" s="134"/>
      <c r="T9" s="134"/>
      <c r="U9" s="134"/>
      <c r="V9" s="134"/>
      <c r="W9" s="134"/>
      <c r="X9" s="134"/>
      <c r="Y9" s="134"/>
      <c r="Z9" s="134"/>
      <c r="AA9" s="134"/>
      <c r="AB9" s="134"/>
      <c r="AC9" s="134"/>
      <c r="AD9" s="134"/>
      <c r="AE9" s="134"/>
      <c r="AF9" s="134"/>
      <c r="AG9" s="134"/>
      <c r="AH9" s="134"/>
      <c r="AI9" s="134"/>
      <c r="AJ9" s="134"/>
      <c r="AK9" s="134"/>
      <c r="AL9" s="134"/>
      <c r="AM9" s="134"/>
      <c r="AN9" s="134"/>
      <c r="AO9" s="134"/>
      <c r="AP9" s="135"/>
    </row>
    <row r="10" spans="2:42" ht="18.75" x14ac:dyDescent="0.3">
      <c r="B10" s="123" t="s">
        <v>2</v>
      </c>
      <c r="C10" s="147">
        <v>5758</v>
      </c>
      <c r="D10" s="33">
        <v>5414</v>
      </c>
      <c r="E10" s="33">
        <v>5282</v>
      </c>
      <c r="F10" s="33">
        <v>5422.3</v>
      </c>
      <c r="G10" s="33">
        <v>4973</v>
      </c>
      <c r="H10" s="34">
        <v>4355.2</v>
      </c>
      <c r="K10" s="133"/>
      <c r="L10" s="134" t="s">
        <v>212</v>
      </c>
      <c r="M10" s="134"/>
      <c r="N10" s="134"/>
      <c r="O10" s="134"/>
      <c r="P10" s="134"/>
      <c r="Q10" s="134"/>
      <c r="R10" s="134"/>
      <c r="S10" s="134"/>
      <c r="T10" s="134"/>
      <c r="U10" s="134"/>
      <c r="V10" s="134"/>
      <c r="W10" s="134"/>
      <c r="X10" s="134"/>
      <c r="Y10" s="134"/>
      <c r="Z10" s="134"/>
      <c r="AA10" s="134"/>
      <c r="AB10" s="134"/>
      <c r="AC10" s="134"/>
      <c r="AD10" s="134"/>
      <c r="AE10" s="134"/>
      <c r="AF10" s="134"/>
      <c r="AG10" s="134"/>
      <c r="AH10" s="134"/>
      <c r="AI10" s="134"/>
      <c r="AJ10" s="134"/>
      <c r="AK10" s="134"/>
      <c r="AL10" s="134"/>
      <c r="AM10" s="134"/>
      <c r="AN10" s="134"/>
      <c r="AO10" s="134"/>
      <c r="AP10" s="135"/>
    </row>
    <row r="11" spans="2:42" x14ac:dyDescent="0.25">
      <c r="B11" s="123" t="s">
        <v>3</v>
      </c>
      <c r="C11" s="147">
        <v>-9</v>
      </c>
      <c r="D11" s="33">
        <v>301</v>
      </c>
      <c r="E11" s="33">
        <v>111</v>
      </c>
      <c r="F11" s="33">
        <v>183.4</v>
      </c>
      <c r="G11" s="33">
        <v>121.3</v>
      </c>
      <c r="H11" s="34">
        <v>185.9</v>
      </c>
      <c r="K11" s="133"/>
      <c r="L11" s="134"/>
      <c r="M11" s="134"/>
      <c r="N11" s="134"/>
      <c r="O11" s="134"/>
      <c r="P11" s="134"/>
      <c r="Q11" s="134"/>
      <c r="R11" s="134"/>
      <c r="S11" s="134"/>
      <c r="T11" s="134"/>
      <c r="U11" s="134"/>
      <c r="V11" s="134"/>
      <c r="W11" s="134"/>
      <c r="X11" s="134"/>
      <c r="Y11" s="134"/>
      <c r="Z11" s="134"/>
      <c r="AA11" s="134"/>
      <c r="AB11" s="134"/>
      <c r="AC11" s="134"/>
      <c r="AD11" s="134"/>
      <c r="AE11" s="134"/>
      <c r="AF11" s="134"/>
      <c r="AG11" s="134"/>
      <c r="AH11" s="134"/>
      <c r="AI11" s="134"/>
      <c r="AJ11" s="134"/>
      <c r="AK11" s="134"/>
      <c r="AL11" s="134"/>
      <c r="AM11" s="134"/>
      <c r="AN11" s="134"/>
      <c r="AO11" s="134"/>
      <c r="AP11" s="135"/>
    </row>
    <row r="12" spans="2:42" ht="18.75" x14ac:dyDescent="0.3">
      <c r="B12" s="123" t="s">
        <v>4</v>
      </c>
      <c r="C12" s="147">
        <f>C9-C10-C11</f>
        <v>3841</v>
      </c>
      <c r="D12" s="33">
        <f t="shared" ref="D12:H12" si="1">D9-D10-D11</f>
        <v>3489</v>
      </c>
      <c r="E12" s="33">
        <f t="shared" si="1"/>
        <v>3615</v>
      </c>
      <c r="F12" s="33">
        <f t="shared" si="1"/>
        <v>3020.6999999999994</v>
      </c>
      <c r="G12" s="33">
        <f t="shared" si="1"/>
        <v>2653.1000000000004</v>
      </c>
      <c r="H12" s="34">
        <f t="shared" si="1"/>
        <v>2160.5000000000005</v>
      </c>
      <c r="K12" s="133"/>
      <c r="L12" s="154" t="s">
        <v>213</v>
      </c>
      <c r="M12" s="134"/>
      <c r="N12" s="134"/>
      <c r="O12" s="134"/>
      <c r="P12" s="134"/>
      <c r="Q12" s="134"/>
      <c r="R12" s="134"/>
      <c r="S12" s="134"/>
      <c r="T12" s="134"/>
      <c r="U12" s="134"/>
      <c r="V12" s="134"/>
      <c r="W12" s="134"/>
      <c r="X12" s="134"/>
      <c r="Y12" s="134"/>
      <c r="Z12" s="134"/>
      <c r="AA12" s="134"/>
      <c r="AB12" s="134"/>
      <c r="AC12" s="134"/>
      <c r="AD12" s="134"/>
      <c r="AE12" s="134"/>
      <c r="AF12" s="134"/>
      <c r="AG12" s="134"/>
      <c r="AH12" s="134"/>
      <c r="AI12" s="134"/>
      <c r="AJ12" s="134"/>
      <c r="AK12" s="134"/>
      <c r="AL12" s="134"/>
      <c r="AM12" s="134"/>
      <c r="AN12" s="134"/>
      <c r="AO12" s="134"/>
      <c r="AP12" s="135"/>
    </row>
    <row r="13" spans="2:42" x14ac:dyDescent="0.25">
      <c r="B13" s="123" t="s">
        <v>5</v>
      </c>
      <c r="C13" s="147">
        <v>52</v>
      </c>
      <c r="D13" s="33">
        <v>59</v>
      </c>
      <c r="E13" s="33">
        <v>77</v>
      </c>
      <c r="F13" s="33">
        <v>95.6</v>
      </c>
      <c r="G13" s="33">
        <v>156.6</v>
      </c>
      <c r="H13" s="34">
        <v>158.69999999999999</v>
      </c>
      <c r="K13" s="133"/>
      <c r="L13" s="134"/>
      <c r="M13" s="134"/>
      <c r="N13" s="134"/>
      <c r="O13" s="134"/>
      <c r="P13" s="134"/>
      <c r="Q13" s="134"/>
      <c r="R13" s="134"/>
      <c r="S13" s="134"/>
      <c r="T13" s="134"/>
      <c r="U13" s="134"/>
      <c r="V13" s="134"/>
      <c r="W13" s="134"/>
      <c r="X13" s="134"/>
      <c r="Y13" s="134"/>
      <c r="Z13" s="134"/>
      <c r="AA13" s="134"/>
      <c r="AB13" s="134"/>
      <c r="AC13" s="134"/>
      <c r="AD13" s="134"/>
      <c r="AE13" s="134"/>
      <c r="AF13" s="134"/>
      <c r="AG13" s="134"/>
      <c r="AH13" s="134"/>
      <c r="AI13" s="134"/>
      <c r="AJ13" s="134"/>
      <c r="AK13" s="134"/>
      <c r="AL13" s="134"/>
      <c r="AM13" s="134"/>
      <c r="AN13" s="134"/>
      <c r="AO13" s="134"/>
      <c r="AP13" s="135"/>
    </row>
    <row r="14" spans="2:42" ht="18.75" x14ac:dyDescent="0.3">
      <c r="B14" s="123" t="s">
        <v>6</v>
      </c>
      <c r="C14" s="147">
        <f>C12-C13</f>
        <v>3789</v>
      </c>
      <c r="D14" s="33">
        <f t="shared" ref="D14:H14" si="2">D12-D13</f>
        <v>3430</v>
      </c>
      <c r="E14" s="33">
        <f t="shared" si="2"/>
        <v>3538</v>
      </c>
      <c r="F14" s="33">
        <f t="shared" si="2"/>
        <v>2925.0999999999995</v>
      </c>
      <c r="G14" s="33">
        <f t="shared" si="2"/>
        <v>2496.5000000000005</v>
      </c>
      <c r="H14" s="34">
        <f t="shared" si="2"/>
        <v>2001.8000000000004</v>
      </c>
      <c r="K14" s="156" t="s">
        <v>215</v>
      </c>
      <c r="L14" s="157"/>
      <c r="M14" s="157"/>
      <c r="N14" s="157"/>
      <c r="O14" s="158"/>
      <c r="P14" s="158"/>
      <c r="Q14" s="159"/>
      <c r="R14" s="134"/>
      <c r="S14" s="134"/>
      <c r="T14" s="134"/>
      <c r="U14" s="134"/>
      <c r="V14" s="134"/>
      <c r="W14" s="134"/>
      <c r="X14" s="134"/>
      <c r="Y14" s="134"/>
      <c r="Z14" s="134"/>
      <c r="AA14" s="134"/>
      <c r="AB14" s="134"/>
      <c r="AC14" s="134"/>
      <c r="AD14" s="134"/>
      <c r="AE14" s="134"/>
      <c r="AF14" s="134"/>
      <c r="AG14" s="134"/>
      <c r="AH14" s="134"/>
      <c r="AI14" s="134"/>
      <c r="AJ14" s="134"/>
      <c r="AK14" s="134"/>
      <c r="AL14" s="134"/>
      <c r="AM14" s="134"/>
      <c r="AN14" s="134"/>
      <c r="AO14" s="134"/>
      <c r="AP14" s="135"/>
    </row>
    <row r="15" spans="2:42" x14ac:dyDescent="0.25">
      <c r="B15" s="123" t="s">
        <v>17</v>
      </c>
      <c r="C15" s="147">
        <v>1235</v>
      </c>
      <c r="D15" s="33">
        <v>1117</v>
      </c>
      <c r="E15" s="33">
        <v>1141</v>
      </c>
      <c r="F15" s="33">
        <v>967.9</v>
      </c>
      <c r="G15" s="33">
        <v>759.1</v>
      </c>
      <c r="H15" s="34">
        <v>648.4</v>
      </c>
      <c r="K15" s="133"/>
      <c r="L15" s="134"/>
      <c r="M15" s="134"/>
      <c r="N15" s="134"/>
      <c r="O15" s="134"/>
      <c r="P15" s="134"/>
      <c r="Q15" s="134"/>
      <c r="R15" s="134"/>
      <c r="S15" s="134"/>
      <c r="T15" s="134"/>
      <c r="U15" s="134"/>
      <c r="V15" s="134"/>
      <c r="W15" s="134"/>
      <c r="X15" s="134"/>
      <c r="Y15" s="134"/>
      <c r="Z15" s="134"/>
      <c r="AA15" s="134"/>
      <c r="AB15" s="134"/>
      <c r="AC15" s="134"/>
      <c r="AD15" s="134"/>
      <c r="AE15" s="134"/>
      <c r="AF15" s="134"/>
      <c r="AG15" s="134"/>
      <c r="AH15" s="134"/>
      <c r="AI15" s="134"/>
      <c r="AJ15" s="134"/>
      <c r="AK15" s="134"/>
      <c r="AL15" s="134"/>
      <c r="AM15" s="134"/>
      <c r="AN15" s="134"/>
      <c r="AO15" s="134"/>
      <c r="AP15" s="135"/>
    </row>
    <row r="16" spans="2:42" ht="18.75" x14ac:dyDescent="0.3">
      <c r="B16" s="123" t="s">
        <v>7</v>
      </c>
      <c r="C16" s="147">
        <f>C14-C15</f>
        <v>2554</v>
      </c>
      <c r="D16" s="33">
        <f t="shared" ref="D16:H16" si="3">D14-D15</f>
        <v>2313</v>
      </c>
      <c r="E16" s="33">
        <f t="shared" si="3"/>
        <v>2397</v>
      </c>
      <c r="F16" s="33">
        <f t="shared" si="3"/>
        <v>1957.1999999999994</v>
      </c>
      <c r="G16" s="33">
        <f t="shared" si="3"/>
        <v>1737.4000000000005</v>
      </c>
      <c r="H16" s="34">
        <f t="shared" si="3"/>
        <v>1353.4000000000005</v>
      </c>
      <c r="K16" s="133"/>
      <c r="L16" s="154" t="s">
        <v>216</v>
      </c>
      <c r="M16" s="134"/>
      <c r="N16" s="134"/>
      <c r="O16" s="134"/>
      <c r="P16" s="134"/>
      <c r="Q16" s="134"/>
      <c r="R16" s="134"/>
      <c r="S16" s="134"/>
      <c r="T16" s="134"/>
      <c r="U16" s="134"/>
      <c r="V16" s="134"/>
      <c r="W16" s="134"/>
      <c r="X16" s="134"/>
      <c r="Y16" s="134"/>
      <c r="Z16" s="134"/>
      <c r="AA16" s="134"/>
      <c r="AB16" s="134"/>
      <c r="AC16" s="134"/>
      <c r="AD16" s="134"/>
      <c r="AE16" s="134"/>
      <c r="AF16" s="134"/>
      <c r="AG16" s="134"/>
      <c r="AH16" s="134"/>
      <c r="AI16" s="134"/>
      <c r="AJ16" s="134"/>
      <c r="AK16" s="134"/>
      <c r="AL16" s="134"/>
      <c r="AM16" s="134"/>
      <c r="AN16" s="134"/>
      <c r="AO16" s="134"/>
      <c r="AP16" s="135"/>
    </row>
    <row r="17" spans="2:42" x14ac:dyDescent="0.25">
      <c r="B17" s="123" t="s">
        <v>8</v>
      </c>
      <c r="C17" s="147">
        <v>123</v>
      </c>
      <c r="D17" s="33">
        <v>1</v>
      </c>
      <c r="E17" s="33">
        <v>106</v>
      </c>
      <c r="F17" s="33"/>
      <c r="G17" s="33"/>
      <c r="H17" s="34"/>
      <c r="K17" s="133"/>
      <c r="L17" s="134"/>
      <c r="M17" s="134"/>
      <c r="N17" s="134"/>
      <c r="O17" s="134"/>
      <c r="P17" s="134"/>
      <c r="Q17" s="134"/>
      <c r="R17" s="134"/>
      <c r="S17" s="134"/>
      <c r="T17" s="134"/>
      <c r="U17" s="134"/>
      <c r="V17" s="134"/>
      <c r="W17" s="134"/>
      <c r="X17" s="134"/>
      <c r="Y17" s="134"/>
      <c r="Z17" s="134"/>
      <c r="AA17" s="134"/>
      <c r="AB17" s="134"/>
      <c r="AC17" s="134"/>
      <c r="AD17" s="134"/>
      <c r="AE17" s="134"/>
      <c r="AF17" s="134"/>
      <c r="AG17" s="134"/>
      <c r="AH17" s="134"/>
      <c r="AI17" s="134"/>
      <c r="AJ17" s="134"/>
      <c r="AK17" s="134"/>
      <c r="AL17" s="134"/>
      <c r="AM17" s="134"/>
      <c r="AN17" s="134"/>
      <c r="AO17" s="134"/>
      <c r="AP17" s="135"/>
    </row>
    <row r="18" spans="2:42" ht="18.75" x14ac:dyDescent="0.3">
      <c r="B18" s="123" t="s">
        <v>9</v>
      </c>
      <c r="C18" s="147">
        <f>C16-C17</f>
        <v>2431</v>
      </c>
      <c r="D18" s="33">
        <f t="shared" ref="D18:H18" si="4">D16-D17</f>
        <v>2312</v>
      </c>
      <c r="E18" s="33">
        <f t="shared" si="4"/>
        <v>2291</v>
      </c>
      <c r="F18" s="33">
        <f t="shared" si="4"/>
        <v>1957.1999999999994</v>
      </c>
      <c r="G18" s="33">
        <f t="shared" si="4"/>
        <v>1737.4000000000005</v>
      </c>
      <c r="H18" s="34">
        <f t="shared" si="4"/>
        <v>1353.4000000000005</v>
      </c>
      <c r="K18" s="133"/>
      <c r="L18" s="154" t="s">
        <v>217</v>
      </c>
      <c r="M18" s="134"/>
      <c r="N18" s="134"/>
      <c r="O18" s="134"/>
      <c r="P18" s="134"/>
      <c r="Q18" s="134"/>
      <c r="R18" s="134"/>
      <c r="S18" s="134"/>
      <c r="T18" s="134"/>
      <c r="U18" s="134"/>
      <c r="V18" s="134"/>
      <c r="W18" s="134"/>
      <c r="X18" s="134"/>
      <c r="Y18" s="134"/>
      <c r="Z18" s="134"/>
      <c r="AA18" s="134"/>
      <c r="AB18" s="134"/>
      <c r="AC18" s="134"/>
      <c r="AD18" s="134"/>
      <c r="AE18" s="134"/>
      <c r="AF18" s="134"/>
      <c r="AG18" s="134"/>
      <c r="AH18" s="134"/>
      <c r="AI18" s="134"/>
      <c r="AJ18" s="134"/>
      <c r="AK18" s="134"/>
      <c r="AL18" s="134"/>
      <c r="AM18" s="134"/>
      <c r="AN18" s="134"/>
      <c r="AO18" s="134"/>
      <c r="AP18" s="135"/>
    </row>
    <row r="19" spans="2:42" x14ac:dyDescent="0.25">
      <c r="B19" s="123" t="s">
        <v>10</v>
      </c>
      <c r="C19" s="147">
        <v>4.9800000000000004</v>
      </c>
      <c r="D19" s="33">
        <v>4.45</v>
      </c>
      <c r="E19" s="33">
        <v>4.53</v>
      </c>
      <c r="F19" s="33">
        <v>3.81</v>
      </c>
      <c r="G19" s="33">
        <v>3.35</v>
      </c>
      <c r="H19" s="34">
        <v>2.57</v>
      </c>
      <c r="K19" s="133"/>
      <c r="L19" s="134"/>
      <c r="M19" s="134"/>
      <c r="N19" s="134"/>
      <c r="O19" s="134"/>
      <c r="P19" s="134"/>
      <c r="Q19" s="134"/>
      <c r="R19" s="134"/>
      <c r="S19" s="134"/>
      <c r="T19" s="134"/>
      <c r="U19" s="134"/>
      <c r="V19" s="134"/>
      <c r="W19" s="134"/>
      <c r="X19" s="134"/>
      <c r="Y19" s="134"/>
      <c r="Z19" s="134"/>
      <c r="AA19" s="134"/>
      <c r="AB19" s="134"/>
      <c r="AC19" s="134"/>
      <c r="AD19" s="134"/>
      <c r="AE19" s="134"/>
      <c r="AF19" s="134"/>
      <c r="AG19" s="134"/>
      <c r="AH19" s="134"/>
      <c r="AI19" s="134"/>
      <c r="AJ19" s="134"/>
      <c r="AK19" s="134"/>
      <c r="AL19" s="134"/>
      <c r="AM19" s="134"/>
      <c r="AN19" s="134"/>
      <c r="AO19" s="134"/>
      <c r="AP19" s="135"/>
    </row>
    <row r="20" spans="2:42" ht="19.5" thickBot="1" x14ac:dyDescent="0.35">
      <c r="B20" s="125" t="s">
        <v>11</v>
      </c>
      <c r="C20" s="148">
        <v>4.9400000000000004</v>
      </c>
      <c r="D20" s="107">
        <v>4.3099999999999996</v>
      </c>
      <c r="E20" s="107">
        <v>4.37</v>
      </c>
      <c r="F20" s="107">
        <v>3.66</v>
      </c>
      <c r="G20" s="107">
        <v>3.2</v>
      </c>
      <c r="H20" s="108">
        <v>2.46</v>
      </c>
      <c r="K20" s="133"/>
      <c r="L20" s="154" t="s">
        <v>218</v>
      </c>
      <c r="M20" s="134"/>
      <c r="N20" s="134"/>
      <c r="O20" s="134"/>
      <c r="P20" s="134"/>
      <c r="Q20" s="134"/>
      <c r="R20" s="134"/>
      <c r="S20" s="134"/>
      <c r="T20" s="134"/>
      <c r="U20" s="134"/>
      <c r="V20" s="134"/>
      <c r="W20" s="134"/>
      <c r="X20" s="134"/>
      <c r="Y20" s="134"/>
      <c r="Z20" s="134"/>
      <c r="AA20" s="134"/>
      <c r="AB20" s="134"/>
      <c r="AC20" s="134"/>
      <c r="AD20" s="134"/>
      <c r="AE20" s="134"/>
      <c r="AF20" s="134"/>
      <c r="AG20" s="134"/>
      <c r="AH20" s="134"/>
      <c r="AI20" s="134"/>
      <c r="AJ20" s="134"/>
      <c r="AK20" s="134"/>
      <c r="AL20" s="134"/>
      <c r="AM20" s="134"/>
      <c r="AN20" s="134"/>
      <c r="AO20" s="134"/>
      <c r="AP20" s="135"/>
    </row>
    <row r="21" spans="2:42" x14ac:dyDescent="0.25">
      <c r="K21" s="133"/>
      <c r="L21" s="134"/>
      <c r="M21" s="134"/>
      <c r="N21" s="134"/>
      <c r="O21" s="134"/>
      <c r="P21" s="134"/>
      <c r="Q21" s="134"/>
      <c r="R21" s="134"/>
      <c r="S21" s="134"/>
      <c r="T21" s="134"/>
      <c r="U21" s="134"/>
      <c r="V21" s="134"/>
      <c r="W21" s="134"/>
      <c r="X21" s="134"/>
      <c r="Y21" s="134"/>
      <c r="Z21" s="134"/>
      <c r="AA21" s="134"/>
      <c r="AB21" s="134"/>
      <c r="AC21" s="134"/>
      <c r="AD21" s="134"/>
      <c r="AE21" s="134"/>
      <c r="AF21" s="134"/>
      <c r="AG21" s="134"/>
      <c r="AH21" s="134"/>
      <c r="AI21" s="134"/>
      <c r="AJ21" s="134"/>
      <c r="AK21" s="134"/>
      <c r="AL21" s="134"/>
      <c r="AM21" s="134"/>
      <c r="AN21" s="134"/>
      <c r="AO21" s="134"/>
      <c r="AP21" s="135"/>
    </row>
    <row r="22" spans="2:42" ht="18.75" x14ac:dyDescent="0.3">
      <c r="K22" s="156" t="s">
        <v>219</v>
      </c>
      <c r="L22" s="159"/>
      <c r="M22" s="159"/>
      <c r="N22" s="159"/>
      <c r="O22" s="159"/>
      <c r="P22" s="159"/>
      <c r="Q22" s="159"/>
      <c r="R22" s="134"/>
      <c r="S22" s="134"/>
      <c r="T22" s="134"/>
      <c r="U22" s="134"/>
      <c r="V22" s="134"/>
      <c r="W22" s="134"/>
      <c r="X22" s="134"/>
      <c r="Y22" s="134"/>
      <c r="Z22" s="134"/>
      <c r="AA22" s="134"/>
      <c r="AB22" s="134"/>
      <c r="AC22" s="134"/>
      <c r="AD22" s="134"/>
      <c r="AE22" s="134"/>
      <c r="AF22" s="134"/>
      <c r="AG22" s="134"/>
      <c r="AH22" s="134"/>
      <c r="AI22" s="134"/>
      <c r="AJ22" s="134"/>
      <c r="AK22" s="134"/>
      <c r="AL22" s="134"/>
      <c r="AM22" s="134"/>
      <c r="AN22" s="134"/>
      <c r="AO22" s="134"/>
      <c r="AP22" s="135"/>
    </row>
    <row r="23" spans="2:42" x14ac:dyDescent="0.25">
      <c r="K23" s="133"/>
      <c r="L23" s="134"/>
      <c r="M23" s="134"/>
      <c r="N23" s="134"/>
      <c r="O23" s="134"/>
      <c r="P23" s="134"/>
      <c r="Q23" s="134"/>
      <c r="R23" s="134"/>
      <c r="S23" s="134"/>
      <c r="T23" s="134"/>
      <c r="U23" s="134"/>
      <c r="V23" s="134"/>
      <c r="W23" s="134"/>
      <c r="X23" s="134"/>
      <c r="Y23" s="134"/>
      <c r="Z23" s="134"/>
      <c r="AA23" s="134"/>
      <c r="AB23" s="134"/>
      <c r="AC23" s="134"/>
      <c r="AD23" s="134"/>
      <c r="AE23" s="134"/>
      <c r="AF23" s="134"/>
      <c r="AG23" s="134"/>
      <c r="AH23" s="134"/>
      <c r="AI23" s="134"/>
      <c r="AJ23" s="134"/>
      <c r="AK23" s="134"/>
      <c r="AL23" s="134"/>
      <c r="AM23" s="134"/>
      <c r="AN23" s="134"/>
      <c r="AO23" s="134"/>
      <c r="AP23" s="135"/>
    </row>
    <row r="24" spans="2:42" ht="18.75" x14ac:dyDescent="0.3">
      <c r="K24" s="133"/>
      <c r="L24" s="138" t="s">
        <v>220</v>
      </c>
      <c r="M24" s="134"/>
      <c r="N24" s="134"/>
      <c r="O24" s="134"/>
      <c r="P24" s="134"/>
      <c r="Q24" s="134"/>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5"/>
    </row>
    <row r="25" spans="2:42" x14ac:dyDescent="0.25">
      <c r="K25" s="133"/>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5"/>
    </row>
    <row r="26" spans="2:42" ht="18.75" x14ac:dyDescent="0.3">
      <c r="K26" s="133"/>
      <c r="L26" s="154" t="s">
        <v>221</v>
      </c>
      <c r="M26" s="134"/>
      <c r="N26" s="134"/>
      <c r="O26" s="134"/>
      <c r="P26" s="134"/>
      <c r="Q26" s="134"/>
      <c r="R26" s="134"/>
      <c r="S26" s="134"/>
      <c r="T26" s="134"/>
      <c r="U26" s="134"/>
      <c r="V26" s="134"/>
      <c r="W26" s="134"/>
      <c r="X26" s="134"/>
      <c r="Y26" s="134"/>
      <c r="Z26" s="134"/>
      <c r="AA26" s="134"/>
      <c r="AB26" s="134"/>
      <c r="AC26" s="134"/>
      <c r="AD26" s="134"/>
      <c r="AE26" s="134"/>
      <c r="AF26" s="134"/>
      <c r="AG26" s="134"/>
      <c r="AH26" s="134"/>
      <c r="AI26" s="134"/>
      <c r="AJ26" s="134"/>
      <c r="AK26" s="134"/>
      <c r="AL26" s="134"/>
      <c r="AM26" s="134"/>
      <c r="AN26" s="134"/>
      <c r="AO26" s="134"/>
      <c r="AP26" s="135"/>
    </row>
    <row r="27" spans="2:42" x14ac:dyDescent="0.25">
      <c r="K27" s="133"/>
      <c r="L27" s="134"/>
      <c r="M27" s="134"/>
      <c r="N27" s="134"/>
      <c r="O27" s="134"/>
      <c r="P27" s="134"/>
      <c r="Q27" s="134"/>
      <c r="R27" s="134"/>
      <c r="S27" s="134"/>
      <c r="T27" s="134"/>
      <c r="U27" s="134"/>
      <c r="V27" s="134"/>
      <c r="W27" s="134"/>
      <c r="X27" s="134"/>
      <c r="Y27" s="134"/>
      <c r="Z27" s="134"/>
      <c r="AA27" s="134"/>
      <c r="AB27" s="134"/>
      <c r="AC27" s="134"/>
      <c r="AD27" s="134"/>
      <c r="AE27" s="134"/>
      <c r="AF27" s="134"/>
      <c r="AG27" s="134"/>
      <c r="AH27" s="134"/>
      <c r="AI27" s="134"/>
      <c r="AJ27" s="134"/>
      <c r="AK27" s="134"/>
      <c r="AL27" s="134"/>
      <c r="AM27" s="134"/>
      <c r="AN27" s="134"/>
      <c r="AO27" s="134"/>
      <c r="AP27" s="135"/>
    </row>
    <row r="28" spans="2:42" ht="18.75" x14ac:dyDescent="0.3">
      <c r="K28" s="133"/>
      <c r="L28" s="154" t="s">
        <v>222</v>
      </c>
      <c r="M28" s="134"/>
      <c r="N28" s="134"/>
      <c r="O28" s="134"/>
      <c r="P28" s="134"/>
      <c r="Q28" s="134"/>
      <c r="R28" s="134"/>
      <c r="S28" s="134"/>
      <c r="T28" s="134"/>
      <c r="U28" s="134"/>
      <c r="V28" s="134"/>
      <c r="W28" s="134"/>
      <c r="X28" s="134"/>
      <c r="Y28" s="134"/>
      <c r="Z28" s="134"/>
      <c r="AA28" s="134"/>
      <c r="AB28" s="134"/>
      <c r="AC28" s="134"/>
      <c r="AD28" s="134"/>
      <c r="AE28" s="134"/>
      <c r="AF28" s="134"/>
      <c r="AG28" s="134"/>
      <c r="AH28" s="134"/>
      <c r="AI28" s="134"/>
      <c r="AJ28" s="134"/>
      <c r="AK28" s="134"/>
      <c r="AL28" s="134"/>
      <c r="AM28" s="134"/>
      <c r="AN28" s="134"/>
      <c r="AO28" s="134"/>
      <c r="AP28" s="135"/>
    </row>
    <row r="29" spans="2:42" x14ac:dyDescent="0.25">
      <c r="K29" s="133"/>
      <c r="L29" s="134"/>
      <c r="M29" s="134"/>
      <c r="N29" s="134"/>
      <c r="O29" s="134"/>
      <c r="P29" s="134"/>
      <c r="Q29" s="134"/>
      <c r="R29" s="134"/>
      <c r="S29" s="134"/>
      <c r="T29" s="134"/>
      <c r="U29" s="134"/>
      <c r="V29" s="134"/>
      <c r="W29" s="134"/>
      <c r="X29" s="134"/>
      <c r="Y29" s="134"/>
      <c r="Z29" s="134"/>
      <c r="AA29" s="134"/>
      <c r="AB29" s="134"/>
      <c r="AC29" s="134"/>
      <c r="AD29" s="134"/>
      <c r="AE29" s="134"/>
      <c r="AF29" s="134"/>
      <c r="AG29" s="134"/>
      <c r="AH29" s="134"/>
      <c r="AI29" s="134"/>
      <c r="AJ29" s="134"/>
      <c r="AK29" s="134"/>
      <c r="AL29" s="134"/>
      <c r="AM29" s="134"/>
      <c r="AN29" s="134"/>
      <c r="AO29" s="134"/>
      <c r="AP29" s="135"/>
    </row>
    <row r="30" spans="2:42" ht="18.75" x14ac:dyDescent="0.3">
      <c r="K30" s="156" t="s">
        <v>223</v>
      </c>
      <c r="L30" s="159"/>
      <c r="M30" s="159"/>
      <c r="N30" s="159"/>
      <c r="O30" s="159"/>
      <c r="P30" s="159"/>
      <c r="Q30" s="159"/>
      <c r="R30" s="159"/>
      <c r="S30" s="159"/>
      <c r="T30" s="134"/>
      <c r="U30" s="134"/>
      <c r="V30" s="134"/>
      <c r="W30" s="134"/>
      <c r="X30" s="134"/>
      <c r="Y30" s="134"/>
      <c r="Z30" s="134"/>
      <c r="AA30" s="134"/>
      <c r="AB30" s="134"/>
      <c r="AC30" s="134"/>
      <c r="AD30" s="134"/>
      <c r="AE30" s="134"/>
      <c r="AF30" s="134"/>
      <c r="AG30" s="134"/>
      <c r="AH30" s="134"/>
      <c r="AI30" s="134"/>
      <c r="AJ30" s="134"/>
      <c r="AK30" s="134"/>
      <c r="AL30" s="134"/>
      <c r="AM30" s="134"/>
      <c r="AN30" s="134"/>
      <c r="AO30" s="134"/>
      <c r="AP30" s="135"/>
    </row>
    <row r="31" spans="2:42" x14ac:dyDescent="0.25">
      <c r="K31" s="133"/>
      <c r="L31" s="134"/>
      <c r="M31" s="134"/>
      <c r="N31" s="134"/>
      <c r="O31" s="134"/>
      <c r="P31" s="134"/>
      <c r="Q31" s="134"/>
      <c r="R31" s="134"/>
      <c r="S31" s="134"/>
      <c r="T31" s="134"/>
      <c r="U31" s="134"/>
      <c r="V31" s="134"/>
      <c r="W31" s="134"/>
      <c r="X31" s="134"/>
      <c r="Y31" s="134"/>
      <c r="Z31" s="134"/>
      <c r="AA31" s="134"/>
      <c r="AB31" s="134"/>
      <c r="AC31" s="134"/>
      <c r="AD31" s="134"/>
      <c r="AE31" s="134"/>
      <c r="AF31" s="134"/>
      <c r="AG31" s="134"/>
      <c r="AH31" s="134"/>
      <c r="AI31" s="134"/>
      <c r="AJ31" s="134"/>
      <c r="AK31" s="134"/>
      <c r="AL31" s="134"/>
      <c r="AM31" s="134"/>
      <c r="AN31" s="134"/>
      <c r="AO31" s="134"/>
      <c r="AP31" s="135"/>
    </row>
    <row r="32" spans="2:42" ht="18.75" x14ac:dyDescent="0.3">
      <c r="K32" s="133"/>
      <c r="L32" s="154" t="s">
        <v>224</v>
      </c>
      <c r="M32" s="154"/>
      <c r="N32" s="154"/>
      <c r="O32" s="154"/>
      <c r="P32" s="154"/>
      <c r="Q32" s="154"/>
      <c r="R32" s="154"/>
      <c r="S32" s="154"/>
      <c r="T32" s="154"/>
      <c r="U32" s="154"/>
      <c r="V32" s="154"/>
      <c r="W32" s="154"/>
      <c r="X32" s="154"/>
      <c r="Y32" s="154"/>
      <c r="Z32" s="134"/>
      <c r="AA32" s="134"/>
      <c r="AB32" s="134"/>
      <c r="AC32" s="134"/>
      <c r="AD32" s="134"/>
      <c r="AE32" s="134"/>
      <c r="AF32" s="134"/>
      <c r="AG32" s="134"/>
      <c r="AH32" s="134"/>
      <c r="AI32" s="134"/>
      <c r="AJ32" s="134"/>
      <c r="AK32" s="134"/>
      <c r="AL32" s="134"/>
      <c r="AM32" s="134"/>
      <c r="AN32" s="134"/>
      <c r="AO32" s="134"/>
      <c r="AP32" s="135"/>
    </row>
    <row r="33" spans="11:42" ht="18.75" x14ac:dyDescent="0.3">
      <c r="K33" s="133"/>
      <c r="L33" s="134"/>
      <c r="M33" s="134"/>
      <c r="N33" s="134"/>
      <c r="O33" s="134"/>
      <c r="P33" s="134"/>
      <c r="Q33" s="134"/>
      <c r="R33" s="134"/>
      <c r="S33" s="134"/>
      <c r="T33" s="134"/>
      <c r="U33" s="134"/>
      <c r="V33" s="134"/>
      <c r="W33" s="134"/>
      <c r="X33" s="134"/>
      <c r="Y33" s="134"/>
      <c r="Z33" s="154"/>
      <c r="AA33" s="154"/>
      <c r="AB33" s="134"/>
      <c r="AC33" s="134"/>
      <c r="AD33" s="134"/>
      <c r="AE33" s="134"/>
      <c r="AF33" s="134"/>
      <c r="AG33" s="134"/>
      <c r="AH33" s="134"/>
      <c r="AI33" s="134"/>
      <c r="AJ33" s="134"/>
      <c r="AK33" s="134"/>
      <c r="AL33" s="134"/>
      <c r="AM33" s="134"/>
      <c r="AN33" s="134"/>
      <c r="AO33" s="134"/>
      <c r="AP33" s="135"/>
    </row>
    <row r="34" spans="11:42" ht="18.75" x14ac:dyDescent="0.3">
      <c r="K34" s="133"/>
      <c r="L34" s="154" t="s">
        <v>225</v>
      </c>
      <c r="M34" s="154"/>
      <c r="N34" s="154"/>
      <c r="O34" s="154"/>
      <c r="P34" s="154"/>
      <c r="Q34" s="154"/>
      <c r="R34" s="154"/>
      <c r="S34" s="154"/>
      <c r="T34" s="154"/>
      <c r="U34" s="154"/>
      <c r="V34" s="154"/>
      <c r="W34" s="134"/>
      <c r="X34" s="134"/>
      <c r="Y34" s="134"/>
      <c r="Z34" s="134"/>
      <c r="AA34" s="134"/>
      <c r="AB34" s="134"/>
      <c r="AC34" s="134"/>
      <c r="AD34" s="134"/>
      <c r="AE34" s="134"/>
      <c r="AF34" s="134"/>
      <c r="AG34" s="134"/>
      <c r="AH34" s="134"/>
      <c r="AI34" s="134"/>
      <c r="AJ34" s="134"/>
      <c r="AK34" s="134"/>
      <c r="AL34" s="134"/>
      <c r="AM34" s="134"/>
      <c r="AN34" s="134"/>
      <c r="AO34" s="134"/>
      <c r="AP34" s="135"/>
    </row>
    <row r="35" spans="11:42" x14ac:dyDescent="0.25">
      <c r="K35" s="133"/>
      <c r="L35" s="134"/>
      <c r="M35" s="134"/>
      <c r="N35" s="134"/>
      <c r="O35" s="134"/>
      <c r="P35" s="134"/>
      <c r="Q35" s="134"/>
      <c r="R35" s="134"/>
      <c r="S35" s="134"/>
      <c r="T35" s="134"/>
      <c r="U35" s="134"/>
      <c r="V35" s="134"/>
      <c r="W35" s="134"/>
      <c r="X35" s="134"/>
      <c r="Y35" s="134"/>
      <c r="Z35" s="134"/>
      <c r="AA35" s="134"/>
      <c r="AB35" s="134"/>
      <c r="AC35" s="134"/>
      <c r="AD35" s="134"/>
      <c r="AE35" s="134"/>
      <c r="AF35" s="134"/>
      <c r="AG35" s="134"/>
      <c r="AH35" s="134"/>
      <c r="AI35" s="134"/>
      <c r="AJ35" s="134"/>
      <c r="AK35" s="134"/>
      <c r="AL35" s="134"/>
      <c r="AM35" s="134"/>
      <c r="AN35" s="134"/>
      <c r="AO35" s="134"/>
      <c r="AP35" s="135"/>
    </row>
    <row r="36" spans="11:42" ht="18.75" x14ac:dyDescent="0.3">
      <c r="K36" s="156" t="s">
        <v>226</v>
      </c>
      <c r="L36" s="157"/>
      <c r="M36" s="157"/>
      <c r="N36" s="157"/>
      <c r="O36" s="159"/>
      <c r="P36" s="159"/>
      <c r="Q36" s="134"/>
      <c r="R36" s="134"/>
      <c r="S36" s="134"/>
      <c r="T36" s="134"/>
      <c r="U36" s="134"/>
      <c r="V36" s="134"/>
      <c r="W36" s="134"/>
      <c r="X36" s="134"/>
      <c r="Y36" s="134"/>
      <c r="Z36" s="134"/>
      <c r="AA36" s="134"/>
      <c r="AB36" s="134"/>
      <c r="AC36" s="134"/>
      <c r="AD36" s="134"/>
      <c r="AE36" s="134"/>
      <c r="AF36" s="134"/>
      <c r="AG36" s="134"/>
      <c r="AH36" s="134"/>
      <c r="AI36" s="134"/>
      <c r="AJ36" s="134"/>
      <c r="AK36" s="134"/>
      <c r="AL36" s="134"/>
      <c r="AM36" s="134"/>
      <c r="AN36" s="134"/>
      <c r="AO36" s="134"/>
      <c r="AP36" s="135"/>
    </row>
    <row r="37" spans="11:42" x14ac:dyDescent="0.25">
      <c r="K37" s="133"/>
      <c r="L37" s="134"/>
      <c r="M37" s="134"/>
      <c r="N37" s="134"/>
      <c r="O37" s="134"/>
      <c r="P37" s="134"/>
      <c r="Q37" s="134"/>
      <c r="R37" s="134"/>
      <c r="S37" s="134"/>
      <c r="T37" s="134"/>
      <c r="U37" s="134"/>
      <c r="V37" s="134"/>
      <c r="W37" s="134"/>
      <c r="X37" s="134"/>
      <c r="Y37" s="134"/>
      <c r="Z37" s="134"/>
      <c r="AA37" s="134"/>
      <c r="AB37" s="134"/>
      <c r="AC37" s="134"/>
      <c r="AD37" s="134"/>
      <c r="AE37" s="134"/>
      <c r="AF37" s="134"/>
      <c r="AG37" s="134"/>
      <c r="AH37" s="134"/>
      <c r="AI37" s="134"/>
      <c r="AJ37" s="134"/>
      <c r="AK37" s="134"/>
      <c r="AL37" s="134"/>
      <c r="AM37" s="134"/>
      <c r="AN37" s="134"/>
      <c r="AO37" s="134"/>
      <c r="AP37" s="135"/>
    </row>
    <row r="38" spans="11:42" ht="18.75" x14ac:dyDescent="0.3">
      <c r="K38" s="133"/>
      <c r="L38" s="154" t="s">
        <v>227</v>
      </c>
      <c r="M38" s="154"/>
      <c r="N38" s="154"/>
      <c r="O38" s="154"/>
      <c r="P38" s="154"/>
      <c r="Q38" s="154"/>
      <c r="R38" s="154"/>
      <c r="S38" s="154"/>
      <c r="T38" s="154"/>
      <c r="U38" s="154"/>
      <c r="V38" s="134"/>
      <c r="W38" s="134"/>
      <c r="X38" s="134"/>
      <c r="Y38" s="134"/>
      <c r="Z38" s="134"/>
      <c r="AA38" s="134"/>
      <c r="AB38" s="134"/>
      <c r="AC38" s="134"/>
      <c r="AD38" s="134"/>
      <c r="AE38" s="134"/>
      <c r="AF38" s="134"/>
      <c r="AG38" s="134"/>
      <c r="AH38" s="134"/>
      <c r="AI38" s="134"/>
      <c r="AJ38" s="134"/>
      <c r="AK38" s="134"/>
      <c r="AL38" s="134"/>
      <c r="AM38" s="134"/>
      <c r="AN38" s="134"/>
      <c r="AO38" s="134"/>
      <c r="AP38" s="135"/>
    </row>
    <row r="39" spans="11:42" x14ac:dyDescent="0.25">
      <c r="K39" s="133"/>
      <c r="L39" s="134"/>
      <c r="M39" s="134"/>
      <c r="N39" s="134"/>
      <c r="O39" s="134"/>
      <c r="P39" s="134"/>
      <c r="Q39" s="134"/>
      <c r="R39" s="134"/>
      <c r="S39" s="134"/>
      <c r="T39" s="134"/>
      <c r="U39" s="134"/>
      <c r="V39" s="134"/>
      <c r="W39" s="134"/>
      <c r="X39" s="134"/>
      <c r="Y39" s="134"/>
      <c r="Z39" s="134"/>
      <c r="AA39" s="134"/>
      <c r="AB39" s="134"/>
      <c r="AC39" s="134"/>
      <c r="AD39" s="134"/>
      <c r="AE39" s="134"/>
      <c r="AF39" s="134"/>
      <c r="AG39" s="134"/>
      <c r="AH39" s="134"/>
      <c r="AI39" s="134"/>
      <c r="AJ39" s="134"/>
      <c r="AK39" s="134"/>
      <c r="AL39" s="134"/>
      <c r="AM39" s="134"/>
      <c r="AN39" s="134"/>
      <c r="AO39" s="134"/>
      <c r="AP39" s="135"/>
    </row>
    <row r="40" spans="11:42" ht="38.25" customHeight="1" x14ac:dyDescent="0.3">
      <c r="K40" s="133"/>
      <c r="L40" s="154" t="s">
        <v>228</v>
      </c>
      <c r="M40" s="154"/>
      <c r="N40" s="154"/>
      <c r="O40" s="154"/>
      <c r="P40" s="154"/>
      <c r="Q40" s="154"/>
      <c r="R40" s="154"/>
      <c r="S40" s="154"/>
      <c r="T40" s="134"/>
      <c r="U40" s="134"/>
      <c r="V40" s="134"/>
      <c r="W40" s="134"/>
      <c r="X40" s="134"/>
      <c r="Y40" s="134"/>
      <c r="Z40" s="134"/>
      <c r="AA40" s="134"/>
      <c r="AB40" s="134"/>
      <c r="AC40" s="134"/>
      <c r="AD40" s="134"/>
      <c r="AE40" s="134"/>
      <c r="AF40" s="134"/>
      <c r="AG40" s="134"/>
      <c r="AH40" s="134"/>
      <c r="AI40" s="134"/>
      <c r="AJ40" s="134"/>
      <c r="AK40" s="134"/>
      <c r="AL40" s="134"/>
      <c r="AM40" s="134"/>
      <c r="AN40" s="134"/>
      <c r="AO40" s="134"/>
      <c r="AP40" s="135"/>
    </row>
    <row r="41" spans="11:42" x14ac:dyDescent="0.25">
      <c r="K41" s="133"/>
      <c r="L41" s="134"/>
      <c r="M41" s="134"/>
      <c r="N41" s="134"/>
      <c r="O41" s="134"/>
      <c r="P41" s="134"/>
      <c r="Q41" s="134"/>
      <c r="R41" s="134"/>
      <c r="S41" s="134"/>
      <c r="T41" s="134"/>
      <c r="U41" s="134"/>
      <c r="V41" s="134"/>
      <c r="W41" s="134"/>
      <c r="X41" s="134"/>
      <c r="Y41" s="134"/>
      <c r="Z41" s="134"/>
      <c r="AA41" s="134"/>
      <c r="AB41" s="134"/>
      <c r="AC41" s="134"/>
      <c r="AD41" s="134"/>
      <c r="AE41" s="134"/>
      <c r="AF41" s="134"/>
      <c r="AG41" s="134"/>
      <c r="AH41" s="134"/>
      <c r="AI41" s="134"/>
      <c r="AJ41" s="134"/>
      <c r="AK41" s="134"/>
      <c r="AL41" s="134"/>
      <c r="AM41" s="134"/>
      <c r="AN41" s="134"/>
      <c r="AO41" s="134"/>
      <c r="AP41" s="135"/>
    </row>
    <row r="42" spans="11:42" ht="18.75" x14ac:dyDescent="0.3">
      <c r="K42" s="133"/>
      <c r="L42" s="154" t="s">
        <v>229</v>
      </c>
      <c r="M42" s="154"/>
      <c r="N42" s="154"/>
      <c r="O42" s="154"/>
      <c r="P42" s="154"/>
      <c r="Q42" s="154"/>
      <c r="R42" s="154"/>
      <c r="S42" s="154"/>
      <c r="T42" s="154"/>
      <c r="U42" s="134"/>
      <c r="V42" s="134"/>
      <c r="W42" s="134"/>
      <c r="X42" s="134"/>
      <c r="Y42" s="134"/>
      <c r="Z42" s="134"/>
      <c r="AA42" s="134"/>
      <c r="AB42" s="134"/>
      <c r="AC42" s="134"/>
      <c r="AD42" s="134"/>
      <c r="AE42" s="134"/>
      <c r="AF42" s="134"/>
      <c r="AG42" s="134"/>
      <c r="AH42" s="134"/>
      <c r="AI42" s="134"/>
      <c r="AJ42" s="134"/>
      <c r="AK42" s="134"/>
      <c r="AL42" s="134"/>
      <c r="AM42" s="134"/>
      <c r="AN42" s="134"/>
      <c r="AO42" s="134"/>
      <c r="AP42" s="135"/>
    </row>
    <row r="43" spans="11:42" ht="15.75" thickBot="1" x14ac:dyDescent="0.3">
      <c r="K43" s="2"/>
      <c r="L43" s="143"/>
      <c r="M43" s="143"/>
      <c r="N43" s="143"/>
      <c r="O43" s="143"/>
      <c r="P43" s="143"/>
      <c r="Q43" s="143"/>
      <c r="R43" s="143"/>
      <c r="S43" s="143"/>
      <c r="T43" s="143"/>
      <c r="U43" s="143"/>
      <c r="V43" s="143"/>
      <c r="W43" s="143"/>
      <c r="X43" s="143"/>
      <c r="Y43" s="143"/>
      <c r="Z43" s="143"/>
      <c r="AA43" s="143"/>
      <c r="AB43" s="143"/>
      <c r="AC43" s="143"/>
      <c r="AD43" s="143"/>
      <c r="AE43" s="143"/>
      <c r="AF43" s="143"/>
      <c r="AG43" s="143"/>
      <c r="AH43" s="143"/>
      <c r="AI43" s="143"/>
      <c r="AJ43" s="143"/>
      <c r="AK43" s="143"/>
      <c r="AL43" s="143"/>
      <c r="AM43" s="143"/>
      <c r="AN43" s="143"/>
      <c r="AO43" s="143"/>
      <c r="AP43" s="144"/>
    </row>
  </sheetData>
  <mergeCells count="5">
    <mergeCell ref="B2:H2"/>
    <mergeCell ref="B3:H3"/>
    <mergeCell ref="B4:H4"/>
    <mergeCell ref="B5:H5"/>
    <mergeCell ref="P1:R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35"/>
  <sheetViews>
    <sheetView zoomScale="79" zoomScaleNormal="70" workbookViewId="0">
      <selection activeCell="E9" sqref="E9"/>
    </sheetView>
  </sheetViews>
  <sheetFormatPr defaultRowHeight="15" x14ac:dyDescent="0.25"/>
  <cols>
    <col min="1" max="1" width="11.140625" bestFit="1" customWidth="1"/>
    <col min="2" max="2" width="49" bestFit="1" customWidth="1"/>
    <col min="3" max="3" width="10.28515625" bestFit="1" customWidth="1"/>
    <col min="4" max="4" width="10.7109375" bestFit="1" customWidth="1"/>
    <col min="5" max="5" width="10.28515625" bestFit="1" customWidth="1"/>
    <col min="6" max="6" width="10.7109375" bestFit="1" customWidth="1"/>
    <col min="8" max="8" width="9.5703125" customWidth="1"/>
    <col min="10" max="10" width="10.42578125" bestFit="1" customWidth="1"/>
    <col min="17" max="17" width="14.42578125" customWidth="1"/>
  </cols>
  <sheetData>
    <row r="1" spans="1:17" ht="19.5" thickBot="1" x14ac:dyDescent="0.35">
      <c r="A1" s="12" t="s">
        <v>161</v>
      </c>
      <c r="B1" s="322" t="s">
        <v>12</v>
      </c>
      <c r="C1" s="323"/>
      <c r="D1" s="323"/>
      <c r="E1" s="323"/>
      <c r="F1" s="323"/>
      <c r="G1" s="62"/>
      <c r="H1" s="62"/>
      <c r="I1" s="62"/>
      <c r="L1" s="376" t="s">
        <v>260</v>
      </c>
      <c r="M1" s="377"/>
      <c r="N1" s="378"/>
    </row>
    <row r="2" spans="1:17" ht="15.75" thickBot="1" x14ac:dyDescent="0.3">
      <c r="B2" s="322" t="s">
        <v>162</v>
      </c>
      <c r="C2" s="323"/>
      <c r="D2" s="323"/>
      <c r="E2" s="323"/>
      <c r="F2" s="323"/>
      <c r="G2" s="62"/>
      <c r="H2" s="62"/>
      <c r="I2" s="62"/>
      <c r="J2" s="11"/>
      <c r="K2" s="11"/>
      <c r="L2" s="11"/>
      <c r="M2" s="11"/>
      <c r="N2" s="11"/>
    </row>
    <row r="3" spans="1:17" ht="15.75" thickBot="1" x14ac:dyDescent="0.3">
      <c r="B3" s="322" t="s">
        <v>14</v>
      </c>
      <c r="C3" s="323"/>
      <c r="D3" s="323"/>
      <c r="E3" s="323"/>
      <c r="F3" s="323"/>
      <c r="G3" s="62"/>
      <c r="H3" s="62"/>
      <c r="I3" s="379" t="s">
        <v>318</v>
      </c>
      <c r="J3" s="380"/>
      <c r="K3" s="380"/>
      <c r="L3" s="380"/>
      <c r="M3" s="380"/>
      <c r="N3" s="380"/>
      <c r="O3" s="380"/>
      <c r="P3" s="380"/>
      <c r="Q3" s="381"/>
    </row>
    <row r="4" spans="1:17" ht="15.75" thickBot="1" x14ac:dyDescent="0.3">
      <c r="B4" s="366" t="s">
        <v>15</v>
      </c>
      <c r="C4" s="358"/>
      <c r="D4" s="358"/>
      <c r="E4" s="358"/>
      <c r="F4" s="358"/>
      <c r="G4" s="63"/>
      <c r="H4" s="63"/>
      <c r="I4" s="382"/>
      <c r="J4" s="383"/>
      <c r="K4" s="383"/>
      <c r="L4" s="383"/>
      <c r="M4" s="383"/>
      <c r="N4" s="383"/>
      <c r="O4" s="383"/>
      <c r="P4" s="383"/>
      <c r="Q4" s="384"/>
    </row>
    <row r="5" spans="1:17" ht="20.25" thickBot="1" x14ac:dyDescent="0.35">
      <c r="B5" s="167"/>
      <c r="C5" s="363" t="s">
        <v>169</v>
      </c>
      <c r="D5" s="364"/>
      <c r="E5" s="364"/>
      <c r="F5" s="365"/>
      <c r="G5" s="61"/>
      <c r="I5" s="382"/>
      <c r="J5" s="383"/>
      <c r="K5" s="383"/>
      <c r="L5" s="383"/>
      <c r="M5" s="383"/>
      <c r="N5" s="383"/>
      <c r="O5" s="383"/>
      <c r="P5" s="383"/>
      <c r="Q5" s="384"/>
    </row>
    <row r="6" spans="1:17" ht="15.75" thickBot="1" x14ac:dyDescent="0.3">
      <c r="B6" s="168"/>
      <c r="C6" s="178" t="s">
        <v>157</v>
      </c>
      <c r="D6" s="179" t="s">
        <v>156</v>
      </c>
      <c r="E6" s="178" t="s">
        <v>157</v>
      </c>
      <c r="F6" s="179" t="s">
        <v>156</v>
      </c>
      <c r="G6" s="180">
        <v>100</v>
      </c>
      <c r="H6" s="11"/>
      <c r="I6" s="382"/>
      <c r="J6" s="383"/>
      <c r="K6" s="383"/>
      <c r="L6" s="383"/>
      <c r="M6" s="383"/>
      <c r="N6" s="383"/>
      <c r="O6" s="383"/>
      <c r="P6" s="383"/>
      <c r="Q6" s="384"/>
    </row>
    <row r="7" spans="1:17" x14ac:dyDescent="0.25">
      <c r="B7" s="169" t="s">
        <v>0</v>
      </c>
      <c r="C7" s="30">
        <v>16734</v>
      </c>
      <c r="D7" s="30">
        <v>15564</v>
      </c>
      <c r="E7" s="170">
        <f>C7/D7*$G$6</f>
        <v>107.51734772552044</v>
      </c>
      <c r="F7" s="171">
        <f>D7/D7*$G$6</f>
        <v>100</v>
      </c>
      <c r="G7" s="44"/>
      <c r="H7" s="44"/>
      <c r="I7" s="382"/>
      <c r="J7" s="383"/>
      <c r="K7" s="383"/>
      <c r="L7" s="383"/>
      <c r="M7" s="383"/>
      <c r="N7" s="383"/>
      <c r="O7" s="383"/>
      <c r="P7" s="383"/>
      <c r="Q7" s="384"/>
    </row>
    <row r="8" spans="1:17" ht="15.75" thickBot="1" x14ac:dyDescent="0.3">
      <c r="B8" s="172" t="s">
        <v>1</v>
      </c>
      <c r="C8" s="93">
        <v>7144</v>
      </c>
      <c r="D8" s="93">
        <v>6360</v>
      </c>
      <c r="E8" s="170">
        <f t="shared" ref="E8:E18" si="0">C8/D8*$G$6</f>
        <v>112.32704402515724</v>
      </c>
      <c r="F8" s="173">
        <f t="shared" ref="F8:F18" si="1">D8/D8*$G$6</f>
        <v>100</v>
      </c>
      <c r="G8" s="44"/>
      <c r="H8" s="44"/>
      <c r="I8" s="385"/>
      <c r="J8" s="386"/>
      <c r="K8" s="386"/>
      <c r="L8" s="386"/>
      <c r="M8" s="386"/>
      <c r="N8" s="386"/>
      <c r="O8" s="386"/>
      <c r="P8" s="386"/>
      <c r="Q8" s="387"/>
    </row>
    <row r="9" spans="1:17" ht="15.75" thickBot="1" x14ac:dyDescent="0.3">
      <c r="B9" s="161" t="s">
        <v>16</v>
      </c>
      <c r="C9" s="72">
        <f>C7-C8</f>
        <v>9590</v>
      </c>
      <c r="D9" s="72">
        <f t="shared" ref="D9" si="2">D7-D8</f>
        <v>9204</v>
      </c>
      <c r="E9" s="163">
        <f t="shared" si="0"/>
        <v>104.19382877009996</v>
      </c>
      <c r="F9" s="160">
        <f t="shared" si="1"/>
        <v>100</v>
      </c>
      <c r="G9" s="44"/>
      <c r="H9" s="44"/>
    </row>
    <row r="10" spans="1:17" x14ac:dyDescent="0.25">
      <c r="B10" s="172" t="s">
        <v>2</v>
      </c>
      <c r="C10" s="30">
        <v>5758</v>
      </c>
      <c r="D10" s="30">
        <v>5414</v>
      </c>
      <c r="E10" s="170">
        <f t="shared" si="0"/>
        <v>106.35389730328777</v>
      </c>
      <c r="F10" s="175">
        <f t="shared" si="1"/>
        <v>100</v>
      </c>
      <c r="G10" s="44"/>
      <c r="H10" s="44"/>
      <c r="I10" s="367" t="s">
        <v>261</v>
      </c>
      <c r="J10" s="368"/>
      <c r="K10" s="368"/>
      <c r="L10" s="368"/>
      <c r="M10" s="368"/>
      <c r="N10" s="368"/>
      <c r="O10" s="368"/>
      <c r="P10" s="368"/>
      <c r="Q10" s="369"/>
    </row>
    <row r="11" spans="1:17" ht="15.75" thickBot="1" x14ac:dyDescent="0.3">
      <c r="B11" s="172" t="s">
        <v>3</v>
      </c>
      <c r="C11" s="93">
        <v>-9</v>
      </c>
      <c r="D11" s="93">
        <v>301</v>
      </c>
      <c r="E11" s="176">
        <f t="shared" si="0"/>
        <v>-2.9900332225913622</v>
      </c>
      <c r="F11" s="173">
        <f t="shared" si="1"/>
        <v>100</v>
      </c>
      <c r="G11" s="44"/>
      <c r="H11" s="44"/>
      <c r="I11" s="370"/>
      <c r="J11" s="371"/>
      <c r="K11" s="371"/>
      <c r="L11" s="371"/>
      <c r="M11" s="371"/>
      <c r="N11" s="371"/>
      <c r="O11" s="371"/>
      <c r="P11" s="371"/>
      <c r="Q11" s="372"/>
    </row>
    <row r="12" spans="1:17" x14ac:dyDescent="0.25">
      <c r="B12" s="161" t="s">
        <v>4</v>
      </c>
      <c r="C12" s="72">
        <f>C9-C10-C11</f>
        <v>3841</v>
      </c>
      <c r="D12" s="72">
        <f t="shared" ref="D12" si="3">D9-D10-D11</f>
        <v>3489</v>
      </c>
      <c r="E12" s="163">
        <f t="shared" si="0"/>
        <v>110.08885067354544</v>
      </c>
      <c r="F12" s="160">
        <f t="shared" si="1"/>
        <v>100</v>
      </c>
      <c r="G12" s="44"/>
      <c r="H12" s="44"/>
      <c r="I12" s="370"/>
      <c r="J12" s="371"/>
      <c r="K12" s="371"/>
      <c r="L12" s="371"/>
      <c r="M12" s="371"/>
      <c r="N12" s="371"/>
      <c r="O12" s="371"/>
      <c r="P12" s="371"/>
      <c r="Q12" s="372"/>
    </row>
    <row r="13" spans="1:17" ht="15.75" thickBot="1" x14ac:dyDescent="0.3">
      <c r="B13" s="172" t="s">
        <v>5</v>
      </c>
      <c r="C13" s="93">
        <v>52</v>
      </c>
      <c r="D13" s="93">
        <v>59</v>
      </c>
      <c r="E13" s="176">
        <f t="shared" si="0"/>
        <v>88.135593220338976</v>
      </c>
      <c r="F13" s="173">
        <f t="shared" si="1"/>
        <v>100</v>
      </c>
      <c r="G13" s="44"/>
      <c r="H13" s="44"/>
      <c r="I13" s="373"/>
      <c r="J13" s="374"/>
      <c r="K13" s="374"/>
      <c r="L13" s="374"/>
      <c r="M13" s="374"/>
      <c r="N13" s="374"/>
      <c r="O13" s="374"/>
      <c r="P13" s="374"/>
      <c r="Q13" s="375"/>
    </row>
    <row r="14" spans="1:17" ht="15.75" thickBot="1" x14ac:dyDescent="0.3">
      <c r="B14" s="172" t="s">
        <v>6</v>
      </c>
      <c r="C14" s="30">
        <f>C12-C13</f>
        <v>3789</v>
      </c>
      <c r="D14" s="30">
        <f t="shared" ref="D14" si="4">D12-D13</f>
        <v>3430</v>
      </c>
      <c r="E14" s="174">
        <f t="shared" si="0"/>
        <v>110.46647230320698</v>
      </c>
      <c r="F14" s="171">
        <f t="shared" si="1"/>
        <v>100</v>
      </c>
      <c r="G14" s="44"/>
      <c r="H14" s="44"/>
    </row>
    <row r="15" spans="1:17" ht="15.75" thickBot="1" x14ac:dyDescent="0.3">
      <c r="B15" s="172" t="s">
        <v>17</v>
      </c>
      <c r="C15" s="93">
        <v>1235</v>
      </c>
      <c r="D15" s="93">
        <v>1117</v>
      </c>
      <c r="E15" s="176">
        <f t="shared" si="0"/>
        <v>110.56401074306177</v>
      </c>
      <c r="F15" s="173">
        <f t="shared" si="1"/>
        <v>100</v>
      </c>
      <c r="G15" s="44"/>
      <c r="H15" s="44"/>
      <c r="I15" s="367" t="s">
        <v>262</v>
      </c>
      <c r="J15" s="368"/>
      <c r="K15" s="368"/>
      <c r="L15" s="368"/>
      <c r="M15" s="368"/>
      <c r="N15" s="368"/>
      <c r="O15" s="368"/>
      <c r="P15" s="368"/>
      <c r="Q15" s="369"/>
    </row>
    <row r="16" spans="1:17" x14ac:dyDescent="0.25">
      <c r="B16" s="172" t="s">
        <v>7</v>
      </c>
      <c r="C16" s="30">
        <f>C14-C15</f>
        <v>2554</v>
      </c>
      <c r="D16" s="30">
        <f t="shared" ref="D16" si="5">D14-D15</f>
        <v>2313</v>
      </c>
      <c r="E16" s="174">
        <f t="shared" si="0"/>
        <v>110.41936878512755</v>
      </c>
      <c r="F16" s="171">
        <f t="shared" si="1"/>
        <v>100</v>
      </c>
      <c r="G16" s="44"/>
      <c r="H16" s="44"/>
      <c r="I16" s="370"/>
      <c r="J16" s="371"/>
      <c r="K16" s="371"/>
      <c r="L16" s="371"/>
      <c r="M16" s="371"/>
      <c r="N16" s="371"/>
      <c r="O16" s="371"/>
      <c r="P16" s="371"/>
      <c r="Q16" s="372"/>
    </row>
    <row r="17" spans="2:17" ht="15.75" thickBot="1" x14ac:dyDescent="0.3">
      <c r="B17" s="172" t="s">
        <v>8</v>
      </c>
      <c r="C17" s="93">
        <v>123</v>
      </c>
      <c r="D17" s="93">
        <v>110</v>
      </c>
      <c r="E17" s="176">
        <f t="shared" si="0"/>
        <v>111.81818181818181</v>
      </c>
      <c r="F17" s="173">
        <f t="shared" si="1"/>
        <v>100</v>
      </c>
      <c r="G17" s="44"/>
      <c r="H17" s="44"/>
      <c r="I17" s="370"/>
      <c r="J17" s="371"/>
      <c r="K17" s="371"/>
      <c r="L17" s="371"/>
      <c r="M17" s="371"/>
      <c r="N17" s="371"/>
      <c r="O17" s="371"/>
      <c r="P17" s="371"/>
      <c r="Q17" s="372"/>
    </row>
    <row r="18" spans="2:17" ht="15.75" thickBot="1" x14ac:dyDescent="0.3">
      <c r="B18" s="161" t="s">
        <v>9</v>
      </c>
      <c r="C18" s="164">
        <f>C16-C17</f>
        <v>2431</v>
      </c>
      <c r="D18" s="165">
        <f t="shared" ref="D18" si="6">D16-D17</f>
        <v>2203</v>
      </c>
      <c r="E18" s="166">
        <f t="shared" si="0"/>
        <v>110.34952337721289</v>
      </c>
      <c r="F18" s="162">
        <f t="shared" si="1"/>
        <v>100</v>
      </c>
      <c r="G18" s="44"/>
      <c r="H18" s="44"/>
      <c r="I18" s="373"/>
      <c r="J18" s="374"/>
      <c r="K18" s="374"/>
      <c r="L18" s="374"/>
      <c r="M18" s="374"/>
      <c r="N18" s="374"/>
      <c r="O18" s="374"/>
      <c r="P18" s="374"/>
      <c r="Q18" s="375"/>
    </row>
    <row r="19" spans="2:17" ht="15.75" thickBot="1" x14ac:dyDescent="0.3">
      <c r="B19" s="172" t="s">
        <v>10</v>
      </c>
      <c r="C19" s="93">
        <v>4.9800000000000004</v>
      </c>
      <c r="D19" s="93">
        <v>4.45</v>
      </c>
      <c r="E19" s="92"/>
      <c r="F19" s="94"/>
    </row>
    <row r="20" spans="2:17" ht="15.75" thickBot="1" x14ac:dyDescent="0.3">
      <c r="B20" s="177" t="s">
        <v>11</v>
      </c>
      <c r="C20" s="93">
        <v>4.9400000000000004</v>
      </c>
      <c r="D20" s="93">
        <v>4.3099999999999996</v>
      </c>
      <c r="E20" s="92"/>
      <c r="F20" s="94"/>
      <c r="I20" s="367" t="s">
        <v>263</v>
      </c>
      <c r="J20" s="368"/>
      <c r="K20" s="368"/>
      <c r="L20" s="368"/>
      <c r="M20" s="368"/>
      <c r="N20" s="368"/>
      <c r="O20" s="368"/>
      <c r="P20" s="368"/>
      <c r="Q20" s="369"/>
    </row>
    <row r="21" spans="2:17" x14ac:dyDescent="0.25">
      <c r="I21" s="370"/>
      <c r="J21" s="371"/>
      <c r="K21" s="371"/>
      <c r="L21" s="371"/>
      <c r="M21" s="371"/>
      <c r="N21" s="371"/>
      <c r="O21" s="371"/>
      <c r="P21" s="371"/>
      <c r="Q21" s="372"/>
    </row>
    <row r="22" spans="2:17" x14ac:dyDescent="0.25">
      <c r="I22" s="370"/>
      <c r="J22" s="371"/>
      <c r="K22" s="371"/>
      <c r="L22" s="371"/>
      <c r="M22" s="371"/>
      <c r="N22" s="371"/>
      <c r="O22" s="371"/>
      <c r="P22" s="371"/>
      <c r="Q22" s="372"/>
    </row>
    <row r="23" spans="2:17" ht="15.75" thickBot="1" x14ac:dyDescent="0.3">
      <c r="I23" s="373"/>
      <c r="J23" s="374"/>
      <c r="K23" s="374"/>
      <c r="L23" s="374"/>
      <c r="M23" s="374"/>
      <c r="N23" s="374"/>
      <c r="O23" s="374"/>
      <c r="P23" s="374"/>
      <c r="Q23" s="375"/>
    </row>
    <row r="24" spans="2:17" ht="15.75" thickBot="1" x14ac:dyDescent="0.3"/>
    <row r="25" spans="2:17" x14ac:dyDescent="0.25">
      <c r="I25" s="367" t="s">
        <v>264</v>
      </c>
      <c r="J25" s="368"/>
      <c r="K25" s="368"/>
      <c r="L25" s="368"/>
      <c r="M25" s="368"/>
      <c r="N25" s="368"/>
      <c r="O25" s="368"/>
      <c r="P25" s="368"/>
      <c r="Q25" s="369"/>
    </row>
    <row r="26" spans="2:17" x14ac:dyDescent="0.25">
      <c r="I26" s="370"/>
      <c r="J26" s="371"/>
      <c r="K26" s="371"/>
      <c r="L26" s="371"/>
      <c r="M26" s="371"/>
      <c r="N26" s="371"/>
      <c r="O26" s="371"/>
      <c r="P26" s="371"/>
      <c r="Q26" s="372"/>
    </row>
    <row r="27" spans="2:17" x14ac:dyDescent="0.25">
      <c r="I27" s="370"/>
      <c r="J27" s="371"/>
      <c r="K27" s="371"/>
      <c r="L27" s="371"/>
      <c r="M27" s="371"/>
      <c r="N27" s="371"/>
      <c r="O27" s="371"/>
      <c r="P27" s="371"/>
      <c r="Q27" s="372"/>
    </row>
    <row r="28" spans="2:17" ht="15.75" thickBot="1" x14ac:dyDescent="0.3">
      <c r="I28" s="373"/>
      <c r="J28" s="374"/>
      <c r="K28" s="374"/>
      <c r="L28" s="374"/>
      <c r="M28" s="374"/>
      <c r="N28" s="374"/>
      <c r="O28" s="374"/>
      <c r="P28" s="374"/>
      <c r="Q28" s="375"/>
    </row>
    <row r="29" spans="2:17" ht="15.75" thickBot="1" x14ac:dyDescent="0.3"/>
    <row r="30" spans="2:17" x14ac:dyDescent="0.25">
      <c r="I30" s="367" t="s">
        <v>265</v>
      </c>
      <c r="J30" s="368"/>
      <c r="K30" s="368"/>
      <c r="L30" s="368"/>
      <c r="M30" s="368"/>
      <c r="N30" s="368"/>
      <c r="O30" s="368"/>
      <c r="P30" s="368"/>
      <c r="Q30" s="369"/>
    </row>
    <row r="31" spans="2:17" x14ac:dyDescent="0.25">
      <c r="I31" s="370"/>
      <c r="J31" s="371"/>
      <c r="K31" s="371"/>
      <c r="L31" s="371"/>
      <c r="M31" s="371"/>
      <c r="N31" s="371"/>
      <c r="O31" s="371"/>
      <c r="P31" s="371"/>
      <c r="Q31" s="372"/>
    </row>
    <row r="32" spans="2:17" x14ac:dyDescent="0.25">
      <c r="I32" s="370"/>
      <c r="J32" s="371"/>
      <c r="K32" s="371"/>
      <c r="L32" s="371"/>
      <c r="M32" s="371"/>
      <c r="N32" s="371"/>
      <c r="O32" s="371"/>
      <c r="P32" s="371"/>
      <c r="Q32" s="372"/>
    </row>
    <row r="33" spans="9:17" x14ac:dyDescent="0.25">
      <c r="I33" s="370"/>
      <c r="J33" s="371"/>
      <c r="K33" s="371"/>
      <c r="L33" s="371"/>
      <c r="M33" s="371"/>
      <c r="N33" s="371"/>
      <c r="O33" s="371"/>
      <c r="P33" s="371"/>
      <c r="Q33" s="372"/>
    </row>
    <row r="34" spans="9:17" x14ac:dyDescent="0.25">
      <c r="I34" s="370"/>
      <c r="J34" s="371"/>
      <c r="K34" s="371"/>
      <c r="L34" s="371"/>
      <c r="M34" s="371"/>
      <c r="N34" s="371"/>
      <c r="O34" s="371"/>
      <c r="P34" s="371"/>
      <c r="Q34" s="372"/>
    </row>
    <row r="35" spans="9:17" ht="15.75" thickBot="1" x14ac:dyDescent="0.3">
      <c r="I35" s="373"/>
      <c r="J35" s="374"/>
      <c r="K35" s="374"/>
      <c r="L35" s="374"/>
      <c r="M35" s="374"/>
      <c r="N35" s="374"/>
      <c r="O35" s="374"/>
      <c r="P35" s="374"/>
      <c r="Q35" s="375"/>
    </row>
  </sheetData>
  <mergeCells count="12">
    <mergeCell ref="I20:Q23"/>
    <mergeCell ref="I25:Q28"/>
    <mergeCell ref="I30:Q35"/>
    <mergeCell ref="L1:N1"/>
    <mergeCell ref="I3:Q8"/>
    <mergeCell ref="I10:Q13"/>
    <mergeCell ref="I15:Q18"/>
    <mergeCell ref="C5:F5"/>
    <mergeCell ref="B1:F1"/>
    <mergeCell ref="B2:F2"/>
    <mergeCell ref="B3:F3"/>
    <mergeCell ref="B4:F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X45"/>
  <sheetViews>
    <sheetView zoomScale="70" zoomScaleNormal="70" workbookViewId="0">
      <selection activeCell="C7" sqref="C7"/>
    </sheetView>
  </sheetViews>
  <sheetFormatPr defaultRowHeight="15" x14ac:dyDescent="0.25"/>
  <cols>
    <col min="2" max="2" width="53.5703125" bestFit="1" customWidth="1"/>
    <col min="5" max="5" width="18.5703125" customWidth="1"/>
    <col min="6" max="6" width="8.140625" bestFit="1" customWidth="1"/>
    <col min="9" max="13" width="14.140625" bestFit="1" customWidth="1"/>
  </cols>
  <sheetData>
    <row r="1" spans="2:24" ht="24" thickBot="1" x14ac:dyDescent="0.4">
      <c r="B1" s="12" t="s">
        <v>163</v>
      </c>
      <c r="I1" s="1"/>
      <c r="J1" s="131"/>
      <c r="K1" s="131"/>
      <c r="L1" s="388" t="s">
        <v>233</v>
      </c>
      <c r="M1" s="389"/>
      <c r="N1" s="389"/>
      <c r="O1" s="389"/>
      <c r="P1" s="389"/>
      <c r="Q1" s="389"/>
      <c r="R1" s="131"/>
      <c r="S1" s="131"/>
      <c r="T1" s="131"/>
      <c r="U1" s="131"/>
      <c r="V1" s="131"/>
      <c r="W1" s="131"/>
      <c r="X1" s="132"/>
    </row>
    <row r="2" spans="2:24" ht="15.75" thickBot="1" x14ac:dyDescent="0.3">
      <c r="B2" s="322" t="s">
        <v>12</v>
      </c>
      <c r="C2" s="323"/>
      <c r="D2" s="324"/>
      <c r="E2" s="181"/>
      <c r="F2" s="181"/>
      <c r="G2" s="181"/>
      <c r="I2" s="133"/>
      <c r="J2" s="134"/>
      <c r="K2" s="134"/>
      <c r="L2" s="134"/>
      <c r="M2" s="134"/>
      <c r="N2" s="134"/>
      <c r="O2" s="134"/>
      <c r="P2" s="134"/>
      <c r="Q2" s="134"/>
      <c r="R2" s="134"/>
      <c r="S2" s="134"/>
      <c r="T2" s="134"/>
      <c r="U2" s="134"/>
      <c r="V2" s="134"/>
      <c r="W2" s="134"/>
      <c r="X2" s="135"/>
    </row>
    <row r="3" spans="2:24" ht="15.75" thickBot="1" x14ac:dyDescent="0.3">
      <c r="B3" s="322" t="s">
        <v>13</v>
      </c>
      <c r="C3" s="323"/>
      <c r="D3" s="324"/>
      <c r="E3" s="394"/>
      <c r="F3" s="394"/>
      <c r="G3" s="394"/>
      <c r="H3" s="31"/>
      <c r="I3" s="207"/>
      <c r="J3" s="134"/>
      <c r="K3" s="134"/>
      <c r="L3" s="134"/>
      <c r="M3" s="134"/>
      <c r="N3" s="134"/>
      <c r="O3" s="134"/>
      <c r="P3" s="134"/>
      <c r="Q3" s="134"/>
      <c r="R3" s="134"/>
      <c r="S3" s="134"/>
      <c r="T3" s="134"/>
      <c r="U3" s="134"/>
      <c r="V3" s="134"/>
      <c r="W3" s="134"/>
      <c r="X3" s="135"/>
    </row>
    <row r="4" spans="2:24" ht="20.25" thickBot="1" x14ac:dyDescent="0.35">
      <c r="B4" s="322" t="s">
        <v>14</v>
      </c>
      <c r="C4" s="323"/>
      <c r="D4" s="324"/>
      <c r="E4" s="392" t="s">
        <v>170</v>
      </c>
      <c r="F4" s="393"/>
      <c r="G4" s="182"/>
      <c r="H4" s="41"/>
      <c r="I4" s="155" t="s">
        <v>239</v>
      </c>
      <c r="J4" s="134"/>
      <c r="K4" s="134"/>
      <c r="L4" s="134"/>
      <c r="M4" s="134"/>
      <c r="N4" s="134"/>
      <c r="O4" s="134"/>
      <c r="P4" s="134"/>
      <c r="Q4" s="134"/>
      <c r="R4" s="134"/>
      <c r="S4" s="134"/>
      <c r="T4" s="134"/>
      <c r="U4" s="134"/>
      <c r="V4" s="134"/>
      <c r="W4" s="134"/>
      <c r="X4" s="135"/>
    </row>
    <row r="5" spans="2:24" ht="15.75" thickBot="1" x14ac:dyDescent="0.3">
      <c r="B5" s="325" t="s">
        <v>15</v>
      </c>
      <c r="C5" s="326"/>
      <c r="D5" s="327"/>
      <c r="E5" s="390">
        <v>100</v>
      </c>
      <c r="F5" s="391"/>
      <c r="G5" s="183"/>
      <c r="H5" s="31"/>
      <c r="I5" s="207"/>
      <c r="J5" s="134"/>
      <c r="K5" s="134"/>
      <c r="L5" s="134"/>
      <c r="M5" s="134"/>
      <c r="N5" s="134"/>
      <c r="O5" s="134"/>
      <c r="P5" s="134"/>
      <c r="Q5" s="134"/>
      <c r="R5" s="134"/>
      <c r="S5" s="134"/>
      <c r="T5" s="134"/>
      <c r="U5" s="134"/>
      <c r="V5" s="134"/>
      <c r="W5" s="134"/>
      <c r="X5" s="135"/>
    </row>
    <row r="6" spans="2:24" ht="19.5" thickBot="1" x14ac:dyDescent="0.35">
      <c r="B6" s="184" t="s">
        <v>187</v>
      </c>
      <c r="C6" s="185" t="s">
        <v>157</v>
      </c>
      <c r="D6" s="186" t="s">
        <v>156</v>
      </c>
      <c r="E6" s="187" t="s">
        <v>157</v>
      </c>
      <c r="F6" s="188" t="s">
        <v>156</v>
      </c>
      <c r="G6" s="183"/>
      <c r="H6" s="31"/>
      <c r="I6" s="153" t="s">
        <v>234</v>
      </c>
      <c r="J6" s="134"/>
      <c r="K6" s="134"/>
      <c r="L6" s="134"/>
      <c r="M6" s="134"/>
      <c r="N6" s="134"/>
      <c r="O6" s="134"/>
      <c r="P6" s="134"/>
      <c r="Q6" s="134"/>
      <c r="R6" s="134"/>
      <c r="S6" s="134"/>
      <c r="T6" s="134"/>
      <c r="U6" s="134"/>
      <c r="V6" s="134"/>
      <c r="W6" s="134"/>
      <c r="X6" s="135"/>
    </row>
    <row r="7" spans="2:24" ht="18.75" x14ac:dyDescent="0.3">
      <c r="B7" s="189" t="s">
        <v>0</v>
      </c>
      <c r="C7" s="70">
        <v>16734</v>
      </c>
      <c r="D7" s="190">
        <v>15564</v>
      </c>
      <c r="E7" s="191">
        <f t="shared" ref="E7:E18" si="0">C7/$C$7*$E$5</f>
        <v>100</v>
      </c>
      <c r="F7" s="192">
        <f t="shared" ref="F7:F18" si="1">D7/$D$7*$E$5</f>
        <v>100</v>
      </c>
      <c r="G7" s="38"/>
      <c r="H7" s="38"/>
      <c r="I7" s="133" t="s">
        <v>236</v>
      </c>
      <c r="J7" s="134"/>
      <c r="K7" s="134"/>
      <c r="L7" s="134"/>
      <c r="M7" s="134"/>
      <c r="N7" s="134"/>
      <c r="O7" s="134"/>
      <c r="P7" s="134"/>
      <c r="Q7" s="134"/>
      <c r="R7" s="134"/>
      <c r="S7" s="134"/>
      <c r="T7" s="134"/>
      <c r="U7" s="134"/>
      <c r="V7" s="134"/>
      <c r="W7" s="134"/>
      <c r="X7" s="135"/>
    </row>
    <row r="8" spans="2:24" ht="16.5" thickBot="1" x14ac:dyDescent="0.3">
      <c r="B8" s="193" t="s">
        <v>1</v>
      </c>
      <c r="C8" s="194">
        <v>7144</v>
      </c>
      <c r="D8" s="195">
        <v>6360</v>
      </c>
      <c r="E8" s="196">
        <f t="shared" si="0"/>
        <v>42.691526234014582</v>
      </c>
      <c r="F8" s="197">
        <f t="shared" si="1"/>
        <v>40.863531225905938</v>
      </c>
      <c r="G8" s="38"/>
      <c r="H8" s="38"/>
      <c r="I8" s="208"/>
      <c r="J8" s="134"/>
      <c r="K8" s="134"/>
      <c r="L8" s="134"/>
      <c r="M8" s="134"/>
      <c r="N8" s="134"/>
      <c r="O8" s="134"/>
      <c r="P8" s="134"/>
      <c r="Q8" s="134"/>
      <c r="R8" s="134"/>
      <c r="S8" s="134"/>
      <c r="T8" s="134"/>
      <c r="U8" s="134"/>
      <c r="V8" s="134"/>
      <c r="W8" s="134"/>
      <c r="X8" s="135"/>
    </row>
    <row r="9" spans="2:24" ht="18.75" x14ac:dyDescent="0.3">
      <c r="B9" s="193" t="s">
        <v>16</v>
      </c>
      <c r="C9" s="70">
        <f>C7-C8</f>
        <v>9590</v>
      </c>
      <c r="D9" s="190">
        <f t="shared" ref="D9" si="2">D7-D8</f>
        <v>9204</v>
      </c>
      <c r="E9" s="191">
        <f t="shared" si="0"/>
        <v>57.308473765985426</v>
      </c>
      <c r="F9" s="192">
        <f t="shared" si="1"/>
        <v>59.136468774094062</v>
      </c>
      <c r="G9" s="38"/>
      <c r="H9" s="38"/>
      <c r="I9" s="155" t="s">
        <v>235</v>
      </c>
      <c r="J9" s="134"/>
      <c r="K9" s="134"/>
      <c r="L9" s="134"/>
      <c r="M9" s="134"/>
      <c r="N9" s="134"/>
      <c r="O9" s="134"/>
      <c r="P9" s="134"/>
      <c r="Q9" s="134"/>
      <c r="R9" s="134"/>
      <c r="S9" s="134"/>
      <c r="T9" s="134"/>
      <c r="U9" s="134"/>
      <c r="V9" s="134"/>
      <c r="W9" s="134"/>
      <c r="X9" s="135"/>
    </row>
    <row r="10" spans="2:24" ht="18.75" x14ac:dyDescent="0.3">
      <c r="B10" s="193" t="s">
        <v>2</v>
      </c>
      <c r="C10" s="70">
        <v>5758</v>
      </c>
      <c r="D10" s="190">
        <v>5414</v>
      </c>
      <c r="E10" s="191">
        <f t="shared" si="0"/>
        <v>34.408987689733479</v>
      </c>
      <c r="F10" s="192">
        <f t="shared" si="1"/>
        <v>34.785402210228732</v>
      </c>
      <c r="G10" s="38"/>
      <c r="H10" s="38"/>
      <c r="I10" s="153" t="s">
        <v>237</v>
      </c>
      <c r="J10" s="134"/>
      <c r="K10" s="134"/>
      <c r="L10" s="134"/>
      <c r="M10" s="134"/>
      <c r="N10" s="134"/>
      <c r="O10" s="134"/>
      <c r="P10" s="134"/>
      <c r="Q10" s="134"/>
      <c r="R10" s="134"/>
      <c r="S10" s="134"/>
      <c r="T10" s="134"/>
      <c r="U10" s="134"/>
      <c r="V10" s="134"/>
      <c r="W10" s="134"/>
      <c r="X10" s="135"/>
    </row>
    <row r="11" spans="2:24" ht="19.5" thickBot="1" x14ac:dyDescent="0.35">
      <c r="B11" s="193" t="s">
        <v>3</v>
      </c>
      <c r="C11" s="194">
        <v>-9</v>
      </c>
      <c r="D11" s="195">
        <v>301</v>
      </c>
      <c r="E11" s="196">
        <f t="shared" si="0"/>
        <v>-5.3782717820007174E-2</v>
      </c>
      <c r="F11" s="197">
        <f t="shared" si="1"/>
        <v>1.9339501413518374</v>
      </c>
      <c r="G11" s="38"/>
      <c r="H11" s="38"/>
      <c r="I11" s="153" t="s">
        <v>238</v>
      </c>
      <c r="J11" s="134"/>
      <c r="K11" s="134"/>
      <c r="L11" s="134"/>
      <c r="M11" s="134"/>
      <c r="N11" s="134"/>
      <c r="O11" s="134"/>
      <c r="P11" s="134"/>
      <c r="Q11" s="134"/>
      <c r="R11" s="134"/>
      <c r="S11" s="134"/>
      <c r="T11" s="134"/>
      <c r="U11" s="134"/>
      <c r="V11" s="134"/>
      <c r="W11" s="134"/>
      <c r="X11" s="135"/>
    </row>
    <row r="12" spans="2:24" ht="15.75" x14ac:dyDescent="0.25">
      <c r="B12" s="193" t="s">
        <v>4</v>
      </c>
      <c r="C12" s="70">
        <f>C9-C10-C11</f>
        <v>3841</v>
      </c>
      <c r="D12" s="190">
        <f t="shared" ref="D12" si="3">D9-D10-D11</f>
        <v>3489</v>
      </c>
      <c r="E12" s="191">
        <f t="shared" si="0"/>
        <v>22.953268794071949</v>
      </c>
      <c r="F12" s="192">
        <f t="shared" si="1"/>
        <v>22.417116422513491</v>
      </c>
      <c r="G12" s="38"/>
      <c r="H12" s="38"/>
      <c r="I12" s="208"/>
      <c r="J12" s="134"/>
      <c r="K12" s="134"/>
      <c r="L12" s="134"/>
      <c r="M12" s="134"/>
      <c r="N12" s="134"/>
      <c r="O12" s="134"/>
      <c r="P12" s="134"/>
      <c r="Q12" s="134"/>
      <c r="R12" s="134"/>
      <c r="S12" s="134"/>
      <c r="T12" s="134"/>
      <c r="U12" s="134"/>
      <c r="V12" s="134"/>
      <c r="W12" s="134"/>
      <c r="X12" s="135"/>
    </row>
    <row r="13" spans="2:24" ht="19.5" thickBot="1" x14ac:dyDescent="0.35">
      <c r="B13" s="193" t="s">
        <v>5</v>
      </c>
      <c r="C13" s="194">
        <v>52</v>
      </c>
      <c r="D13" s="195">
        <v>59</v>
      </c>
      <c r="E13" s="196">
        <f t="shared" si="0"/>
        <v>0.31074459184893033</v>
      </c>
      <c r="F13" s="197">
        <f t="shared" si="1"/>
        <v>0.37907992803906454</v>
      </c>
      <c r="G13" s="38"/>
      <c r="H13" s="38"/>
      <c r="I13" s="155" t="s">
        <v>240</v>
      </c>
      <c r="J13" s="134"/>
      <c r="K13" s="134"/>
      <c r="L13" s="134"/>
      <c r="M13" s="134"/>
      <c r="N13" s="134"/>
      <c r="O13" s="134"/>
      <c r="P13" s="134"/>
      <c r="Q13" s="134"/>
      <c r="R13" s="134"/>
      <c r="S13" s="134"/>
      <c r="T13" s="134"/>
      <c r="U13" s="134"/>
      <c r="V13" s="134"/>
      <c r="W13" s="134"/>
      <c r="X13" s="135"/>
    </row>
    <row r="14" spans="2:24" ht="15.75" x14ac:dyDescent="0.25">
      <c r="B14" s="193" t="s">
        <v>6</v>
      </c>
      <c r="C14" s="70">
        <f>C12-C13</f>
        <v>3789</v>
      </c>
      <c r="D14" s="190">
        <f t="shared" ref="D14" si="4">D12-D13</f>
        <v>3430</v>
      </c>
      <c r="E14" s="191">
        <f t="shared" si="0"/>
        <v>22.642524202223019</v>
      </c>
      <c r="F14" s="192">
        <f t="shared" si="1"/>
        <v>22.038036494474429</v>
      </c>
      <c r="G14" s="38"/>
      <c r="H14" s="38"/>
      <c r="I14" s="208"/>
      <c r="J14" s="134"/>
      <c r="K14" s="134"/>
      <c r="L14" s="134"/>
      <c r="M14" s="134"/>
      <c r="N14" s="134"/>
      <c r="O14" s="134"/>
      <c r="P14" s="134"/>
      <c r="Q14" s="134"/>
      <c r="R14" s="134"/>
      <c r="S14" s="134"/>
      <c r="T14" s="134"/>
      <c r="U14" s="134"/>
      <c r="V14" s="134"/>
      <c r="W14" s="134"/>
      <c r="X14" s="135"/>
    </row>
    <row r="15" spans="2:24" ht="19.5" thickBot="1" x14ac:dyDescent="0.35">
      <c r="B15" s="193" t="s">
        <v>17</v>
      </c>
      <c r="C15" s="194">
        <v>1235</v>
      </c>
      <c r="D15" s="195">
        <v>1117</v>
      </c>
      <c r="E15" s="196">
        <f t="shared" si="0"/>
        <v>7.3801840564120953</v>
      </c>
      <c r="F15" s="197">
        <f t="shared" si="1"/>
        <v>7.1768182986378823</v>
      </c>
      <c r="G15" s="38"/>
      <c r="H15" s="38"/>
      <c r="I15" s="153" t="s">
        <v>250</v>
      </c>
      <c r="J15" s="134"/>
      <c r="K15" s="134"/>
      <c r="L15" s="134"/>
      <c r="M15" s="134"/>
      <c r="N15" s="134"/>
      <c r="O15" s="134"/>
      <c r="P15" s="134"/>
      <c r="Q15" s="134"/>
      <c r="R15" s="134"/>
      <c r="S15" s="134"/>
      <c r="T15" s="134"/>
      <c r="U15" s="134"/>
      <c r="V15" s="134"/>
      <c r="W15" s="134"/>
      <c r="X15" s="135"/>
    </row>
    <row r="16" spans="2:24" ht="18.75" x14ac:dyDescent="0.3">
      <c r="B16" s="193" t="s">
        <v>7</v>
      </c>
      <c r="C16" s="70">
        <f>C14-C15</f>
        <v>2554</v>
      </c>
      <c r="D16" s="190">
        <f t="shared" ref="D16" si="5">D14-D15</f>
        <v>2313</v>
      </c>
      <c r="E16" s="191">
        <f t="shared" si="0"/>
        <v>15.262340145810924</v>
      </c>
      <c r="F16" s="192">
        <f t="shared" si="1"/>
        <v>14.861218195836546</v>
      </c>
      <c r="G16" s="38"/>
      <c r="H16" s="38"/>
      <c r="I16" s="153" t="s">
        <v>241</v>
      </c>
      <c r="J16" s="134"/>
      <c r="K16" s="134"/>
      <c r="L16" s="134"/>
      <c r="M16" s="134"/>
      <c r="N16" s="134"/>
      <c r="O16" s="134"/>
      <c r="P16" s="134"/>
      <c r="Q16" s="134"/>
      <c r="R16" s="134"/>
      <c r="S16" s="134"/>
      <c r="T16" s="134"/>
      <c r="U16" s="134"/>
      <c r="V16" s="134"/>
      <c r="W16" s="134"/>
      <c r="X16" s="135"/>
    </row>
    <row r="17" spans="2:24" ht="16.5" thickBot="1" x14ac:dyDescent="0.3">
      <c r="B17" s="193" t="s">
        <v>8</v>
      </c>
      <c r="C17" s="194">
        <v>123</v>
      </c>
      <c r="D17" s="195">
        <v>110</v>
      </c>
      <c r="E17" s="196">
        <f t="shared" si="0"/>
        <v>0.73503047687343137</v>
      </c>
      <c r="F17" s="197">
        <f t="shared" si="1"/>
        <v>0.70675918786944236</v>
      </c>
      <c r="G17" s="38"/>
      <c r="H17" s="38"/>
      <c r="I17" s="208"/>
      <c r="J17" s="134"/>
      <c r="K17" s="134"/>
      <c r="L17" s="134"/>
      <c r="M17" s="134"/>
      <c r="N17" s="134"/>
      <c r="O17" s="134"/>
      <c r="P17" s="134"/>
      <c r="Q17" s="134"/>
      <c r="R17" s="134"/>
      <c r="S17" s="134"/>
      <c r="T17" s="134"/>
      <c r="U17" s="134"/>
      <c r="V17" s="134"/>
      <c r="W17" s="134"/>
      <c r="X17" s="135"/>
    </row>
    <row r="18" spans="2:24" ht="19.5" thickBot="1" x14ac:dyDescent="0.35">
      <c r="B18" s="193" t="s">
        <v>9</v>
      </c>
      <c r="C18" s="198">
        <f>C16-C17</f>
        <v>2431</v>
      </c>
      <c r="D18" s="199">
        <f t="shared" ref="D18" si="6">D16-D17</f>
        <v>2203</v>
      </c>
      <c r="E18" s="200">
        <f t="shared" si="0"/>
        <v>14.527309668937495</v>
      </c>
      <c r="F18" s="201">
        <f t="shared" si="1"/>
        <v>14.154459007967105</v>
      </c>
      <c r="G18" s="38"/>
      <c r="H18" s="38"/>
      <c r="I18" s="155" t="s">
        <v>235</v>
      </c>
      <c r="J18" s="134"/>
      <c r="K18" s="134"/>
      <c r="L18" s="134"/>
      <c r="M18" s="134"/>
      <c r="N18" s="134"/>
      <c r="O18" s="134"/>
      <c r="P18" s="134"/>
      <c r="Q18" s="134"/>
      <c r="R18" s="134"/>
      <c r="S18" s="134"/>
      <c r="T18" s="134"/>
      <c r="U18" s="134"/>
      <c r="V18" s="134"/>
      <c r="W18" s="134"/>
      <c r="X18" s="135"/>
    </row>
    <row r="19" spans="2:24" ht="19.5" thickTop="1" x14ac:dyDescent="0.3">
      <c r="B19" s="193" t="s">
        <v>10</v>
      </c>
      <c r="C19" s="70">
        <v>4.9800000000000004</v>
      </c>
      <c r="D19" s="190">
        <v>4.45</v>
      </c>
      <c r="E19" s="202"/>
      <c r="F19" s="203"/>
      <c r="G19" s="39"/>
      <c r="H19" s="39"/>
      <c r="I19" s="153" t="s">
        <v>242</v>
      </c>
      <c r="J19" s="134"/>
      <c r="K19" s="134"/>
      <c r="L19" s="134"/>
      <c r="M19" s="134"/>
      <c r="N19" s="134"/>
      <c r="O19" s="134"/>
      <c r="P19" s="134"/>
      <c r="Q19" s="134"/>
      <c r="R19" s="134"/>
      <c r="S19" s="134"/>
      <c r="T19" s="134"/>
      <c r="U19" s="134"/>
      <c r="V19" s="134"/>
      <c r="W19" s="134"/>
      <c r="X19" s="135"/>
    </row>
    <row r="20" spans="2:24" ht="19.5" thickBot="1" x14ac:dyDescent="0.35">
      <c r="B20" s="204" t="s">
        <v>11</v>
      </c>
      <c r="C20" s="194">
        <v>4.9400000000000004</v>
      </c>
      <c r="D20" s="195">
        <v>4.3099999999999996</v>
      </c>
      <c r="E20" s="194"/>
      <c r="F20" s="195"/>
      <c r="G20" s="40"/>
      <c r="H20" s="40"/>
      <c r="I20" s="153" t="s">
        <v>243</v>
      </c>
      <c r="J20" s="134"/>
      <c r="K20" s="134"/>
      <c r="L20" s="134"/>
      <c r="M20" s="134"/>
      <c r="N20" s="134"/>
      <c r="O20" s="134"/>
      <c r="P20" s="134"/>
      <c r="Q20" s="134"/>
      <c r="R20" s="134"/>
      <c r="S20" s="134"/>
      <c r="T20" s="134"/>
      <c r="U20" s="134"/>
      <c r="V20" s="134"/>
      <c r="W20" s="134"/>
      <c r="X20" s="135"/>
    </row>
    <row r="21" spans="2:24" x14ac:dyDescent="0.25">
      <c r="I21" s="133"/>
      <c r="J21" s="134"/>
      <c r="K21" s="134"/>
      <c r="L21" s="134"/>
      <c r="M21" s="134"/>
      <c r="N21" s="134"/>
      <c r="O21" s="134"/>
      <c r="P21" s="134"/>
      <c r="Q21" s="134"/>
      <c r="R21" s="134"/>
      <c r="S21" s="134"/>
      <c r="T21" s="134"/>
      <c r="U21" s="134"/>
      <c r="V21" s="134"/>
      <c r="W21" s="134"/>
      <c r="X21" s="135"/>
    </row>
    <row r="22" spans="2:24" ht="18.75" x14ac:dyDescent="0.3">
      <c r="I22" s="156" t="s">
        <v>244</v>
      </c>
      <c r="J22" s="134"/>
      <c r="K22" s="134"/>
      <c r="L22" s="138"/>
      <c r="M22" s="134"/>
      <c r="N22" s="134"/>
      <c r="O22" s="134"/>
      <c r="P22" s="134"/>
      <c r="Q22" s="134"/>
      <c r="R22" s="134"/>
      <c r="S22" s="134"/>
      <c r="T22" s="134"/>
      <c r="U22" s="134"/>
      <c r="V22" s="134"/>
      <c r="W22" s="134"/>
      <c r="X22" s="135"/>
    </row>
    <row r="23" spans="2:24" x14ac:dyDescent="0.25">
      <c r="I23" s="133"/>
      <c r="J23" s="134"/>
      <c r="K23" s="134"/>
      <c r="L23" s="134"/>
      <c r="M23" s="134"/>
      <c r="N23" s="134"/>
      <c r="O23" s="134"/>
      <c r="P23" s="134"/>
      <c r="Q23" s="134"/>
      <c r="R23" s="134"/>
      <c r="S23" s="134"/>
      <c r="T23" s="134"/>
      <c r="U23" s="134"/>
      <c r="V23" s="134"/>
      <c r="W23" s="134"/>
      <c r="X23" s="135"/>
    </row>
    <row r="24" spans="2:24" ht="18.75" x14ac:dyDescent="0.3">
      <c r="I24" s="153" t="s">
        <v>245</v>
      </c>
      <c r="J24" s="134"/>
      <c r="K24" s="134"/>
      <c r="L24" s="134"/>
      <c r="M24" s="134"/>
      <c r="N24" s="134"/>
      <c r="O24" s="134"/>
      <c r="P24" s="134"/>
      <c r="Q24" s="134"/>
      <c r="R24" s="134"/>
      <c r="S24" s="134"/>
      <c r="T24" s="134"/>
      <c r="U24" s="134"/>
      <c r="V24" s="134"/>
      <c r="W24" s="134"/>
      <c r="X24" s="135"/>
    </row>
    <row r="25" spans="2:24" ht="18.75" x14ac:dyDescent="0.3">
      <c r="I25" s="153" t="s">
        <v>249</v>
      </c>
      <c r="J25" s="134"/>
      <c r="K25" s="134"/>
      <c r="L25" s="134"/>
      <c r="M25" s="134"/>
      <c r="N25" s="134"/>
      <c r="O25" s="134"/>
      <c r="P25" s="134"/>
      <c r="Q25" s="134"/>
      <c r="R25" s="134"/>
      <c r="S25" s="134"/>
      <c r="T25" s="134"/>
      <c r="U25" s="134"/>
      <c r="V25" s="134"/>
      <c r="W25" s="134"/>
      <c r="X25" s="135"/>
    </row>
    <row r="26" spans="2:24" x14ac:dyDescent="0.25">
      <c r="I26" s="133"/>
      <c r="J26" s="134"/>
      <c r="K26" s="134"/>
      <c r="L26" s="134"/>
      <c r="M26" s="134"/>
      <c r="N26" s="134"/>
      <c r="O26" s="134"/>
      <c r="P26" s="134"/>
      <c r="Q26" s="134"/>
      <c r="R26" s="134"/>
      <c r="S26" s="134"/>
      <c r="T26" s="134"/>
      <c r="U26" s="134"/>
      <c r="V26" s="134"/>
      <c r="W26" s="134"/>
      <c r="X26" s="135"/>
    </row>
    <row r="27" spans="2:24" ht="18.75" x14ac:dyDescent="0.3">
      <c r="I27" s="155" t="s">
        <v>246</v>
      </c>
      <c r="J27" s="134"/>
      <c r="K27" s="134"/>
      <c r="L27" s="134"/>
      <c r="M27" s="134"/>
      <c r="N27" s="134"/>
      <c r="O27" s="134"/>
      <c r="P27" s="134"/>
      <c r="Q27" s="134"/>
      <c r="R27" s="134"/>
      <c r="S27" s="134"/>
      <c r="T27" s="134"/>
      <c r="U27" s="134"/>
      <c r="V27" s="134"/>
      <c r="W27" s="134"/>
      <c r="X27" s="135"/>
    </row>
    <row r="28" spans="2:24" ht="18.75" x14ac:dyDescent="0.3">
      <c r="I28" s="153" t="s">
        <v>247</v>
      </c>
      <c r="J28" s="134"/>
      <c r="K28" s="134"/>
      <c r="L28" s="134"/>
      <c r="M28" s="134"/>
      <c r="N28" s="134"/>
      <c r="O28" s="134"/>
      <c r="P28" s="134"/>
      <c r="Q28" s="134"/>
      <c r="R28" s="134"/>
      <c r="S28" s="134"/>
      <c r="T28" s="134"/>
      <c r="U28" s="134"/>
      <c r="V28" s="134"/>
      <c r="W28" s="134"/>
      <c r="X28" s="135"/>
    </row>
    <row r="29" spans="2:24" ht="18.75" x14ac:dyDescent="0.3">
      <c r="I29" s="153" t="s">
        <v>248</v>
      </c>
      <c r="J29" s="134"/>
      <c r="K29" s="134"/>
      <c r="L29" s="134"/>
      <c r="M29" s="134"/>
      <c r="N29" s="134"/>
      <c r="O29" s="134"/>
      <c r="P29" s="134"/>
      <c r="Q29" s="134"/>
      <c r="R29" s="134"/>
      <c r="S29" s="134"/>
      <c r="T29" s="134"/>
      <c r="U29" s="134"/>
      <c r="V29" s="134"/>
      <c r="W29" s="134"/>
      <c r="X29" s="135"/>
    </row>
    <row r="30" spans="2:24" x14ac:dyDescent="0.25">
      <c r="I30" s="133"/>
      <c r="J30" s="134"/>
      <c r="K30" s="134"/>
      <c r="L30" s="134"/>
      <c r="M30" s="134"/>
      <c r="N30" s="134"/>
      <c r="O30" s="134"/>
      <c r="P30" s="134"/>
      <c r="Q30" s="134"/>
      <c r="R30" s="134"/>
      <c r="S30" s="134"/>
      <c r="T30" s="134"/>
      <c r="U30" s="134"/>
      <c r="V30" s="134"/>
      <c r="W30" s="134"/>
      <c r="X30" s="135"/>
    </row>
    <row r="31" spans="2:24" ht="18.75" x14ac:dyDescent="0.3">
      <c r="I31" s="155" t="s">
        <v>251</v>
      </c>
      <c r="J31" s="134"/>
      <c r="K31" s="134"/>
      <c r="L31" s="134"/>
      <c r="M31" s="134"/>
      <c r="N31" s="134"/>
      <c r="O31" s="134"/>
      <c r="P31" s="134"/>
      <c r="Q31" s="134"/>
      <c r="R31" s="134"/>
      <c r="S31" s="134"/>
      <c r="T31" s="134"/>
      <c r="U31" s="134"/>
      <c r="V31" s="134"/>
      <c r="W31" s="134"/>
      <c r="X31" s="135"/>
    </row>
    <row r="32" spans="2:24" x14ac:dyDescent="0.25">
      <c r="I32" s="133"/>
      <c r="J32" s="134"/>
      <c r="K32" s="134"/>
      <c r="L32" s="134"/>
      <c r="M32" s="134"/>
      <c r="N32" s="134"/>
      <c r="O32" s="134"/>
      <c r="P32" s="134"/>
      <c r="Q32" s="134"/>
      <c r="R32" s="134"/>
      <c r="S32" s="134"/>
      <c r="T32" s="134"/>
      <c r="U32" s="134"/>
      <c r="V32" s="134"/>
      <c r="W32" s="134"/>
      <c r="X32" s="135"/>
    </row>
    <row r="33" spans="9:24" ht="18.75" x14ac:dyDescent="0.3">
      <c r="I33" s="155" t="s">
        <v>256</v>
      </c>
      <c r="J33" s="134"/>
      <c r="K33" s="134"/>
      <c r="L33" s="134"/>
      <c r="M33" s="134"/>
      <c r="N33" s="134"/>
      <c r="O33" s="134"/>
      <c r="P33" s="134"/>
      <c r="Q33" s="134"/>
      <c r="R33" s="134"/>
      <c r="S33" s="134"/>
      <c r="T33" s="134"/>
      <c r="U33" s="134"/>
      <c r="V33" s="134"/>
      <c r="W33" s="134"/>
      <c r="X33" s="135"/>
    </row>
    <row r="34" spans="9:24" ht="18.75" x14ac:dyDescent="0.3">
      <c r="I34" s="153" t="s">
        <v>252</v>
      </c>
      <c r="J34" s="134"/>
      <c r="K34" s="134"/>
      <c r="L34" s="134"/>
      <c r="M34" s="134"/>
      <c r="N34" s="134"/>
      <c r="O34" s="134"/>
      <c r="P34" s="134"/>
      <c r="Q34" s="134"/>
      <c r="R34" s="134"/>
      <c r="S34" s="134"/>
      <c r="T34" s="134"/>
      <c r="U34" s="134"/>
      <c r="V34" s="134"/>
      <c r="W34" s="134"/>
      <c r="X34" s="135"/>
    </row>
    <row r="35" spans="9:24" x14ac:dyDescent="0.25">
      <c r="I35" s="133"/>
      <c r="J35" s="134"/>
      <c r="K35" s="134"/>
      <c r="L35" s="134"/>
      <c r="M35" s="134"/>
      <c r="N35" s="134"/>
      <c r="O35" s="134"/>
      <c r="P35" s="134"/>
      <c r="Q35" s="134"/>
      <c r="R35" s="134"/>
      <c r="S35" s="134"/>
      <c r="T35" s="134"/>
      <c r="U35" s="134"/>
      <c r="V35" s="134"/>
      <c r="W35" s="134"/>
      <c r="X35" s="135"/>
    </row>
    <row r="36" spans="9:24" ht="18.75" x14ac:dyDescent="0.3">
      <c r="I36" s="155" t="s">
        <v>253</v>
      </c>
      <c r="J36" s="134"/>
      <c r="K36" s="134"/>
      <c r="L36" s="134"/>
      <c r="M36" s="134"/>
      <c r="N36" s="134"/>
      <c r="O36" s="134"/>
      <c r="P36" s="134"/>
      <c r="Q36" s="134"/>
      <c r="R36" s="134"/>
      <c r="S36" s="134"/>
      <c r="T36" s="134"/>
      <c r="U36" s="134"/>
      <c r="V36" s="134"/>
      <c r="W36" s="134"/>
      <c r="X36" s="135"/>
    </row>
    <row r="37" spans="9:24" x14ac:dyDescent="0.25">
      <c r="I37" s="133"/>
      <c r="J37" s="134"/>
      <c r="K37" s="134"/>
      <c r="L37" s="134"/>
      <c r="M37" s="134"/>
      <c r="N37" s="134"/>
      <c r="O37" s="134"/>
      <c r="P37" s="134"/>
      <c r="Q37" s="134"/>
      <c r="R37" s="134"/>
      <c r="S37" s="134"/>
      <c r="T37" s="134"/>
      <c r="U37" s="134"/>
      <c r="V37" s="134"/>
      <c r="W37" s="134"/>
      <c r="X37" s="135"/>
    </row>
    <row r="38" spans="9:24" ht="18.75" x14ac:dyDescent="0.3">
      <c r="I38" s="153" t="s">
        <v>254</v>
      </c>
      <c r="J38" s="134"/>
      <c r="K38" s="134"/>
      <c r="L38" s="134"/>
      <c r="M38" s="134"/>
      <c r="N38" s="134"/>
      <c r="O38" s="134"/>
      <c r="P38" s="134"/>
      <c r="Q38" s="134"/>
      <c r="R38" s="134"/>
      <c r="S38" s="134"/>
      <c r="T38" s="134"/>
      <c r="U38" s="134"/>
      <c r="V38" s="134"/>
      <c r="W38" s="134"/>
      <c r="X38" s="135"/>
    </row>
    <row r="39" spans="9:24" ht="18.75" x14ac:dyDescent="0.3">
      <c r="I39" s="153" t="s">
        <v>255</v>
      </c>
      <c r="J39" s="134"/>
      <c r="K39" s="134"/>
      <c r="L39" s="134"/>
      <c r="M39" s="134"/>
      <c r="N39" s="134"/>
      <c r="O39" s="134"/>
      <c r="P39" s="134"/>
      <c r="Q39" s="134"/>
      <c r="R39" s="134"/>
      <c r="S39" s="134"/>
      <c r="T39" s="134"/>
      <c r="U39" s="134"/>
      <c r="V39" s="134"/>
      <c r="W39" s="134"/>
      <c r="X39" s="135"/>
    </row>
    <row r="40" spans="9:24" x14ac:dyDescent="0.25">
      <c r="I40" s="133"/>
      <c r="J40" s="134"/>
      <c r="K40" s="134"/>
      <c r="L40" s="134"/>
      <c r="M40" s="134"/>
      <c r="N40" s="134"/>
      <c r="O40" s="134"/>
      <c r="P40" s="134"/>
      <c r="Q40" s="134"/>
      <c r="R40" s="134"/>
      <c r="S40" s="134"/>
      <c r="T40" s="134"/>
      <c r="U40" s="134"/>
      <c r="V40" s="134"/>
      <c r="W40" s="134"/>
      <c r="X40" s="135"/>
    </row>
    <row r="41" spans="9:24" ht="18.75" x14ac:dyDescent="0.3">
      <c r="I41" s="156" t="s">
        <v>257</v>
      </c>
      <c r="J41" s="134"/>
      <c r="K41" s="134"/>
      <c r="L41" s="134"/>
      <c r="M41" s="134"/>
      <c r="N41" s="134"/>
      <c r="O41" s="134"/>
      <c r="P41" s="134"/>
      <c r="Q41" s="134"/>
      <c r="R41" s="134"/>
      <c r="S41" s="134"/>
      <c r="T41" s="134"/>
      <c r="U41" s="134"/>
      <c r="V41" s="134"/>
      <c r="W41" s="134"/>
      <c r="X41" s="135"/>
    </row>
    <row r="42" spans="9:24" x14ac:dyDescent="0.25">
      <c r="I42" s="133"/>
      <c r="J42" s="134"/>
      <c r="K42" s="134"/>
      <c r="L42" s="134"/>
      <c r="M42" s="134"/>
      <c r="N42" s="134"/>
      <c r="O42" s="134"/>
      <c r="P42" s="134"/>
      <c r="Q42" s="134"/>
      <c r="R42" s="134"/>
      <c r="S42" s="134"/>
      <c r="T42" s="134"/>
      <c r="U42" s="134"/>
      <c r="V42" s="134"/>
      <c r="W42" s="134"/>
      <c r="X42" s="135"/>
    </row>
    <row r="43" spans="9:24" ht="18.75" x14ac:dyDescent="0.3">
      <c r="I43" s="153" t="s">
        <v>258</v>
      </c>
      <c r="J43" s="154"/>
      <c r="K43" s="154"/>
      <c r="L43" s="154"/>
      <c r="M43" s="154"/>
      <c r="N43" s="154"/>
      <c r="O43" s="134"/>
      <c r="P43" s="134"/>
      <c r="Q43" s="134"/>
      <c r="R43" s="134"/>
      <c r="S43" s="134"/>
      <c r="T43" s="134"/>
      <c r="U43" s="134"/>
      <c r="V43" s="134"/>
      <c r="W43" s="134"/>
      <c r="X43" s="135"/>
    </row>
    <row r="44" spans="9:24" ht="18.75" x14ac:dyDescent="0.3">
      <c r="I44" s="153" t="s">
        <v>305</v>
      </c>
      <c r="J44" s="154"/>
      <c r="K44" s="154"/>
      <c r="L44" s="154"/>
      <c r="M44" s="154"/>
      <c r="N44" s="134"/>
      <c r="O44" s="134"/>
      <c r="P44" s="134"/>
      <c r="Q44" s="134"/>
      <c r="R44" s="134"/>
      <c r="S44" s="134"/>
      <c r="T44" s="134"/>
      <c r="U44" s="134"/>
      <c r="V44" s="134"/>
      <c r="W44" s="134"/>
      <c r="X44" s="135"/>
    </row>
    <row r="45" spans="9:24" ht="19.5" thickBot="1" x14ac:dyDescent="0.35">
      <c r="I45" s="209" t="s">
        <v>259</v>
      </c>
      <c r="J45" s="210"/>
      <c r="K45" s="210"/>
      <c r="L45" s="210"/>
      <c r="M45" s="210"/>
      <c r="N45" s="210"/>
      <c r="O45" s="210"/>
      <c r="P45" s="210"/>
      <c r="Q45" s="143"/>
      <c r="R45" s="143"/>
      <c r="S45" s="143"/>
      <c r="T45" s="143"/>
      <c r="U45" s="143"/>
      <c r="V45" s="143"/>
      <c r="W45" s="143"/>
      <c r="X45" s="144"/>
    </row>
  </sheetData>
  <mergeCells count="8">
    <mergeCell ref="L1:Q1"/>
    <mergeCell ref="E5:F5"/>
    <mergeCell ref="E4:F4"/>
    <mergeCell ref="E3:G3"/>
    <mergeCell ref="B2:D2"/>
    <mergeCell ref="B3:D3"/>
    <mergeCell ref="B4:D4"/>
    <mergeCell ref="B5:D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AL48"/>
  <sheetViews>
    <sheetView zoomScale="82" zoomScaleNormal="55" workbookViewId="0">
      <selection activeCell="B10" sqref="B10"/>
    </sheetView>
  </sheetViews>
  <sheetFormatPr defaultRowHeight="15" x14ac:dyDescent="0.25"/>
  <cols>
    <col min="2" max="2" width="71.85546875" bestFit="1" customWidth="1"/>
    <col min="3" max="3" width="8.7109375" customWidth="1"/>
    <col min="4" max="4" width="7.5703125" bestFit="1" customWidth="1"/>
    <col min="5" max="5" width="7.5703125" customWidth="1"/>
    <col min="6" max="6" width="16.85546875" customWidth="1"/>
    <col min="7" max="7" width="14.5703125" customWidth="1"/>
    <col min="9" max="9" width="15.85546875" customWidth="1"/>
    <col min="10" max="10" width="15" customWidth="1"/>
    <col min="11" max="12" width="10.140625" customWidth="1"/>
    <col min="13" max="15" width="9.5703125" customWidth="1"/>
    <col min="16" max="21" width="9.5703125" bestFit="1" customWidth="1"/>
  </cols>
  <sheetData>
    <row r="1" spans="2:38" ht="24" thickBot="1" x14ac:dyDescent="0.4">
      <c r="B1" s="12" t="s">
        <v>166</v>
      </c>
      <c r="F1" s="413" t="s">
        <v>165</v>
      </c>
      <c r="G1" s="414"/>
      <c r="H1" s="414"/>
      <c r="I1" s="414"/>
      <c r="J1" s="414"/>
      <c r="K1" s="415"/>
      <c r="M1" s="416" t="s">
        <v>266</v>
      </c>
      <c r="N1" s="417"/>
      <c r="O1" s="417"/>
      <c r="P1" s="417"/>
      <c r="Q1" s="417"/>
      <c r="R1" s="417"/>
      <c r="S1" s="417"/>
      <c r="Z1" s="395" t="s">
        <v>275</v>
      </c>
      <c r="AA1" s="395"/>
      <c r="AB1" s="395"/>
      <c r="AC1" s="395"/>
      <c r="AD1" s="395"/>
      <c r="AE1" s="395"/>
      <c r="AF1" s="395"/>
    </row>
    <row r="2" spans="2:38" ht="15.75" thickBot="1" x14ac:dyDescent="0.3">
      <c r="B2" s="211" t="s">
        <v>12</v>
      </c>
      <c r="C2" s="42"/>
      <c r="D2" s="42"/>
      <c r="E2" s="42"/>
      <c r="F2" s="42"/>
      <c r="G2" s="42"/>
      <c r="H2" s="42"/>
      <c r="I2" s="42"/>
      <c r="J2" s="12"/>
      <c r="K2" s="66"/>
      <c r="L2" s="66"/>
      <c r="M2" s="66"/>
      <c r="N2" s="66"/>
      <c r="O2" s="66"/>
    </row>
    <row r="3" spans="2:38" ht="19.5" thickBot="1" x14ac:dyDescent="0.35">
      <c r="B3" s="211" t="s">
        <v>18</v>
      </c>
      <c r="C3" s="42"/>
      <c r="D3" s="42"/>
      <c r="E3" s="42"/>
      <c r="F3" s="42"/>
      <c r="G3" s="42"/>
      <c r="H3" s="42"/>
      <c r="I3" s="42"/>
      <c r="M3" s="253" t="s">
        <v>267</v>
      </c>
      <c r="Z3" s="67" t="s">
        <v>267</v>
      </c>
    </row>
    <row r="4" spans="2:38" ht="19.5" thickBot="1" x14ac:dyDescent="0.35">
      <c r="B4" s="211" t="s">
        <v>19</v>
      </c>
      <c r="C4" s="42"/>
      <c r="D4" s="42"/>
      <c r="E4" s="42"/>
      <c r="F4" s="428"/>
      <c r="G4" s="428"/>
      <c r="H4" s="428"/>
      <c r="I4" s="428"/>
      <c r="J4" s="428"/>
      <c r="K4" s="428"/>
    </row>
    <row r="5" spans="2:38" ht="15.75" thickBot="1" x14ac:dyDescent="0.3">
      <c r="B5" s="212" t="s">
        <v>15</v>
      </c>
      <c r="C5" s="43"/>
      <c r="D5" s="43"/>
      <c r="E5" s="43"/>
      <c r="F5" s="43"/>
      <c r="G5" s="43"/>
      <c r="H5" s="43"/>
      <c r="I5" s="43"/>
      <c r="M5" s="396" t="s">
        <v>268</v>
      </c>
      <c r="N5" s="418"/>
      <c r="O5" s="418"/>
      <c r="P5" s="418"/>
      <c r="Q5" s="418"/>
      <c r="R5" s="418"/>
      <c r="S5" s="418"/>
      <c r="T5" s="418"/>
      <c r="U5" s="418"/>
      <c r="V5" s="418"/>
      <c r="W5" s="419"/>
      <c r="Z5" s="396" t="s">
        <v>276</v>
      </c>
      <c r="AA5" s="397"/>
      <c r="AB5" s="397"/>
      <c r="AC5" s="397"/>
      <c r="AD5" s="397"/>
      <c r="AE5" s="397"/>
      <c r="AF5" s="397"/>
      <c r="AG5" s="397"/>
      <c r="AH5" s="397"/>
      <c r="AI5" s="397"/>
      <c r="AJ5" s="397"/>
      <c r="AK5" s="397"/>
      <c r="AL5" s="398"/>
    </row>
    <row r="6" spans="2:38" ht="20.25" thickBot="1" x14ac:dyDescent="0.35">
      <c r="B6" s="231"/>
      <c r="C6" s="232">
        <v>100</v>
      </c>
      <c r="D6" s="233"/>
      <c r="E6" s="234"/>
      <c r="F6" s="426" t="s">
        <v>231</v>
      </c>
      <c r="G6" s="426"/>
      <c r="H6" s="235"/>
      <c r="I6" s="427" t="s">
        <v>232</v>
      </c>
      <c r="J6" s="427"/>
      <c r="K6" s="65"/>
      <c r="L6" s="65"/>
      <c r="M6" s="420"/>
      <c r="N6" s="421"/>
      <c r="O6" s="421"/>
      <c r="P6" s="421"/>
      <c r="Q6" s="421"/>
      <c r="R6" s="421"/>
      <c r="S6" s="421"/>
      <c r="T6" s="421"/>
      <c r="U6" s="421"/>
      <c r="V6" s="421"/>
      <c r="W6" s="422"/>
      <c r="Z6" s="399"/>
      <c r="AA6" s="400"/>
      <c r="AB6" s="400"/>
      <c r="AC6" s="400"/>
      <c r="AD6" s="400"/>
      <c r="AE6" s="400"/>
      <c r="AF6" s="400"/>
      <c r="AG6" s="400"/>
      <c r="AH6" s="400"/>
      <c r="AI6" s="400"/>
      <c r="AJ6" s="400"/>
      <c r="AK6" s="400"/>
      <c r="AL6" s="401"/>
    </row>
    <row r="7" spans="2:38" ht="15.75" thickBot="1" x14ac:dyDescent="0.3">
      <c r="B7" s="121"/>
      <c r="C7" s="205" t="s">
        <v>157</v>
      </c>
      <c r="D7" s="206" t="s">
        <v>156</v>
      </c>
      <c r="E7" s="234"/>
      <c r="F7" s="205" t="s">
        <v>157</v>
      </c>
      <c r="G7" s="206" t="s">
        <v>156</v>
      </c>
      <c r="H7" s="234"/>
      <c r="I7" s="205" t="s">
        <v>157</v>
      </c>
      <c r="J7" s="206" t="s">
        <v>156</v>
      </c>
      <c r="M7" s="420"/>
      <c r="N7" s="421"/>
      <c r="O7" s="421"/>
      <c r="P7" s="421"/>
      <c r="Q7" s="421"/>
      <c r="R7" s="421"/>
      <c r="S7" s="421"/>
      <c r="T7" s="421"/>
      <c r="U7" s="421"/>
      <c r="V7" s="421"/>
      <c r="W7" s="422"/>
      <c r="Z7" s="399"/>
      <c r="AA7" s="400"/>
      <c r="AB7" s="400"/>
      <c r="AC7" s="400"/>
      <c r="AD7" s="400"/>
      <c r="AE7" s="400"/>
      <c r="AF7" s="400"/>
      <c r="AG7" s="400"/>
      <c r="AH7" s="400"/>
      <c r="AI7" s="400"/>
      <c r="AJ7" s="400"/>
      <c r="AK7" s="400"/>
      <c r="AL7" s="401"/>
    </row>
    <row r="8" spans="2:38" x14ac:dyDescent="0.25">
      <c r="B8" s="213" t="s">
        <v>20</v>
      </c>
      <c r="C8" s="86"/>
      <c r="D8" s="88"/>
      <c r="E8" s="30"/>
      <c r="F8" s="152"/>
      <c r="G8" s="85"/>
      <c r="H8" s="30"/>
      <c r="I8" s="152"/>
      <c r="J8" s="85"/>
      <c r="M8" s="420"/>
      <c r="N8" s="421"/>
      <c r="O8" s="421"/>
      <c r="P8" s="421"/>
      <c r="Q8" s="421"/>
      <c r="R8" s="421"/>
      <c r="S8" s="421"/>
      <c r="T8" s="421"/>
      <c r="U8" s="421"/>
      <c r="V8" s="421"/>
      <c r="W8" s="422"/>
      <c r="Z8" s="399"/>
      <c r="AA8" s="400"/>
      <c r="AB8" s="400"/>
      <c r="AC8" s="400"/>
      <c r="AD8" s="400"/>
      <c r="AE8" s="400"/>
      <c r="AF8" s="400"/>
      <c r="AG8" s="400"/>
      <c r="AH8" s="400"/>
      <c r="AI8" s="400"/>
      <c r="AJ8" s="400"/>
      <c r="AK8" s="400"/>
      <c r="AL8" s="401"/>
    </row>
    <row r="9" spans="2:38" x14ac:dyDescent="0.25">
      <c r="B9" s="172" t="s">
        <v>21</v>
      </c>
      <c r="C9" s="86"/>
      <c r="D9" s="88"/>
      <c r="E9" s="30"/>
      <c r="F9" s="86"/>
      <c r="G9" s="88"/>
      <c r="H9" s="30"/>
      <c r="I9" s="86"/>
      <c r="J9" s="88"/>
      <c r="M9" s="420"/>
      <c r="N9" s="421"/>
      <c r="O9" s="421"/>
      <c r="P9" s="421"/>
      <c r="Q9" s="421"/>
      <c r="R9" s="421"/>
      <c r="S9" s="421"/>
      <c r="T9" s="421"/>
      <c r="U9" s="421"/>
      <c r="V9" s="421"/>
      <c r="W9" s="422"/>
      <c r="Z9" s="399"/>
      <c r="AA9" s="400"/>
      <c r="AB9" s="400"/>
      <c r="AC9" s="400"/>
      <c r="AD9" s="400"/>
      <c r="AE9" s="400"/>
      <c r="AF9" s="400"/>
      <c r="AG9" s="400"/>
      <c r="AH9" s="400"/>
      <c r="AI9" s="400"/>
      <c r="AJ9" s="400"/>
      <c r="AK9" s="400"/>
      <c r="AL9" s="401"/>
    </row>
    <row r="10" spans="2:38" ht="15.75" thickBot="1" x14ac:dyDescent="0.3">
      <c r="B10" s="172" t="s">
        <v>22</v>
      </c>
      <c r="C10" s="86">
        <v>878</v>
      </c>
      <c r="D10" s="88">
        <v>490</v>
      </c>
      <c r="E10" s="30"/>
      <c r="F10" s="170">
        <f t="shared" ref="F10:F33" si="0">C10/$C$21*$C$6</f>
        <v>6.9003458032065383</v>
      </c>
      <c r="G10" s="214">
        <f t="shared" ref="G10:G33" si="1">D10/$D$21*$C$6</f>
        <v>4.3859649122807012</v>
      </c>
      <c r="H10" s="215"/>
      <c r="I10" s="170">
        <f t="shared" ref="I10:I20" si="2">C10/D10*$C$6</f>
        <v>179.18367346938774</v>
      </c>
      <c r="J10" s="214">
        <f t="shared" ref="J10:J20" si="3">D10/D10*$C$6</f>
        <v>100</v>
      </c>
      <c r="M10" s="423"/>
      <c r="N10" s="424"/>
      <c r="O10" s="424"/>
      <c r="P10" s="424"/>
      <c r="Q10" s="424"/>
      <c r="R10" s="424"/>
      <c r="S10" s="424"/>
      <c r="T10" s="424"/>
      <c r="U10" s="424"/>
      <c r="V10" s="424"/>
      <c r="W10" s="425"/>
      <c r="Z10" s="399"/>
      <c r="AA10" s="400"/>
      <c r="AB10" s="400"/>
      <c r="AC10" s="400"/>
      <c r="AD10" s="400"/>
      <c r="AE10" s="400"/>
      <c r="AF10" s="400"/>
      <c r="AG10" s="400"/>
      <c r="AH10" s="400"/>
      <c r="AI10" s="400"/>
      <c r="AJ10" s="400"/>
      <c r="AK10" s="400"/>
      <c r="AL10" s="401"/>
    </row>
    <row r="11" spans="2:38" ht="15.75" thickBot="1" x14ac:dyDescent="0.3">
      <c r="B11" s="172" t="s">
        <v>23</v>
      </c>
      <c r="C11" s="86">
        <v>1675</v>
      </c>
      <c r="D11" s="88">
        <v>1610</v>
      </c>
      <c r="E11" s="30"/>
      <c r="F11" s="170">
        <f t="shared" si="0"/>
        <v>13.164099339830242</v>
      </c>
      <c r="G11" s="214">
        <f t="shared" si="1"/>
        <v>14.411027568922306</v>
      </c>
      <c r="H11" s="215"/>
      <c r="I11" s="170">
        <f t="shared" si="2"/>
        <v>104.03726708074534</v>
      </c>
      <c r="J11" s="214">
        <f t="shared" si="3"/>
        <v>100</v>
      </c>
      <c r="Z11" s="399"/>
      <c r="AA11" s="400"/>
      <c r="AB11" s="400"/>
      <c r="AC11" s="400"/>
      <c r="AD11" s="400"/>
      <c r="AE11" s="400"/>
      <c r="AF11" s="400"/>
      <c r="AG11" s="400"/>
      <c r="AH11" s="400"/>
      <c r="AI11" s="400"/>
      <c r="AJ11" s="400"/>
      <c r="AK11" s="400"/>
      <c r="AL11" s="401"/>
    </row>
    <row r="12" spans="2:38" ht="14.45" customHeight="1" x14ac:dyDescent="0.25">
      <c r="B12" s="172" t="s">
        <v>30</v>
      </c>
      <c r="C12" s="86">
        <v>1327</v>
      </c>
      <c r="D12" s="88">
        <v>1222</v>
      </c>
      <c r="E12" s="30"/>
      <c r="F12" s="170">
        <f t="shared" si="0"/>
        <v>10.429110342659541</v>
      </c>
      <c r="G12" s="214">
        <f t="shared" si="1"/>
        <v>10.938059434300037</v>
      </c>
      <c r="H12" s="215"/>
      <c r="I12" s="170">
        <f t="shared" si="2"/>
        <v>108.5924713584288</v>
      </c>
      <c r="J12" s="214">
        <f t="shared" si="3"/>
        <v>100</v>
      </c>
      <c r="M12" s="396" t="s">
        <v>269</v>
      </c>
      <c r="N12" s="397"/>
      <c r="O12" s="397"/>
      <c r="P12" s="397"/>
      <c r="Q12" s="397"/>
      <c r="R12" s="397"/>
      <c r="S12" s="397"/>
      <c r="T12" s="397"/>
      <c r="U12" s="397"/>
      <c r="V12" s="397"/>
      <c r="W12" s="398"/>
      <c r="Z12" s="399"/>
      <c r="AA12" s="400"/>
      <c r="AB12" s="400"/>
      <c r="AC12" s="400"/>
      <c r="AD12" s="400"/>
      <c r="AE12" s="400"/>
      <c r="AF12" s="400"/>
      <c r="AG12" s="400"/>
      <c r="AH12" s="400"/>
      <c r="AI12" s="400"/>
      <c r="AJ12" s="400"/>
      <c r="AK12" s="400"/>
      <c r="AL12" s="401"/>
    </row>
    <row r="13" spans="2:38" ht="15" customHeight="1" thickBot="1" x14ac:dyDescent="0.3">
      <c r="B13" s="172" t="s">
        <v>24</v>
      </c>
      <c r="C13" s="92">
        <v>522</v>
      </c>
      <c r="D13" s="94">
        <v>408</v>
      </c>
      <c r="E13" s="30"/>
      <c r="F13" s="176">
        <f t="shared" si="0"/>
        <v>4.1024834957560516</v>
      </c>
      <c r="G13" s="216">
        <f t="shared" si="1"/>
        <v>3.6519871106337276</v>
      </c>
      <c r="H13" s="215"/>
      <c r="I13" s="176">
        <f t="shared" si="2"/>
        <v>127.94117647058823</v>
      </c>
      <c r="J13" s="216">
        <f t="shared" si="3"/>
        <v>100</v>
      </c>
      <c r="M13" s="399"/>
      <c r="N13" s="400"/>
      <c r="O13" s="400"/>
      <c r="P13" s="400"/>
      <c r="Q13" s="400"/>
      <c r="R13" s="400"/>
      <c r="S13" s="400"/>
      <c r="T13" s="400"/>
      <c r="U13" s="400"/>
      <c r="V13" s="400"/>
      <c r="W13" s="401"/>
      <c r="Z13" s="399"/>
      <c r="AA13" s="400"/>
      <c r="AB13" s="400"/>
      <c r="AC13" s="400"/>
      <c r="AD13" s="400"/>
      <c r="AE13" s="400"/>
      <c r="AF13" s="400"/>
      <c r="AG13" s="400"/>
      <c r="AH13" s="400"/>
      <c r="AI13" s="400"/>
      <c r="AJ13" s="400"/>
      <c r="AK13" s="400"/>
      <c r="AL13" s="401"/>
    </row>
    <row r="14" spans="2:38" ht="15" customHeight="1" thickBot="1" x14ac:dyDescent="0.3">
      <c r="B14" s="236" t="s">
        <v>25</v>
      </c>
      <c r="C14" s="237">
        <f>SUM(C10:C13)</f>
        <v>4402</v>
      </c>
      <c r="D14" s="238">
        <f t="shared" ref="D14" si="4">SUM(D10:D13)</f>
        <v>3730</v>
      </c>
      <c r="E14" s="102"/>
      <c r="F14" s="239">
        <f t="shared" si="0"/>
        <v>34.596038981452374</v>
      </c>
      <c r="G14" s="240">
        <f t="shared" si="1"/>
        <v>33.387039026136769</v>
      </c>
      <c r="H14" s="217"/>
      <c r="I14" s="239">
        <f t="shared" si="2"/>
        <v>118.01608579088472</v>
      </c>
      <c r="J14" s="240">
        <f t="shared" si="3"/>
        <v>100</v>
      </c>
      <c r="M14" s="402"/>
      <c r="N14" s="403"/>
      <c r="O14" s="403"/>
      <c r="P14" s="403"/>
      <c r="Q14" s="403"/>
      <c r="R14" s="403"/>
      <c r="S14" s="403"/>
      <c r="T14" s="403"/>
      <c r="U14" s="403"/>
      <c r="V14" s="403"/>
      <c r="W14" s="404"/>
      <c r="Z14" s="402"/>
      <c r="AA14" s="403"/>
      <c r="AB14" s="403"/>
      <c r="AC14" s="403"/>
      <c r="AD14" s="403"/>
      <c r="AE14" s="403"/>
      <c r="AF14" s="403"/>
      <c r="AG14" s="403"/>
      <c r="AH14" s="403"/>
      <c r="AI14" s="403"/>
      <c r="AJ14" s="403"/>
      <c r="AK14" s="403"/>
      <c r="AL14" s="404"/>
    </row>
    <row r="15" spans="2:38" ht="14.45" customHeight="1" thickBot="1" x14ac:dyDescent="0.3">
      <c r="B15" s="172" t="s">
        <v>26</v>
      </c>
      <c r="C15" s="86">
        <v>3668</v>
      </c>
      <c r="D15" s="88">
        <v>3693</v>
      </c>
      <c r="E15" s="30"/>
      <c r="F15" s="170">
        <f t="shared" si="0"/>
        <v>28.827412763281984</v>
      </c>
      <c r="G15" s="214">
        <f t="shared" si="1"/>
        <v>33.055853920515574</v>
      </c>
      <c r="H15" s="215"/>
      <c r="I15" s="170">
        <f t="shared" si="2"/>
        <v>99.323043595992416</v>
      </c>
      <c r="J15" s="214">
        <f t="shared" si="3"/>
        <v>100</v>
      </c>
    </row>
    <row r="16" spans="2:38" ht="14.45" customHeight="1" x14ac:dyDescent="0.25">
      <c r="B16" s="172" t="s">
        <v>27</v>
      </c>
      <c r="C16" s="86">
        <v>2657</v>
      </c>
      <c r="D16" s="88">
        <v>2362</v>
      </c>
      <c r="E16" s="30"/>
      <c r="F16" s="170">
        <f t="shared" si="0"/>
        <v>20.881798176674003</v>
      </c>
      <c r="G16" s="214">
        <f t="shared" si="1"/>
        <v>21.142141066953098</v>
      </c>
      <c r="H16" s="215"/>
      <c r="I16" s="170">
        <f t="shared" si="2"/>
        <v>112.48941574936495</v>
      </c>
      <c r="J16" s="214">
        <f t="shared" si="3"/>
        <v>100</v>
      </c>
      <c r="M16" s="396" t="s">
        <v>270</v>
      </c>
      <c r="N16" s="397"/>
      <c r="O16" s="397"/>
      <c r="P16" s="397"/>
      <c r="Q16" s="397"/>
      <c r="R16" s="397"/>
      <c r="S16" s="397"/>
      <c r="T16" s="397"/>
      <c r="U16" s="397"/>
      <c r="V16" s="397"/>
      <c r="W16" s="398"/>
    </row>
    <row r="17" spans="2:38" ht="15" customHeight="1" thickBot="1" x14ac:dyDescent="0.35">
      <c r="B17" s="172" t="s">
        <v>28</v>
      </c>
      <c r="C17" s="86">
        <v>1341</v>
      </c>
      <c r="D17" s="88">
        <v>831</v>
      </c>
      <c r="E17" s="30"/>
      <c r="F17" s="170">
        <f t="shared" si="0"/>
        <v>10.539138635649167</v>
      </c>
      <c r="G17" s="214">
        <f t="shared" si="1"/>
        <v>7.438238453276047</v>
      </c>
      <c r="H17" s="215"/>
      <c r="I17" s="170">
        <f t="shared" si="2"/>
        <v>161.37184115523468</v>
      </c>
      <c r="J17" s="214">
        <f t="shared" si="3"/>
        <v>100</v>
      </c>
      <c r="M17" s="402"/>
      <c r="N17" s="403"/>
      <c r="O17" s="403"/>
      <c r="P17" s="403"/>
      <c r="Q17" s="403"/>
      <c r="R17" s="403"/>
      <c r="S17" s="403"/>
      <c r="T17" s="403"/>
      <c r="U17" s="403"/>
      <c r="V17" s="403"/>
      <c r="W17" s="404"/>
      <c r="Z17" s="67" t="s">
        <v>271</v>
      </c>
    </row>
    <row r="18" spans="2:38" ht="15.75" thickBot="1" x14ac:dyDescent="0.3">
      <c r="B18" s="172" t="s">
        <v>29</v>
      </c>
      <c r="C18" s="86">
        <v>115</v>
      </c>
      <c r="D18" s="88">
        <v>84</v>
      </c>
      <c r="E18" s="30"/>
      <c r="F18" s="170">
        <f t="shared" si="0"/>
        <v>0.90380383527192709</v>
      </c>
      <c r="G18" s="214">
        <f t="shared" si="1"/>
        <v>0.75187969924812026</v>
      </c>
      <c r="H18" s="215"/>
      <c r="I18" s="170">
        <f t="shared" si="2"/>
        <v>136.9047619047619</v>
      </c>
      <c r="J18" s="214">
        <f t="shared" si="3"/>
        <v>100</v>
      </c>
    </row>
    <row r="19" spans="2:38" ht="19.5" thickBot="1" x14ac:dyDescent="0.35">
      <c r="B19" s="172" t="s">
        <v>31</v>
      </c>
      <c r="C19" s="92">
        <v>541</v>
      </c>
      <c r="D19" s="94">
        <v>472</v>
      </c>
      <c r="E19" s="30"/>
      <c r="F19" s="170">
        <f t="shared" si="0"/>
        <v>4.2518076076705436</v>
      </c>
      <c r="G19" s="214">
        <f t="shared" si="1"/>
        <v>4.2248478338703901</v>
      </c>
      <c r="H19" s="215"/>
      <c r="I19" s="170">
        <f t="shared" si="2"/>
        <v>114.61864406779661</v>
      </c>
      <c r="J19" s="214">
        <f t="shared" si="3"/>
        <v>100</v>
      </c>
      <c r="M19" s="67" t="s">
        <v>271</v>
      </c>
      <c r="Z19" s="396" t="s">
        <v>277</v>
      </c>
      <c r="AA19" s="397"/>
      <c r="AB19" s="397"/>
      <c r="AC19" s="397"/>
      <c r="AD19" s="397"/>
      <c r="AE19" s="397"/>
      <c r="AF19" s="397"/>
      <c r="AG19" s="397"/>
      <c r="AH19" s="397"/>
      <c r="AI19" s="397"/>
      <c r="AJ19" s="397"/>
      <c r="AK19" s="397"/>
      <c r="AL19" s="398"/>
    </row>
    <row r="20" spans="2:38" ht="15.75" thickBot="1" x14ac:dyDescent="0.3">
      <c r="B20" s="161" t="s">
        <v>182</v>
      </c>
      <c r="C20" s="237">
        <f>SUM(C15:C19)</f>
        <v>8322</v>
      </c>
      <c r="D20" s="238">
        <f t="shared" ref="D20" si="5">SUM(D15:D19)</f>
        <v>7442</v>
      </c>
      <c r="E20" s="102"/>
      <c r="F20" s="247">
        <f t="shared" si="0"/>
        <v>65.403961018547633</v>
      </c>
      <c r="G20" s="248">
        <f t="shared" si="1"/>
        <v>66.612960973863238</v>
      </c>
      <c r="H20" s="217"/>
      <c r="I20" s="247">
        <f t="shared" si="2"/>
        <v>111.82477828540715</v>
      </c>
      <c r="J20" s="248">
        <f t="shared" si="3"/>
        <v>100</v>
      </c>
      <c r="Z20" s="399"/>
      <c r="AA20" s="400"/>
      <c r="AB20" s="400"/>
      <c r="AC20" s="400"/>
      <c r="AD20" s="400"/>
      <c r="AE20" s="400"/>
      <c r="AF20" s="400"/>
      <c r="AG20" s="400"/>
      <c r="AH20" s="400"/>
      <c r="AI20" s="400"/>
      <c r="AJ20" s="400"/>
      <c r="AK20" s="400"/>
      <c r="AL20" s="401"/>
    </row>
    <row r="21" spans="2:38" ht="15" customHeight="1" thickBot="1" x14ac:dyDescent="0.3">
      <c r="B21" s="236" t="s">
        <v>32</v>
      </c>
      <c r="C21" s="241">
        <f t="shared" ref="C21:D21" si="6">SUM(C14:C19)</f>
        <v>12724</v>
      </c>
      <c r="D21" s="242">
        <f t="shared" si="6"/>
        <v>11172</v>
      </c>
      <c r="E21" s="102"/>
      <c r="F21" s="243">
        <f t="shared" si="0"/>
        <v>100</v>
      </c>
      <c r="G21" s="244">
        <f t="shared" si="1"/>
        <v>100</v>
      </c>
      <c r="H21" s="217"/>
      <c r="I21" s="245">
        <f>C21/D21*C6</f>
        <v>113.89187253848907</v>
      </c>
      <c r="J21" s="246">
        <f>D21/D21*C6</f>
        <v>100</v>
      </c>
      <c r="M21" s="396" t="s">
        <v>272</v>
      </c>
      <c r="N21" s="397"/>
      <c r="O21" s="397"/>
      <c r="P21" s="397"/>
      <c r="Q21" s="397"/>
      <c r="R21" s="397"/>
      <c r="S21" s="397"/>
      <c r="T21" s="397"/>
      <c r="U21" s="397"/>
      <c r="V21" s="397"/>
      <c r="W21" s="398"/>
      <c r="Z21" s="399"/>
      <c r="AA21" s="400"/>
      <c r="AB21" s="400"/>
      <c r="AC21" s="400"/>
      <c r="AD21" s="400"/>
      <c r="AE21" s="400"/>
      <c r="AF21" s="400"/>
      <c r="AG21" s="400"/>
      <c r="AH21" s="400"/>
      <c r="AI21" s="400"/>
      <c r="AJ21" s="400"/>
      <c r="AK21" s="400"/>
      <c r="AL21" s="401"/>
    </row>
    <row r="22" spans="2:38" ht="15" customHeight="1" thickTop="1" x14ac:dyDescent="0.25">
      <c r="B22" s="224" t="s">
        <v>33</v>
      </c>
      <c r="C22" s="86"/>
      <c r="D22" s="88"/>
      <c r="E22" s="30"/>
      <c r="F22" s="170">
        <f t="shared" si="0"/>
        <v>0</v>
      </c>
      <c r="G22" s="214">
        <f t="shared" si="1"/>
        <v>0</v>
      </c>
      <c r="H22" s="215"/>
      <c r="I22" s="170"/>
      <c r="J22" s="214"/>
      <c r="M22" s="399"/>
      <c r="N22" s="400"/>
      <c r="O22" s="400"/>
      <c r="P22" s="400"/>
      <c r="Q22" s="400"/>
      <c r="R22" s="400"/>
      <c r="S22" s="400"/>
      <c r="T22" s="400"/>
      <c r="U22" s="400"/>
      <c r="V22" s="400"/>
      <c r="W22" s="401"/>
      <c r="Z22" s="399"/>
      <c r="AA22" s="400"/>
      <c r="AB22" s="400"/>
      <c r="AC22" s="400"/>
      <c r="AD22" s="400"/>
      <c r="AE22" s="400"/>
      <c r="AF22" s="400"/>
      <c r="AG22" s="400"/>
      <c r="AH22" s="400"/>
      <c r="AI22" s="400"/>
      <c r="AJ22" s="400"/>
      <c r="AK22" s="400"/>
      <c r="AL22" s="401"/>
    </row>
    <row r="23" spans="2:38" ht="14.45" customHeight="1" x14ac:dyDescent="0.25">
      <c r="B23" s="172" t="s">
        <v>34</v>
      </c>
      <c r="C23" s="86"/>
      <c r="D23" s="88"/>
      <c r="E23" s="30"/>
      <c r="F23" s="170">
        <f t="shared" si="0"/>
        <v>0</v>
      </c>
      <c r="G23" s="214">
        <f t="shared" si="1"/>
        <v>0</v>
      </c>
      <c r="H23" s="215"/>
      <c r="I23" s="170"/>
      <c r="J23" s="214"/>
      <c r="M23" s="399"/>
      <c r="N23" s="400"/>
      <c r="O23" s="400"/>
      <c r="P23" s="400"/>
      <c r="Q23" s="400"/>
      <c r="R23" s="400"/>
      <c r="S23" s="400"/>
      <c r="T23" s="400"/>
      <c r="U23" s="400"/>
      <c r="V23" s="400"/>
      <c r="W23" s="401"/>
      <c r="Z23" s="399"/>
      <c r="AA23" s="400"/>
      <c r="AB23" s="400"/>
      <c r="AC23" s="400"/>
      <c r="AD23" s="400"/>
      <c r="AE23" s="400"/>
      <c r="AF23" s="400"/>
      <c r="AG23" s="400"/>
      <c r="AH23" s="400"/>
      <c r="AI23" s="400"/>
      <c r="AJ23" s="400"/>
      <c r="AK23" s="400"/>
      <c r="AL23" s="401"/>
    </row>
    <row r="24" spans="2:38" ht="14.45" customHeight="1" x14ac:dyDescent="0.25">
      <c r="B24" s="172" t="s">
        <v>35</v>
      </c>
      <c r="C24" s="86">
        <v>34</v>
      </c>
      <c r="D24" s="88">
        <v>48</v>
      </c>
      <c r="E24" s="30"/>
      <c r="F24" s="170">
        <f t="shared" si="0"/>
        <v>0.26721156868909146</v>
      </c>
      <c r="G24" s="214">
        <f t="shared" si="1"/>
        <v>0.42964554242749731</v>
      </c>
      <c r="H24" s="215"/>
      <c r="I24" s="170">
        <f t="shared" ref="I24:I32" si="7">C24/D24*$C$6</f>
        <v>70.833333333333343</v>
      </c>
      <c r="J24" s="214">
        <f t="shared" ref="J24:J29" si="8">D24/D24*$C$6</f>
        <v>100</v>
      </c>
      <c r="M24" s="399"/>
      <c r="N24" s="400"/>
      <c r="O24" s="400"/>
      <c r="P24" s="400"/>
      <c r="Q24" s="400"/>
      <c r="R24" s="400"/>
      <c r="S24" s="400"/>
      <c r="T24" s="400"/>
      <c r="U24" s="400"/>
      <c r="V24" s="400"/>
      <c r="W24" s="401"/>
      <c r="Z24" s="399"/>
      <c r="AA24" s="400"/>
      <c r="AB24" s="400"/>
      <c r="AC24" s="400"/>
      <c r="AD24" s="400"/>
      <c r="AE24" s="400"/>
      <c r="AF24" s="400"/>
      <c r="AG24" s="400"/>
      <c r="AH24" s="400"/>
      <c r="AI24" s="400"/>
      <c r="AJ24" s="400"/>
      <c r="AK24" s="400"/>
      <c r="AL24" s="401"/>
    </row>
    <row r="25" spans="2:38" ht="14.45" customHeight="1" x14ac:dyDescent="0.25">
      <c r="B25" s="172" t="s">
        <v>36</v>
      </c>
      <c r="C25" s="86">
        <v>346</v>
      </c>
      <c r="D25" s="88">
        <v>561</v>
      </c>
      <c r="E25" s="30"/>
      <c r="F25" s="170">
        <f t="shared" si="0"/>
        <v>2.7192706696007543</v>
      </c>
      <c r="G25" s="214">
        <f t="shared" si="1"/>
        <v>5.0214822771213754</v>
      </c>
      <c r="H25" s="215"/>
      <c r="I25" s="170">
        <f t="shared" si="7"/>
        <v>61.675579322638143</v>
      </c>
      <c r="J25" s="214">
        <f t="shared" si="8"/>
        <v>100</v>
      </c>
      <c r="M25" s="399"/>
      <c r="N25" s="400"/>
      <c r="O25" s="400"/>
      <c r="P25" s="400"/>
      <c r="Q25" s="400"/>
      <c r="R25" s="400"/>
      <c r="S25" s="400"/>
      <c r="T25" s="400"/>
      <c r="U25" s="400"/>
      <c r="V25" s="400"/>
      <c r="W25" s="401"/>
      <c r="Z25" s="399"/>
      <c r="AA25" s="400"/>
      <c r="AB25" s="400"/>
      <c r="AC25" s="400"/>
      <c r="AD25" s="400"/>
      <c r="AE25" s="400"/>
      <c r="AF25" s="400"/>
      <c r="AG25" s="400"/>
      <c r="AH25" s="400"/>
      <c r="AI25" s="400"/>
      <c r="AJ25" s="400"/>
      <c r="AK25" s="400"/>
      <c r="AL25" s="401"/>
    </row>
    <row r="26" spans="2:38" ht="14.45" customHeight="1" x14ac:dyDescent="0.25">
      <c r="B26" s="172" t="s">
        <v>37</v>
      </c>
      <c r="C26" s="86">
        <v>1244</v>
      </c>
      <c r="D26" s="88">
        <v>1165</v>
      </c>
      <c r="E26" s="30"/>
      <c r="F26" s="170">
        <f t="shared" si="0"/>
        <v>9.7767997485067593</v>
      </c>
      <c r="G26" s="214">
        <f t="shared" si="1"/>
        <v>10.427855352667383</v>
      </c>
      <c r="H26" s="215"/>
      <c r="I26" s="170">
        <f t="shared" si="7"/>
        <v>106.78111587982832</v>
      </c>
      <c r="J26" s="214">
        <f t="shared" si="8"/>
        <v>100</v>
      </c>
      <c r="M26" s="399"/>
      <c r="N26" s="400"/>
      <c r="O26" s="400"/>
      <c r="P26" s="400"/>
      <c r="Q26" s="400"/>
      <c r="R26" s="400"/>
      <c r="S26" s="400"/>
      <c r="T26" s="400"/>
      <c r="U26" s="400"/>
      <c r="V26" s="400"/>
      <c r="W26" s="401"/>
      <c r="Z26" s="399"/>
      <c r="AA26" s="400"/>
      <c r="AB26" s="400"/>
      <c r="AC26" s="400"/>
      <c r="AD26" s="400"/>
      <c r="AE26" s="400"/>
      <c r="AF26" s="400"/>
      <c r="AG26" s="400"/>
      <c r="AH26" s="400"/>
      <c r="AI26" s="400"/>
      <c r="AJ26" s="400"/>
      <c r="AK26" s="400"/>
      <c r="AL26" s="401"/>
    </row>
    <row r="27" spans="2:38" ht="14.45" customHeight="1" x14ac:dyDescent="0.25">
      <c r="B27" s="172" t="s">
        <v>38</v>
      </c>
      <c r="C27" s="86">
        <v>392</v>
      </c>
      <c r="D27" s="88">
        <v>272</v>
      </c>
      <c r="E27" s="30"/>
      <c r="F27" s="170">
        <f t="shared" si="0"/>
        <v>3.080792203709525</v>
      </c>
      <c r="G27" s="214">
        <f t="shared" si="1"/>
        <v>2.4346580737558181</v>
      </c>
      <c r="H27" s="215"/>
      <c r="I27" s="170">
        <f t="shared" si="7"/>
        <v>144.11764705882354</v>
      </c>
      <c r="J27" s="214">
        <f t="shared" si="8"/>
        <v>100</v>
      </c>
      <c r="M27" s="399"/>
      <c r="N27" s="400"/>
      <c r="O27" s="400"/>
      <c r="P27" s="400"/>
      <c r="Q27" s="400"/>
      <c r="R27" s="400"/>
      <c r="S27" s="400"/>
      <c r="T27" s="400"/>
      <c r="U27" s="400"/>
      <c r="V27" s="400"/>
      <c r="W27" s="401"/>
      <c r="Z27" s="399"/>
      <c r="AA27" s="400"/>
      <c r="AB27" s="400"/>
      <c r="AC27" s="400"/>
      <c r="AD27" s="400"/>
      <c r="AE27" s="400"/>
      <c r="AF27" s="400"/>
      <c r="AG27" s="400"/>
      <c r="AH27" s="400"/>
      <c r="AI27" s="400"/>
      <c r="AJ27" s="400"/>
      <c r="AK27" s="400"/>
      <c r="AL27" s="401"/>
    </row>
    <row r="28" spans="2:38" ht="15" customHeight="1" thickBot="1" x14ac:dyDescent="0.3">
      <c r="B28" s="172" t="s">
        <v>39</v>
      </c>
      <c r="C28" s="92">
        <v>1700</v>
      </c>
      <c r="D28" s="94">
        <v>1682</v>
      </c>
      <c r="E28" s="30"/>
      <c r="F28" s="170">
        <f t="shared" si="0"/>
        <v>13.360578434454574</v>
      </c>
      <c r="G28" s="214">
        <f t="shared" si="1"/>
        <v>15.055495882563552</v>
      </c>
      <c r="H28" s="215"/>
      <c r="I28" s="170">
        <f t="shared" si="7"/>
        <v>101.07015457788347</v>
      </c>
      <c r="J28" s="214">
        <f t="shared" si="8"/>
        <v>100</v>
      </c>
      <c r="M28" s="399"/>
      <c r="N28" s="400"/>
      <c r="O28" s="400"/>
      <c r="P28" s="400"/>
      <c r="Q28" s="400"/>
      <c r="R28" s="400"/>
      <c r="S28" s="400"/>
      <c r="T28" s="400"/>
      <c r="U28" s="400"/>
      <c r="V28" s="400"/>
      <c r="W28" s="401"/>
      <c r="Z28" s="399"/>
      <c r="AA28" s="400"/>
      <c r="AB28" s="400"/>
      <c r="AC28" s="400"/>
      <c r="AD28" s="400"/>
      <c r="AE28" s="400"/>
      <c r="AF28" s="400"/>
      <c r="AG28" s="400"/>
      <c r="AH28" s="400"/>
      <c r="AI28" s="400"/>
      <c r="AJ28" s="400"/>
      <c r="AK28" s="400"/>
      <c r="AL28" s="401"/>
    </row>
    <row r="29" spans="2:38" ht="15" customHeight="1" thickBot="1" x14ac:dyDescent="0.3">
      <c r="B29" s="249" t="s">
        <v>40</v>
      </c>
      <c r="C29" s="237">
        <f>SUM(C24:C28)</f>
        <v>3716</v>
      </c>
      <c r="D29" s="238">
        <f t="shared" ref="D29" si="9">SUM(D24:D28)</f>
        <v>3728</v>
      </c>
      <c r="E29" s="102"/>
      <c r="F29" s="239">
        <f t="shared" si="0"/>
        <v>29.204652624960701</v>
      </c>
      <c r="G29" s="240">
        <f t="shared" si="1"/>
        <v>33.369137128535627</v>
      </c>
      <c r="H29" s="217"/>
      <c r="I29" s="163">
        <f t="shared" si="7"/>
        <v>99.678111587982826</v>
      </c>
      <c r="J29" s="250">
        <f t="shared" si="8"/>
        <v>100</v>
      </c>
      <c r="M29" s="402"/>
      <c r="N29" s="403"/>
      <c r="O29" s="403"/>
      <c r="P29" s="403"/>
      <c r="Q29" s="403"/>
      <c r="R29" s="403"/>
      <c r="S29" s="403"/>
      <c r="T29" s="403"/>
      <c r="U29" s="403"/>
      <c r="V29" s="403"/>
      <c r="W29" s="404"/>
      <c r="Z29" s="402"/>
      <c r="AA29" s="403"/>
      <c r="AB29" s="403"/>
      <c r="AC29" s="403"/>
      <c r="AD29" s="403"/>
      <c r="AE29" s="403"/>
      <c r="AF29" s="403"/>
      <c r="AG29" s="403"/>
      <c r="AH29" s="403"/>
      <c r="AI29" s="403"/>
      <c r="AJ29" s="403"/>
      <c r="AK29" s="403"/>
      <c r="AL29" s="404"/>
    </row>
    <row r="30" spans="2:38" ht="14.45" customHeight="1" x14ac:dyDescent="0.25">
      <c r="B30" s="172" t="s">
        <v>41</v>
      </c>
      <c r="C30" s="86">
        <v>4430</v>
      </c>
      <c r="D30" s="88">
        <v>2815</v>
      </c>
      <c r="E30" s="30"/>
      <c r="F30" s="170">
        <f t="shared" si="0"/>
        <v>34.816095567431624</v>
      </c>
      <c r="G30" s="214">
        <f t="shared" si="1"/>
        <v>25.196920873612605</v>
      </c>
      <c r="H30" s="215"/>
      <c r="I30" s="170">
        <f t="shared" si="7"/>
        <v>157.37122557726465</v>
      </c>
      <c r="J30" s="214">
        <f t="shared" ref="J30:J32" si="10">D30/D30*$C$6</f>
        <v>100</v>
      </c>
    </row>
    <row r="31" spans="2:38" ht="18.75" x14ac:dyDescent="0.3">
      <c r="B31" s="172" t="s">
        <v>29</v>
      </c>
      <c r="C31" s="86">
        <v>252</v>
      </c>
      <c r="D31" s="88">
        <v>108</v>
      </c>
      <c r="E31" s="30"/>
      <c r="F31" s="170">
        <f t="shared" si="0"/>
        <v>1.9805092738132664</v>
      </c>
      <c r="G31" s="214">
        <f t="shared" si="1"/>
        <v>0.96670247046186897</v>
      </c>
      <c r="H31" s="215"/>
      <c r="I31" s="170">
        <f t="shared" si="7"/>
        <v>233.33333333333334</v>
      </c>
      <c r="J31" s="214">
        <f t="shared" si="10"/>
        <v>100</v>
      </c>
      <c r="M31" s="67" t="s">
        <v>273</v>
      </c>
      <c r="N31" s="67"/>
      <c r="O31" s="68"/>
      <c r="Z31" s="67" t="s">
        <v>273</v>
      </c>
    </row>
    <row r="32" spans="2:38" ht="15.75" thickBot="1" x14ac:dyDescent="0.3">
      <c r="B32" s="172" t="s">
        <v>42</v>
      </c>
      <c r="C32" s="92">
        <v>1785</v>
      </c>
      <c r="D32" s="94">
        <v>1704</v>
      </c>
      <c r="E32" s="30"/>
      <c r="F32" s="176">
        <f t="shared" si="0"/>
        <v>14.028607356177304</v>
      </c>
      <c r="G32" s="216">
        <f t="shared" si="1"/>
        <v>15.252416756176155</v>
      </c>
      <c r="H32" s="215"/>
      <c r="I32" s="176">
        <f t="shared" si="7"/>
        <v>104.75352112676057</v>
      </c>
      <c r="J32" s="216">
        <f t="shared" si="10"/>
        <v>100</v>
      </c>
    </row>
    <row r="33" spans="2:38" ht="15.75" thickBot="1" x14ac:dyDescent="0.3">
      <c r="B33" s="249" t="s">
        <v>43</v>
      </c>
      <c r="C33" s="251">
        <f>SUM(C29:C32)</f>
        <v>10183</v>
      </c>
      <c r="D33" s="252">
        <f t="shared" ref="D33" si="11">SUM(D29:D32)</f>
        <v>8355</v>
      </c>
      <c r="E33" s="102"/>
      <c r="F33" s="247">
        <f t="shared" si="0"/>
        <v>80.029864822382905</v>
      </c>
      <c r="G33" s="248">
        <f t="shared" si="1"/>
        <v>74.785177228786253</v>
      </c>
      <c r="H33" s="217"/>
      <c r="I33" s="247">
        <f>C33/D33*C6</f>
        <v>121.87911430281268</v>
      </c>
      <c r="J33" s="248">
        <f>D33/D33*C6</f>
        <v>100</v>
      </c>
      <c r="M33" s="396" t="s">
        <v>274</v>
      </c>
      <c r="N33" s="405"/>
      <c r="O33" s="405"/>
      <c r="P33" s="405"/>
      <c r="Q33" s="405"/>
      <c r="R33" s="405"/>
      <c r="S33" s="405"/>
      <c r="T33" s="405"/>
      <c r="U33" s="405"/>
      <c r="V33" s="405"/>
      <c r="W33" s="406"/>
      <c r="Z33" s="396" t="s">
        <v>278</v>
      </c>
      <c r="AA33" s="397"/>
      <c r="AB33" s="397"/>
      <c r="AC33" s="397"/>
      <c r="AD33" s="397"/>
      <c r="AE33" s="397"/>
      <c r="AF33" s="397"/>
      <c r="AG33" s="397"/>
      <c r="AH33" s="397"/>
      <c r="AI33" s="397"/>
      <c r="AJ33" s="397"/>
      <c r="AK33" s="397"/>
      <c r="AL33" s="398"/>
    </row>
    <row r="34" spans="2:38" x14ac:dyDescent="0.25">
      <c r="B34" s="172" t="s">
        <v>44</v>
      </c>
      <c r="C34" s="86"/>
      <c r="D34" s="88"/>
      <c r="E34" s="30"/>
      <c r="F34" s="170"/>
      <c r="G34" s="214"/>
      <c r="H34" s="215"/>
      <c r="I34" s="174"/>
      <c r="J34" s="225"/>
      <c r="M34" s="407"/>
      <c r="N34" s="408"/>
      <c r="O34" s="408"/>
      <c r="P34" s="408"/>
      <c r="Q34" s="408"/>
      <c r="R34" s="408"/>
      <c r="S34" s="408"/>
      <c r="T34" s="408"/>
      <c r="U34" s="408"/>
      <c r="V34" s="408"/>
      <c r="W34" s="409"/>
      <c r="Z34" s="399"/>
      <c r="AA34" s="400"/>
      <c r="AB34" s="400"/>
      <c r="AC34" s="400"/>
      <c r="AD34" s="400"/>
      <c r="AE34" s="400"/>
      <c r="AF34" s="400"/>
      <c r="AG34" s="400"/>
      <c r="AH34" s="400"/>
      <c r="AI34" s="400"/>
      <c r="AJ34" s="400"/>
      <c r="AK34" s="400"/>
      <c r="AL34" s="401"/>
    </row>
    <row r="35" spans="2:38" x14ac:dyDescent="0.25">
      <c r="B35" s="224" t="s">
        <v>45</v>
      </c>
      <c r="C35" s="86"/>
      <c r="D35" s="88"/>
      <c r="E35" s="30"/>
      <c r="F35" s="170"/>
      <c r="G35" s="214"/>
      <c r="H35" s="215"/>
      <c r="I35" s="170"/>
      <c r="J35" s="214"/>
      <c r="M35" s="407"/>
      <c r="N35" s="408"/>
      <c r="O35" s="408"/>
      <c r="P35" s="408"/>
      <c r="Q35" s="408"/>
      <c r="R35" s="408"/>
      <c r="S35" s="408"/>
      <c r="T35" s="408"/>
      <c r="U35" s="408"/>
      <c r="V35" s="408"/>
      <c r="W35" s="409"/>
      <c r="Z35" s="399"/>
      <c r="AA35" s="400"/>
      <c r="AB35" s="400"/>
      <c r="AC35" s="400"/>
      <c r="AD35" s="400"/>
      <c r="AE35" s="400"/>
      <c r="AF35" s="400"/>
      <c r="AG35" s="400"/>
      <c r="AH35" s="400"/>
      <c r="AI35" s="400"/>
      <c r="AJ35" s="400"/>
      <c r="AK35" s="400"/>
      <c r="AL35" s="401"/>
    </row>
    <row r="36" spans="2:38" x14ac:dyDescent="0.25">
      <c r="B36" s="172" t="s">
        <v>164</v>
      </c>
      <c r="C36" s="86"/>
      <c r="D36" s="88"/>
      <c r="E36" s="30"/>
      <c r="F36" s="170"/>
      <c r="G36" s="214"/>
      <c r="H36" s="215"/>
      <c r="I36" s="170"/>
      <c r="J36" s="214"/>
      <c r="M36" s="407"/>
      <c r="N36" s="408"/>
      <c r="O36" s="408"/>
      <c r="P36" s="408"/>
      <c r="Q36" s="408"/>
      <c r="R36" s="408"/>
      <c r="S36" s="408"/>
      <c r="T36" s="408"/>
      <c r="U36" s="408"/>
      <c r="V36" s="408"/>
      <c r="W36" s="409"/>
      <c r="Z36" s="399"/>
      <c r="AA36" s="400"/>
      <c r="AB36" s="400"/>
      <c r="AC36" s="400"/>
      <c r="AD36" s="400"/>
      <c r="AE36" s="400"/>
      <c r="AF36" s="400"/>
      <c r="AG36" s="400"/>
      <c r="AH36" s="400"/>
      <c r="AI36" s="400"/>
      <c r="AJ36" s="400"/>
      <c r="AK36" s="400"/>
      <c r="AL36" s="401"/>
    </row>
    <row r="37" spans="2:38" x14ac:dyDescent="0.25">
      <c r="B37" s="172" t="s">
        <v>46</v>
      </c>
      <c r="C37" s="86">
        <v>733</v>
      </c>
      <c r="D37" s="88">
        <v>733</v>
      </c>
      <c r="E37" s="30"/>
      <c r="F37" s="170">
        <f t="shared" ref="F37:F47" si="12">C37/$C$21*$C$6</f>
        <v>5.7607670543854139</v>
      </c>
      <c r="G37" s="214">
        <f t="shared" ref="G37:G47" si="13">D37/$D$21*$C$6</f>
        <v>6.5610454708199066</v>
      </c>
      <c r="H37" s="215"/>
      <c r="I37" s="170">
        <f>C37/D37*$C$6</f>
        <v>100</v>
      </c>
      <c r="J37" s="214">
        <f>D37/D37*$C$6</f>
        <v>100</v>
      </c>
      <c r="M37" s="407"/>
      <c r="N37" s="408"/>
      <c r="O37" s="408"/>
      <c r="P37" s="408"/>
      <c r="Q37" s="408"/>
      <c r="R37" s="408"/>
      <c r="S37" s="408"/>
      <c r="T37" s="408"/>
      <c r="U37" s="408"/>
      <c r="V37" s="408"/>
      <c r="W37" s="409"/>
      <c r="Z37" s="399"/>
      <c r="AA37" s="400"/>
      <c r="AB37" s="400"/>
      <c r="AC37" s="400"/>
      <c r="AD37" s="400"/>
      <c r="AE37" s="400"/>
      <c r="AF37" s="400"/>
      <c r="AG37" s="400"/>
      <c r="AH37" s="400"/>
      <c r="AI37" s="400"/>
      <c r="AJ37" s="400"/>
      <c r="AK37" s="400"/>
      <c r="AL37" s="401"/>
    </row>
    <row r="38" spans="2:38" x14ac:dyDescent="0.25">
      <c r="B38" s="172" t="s">
        <v>47</v>
      </c>
      <c r="C38" s="86">
        <v>1336</v>
      </c>
      <c r="D38" s="88">
        <v>1132</v>
      </c>
      <c r="E38" s="30"/>
      <c r="F38" s="170">
        <f t="shared" si="12"/>
        <v>10.4998428167243</v>
      </c>
      <c r="G38" s="214">
        <f t="shared" si="13"/>
        <v>10.132474042248479</v>
      </c>
      <c r="H38" s="215"/>
      <c r="I38" s="170">
        <f t="shared" ref="I38:I40" si="14">C38/D38*$C$6</f>
        <v>118.02120141342756</v>
      </c>
      <c r="J38" s="214">
        <f t="shared" ref="J38:J40" si="15">D38/D38*$C$6</f>
        <v>100</v>
      </c>
      <c r="M38" s="407"/>
      <c r="N38" s="408"/>
      <c r="O38" s="408"/>
      <c r="P38" s="408"/>
      <c r="Q38" s="408"/>
      <c r="R38" s="408"/>
      <c r="S38" s="408"/>
      <c r="T38" s="408"/>
      <c r="U38" s="408"/>
      <c r="V38" s="408"/>
      <c r="W38" s="409"/>
      <c r="Z38" s="399"/>
      <c r="AA38" s="400"/>
      <c r="AB38" s="400"/>
      <c r="AC38" s="400"/>
      <c r="AD38" s="400"/>
      <c r="AE38" s="400"/>
      <c r="AF38" s="400"/>
      <c r="AG38" s="400"/>
      <c r="AH38" s="400"/>
      <c r="AI38" s="400"/>
      <c r="AJ38" s="400"/>
      <c r="AK38" s="400"/>
      <c r="AL38" s="401"/>
    </row>
    <row r="39" spans="2:38" x14ac:dyDescent="0.25">
      <c r="B39" s="172" t="s">
        <v>48</v>
      </c>
      <c r="C39" s="86">
        <v>15649</v>
      </c>
      <c r="D39" s="88">
        <v>14329</v>
      </c>
      <c r="E39" s="30"/>
      <c r="F39" s="170">
        <f t="shared" si="12"/>
        <v>122.98805407104685</v>
      </c>
      <c r="G39" s="214">
        <f t="shared" si="13"/>
        <v>128.25814536340852</v>
      </c>
      <c r="H39" s="215"/>
      <c r="I39" s="170">
        <f t="shared" si="14"/>
        <v>109.21208737525299</v>
      </c>
      <c r="J39" s="214">
        <f t="shared" si="15"/>
        <v>100</v>
      </c>
      <c r="M39" s="407"/>
      <c r="N39" s="408"/>
      <c r="O39" s="408"/>
      <c r="P39" s="408"/>
      <c r="Q39" s="408"/>
      <c r="R39" s="408"/>
      <c r="S39" s="408"/>
      <c r="T39" s="408"/>
      <c r="U39" s="408"/>
      <c r="V39" s="408"/>
      <c r="W39" s="409"/>
      <c r="Z39" s="399"/>
      <c r="AA39" s="400"/>
      <c r="AB39" s="400"/>
      <c r="AC39" s="400"/>
      <c r="AD39" s="400"/>
      <c r="AE39" s="400"/>
      <c r="AF39" s="400"/>
      <c r="AG39" s="400"/>
      <c r="AH39" s="400"/>
      <c r="AI39" s="400"/>
      <c r="AJ39" s="400"/>
      <c r="AK39" s="400"/>
      <c r="AL39" s="401"/>
    </row>
    <row r="40" spans="2:38" ht="15.75" thickBot="1" x14ac:dyDescent="0.3">
      <c r="B40" s="172" t="s">
        <v>49</v>
      </c>
      <c r="C40" s="92">
        <v>-2475</v>
      </c>
      <c r="D40" s="94">
        <v>-2115</v>
      </c>
      <c r="E40" s="30"/>
      <c r="F40" s="176">
        <f t="shared" si="12"/>
        <v>-19.451430367808864</v>
      </c>
      <c r="G40" s="216">
        <f t="shared" si="13"/>
        <v>-18.931256713211599</v>
      </c>
      <c r="H40" s="215"/>
      <c r="I40" s="176">
        <f t="shared" si="14"/>
        <v>117.02127659574468</v>
      </c>
      <c r="J40" s="216">
        <f t="shared" si="15"/>
        <v>100</v>
      </c>
      <c r="M40" s="407"/>
      <c r="N40" s="408"/>
      <c r="O40" s="408"/>
      <c r="P40" s="408"/>
      <c r="Q40" s="408"/>
      <c r="R40" s="408"/>
      <c r="S40" s="408"/>
      <c r="T40" s="408"/>
      <c r="U40" s="408"/>
      <c r="V40" s="408"/>
      <c r="W40" s="409"/>
      <c r="Z40" s="402"/>
      <c r="AA40" s="403"/>
      <c r="AB40" s="403"/>
      <c r="AC40" s="403"/>
      <c r="AD40" s="403"/>
      <c r="AE40" s="403"/>
      <c r="AF40" s="403"/>
      <c r="AG40" s="403"/>
      <c r="AH40" s="403"/>
      <c r="AI40" s="403"/>
      <c r="AJ40" s="403"/>
      <c r="AK40" s="403"/>
      <c r="AL40" s="404"/>
    </row>
    <row r="41" spans="2:38" ht="15.75" thickBot="1" x14ac:dyDescent="0.3">
      <c r="B41" s="172"/>
      <c r="C41" s="86">
        <f>SUM(C37:C40)</f>
        <v>15243</v>
      </c>
      <c r="D41" s="88">
        <f t="shared" ref="D41" si="16">SUM(D37:D40)</f>
        <v>14079</v>
      </c>
      <c r="E41" s="30"/>
      <c r="F41" s="170">
        <f t="shared" si="12"/>
        <v>119.79723357434769</v>
      </c>
      <c r="G41" s="214">
        <f t="shared" si="13"/>
        <v>126.0204081632653</v>
      </c>
      <c r="H41" s="215"/>
      <c r="I41" s="174">
        <f t="shared" ref="I41:I47" si="17">C41/D41*$C$6</f>
        <v>108.26763264436394</v>
      </c>
      <c r="J41" s="225">
        <f>D41/D41*$C$6</f>
        <v>100</v>
      </c>
      <c r="M41" s="410"/>
      <c r="N41" s="411"/>
      <c r="O41" s="411"/>
      <c r="P41" s="411"/>
      <c r="Q41" s="411"/>
      <c r="R41" s="411"/>
      <c r="S41" s="411"/>
      <c r="T41" s="411"/>
      <c r="U41" s="411"/>
      <c r="V41" s="411"/>
      <c r="W41" s="412"/>
    </row>
    <row r="42" spans="2:38" x14ac:dyDescent="0.25">
      <c r="B42" s="172" t="s">
        <v>50</v>
      </c>
      <c r="C42" s="86">
        <v>-60</v>
      </c>
      <c r="D42" s="88">
        <v>-99</v>
      </c>
      <c r="E42" s="30"/>
      <c r="F42" s="170">
        <f t="shared" si="12"/>
        <v>-0.47154982709839671</v>
      </c>
      <c r="G42" s="214">
        <f t="shared" si="13"/>
        <v>-0.8861439312567132</v>
      </c>
      <c r="H42" s="215"/>
      <c r="I42" s="170">
        <f t="shared" si="17"/>
        <v>60.606060606060609</v>
      </c>
      <c r="J42" s="214">
        <f t="shared" ref="J42:J43" si="18">D42/D42*$C$6</f>
        <v>100</v>
      </c>
    </row>
    <row r="43" spans="2:38" ht="15.75" thickBot="1" x14ac:dyDescent="0.3">
      <c r="B43" s="172" t="s">
        <v>51</v>
      </c>
      <c r="C43" s="92">
        <v>-12808</v>
      </c>
      <c r="D43" s="94">
        <v>-11305</v>
      </c>
      <c r="E43" s="30"/>
      <c r="F43" s="176">
        <f t="shared" si="12"/>
        <v>-100.66016975793775</v>
      </c>
      <c r="G43" s="216">
        <f t="shared" si="13"/>
        <v>-101.19047619047619</v>
      </c>
      <c r="H43" s="215"/>
      <c r="I43" s="176">
        <f t="shared" si="17"/>
        <v>113.29500221141089</v>
      </c>
      <c r="J43" s="216">
        <f t="shared" si="18"/>
        <v>100</v>
      </c>
    </row>
    <row r="44" spans="2:38" x14ac:dyDescent="0.25">
      <c r="B44" s="172" t="s">
        <v>52</v>
      </c>
      <c r="C44" s="86">
        <f>SUM(C41:C43)</f>
        <v>2375</v>
      </c>
      <c r="D44" s="88">
        <f t="shared" ref="D44" si="19">SUM(D41:D43)</f>
        <v>2675</v>
      </c>
      <c r="E44" s="30"/>
      <c r="F44" s="170">
        <f t="shared" si="12"/>
        <v>18.665513989311538</v>
      </c>
      <c r="G44" s="214">
        <f t="shared" si="13"/>
        <v>23.9437880415324</v>
      </c>
      <c r="H44" s="215"/>
      <c r="I44" s="170">
        <f t="shared" si="17"/>
        <v>88.785046728971963</v>
      </c>
      <c r="J44" s="214">
        <f>D44/D44*$C$6</f>
        <v>100</v>
      </c>
    </row>
    <row r="45" spans="2:38" ht="15.75" thickBot="1" x14ac:dyDescent="0.3">
      <c r="B45" s="172" t="s">
        <v>53</v>
      </c>
      <c r="C45" s="92">
        <v>166</v>
      </c>
      <c r="D45" s="94">
        <v>142</v>
      </c>
      <c r="E45" s="30"/>
      <c r="F45" s="176">
        <f t="shared" si="12"/>
        <v>1.3046211883055643</v>
      </c>
      <c r="G45" s="216">
        <f t="shared" si="13"/>
        <v>1.2710347296813462</v>
      </c>
      <c r="H45" s="215"/>
      <c r="I45" s="170">
        <f t="shared" si="17"/>
        <v>116.90140845070422</v>
      </c>
      <c r="J45" s="214">
        <f>D45/D45*$C$6</f>
        <v>100</v>
      </c>
    </row>
    <row r="46" spans="2:38" ht="15.75" thickBot="1" x14ac:dyDescent="0.3">
      <c r="B46" s="224" t="s">
        <v>54</v>
      </c>
      <c r="C46" s="226">
        <f>SUM(C44:C45)</f>
        <v>2541</v>
      </c>
      <c r="D46" s="227">
        <f t="shared" ref="D46" si="20">SUM(D44:D45)</f>
        <v>2817</v>
      </c>
      <c r="E46" s="102"/>
      <c r="F46" s="218">
        <f t="shared" si="12"/>
        <v>19.970135177617102</v>
      </c>
      <c r="G46" s="219">
        <f t="shared" si="13"/>
        <v>25.214822771213747</v>
      </c>
      <c r="H46" s="217"/>
      <c r="I46" s="174">
        <f t="shared" si="17"/>
        <v>90.202342917997868</v>
      </c>
      <c r="J46" s="225">
        <f>D46/D46*$C$6</f>
        <v>100</v>
      </c>
    </row>
    <row r="47" spans="2:38" ht="15.75" thickBot="1" x14ac:dyDescent="0.3">
      <c r="B47" s="228" t="s">
        <v>55</v>
      </c>
      <c r="C47" s="220">
        <f>C33+C46</f>
        <v>12724</v>
      </c>
      <c r="D47" s="221">
        <f>D33+D46</f>
        <v>11172</v>
      </c>
      <c r="E47" s="102"/>
      <c r="F47" s="222">
        <f t="shared" si="12"/>
        <v>100</v>
      </c>
      <c r="G47" s="223">
        <f t="shared" si="13"/>
        <v>100</v>
      </c>
      <c r="H47" s="102"/>
      <c r="I47" s="229">
        <f t="shared" si="17"/>
        <v>113.89187253848907</v>
      </c>
      <c r="J47" s="230">
        <f>D47/D47*$C$6</f>
        <v>100</v>
      </c>
      <c r="K47" s="64"/>
      <c r="L47" s="64"/>
      <c r="M47" s="44"/>
    </row>
    <row r="48" spans="2:38" ht="15.75" thickTop="1" x14ac:dyDescent="0.25">
      <c r="K48" s="44"/>
      <c r="L48" s="44"/>
    </row>
  </sheetData>
  <mergeCells count="14">
    <mergeCell ref="F1:K1"/>
    <mergeCell ref="M1:S1"/>
    <mergeCell ref="M5:W10"/>
    <mergeCell ref="M12:W14"/>
    <mergeCell ref="M16:W17"/>
    <mergeCell ref="F6:G6"/>
    <mergeCell ref="I6:J6"/>
    <mergeCell ref="F4:K4"/>
    <mergeCell ref="Z1:AF1"/>
    <mergeCell ref="Z5:AL14"/>
    <mergeCell ref="Z19:AL29"/>
    <mergeCell ref="Z33:AL40"/>
    <mergeCell ref="M21:W29"/>
    <mergeCell ref="M33:W41"/>
  </mergeCells>
  <phoneticPr fontId="4"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S39"/>
  <sheetViews>
    <sheetView tabSelected="1" zoomScale="85" zoomScaleNormal="85" workbookViewId="0">
      <selection activeCell="B1" sqref="B1:F2"/>
    </sheetView>
  </sheetViews>
  <sheetFormatPr defaultRowHeight="15" x14ac:dyDescent="0.25"/>
  <cols>
    <col min="2" max="2" width="26.85546875" customWidth="1"/>
    <col min="3" max="3" width="27.140625" bestFit="1" customWidth="1"/>
    <col min="4" max="4" width="40.28515625" bestFit="1" customWidth="1"/>
    <col min="5" max="5" width="9.140625" bestFit="1" customWidth="1"/>
    <col min="6" max="6" width="12.28515625" bestFit="1" customWidth="1"/>
    <col min="7" max="7" width="7.140625" bestFit="1" customWidth="1"/>
    <col min="8" max="8" width="9" bestFit="1" customWidth="1"/>
    <col min="9" max="9" width="10.140625" customWidth="1"/>
  </cols>
  <sheetData>
    <row r="1" spans="2:19" ht="24" customHeight="1" thickBot="1" x14ac:dyDescent="0.3">
      <c r="B1" s="464" t="s">
        <v>167</v>
      </c>
      <c r="C1" s="464"/>
      <c r="D1" s="464"/>
      <c r="E1" s="464"/>
      <c r="F1" s="464"/>
      <c r="J1" s="460" t="s">
        <v>201</v>
      </c>
      <c r="K1" s="461"/>
      <c r="L1" s="462"/>
    </row>
    <row r="2" spans="2:19" ht="15" customHeight="1" thickBot="1" x14ac:dyDescent="0.3">
      <c r="B2" s="465"/>
      <c r="C2" s="465"/>
      <c r="D2" s="465"/>
      <c r="E2" s="465"/>
      <c r="F2" s="465"/>
    </row>
    <row r="3" spans="2:19" ht="19.5" thickBot="1" x14ac:dyDescent="0.3">
      <c r="B3" s="471" t="s">
        <v>91</v>
      </c>
      <c r="C3" s="472"/>
      <c r="D3" s="460" t="s">
        <v>171</v>
      </c>
      <c r="E3" s="461"/>
      <c r="F3" s="462"/>
      <c r="H3" s="463" t="s">
        <v>294</v>
      </c>
      <c r="I3" s="463"/>
      <c r="J3" s="367" t="s">
        <v>295</v>
      </c>
      <c r="K3" s="368"/>
      <c r="L3" s="368"/>
      <c r="M3" s="368"/>
      <c r="N3" s="368"/>
      <c r="O3" s="368"/>
      <c r="P3" s="368"/>
      <c r="Q3" s="368"/>
      <c r="R3" s="368"/>
      <c r="S3" s="369"/>
    </row>
    <row r="4" spans="2:19" ht="18.75" x14ac:dyDescent="0.3">
      <c r="B4" s="473"/>
      <c r="C4" s="474"/>
      <c r="D4" s="466" t="s">
        <v>92</v>
      </c>
      <c r="E4" s="254" t="s">
        <v>93</v>
      </c>
      <c r="F4" s="255" t="s">
        <v>93</v>
      </c>
      <c r="J4" s="370"/>
      <c r="K4" s="371"/>
      <c r="L4" s="371"/>
      <c r="M4" s="371"/>
      <c r="N4" s="371"/>
      <c r="O4" s="371"/>
      <c r="P4" s="371"/>
      <c r="Q4" s="371"/>
      <c r="R4" s="371"/>
      <c r="S4" s="372"/>
    </row>
    <row r="5" spans="2:19" ht="19.5" thickBot="1" x14ac:dyDescent="0.35">
      <c r="B5" s="475"/>
      <c r="C5" s="476"/>
      <c r="D5" s="467"/>
      <c r="E5" s="256">
        <v>2011</v>
      </c>
      <c r="F5" s="257">
        <v>2010</v>
      </c>
      <c r="J5" s="370"/>
      <c r="K5" s="371"/>
      <c r="L5" s="371"/>
      <c r="M5" s="371"/>
      <c r="N5" s="371"/>
      <c r="O5" s="371"/>
      <c r="P5" s="371"/>
      <c r="Q5" s="371"/>
      <c r="R5" s="371"/>
      <c r="S5" s="372"/>
    </row>
    <row r="6" spans="2:19" x14ac:dyDescent="0.25">
      <c r="B6" s="470" t="s">
        <v>94</v>
      </c>
      <c r="C6" s="16" t="s">
        <v>95</v>
      </c>
      <c r="D6" s="5" t="s">
        <v>96</v>
      </c>
      <c r="E6" s="36">
        <f>'BS (Ver &amp; Horz)'!C14/'BS (Ver &amp; Horz)'!C29</f>
        <v>1.1846071044133477</v>
      </c>
      <c r="F6" s="45">
        <f>'BS (Ver &amp; Horz)'!D14/'BS (Ver &amp; Horz)'!D29</f>
        <v>1.0005364806866952</v>
      </c>
      <c r="J6" s="370"/>
      <c r="K6" s="371"/>
      <c r="L6" s="371"/>
      <c r="M6" s="371"/>
      <c r="N6" s="371"/>
      <c r="O6" s="371"/>
      <c r="P6" s="371"/>
      <c r="Q6" s="371"/>
      <c r="R6" s="371"/>
      <c r="S6" s="372"/>
    </row>
    <row r="7" spans="2:19" ht="15.75" thickBot="1" x14ac:dyDescent="0.3">
      <c r="B7" s="469"/>
      <c r="C7" s="2" t="s">
        <v>172</v>
      </c>
      <c r="D7" s="35" t="s">
        <v>173</v>
      </c>
      <c r="E7" s="37">
        <f>('BS (Ver &amp; Horz)'!C14-'BS (Ver &amp; Horz)'!C12)/'BS (Ver &amp; Horz)'!C29</f>
        <v>0.82750269106566199</v>
      </c>
      <c r="F7" s="46">
        <f>('BS (Ver &amp; Horz)'!D14-'BS (Ver &amp; Horz)'!D12)/'BS (Ver &amp; Horz)'!D29</f>
        <v>0.67274678111587982</v>
      </c>
      <c r="J7" s="373"/>
      <c r="K7" s="374"/>
      <c r="L7" s="374"/>
      <c r="M7" s="374"/>
      <c r="N7" s="374"/>
      <c r="O7" s="374"/>
      <c r="P7" s="374"/>
      <c r="Q7" s="374"/>
      <c r="R7" s="374"/>
      <c r="S7" s="375"/>
    </row>
    <row r="8" spans="2:19" x14ac:dyDescent="0.25">
      <c r="B8" s="468" t="s">
        <v>174</v>
      </c>
      <c r="C8" s="4" t="s">
        <v>97</v>
      </c>
      <c r="D8" s="1" t="s">
        <v>98</v>
      </c>
      <c r="E8" s="15">
        <f>'P&amp;L (Vertical)'!C18/'P&amp;L (Vertical)'!C7</f>
        <v>0.14527309668937494</v>
      </c>
      <c r="F8" s="47">
        <f>'P&amp;L (Vertical)'!D18/'P&amp;L (Vertical)'!D7</f>
        <v>0.14154459007967105</v>
      </c>
    </row>
    <row r="9" spans="2:19" ht="15.75" thickBot="1" x14ac:dyDescent="0.3">
      <c r="B9" s="468"/>
      <c r="C9" s="6" t="s">
        <v>99</v>
      </c>
      <c r="D9" s="8" t="s">
        <v>100</v>
      </c>
      <c r="E9" s="7">
        <f>'P&amp;L (Vertical)'!C9/'P&amp;L (Vertical)'!C7</f>
        <v>0.57308473765985424</v>
      </c>
      <c r="F9" s="48">
        <f>'P&amp;L (Vertical)'!D9/'P&amp;L (Vertical)'!D7</f>
        <v>0.59136468774094064</v>
      </c>
    </row>
    <row r="10" spans="2:19" ht="15.75" x14ac:dyDescent="0.25">
      <c r="B10" s="468"/>
      <c r="C10" s="6" t="s">
        <v>101</v>
      </c>
      <c r="D10" s="8" t="s">
        <v>102</v>
      </c>
      <c r="E10" s="24">
        <f>'P&amp;L (Vertical)'!C18/'BS (Ver &amp; Horz)'!C21</f>
        <v>0.19105627161270042</v>
      </c>
      <c r="F10" s="49">
        <f>'P&amp;L (Vertical)'!D18/'BS (Ver &amp; Horz)'!D21</f>
        <v>0.19718940207662011</v>
      </c>
      <c r="H10" s="429" t="s">
        <v>296</v>
      </c>
      <c r="I10" s="429"/>
      <c r="J10" s="442" t="s">
        <v>297</v>
      </c>
      <c r="K10" s="443"/>
      <c r="L10" s="443"/>
      <c r="M10" s="443"/>
      <c r="N10" s="443"/>
      <c r="O10" s="443"/>
      <c r="P10" s="443"/>
      <c r="Q10" s="443"/>
      <c r="R10" s="443"/>
      <c r="S10" s="444"/>
    </row>
    <row r="11" spans="2:19" x14ac:dyDescent="0.25">
      <c r="B11" s="468"/>
      <c r="C11" s="6" t="s">
        <v>103</v>
      </c>
      <c r="D11" s="8" t="s">
        <v>104</v>
      </c>
      <c r="E11" s="25">
        <f>'P&amp;L (Vertical)'!C14/'BS (Ver &amp; Horz)'!C21</f>
        <v>0.29778371581263752</v>
      </c>
      <c r="F11" s="50">
        <f>'P&amp;L (Vertical)'!D14/'BS (Ver &amp; Horz)'!D21</f>
        <v>0.30701754385964913</v>
      </c>
      <c r="J11" s="445"/>
      <c r="K11" s="446"/>
      <c r="L11" s="446"/>
      <c r="M11" s="446"/>
      <c r="N11" s="446"/>
      <c r="O11" s="446"/>
      <c r="P11" s="446"/>
      <c r="Q11" s="446"/>
      <c r="R11" s="446"/>
      <c r="S11" s="447"/>
    </row>
    <row r="12" spans="2:19" x14ac:dyDescent="0.25">
      <c r="B12" s="468"/>
      <c r="C12" s="6" t="s">
        <v>105</v>
      </c>
      <c r="D12" s="8" t="s">
        <v>106</v>
      </c>
      <c r="E12" s="24">
        <f>'P&amp;L (Vertical)'!C18/'BS (Ver &amp; Horz)'!C46</f>
        <v>0.95670995670995673</v>
      </c>
      <c r="F12" s="49">
        <f>'P&amp;L (Vertical)'!D18/'BS (Ver &amp; Horz)'!D46</f>
        <v>0.78203762868299609</v>
      </c>
      <c r="J12" s="445"/>
      <c r="K12" s="446"/>
      <c r="L12" s="446"/>
      <c r="M12" s="446"/>
      <c r="N12" s="446"/>
      <c r="O12" s="446"/>
      <c r="P12" s="446"/>
      <c r="Q12" s="446"/>
      <c r="R12" s="446"/>
      <c r="S12" s="447"/>
    </row>
    <row r="13" spans="2:19" ht="15.75" thickBot="1" x14ac:dyDescent="0.3">
      <c r="B13" s="469"/>
      <c r="C13" s="9" t="s">
        <v>107</v>
      </c>
      <c r="D13" s="10" t="s">
        <v>108</v>
      </c>
      <c r="E13" s="26">
        <f>('P&amp;L (Vertical)'!C14-'P&amp;L (Vertical)'!C15)/'BS (Ver &amp; Horz)'!C21</f>
        <v>0.20072304306821753</v>
      </c>
      <c r="F13" s="51">
        <f>('P&amp;L (Vertical)'!D14-'P&amp;L (Vertical)'!D15)/'BS (Ver &amp; Horz)'!D21</f>
        <v>0.20703544575725027</v>
      </c>
      <c r="J13" s="445"/>
      <c r="K13" s="446"/>
      <c r="L13" s="446"/>
      <c r="M13" s="446"/>
      <c r="N13" s="446"/>
      <c r="O13" s="446"/>
      <c r="P13" s="446"/>
      <c r="Q13" s="446"/>
      <c r="R13" s="446"/>
      <c r="S13" s="447"/>
    </row>
    <row r="14" spans="2:19" x14ac:dyDescent="0.25">
      <c r="B14" s="470" t="s">
        <v>109</v>
      </c>
      <c r="C14" s="5" t="s">
        <v>110</v>
      </c>
      <c r="D14" s="16" t="s">
        <v>111</v>
      </c>
      <c r="E14" s="19">
        <f>'P&amp;L (Vertical)'!C7/'BS (Ver &amp; Horz)'!C21</f>
        <v>1.3151524677774284</v>
      </c>
      <c r="F14" s="52">
        <f>'P&amp;L (Vertical)'!D7/'BS (Ver &amp; Horz)'!D21</f>
        <v>1.3931256713211599</v>
      </c>
      <c r="J14" s="445"/>
      <c r="K14" s="446"/>
      <c r="L14" s="446"/>
      <c r="M14" s="446"/>
      <c r="N14" s="446"/>
      <c r="O14" s="446"/>
      <c r="P14" s="446"/>
      <c r="Q14" s="446"/>
      <c r="R14" s="446"/>
      <c r="S14" s="447"/>
    </row>
    <row r="15" spans="2:19" x14ac:dyDescent="0.25">
      <c r="B15" s="468"/>
      <c r="C15" s="6" t="s">
        <v>112</v>
      </c>
      <c r="D15" s="8" t="s">
        <v>113</v>
      </c>
      <c r="E15" s="21">
        <f>'P&amp;L (Vertical)'!C7/'BS (Ver &amp; Horz)'!C20</f>
        <v>2.0108147080028838</v>
      </c>
      <c r="F15" s="53">
        <f>'P&amp;L (Vertical)'!D7/'BS (Ver &amp; Horz)'!D20</f>
        <v>2.0913732867508736</v>
      </c>
      <c r="J15" s="445"/>
      <c r="K15" s="446"/>
      <c r="L15" s="446"/>
      <c r="M15" s="446"/>
      <c r="N15" s="446"/>
      <c r="O15" s="446"/>
      <c r="P15" s="446"/>
      <c r="Q15" s="446"/>
      <c r="R15" s="446"/>
      <c r="S15" s="447"/>
    </row>
    <row r="16" spans="2:19" x14ac:dyDescent="0.25">
      <c r="B16" s="468"/>
      <c r="C16" s="6" t="s">
        <v>114</v>
      </c>
      <c r="D16" s="8" t="s">
        <v>115</v>
      </c>
      <c r="E16" s="17">
        <f>'P&amp;L (Vertical)'!C7/('BS (Ver &amp; Horz)'!C14-'BS (Ver &amp; Horz)'!C29)</f>
        <v>24.393586005830905</v>
      </c>
      <c r="F16" s="54">
        <f>'P&amp;L (Vertical)'!D7/('BS (Ver &amp; Horz)'!D14-'BS (Ver &amp; Horz)'!D29)</f>
        <v>7782</v>
      </c>
      <c r="J16" s="445"/>
      <c r="K16" s="446"/>
      <c r="L16" s="446"/>
      <c r="M16" s="446"/>
      <c r="N16" s="446"/>
      <c r="O16" s="446"/>
      <c r="P16" s="446"/>
      <c r="Q16" s="446"/>
      <c r="R16" s="446"/>
      <c r="S16" s="447"/>
    </row>
    <row r="17" spans="2:19" x14ac:dyDescent="0.25">
      <c r="B17" s="468"/>
      <c r="C17" s="6" t="s">
        <v>116</v>
      </c>
      <c r="D17" s="8" t="s">
        <v>117</v>
      </c>
      <c r="E17" s="18">
        <f>'P&amp;L (Vertical)'!C7/'BS (Ver &amp; Horz)'!C11</f>
        <v>9.9904477611940301</v>
      </c>
      <c r="F17" s="55">
        <f>'P&amp;L (Vertical)'!D7/'BS (Ver &amp; Horz)'!D11</f>
        <v>9.6670807453416145</v>
      </c>
      <c r="J17" s="445"/>
      <c r="K17" s="446"/>
      <c r="L17" s="446"/>
      <c r="M17" s="446"/>
      <c r="N17" s="446"/>
      <c r="O17" s="446"/>
      <c r="P17" s="446"/>
      <c r="Q17" s="446"/>
      <c r="R17" s="446"/>
      <c r="S17" s="447"/>
    </row>
    <row r="18" spans="2:19" ht="15.75" thickBot="1" x14ac:dyDescent="0.3">
      <c r="B18" s="468"/>
      <c r="C18" s="6" t="s">
        <v>118</v>
      </c>
      <c r="D18" s="8" t="s">
        <v>119</v>
      </c>
      <c r="E18" s="20">
        <f>360/E17</f>
        <v>36.034420939404804</v>
      </c>
      <c r="F18" s="56">
        <f t="shared" ref="F18" si="0">360/F17</f>
        <v>37.239784117193523</v>
      </c>
      <c r="J18" s="445"/>
      <c r="K18" s="446"/>
      <c r="L18" s="446"/>
      <c r="M18" s="446"/>
      <c r="N18" s="446"/>
      <c r="O18" s="446"/>
      <c r="P18" s="446"/>
      <c r="Q18" s="446"/>
      <c r="R18" s="446"/>
      <c r="S18" s="447"/>
    </row>
    <row r="19" spans="2:19" ht="15.75" thickBot="1" x14ac:dyDescent="0.3">
      <c r="B19" s="470" t="s">
        <v>180</v>
      </c>
      <c r="C19" s="5" t="s">
        <v>175</v>
      </c>
      <c r="D19" s="16" t="s">
        <v>177</v>
      </c>
      <c r="E19" s="22">
        <f>'BS (Ver &amp; Horz)'!C33/'BS (Ver &amp; Horz)'!C46</f>
        <v>4.007477371113735</v>
      </c>
      <c r="F19" s="57">
        <f>'BS (Ver &amp; Horz)'!D33/'BS (Ver &amp; Horz)'!D46</f>
        <v>2.9659211927582536</v>
      </c>
      <c r="J19" s="448"/>
      <c r="K19" s="449"/>
      <c r="L19" s="449"/>
      <c r="M19" s="449"/>
      <c r="N19" s="449"/>
      <c r="O19" s="449"/>
      <c r="P19" s="449"/>
      <c r="Q19" s="449"/>
      <c r="R19" s="449"/>
      <c r="S19" s="450"/>
    </row>
    <row r="20" spans="2:19" x14ac:dyDescent="0.25">
      <c r="B20" s="468"/>
      <c r="C20" s="6" t="s">
        <v>120</v>
      </c>
      <c r="D20" s="8" t="s">
        <v>178</v>
      </c>
      <c r="E20" s="20">
        <f>SUM('BS (Ver &amp; Horz)'!C30:C32)/'BS (Ver &amp; Horz)'!C46</f>
        <v>2.5450609996064539</v>
      </c>
      <c r="F20" s="56">
        <f>SUM('BS (Ver &amp; Horz)'!D30:D32)/'BS (Ver &amp; Horz)'!D46</f>
        <v>1.6425275115370963</v>
      </c>
    </row>
    <row r="21" spans="2:19" ht="15.75" thickBot="1" x14ac:dyDescent="0.3">
      <c r="B21" s="469"/>
      <c r="C21" s="9" t="s">
        <v>176</v>
      </c>
      <c r="D21" s="10" t="s">
        <v>179</v>
      </c>
      <c r="E21" s="14">
        <f>'BS (Ver &amp; Horz)'!C21/'BS (Ver &amp; Horz)'!C46</f>
        <v>5.007477371113735</v>
      </c>
      <c r="F21" s="58">
        <f>'BS (Ver &amp; Horz)'!D21/'BS (Ver &amp; Horz)'!D46</f>
        <v>3.9659211927582536</v>
      </c>
    </row>
    <row r="22" spans="2:19" ht="15" customHeight="1" thickBot="1" x14ac:dyDescent="0.3">
      <c r="B22" s="211" t="s">
        <v>181</v>
      </c>
      <c r="C22" s="13" t="s">
        <v>121</v>
      </c>
      <c r="D22" s="3" t="s">
        <v>122</v>
      </c>
      <c r="E22" s="23">
        <f>'P&amp;L (Vertical)'!C14/'P&amp;L (Vertical)'!C13</f>
        <v>72.865384615384613</v>
      </c>
      <c r="F22" s="59">
        <f>'P&amp;L (Vertical)'!D14/'P&amp;L (Vertical)'!D13</f>
        <v>58.135593220338983</v>
      </c>
      <c r="H22" s="429" t="s">
        <v>298</v>
      </c>
      <c r="I22" s="429"/>
      <c r="J22" s="451" t="s">
        <v>299</v>
      </c>
      <c r="K22" s="452"/>
      <c r="L22" s="452"/>
      <c r="M22" s="452"/>
      <c r="N22" s="452"/>
      <c r="O22" s="452"/>
      <c r="P22" s="452"/>
      <c r="Q22" s="452"/>
      <c r="R22" s="452"/>
      <c r="S22" s="453"/>
    </row>
    <row r="23" spans="2:19" ht="14.45" customHeight="1" thickBot="1" x14ac:dyDescent="0.3">
      <c r="B23" s="258" t="s">
        <v>183</v>
      </c>
      <c r="C23" s="29" t="s">
        <v>185</v>
      </c>
      <c r="D23" s="60" t="s">
        <v>186</v>
      </c>
      <c r="E23" s="27">
        <f>92.39/'P&amp;L (Vertical)'!C19</f>
        <v>18.552208835341364</v>
      </c>
      <c r="F23" s="28">
        <f>92.39/'P&amp;L (Vertical)'!D19</f>
        <v>20.761797752808988</v>
      </c>
      <c r="J23" s="454"/>
      <c r="K23" s="455"/>
      <c r="L23" s="455"/>
      <c r="M23" s="455"/>
      <c r="N23" s="455"/>
      <c r="O23" s="455"/>
      <c r="P23" s="455"/>
      <c r="Q23" s="455"/>
      <c r="R23" s="455"/>
      <c r="S23" s="456"/>
    </row>
    <row r="24" spans="2:19" x14ac:dyDescent="0.25">
      <c r="J24" s="454"/>
      <c r="K24" s="455"/>
      <c r="L24" s="455"/>
      <c r="M24" s="455"/>
      <c r="N24" s="455"/>
      <c r="O24" s="455"/>
      <c r="P24" s="455"/>
      <c r="Q24" s="455"/>
      <c r="R24" s="455"/>
      <c r="S24" s="456"/>
    </row>
    <row r="25" spans="2:19" x14ac:dyDescent="0.25">
      <c r="J25" s="454"/>
      <c r="K25" s="455"/>
      <c r="L25" s="455"/>
      <c r="M25" s="455"/>
      <c r="N25" s="455"/>
      <c r="O25" s="455"/>
      <c r="P25" s="455"/>
      <c r="Q25" s="455"/>
      <c r="R25" s="455"/>
      <c r="S25" s="456"/>
    </row>
    <row r="26" spans="2:19" ht="15.75" thickBot="1" x14ac:dyDescent="0.3">
      <c r="J26" s="457"/>
      <c r="K26" s="458"/>
      <c r="L26" s="458"/>
      <c r="M26" s="458"/>
      <c r="N26" s="458"/>
      <c r="O26" s="458"/>
      <c r="P26" s="458"/>
      <c r="Q26" s="458"/>
      <c r="R26" s="458"/>
      <c r="S26" s="459"/>
    </row>
    <row r="27" spans="2:19" ht="15.75" thickBot="1" x14ac:dyDescent="0.3"/>
    <row r="28" spans="2:19" ht="15.75" x14ac:dyDescent="0.25">
      <c r="H28" s="69" t="s">
        <v>300</v>
      </c>
      <c r="J28" s="442" t="s">
        <v>301</v>
      </c>
      <c r="K28" s="443"/>
      <c r="L28" s="443"/>
      <c r="M28" s="443"/>
      <c r="N28" s="443"/>
      <c r="O28" s="443"/>
      <c r="P28" s="443"/>
      <c r="Q28" s="443"/>
      <c r="R28" s="443"/>
      <c r="S28" s="444"/>
    </row>
    <row r="29" spans="2:19" x14ac:dyDescent="0.25">
      <c r="J29" s="445"/>
      <c r="K29" s="446"/>
      <c r="L29" s="446"/>
      <c r="M29" s="446"/>
      <c r="N29" s="446"/>
      <c r="O29" s="446"/>
      <c r="P29" s="446"/>
      <c r="Q29" s="446"/>
      <c r="R29" s="446"/>
      <c r="S29" s="447"/>
    </row>
    <row r="30" spans="2:19" x14ac:dyDescent="0.25">
      <c r="J30" s="445"/>
      <c r="K30" s="446"/>
      <c r="L30" s="446"/>
      <c r="M30" s="446"/>
      <c r="N30" s="446"/>
      <c r="O30" s="446"/>
      <c r="P30" s="446"/>
      <c r="Q30" s="446"/>
      <c r="R30" s="446"/>
      <c r="S30" s="447"/>
    </row>
    <row r="31" spans="2:19" x14ac:dyDescent="0.25">
      <c r="J31" s="445"/>
      <c r="K31" s="446"/>
      <c r="L31" s="446"/>
      <c r="M31" s="446"/>
      <c r="N31" s="446"/>
      <c r="O31" s="446"/>
      <c r="P31" s="446"/>
      <c r="Q31" s="446"/>
      <c r="R31" s="446"/>
      <c r="S31" s="447"/>
    </row>
    <row r="32" spans="2:19" x14ac:dyDescent="0.25">
      <c r="J32" s="445"/>
      <c r="K32" s="446"/>
      <c r="L32" s="446"/>
      <c r="M32" s="446"/>
      <c r="N32" s="446"/>
      <c r="O32" s="446"/>
      <c r="P32" s="446"/>
      <c r="Q32" s="446"/>
      <c r="R32" s="446"/>
      <c r="S32" s="447"/>
    </row>
    <row r="33" spans="8:19" ht="15.75" thickBot="1" x14ac:dyDescent="0.3">
      <c r="J33" s="448"/>
      <c r="K33" s="449"/>
      <c r="L33" s="449"/>
      <c r="M33" s="449"/>
      <c r="N33" s="449"/>
      <c r="O33" s="449"/>
      <c r="P33" s="449"/>
      <c r="Q33" s="449"/>
      <c r="R33" s="449"/>
      <c r="S33" s="450"/>
    </row>
    <row r="34" spans="8:19" ht="15.75" thickBot="1" x14ac:dyDescent="0.3"/>
    <row r="35" spans="8:19" ht="15.75" x14ac:dyDescent="0.25">
      <c r="H35" s="429" t="s">
        <v>302</v>
      </c>
      <c r="I35" s="429"/>
      <c r="J35" s="430" t="s">
        <v>303</v>
      </c>
      <c r="K35" s="431"/>
      <c r="L35" s="431"/>
      <c r="M35" s="431"/>
      <c r="N35" s="431"/>
      <c r="O35" s="431"/>
      <c r="P35" s="431"/>
      <c r="Q35" s="431"/>
      <c r="R35" s="431"/>
      <c r="S35" s="432"/>
    </row>
    <row r="36" spans="8:19" ht="15.75" thickBot="1" x14ac:dyDescent="0.3">
      <c r="J36" s="433"/>
      <c r="K36" s="434"/>
      <c r="L36" s="434"/>
      <c r="M36" s="434"/>
      <c r="N36" s="434"/>
      <c r="O36" s="434"/>
      <c r="P36" s="434"/>
      <c r="Q36" s="434"/>
      <c r="R36" s="434"/>
      <c r="S36" s="435"/>
    </row>
    <row r="37" spans="8:19" ht="15.75" thickBot="1" x14ac:dyDescent="0.3"/>
    <row r="38" spans="8:19" ht="15.75" x14ac:dyDescent="0.25">
      <c r="H38" s="429" t="s">
        <v>304</v>
      </c>
      <c r="I38" s="429"/>
      <c r="J38" s="436" t="s">
        <v>306</v>
      </c>
      <c r="K38" s="437"/>
      <c r="L38" s="437"/>
      <c r="M38" s="437"/>
      <c r="N38" s="437"/>
      <c r="O38" s="437"/>
      <c r="P38" s="437"/>
      <c r="Q38" s="437"/>
      <c r="R38" s="437"/>
      <c r="S38" s="438"/>
    </row>
    <row r="39" spans="8:19" ht="15.75" thickBot="1" x14ac:dyDescent="0.3">
      <c r="J39" s="439"/>
      <c r="K39" s="440"/>
      <c r="L39" s="440"/>
      <c r="M39" s="440"/>
      <c r="N39" s="440"/>
      <c r="O39" s="440"/>
      <c r="P39" s="440"/>
      <c r="Q39" s="440"/>
      <c r="R39" s="440"/>
      <c r="S39" s="441"/>
    </row>
  </sheetData>
  <mergeCells count="20">
    <mergeCell ref="B14:B18"/>
    <mergeCell ref="B19:B21"/>
    <mergeCell ref="B6:B7"/>
    <mergeCell ref="B3:C5"/>
    <mergeCell ref="D3:F3"/>
    <mergeCell ref="J1:L1"/>
    <mergeCell ref="H3:I3"/>
    <mergeCell ref="J3:S7"/>
    <mergeCell ref="H10:I10"/>
    <mergeCell ref="B1:F2"/>
    <mergeCell ref="D4:D5"/>
    <mergeCell ref="B8:B13"/>
    <mergeCell ref="H35:I35"/>
    <mergeCell ref="J35:S36"/>
    <mergeCell ref="H38:I38"/>
    <mergeCell ref="J38:S39"/>
    <mergeCell ref="J10:S19"/>
    <mergeCell ref="H22:I22"/>
    <mergeCell ref="J22:S26"/>
    <mergeCell ref="J28:S3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S45"/>
  <sheetViews>
    <sheetView zoomScale="70" zoomScaleNormal="70" workbookViewId="0">
      <selection activeCell="W28" sqref="W28"/>
    </sheetView>
  </sheetViews>
  <sheetFormatPr defaultRowHeight="15" x14ac:dyDescent="0.25"/>
  <cols>
    <col min="3" max="3" width="88.5703125" bestFit="1" customWidth="1"/>
    <col min="9" max="9" width="9.5703125" bestFit="1" customWidth="1"/>
  </cols>
  <sheetData>
    <row r="1" spans="1:18" ht="21.75" thickBot="1" x14ac:dyDescent="0.4">
      <c r="A1" s="482" t="s">
        <v>160</v>
      </c>
      <c r="B1" s="483"/>
      <c r="C1" s="322" t="s">
        <v>12</v>
      </c>
      <c r="D1" s="323"/>
      <c r="E1" s="323"/>
      <c r="F1" s="324"/>
      <c r="G1" s="11"/>
      <c r="H1" s="492" t="s">
        <v>201</v>
      </c>
      <c r="I1" s="492"/>
      <c r="J1" s="492"/>
      <c r="K1" s="74"/>
    </row>
    <row r="2" spans="1:18" ht="15.75" thickBot="1" x14ac:dyDescent="0.3">
      <c r="C2" s="322"/>
      <c r="D2" s="323"/>
      <c r="E2" s="323"/>
      <c r="F2" s="324"/>
      <c r="I2" s="11"/>
    </row>
    <row r="3" spans="1:18" ht="16.5" thickBot="1" x14ac:dyDescent="0.3">
      <c r="C3" s="322" t="s">
        <v>14</v>
      </c>
      <c r="D3" s="323"/>
      <c r="E3" s="323"/>
      <c r="F3" s="324"/>
      <c r="H3" s="477" t="s">
        <v>307</v>
      </c>
      <c r="I3" s="477"/>
      <c r="J3" s="477"/>
    </row>
    <row r="4" spans="1:18" ht="15.75" thickBot="1" x14ac:dyDescent="0.3">
      <c r="C4" s="322" t="s">
        <v>15</v>
      </c>
      <c r="D4" s="349"/>
      <c r="E4" s="349"/>
      <c r="F4" s="350"/>
    </row>
    <row r="5" spans="1:18" ht="15.75" thickBot="1" x14ac:dyDescent="0.3">
      <c r="C5" s="260"/>
      <c r="D5" s="261">
        <v>2011</v>
      </c>
      <c r="E5" s="261">
        <v>2010</v>
      </c>
      <c r="F5" s="262">
        <v>2009</v>
      </c>
      <c r="H5" t="s">
        <v>308</v>
      </c>
      <c r="I5" s="478" t="s">
        <v>309</v>
      </c>
      <c r="J5" s="418"/>
      <c r="K5" s="418"/>
      <c r="L5" s="418"/>
      <c r="M5" s="418"/>
      <c r="N5" s="418"/>
      <c r="O5" s="418"/>
      <c r="P5" s="418"/>
      <c r="Q5" s="418"/>
      <c r="R5" s="419"/>
    </row>
    <row r="6" spans="1:18" x14ac:dyDescent="0.25">
      <c r="C6" s="259" t="s">
        <v>90</v>
      </c>
      <c r="D6" s="33"/>
      <c r="E6" s="33"/>
      <c r="F6" s="34"/>
      <c r="I6" s="420"/>
      <c r="J6" s="421"/>
      <c r="K6" s="421"/>
      <c r="L6" s="421"/>
      <c r="M6" s="421"/>
      <c r="N6" s="421"/>
      <c r="O6" s="421"/>
      <c r="P6" s="421"/>
      <c r="Q6" s="421"/>
      <c r="R6" s="422"/>
    </row>
    <row r="7" spans="1:18" ht="15.75" thickBot="1" x14ac:dyDescent="0.3">
      <c r="C7" s="123" t="s">
        <v>7</v>
      </c>
      <c r="D7" s="33">
        <v>2554</v>
      </c>
      <c r="E7" s="33">
        <v>2313</v>
      </c>
      <c r="F7" s="34">
        <v>2397</v>
      </c>
      <c r="I7" s="423"/>
      <c r="J7" s="424"/>
      <c r="K7" s="424"/>
      <c r="L7" s="424"/>
      <c r="M7" s="424"/>
      <c r="N7" s="424"/>
      <c r="O7" s="424"/>
      <c r="P7" s="424"/>
      <c r="Q7" s="424"/>
      <c r="R7" s="425"/>
    </row>
    <row r="8" spans="1:18" ht="15.75" thickBot="1" x14ac:dyDescent="0.3">
      <c r="C8" s="123" t="s">
        <v>56</v>
      </c>
      <c r="D8" s="33"/>
      <c r="E8" s="33"/>
      <c r="F8" s="34"/>
    </row>
    <row r="9" spans="1:18" x14ac:dyDescent="0.25">
      <c r="C9" s="123" t="s">
        <v>57</v>
      </c>
      <c r="D9" s="33">
        <v>421</v>
      </c>
      <c r="E9" s="33">
        <v>376</v>
      </c>
      <c r="F9" s="34">
        <v>351</v>
      </c>
      <c r="H9" t="s">
        <v>310</v>
      </c>
      <c r="I9" s="430" t="s">
        <v>311</v>
      </c>
      <c r="J9" s="484"/>
      <c r="K9" s="484"/>
      <c r="L9" s="484"/>
      <c r="M9" s="484"/>
      <c r="N9" s="484"/>
      <c r="O9" s="484"/>
      <c r="P9" s="484"/>
      <c r="Q9" s="484"/>
      <c r="R9" s="485"/>
    </row>
    <row r="10" spans="1:18" x14ac:dyDescent="0.25">
      <c r="C10" s="123" t="s">
        <v>58</v>
      </c>
      <c r="D10" s="33">
        <v>103</v>
      </c>
      <c r="E10" s="33">
        <v>86</v>
      </c>
      <c r="F10" s="34">
        <v>-18</v>
      </c>
      <c r="I10" s="486"/>
      <c r="J10" s="487"/>
      <c r="K10" s="487"/>
      <c r="L10" s="487"/>
      <c r="M10" s="487"/>
      <c r="N10" s="487"/>
      <c r="O10" s="487"/>
      <c r="P10" s="487"/>
      <c r="Q10" s="487"/>
      <c r="R10" s="488"/>
    </row>
    <row r="11" spans="1:18" x14ac:dyDescent="0.25">
      <c r="C11" s="123" t="s">
        <v>59</v>
      </c>
      <c r="D11" s="33"/>
      <c r="E11" s="33">
        <v>271</v>
      </c>
      <c r="F11" s="34"/>
      <c r="I11" s="486"/>
      <c r="J11" s="487"/>
      <c r="K11" s="487"/>
      <c r="L11" s="487"/>
      <c r="M11" s="487"/>
      <c r="N11" s="487"/>
      <c r="O11" s="487"/>
      <c r="P11" s="487"/>
      <c r="Q11" s="487"/>
      <c r="R11" s="488"/>
    </row>
    <row r="12" spans="1:18" ht="15.75" thickBot="1" x14ac:dyDescent="0.3">
      <c r="C12" s="123" t="s">
        <v>60</v>
      </c>
      <c r="D12" s="33">
        <v>-207</v>
      </c>
      <c r="E12" s="33">
        <v>-50</v>
      </c>
      <c r="F12" s="34">
        <v>-5</v>
      </c>
      <c r="I12" s="489"/>
      <c r="J12" s="490"/>
      <c r="K12" s="490"/>
      <c r="L12" s="490"/>
      <c r="M12" s="490"/>
      <c r="N12" s="490"/>
      <c r="O12" s="490"/>
      <c r="P12" s="490"/>
      <c r="Q12" s="490"/>
      <c r="R12" s="491"/>
    </row>
    <row r="13" spans="1:18" x14ac:dyDescent="0.25">
      <c r="C13" s="123" t="s">
        <v>61</v>
      </c>
      <c r="D13" s="33">
        <v>-178</v>
      </c>
      <c r="E13" s="33">
        <v>-35</v>
      </c>
      <c r="F13" s="34">
        <v>-73</v>
      </c>
    </row>
    <row r="14" spans="1:18" x14ac:dyDescent="0.25">
      <c r="C14" s="123" t="s">
        <v>62</v>
      </c>
      <c r="D14" s="33">
        <v>122</v>
      </c>
      <c r="E14" s="33">
        <v>121</v>
      </c>
      <c r="F14" s="34">
        <v>117</v>
      </c>
    </row>
    <row r="15" spans="1:18" ht="15.75" x14ac:dyDescent="0.25">
      <c r="C15" s="123" t="s">
        <v>29</v>
      </c>
      <c r="D15" s="33">
        <v>88</v>
      </c>
      <c r="E15" s="33">
        <v>29</v>
      </c>
      <c r="F15" s="34">
        <v>-23</v>
      </c>
      <c r="H15" s="477" t="s">
        <v>312</v>
      </c>
      <c r="I15" s="477"/>
      <c r="J15" s="477"/>
    </row>
    <row r="16" spans="1:18" ht="15.75" thickBot="1" x14ac:dyDescent="0.3">
      <c r="C16" s="123" t="s">
        <v>63</v>
      </c>
      <c r="D16" s="33"/>
      <c r="E16" s="33"/>
      <c r="F16" s="34"/>
    </row>
    <row r="17" spans="3:19" x14ac:dyDescent="0.25">
      <c r="C17" s="123" t="s">
        <v>64</v>
      </c>
      <c r="D17" s="33">
        <v>-130</v>
      </c>
      <c r="E17" s="33">
        <v>40</v>
      </c>
      <c r="F17" s="34">
        <v>57</v>
      </c>
      <c r="H17" t="s">
        <v>308</v>
      </c>
      <c r="I17" s="478" t="s">
        <v>313</v>
      </c>
      <c r="J17" s="418"/>
      <c r="K17" s="418"/>
      <c r="L17" s="418"/>
      <c r="M17" s="418"/>
      <c r="N17" s="418"/>
      <c r="O17" s="418"/>
      <c r="P17" s="418"/>
      <c r="Q17" s="418"/>
      <c r="R17" s="419"/>
    </row>
    <row r="18" spans="3:19" x14ac:dyDescent="0.25">
      <c r="C18" s="123" t="s">
        <v>30</v>
      </c>
      <c r="D18" s="33">
        <v>-130</v>
      </c>
      <c r="E18" s="33">
        <v>-10</v>
      </c>
      <c r="F18" s="34">
        <v>44</v>
      </c>
      <c r="I18" s="420"/>
      <c r="J18" s="421"/>
      <c r="K18" s="421"/>
      <c r="L18" s="421"/>
      <c r="M18" s="421"/>
      <c r="N18" s="421"/>
      <c r="O18" s="421"/>
      <c r="P18" s="421"/>
      <c r="Q18" s="421"/>
      <c r="R18" s="422"/>
    </row>
    <row r="19" spans="3:19" x14ac:dyDescent="0.25">
      <c r="C19" s="123" t="s">
        <v>65</v>
      </c>
      <c r="D19" s="33">
        <v>199</v>
      </c>
      <c r="E19" s="33">
        <v>-65</v>
      </c>
      <c r="F19" s="34">
        <v>294</v>
      </c>
      <c r="I19" s="420"/>
      <c r="J19" s="421"/>
      <c r="K19" s="421"/>
      <c r="L19" s="421"/>
      <c r="M19" s="421"/>
      <c r="N19" s="421"/>
      <c r="O19" s="421"/>
      <c r="P19" s="421"/>
      <c r="Q19" s="421"/>
      <c r="R19" s="422"/>
    </row>
    <row r="20" spans="3:19" ht="15.75" thickBot="1" x14ac:dyDescent="0.3">
      <c r="C20" s="263" t="s">
        <v>66</v>
      </c>
      <c r="D20" s="110">
        <v>54</v>
      </c>
      <c r="E20" s="110">
        <v>135</v>
      </c>
      <c r="F20" s="111">
        <v>136</v>
      </c>
      <c r="I20" s="420"/>
      <c r="J20" s="421"/>
      <c r="K20" s="421"/>
      <c r="L20" s="421"/>
      <c r="M20" s="421"/>
      <c r="N20" s="421"/>
      <c r="O20" s="421"/>
      <c r="P20" s="421"/>
      <c r="Q20" s="421"/>
      <c r="R20" s="422"/>
    </row>
    <row r="21" spans="3:19" ht="15.75" thickBot="1" x14ac:dyDescent="0.3">
      <c r="C21" s="251" t="s">
        <v>67</v>
      </c>
      <c r="D21" s="265">
        <f>SUM(D7:D20)</f>
        <v>2896</v>
      </c>
      <c r="E21" s="265">
        <f t="shared" ref="E21:F21" si="0">SUM(E7:E20)</f>
        <v>3211</v>
      </c>
      <c r="F21" s="266">
        <f t="shared" si="0"/>
        <v>3277</v>
      </c>
      <c r="I21" s="423"/>
      <c r="J21" s="424"/>
      <c r="K21" s="424"/>
      <c r="L21" s="424"/>
      <c r="M21" s="424"/>
      <c r="N21" s="424"/>
      <c r="O21" s="424"/>
      <c r="P21" s="424"/>
      <c r="Q21" s="424"/>
      <c r="R21" s="425"/>
      <c r="S21" s="75"/>
    </row>
    <row r="22" spans="3:19" x14ac:dyDescent="0.25">
      <c r="C22" s="264" t="s">
        <v>68</v>
      </c>
      <c r="D22" s="113"/>
      <c r="E22" s="113"/>
      <c r="F22" s="114"/>
      <c r="J22" s="66"/>
    </row>
    <row r="23" spans="3:19" ht="15.75" thickBot="1" x14ac:dyDescent="0.3">
      <c r="C23" s="123" t="s">
        <v>69</v>
      </c>
      <c r="D23" s="33">
        <v>-537</v>
      </c>
      <c r="E23" s="33">
        <v>-550</v>
      </c>
      <c r="F23" s="34">
        <v>-575</v>
      </c>
    </row>
    <row r="24" spans="3:19" x14ac:dyDescent="0.25">
      <c r="C24" s="123" t="s">
        <v>70</v>
      </c>
      <c r="D24" s="33">
        <v>263</v>
      </c>
      <c r="E24" s="33">
        <v>42</v>
      </c>
      <c r="F24" s="34">
        <v>17</v>
      </c>
      <c r="H24" t="s">
        <v>310</v>
      </c>
      <c r="I24" s="436" t="s">
        <v>314</v>
      </c>
      <c r="J24" s="437"/>
      <c r="K24" s="437"/>
      <c r="L24" s="437"/>
      <c r="M24" s="437"/>
      <c r="N24" s="437"/>
      <c r="O24" s="437"/>
      <c r="P24" s="437"/>
      <c r="Q24" s="437"/>
      <c r="R24" s="438"/>
    </row>
    <row r="25" spans="3:19" x14ac:dyDescent="0.25">
      <c r="C25" s="123" t="s">
        <v>71</v>
      </c>
      <c r="D25" s="33">
        <v>-356</v>
      </c>
      <c r="E25" s="33">
        <v>-308</v>
      </c>
      <c r="F25" s="34">
        <v>-289</v>
      </c>
      <c r="I25" s="479"/>
      <c r="J25" s="480"/>
      <c r="K25" s="480"/>
      <c r="L25" s="480"/>
      <c r="M25" s="480"/>
      <c r="N25" s="480"/>
      <c r="O25" s="480"/>
      <c r="P25" s="480"/>
      <c r="Q25" s="480"/>
      <c r="R25" s="481"/>
    </row>
    <row r="26" spans="3:19" x14ac:dyDescent="0.25">
      <c r="C26" s="123" t="s">
        <v>72</v>
      </c>
      <c r="D26" s="33">
        <v>423</v>
      </c>
      <c r="E26" s="33">
        <v>167</v>
      </c>
      <c r="F26" s="34"/>
      <c r="I26" s="479"/>
      <c r="J26" s="480"/>
      <c r="K26" s="480"/>
      <c r="L26" s="480"/>
      <c r="M26" s="480"/>
      <c r="N26" s="480"/>
      <c r="O26" s="480"/>
      <c r="P26" s="480"/>
      <c r="Q26" s="480"/>
      <c r="R26" s="481"/>
    </row>
    <row r="27" spans="3:19" x14ac:dyDescent="0.25">
      <c r="C27" s="123" t="s">
        <v>73</v>
      </c>
      <c r="D27" s="33">
        <v>-966</v>
      </c>
      <c r="E27" s="33"/>
      <c r="F27" s="34"/>
      <c r="I27" s="479"/>
      <c r="J27" s="480"/>
      <c r="K27" s="480"/>
      <c r="L27" s="480"/>
      <c r="M27" s="480"/>
      <c r="N27" s="480"/>
      <c r="O27" s="480"/>
      <c r="P27" s="480"/>
      <c r="Q27" s="480"/>
      <c r="R27" s="481"/>
    </row>
    <row r="28" spans="3:19" ht="15.75" thickBot="1" x14ac:dyDescent="0.3">
      <c r="C28" s="263" t="s">
        <v>66</v>
      </c>
      <c r="D28" s="110">
        <v>-40</v>
      </c>
      <c r="E28" s="110">
        <v>-9</v>
      </c>
      <c r="F28" s="111">
        <v>6</v>
      </c>
      <c r="I28" s="439"/>
      <c r="J28" s="440"/>
      <c r="K28" s="440"/>
      <c r="L28" s="440"/>
      <c r="M28" s="440"/>
      <c r="N28" s="440"/>
      <c r="O28" s="440"/>
      <c r="P28" s="440"/>
      <c r="Q28" s="440"/>
      <c r="R28" s="441"/>
    </row>
    <row r="29" spans="3:19" ht="15.75" thickBot="1" x14ac:dyDescent="0.3">
      <c r="C29" s="251" t="s">
        <v>74</v>
      </c>
      <c r="D29" s="265">
        <f>SUM(D23:D28)</f>
        <v>-1213</v>
      </c>
      <c r="E29" s="265">
        <f t="shared" ref="E29:F29" si="1">SUM(E23:E28)</f>
        <v>-658</v>
      </c>
      <c r="F29" s="266">
        <f t="shared" si="1"/>
        <v>-841</v>
      </c>
    </row>
    <row r="30" spans="3:19" x14ac:dyDescent="0.25">
      <c r="C30" s="264" t="s">
        <v>75</v>
      </c>
      <c r="D30" s="113"/>
      <c r="E30" s="113"/>
      <c r="F30" s="114"/>
    </row>
    <row r="31" spans="3:19" ht="15.75" x14ac:dyDescent="0.25">
      <c r="C31" s="123" t="s">
        <v>76</v>
      </c>
      <c r="D31" s="33">
        <v>-4429</v>
      </c>
      <c r="E31" s="33">
        <v>-4719</v>
      </c>
      <c r="F31" s="34">
        <v>-3950</v>
      </c>
      <c r="H31" s="477" t="s">
        <v>315</v>
      </c>
      <c r="I31" s="477"/>
      <c r="J31" s="477"/>
    </row>
    <row r="32" spans="3:19" ht="15.75" thickBot="1" x14ac:dyDescent="0.3">
      <c r="C32" s="123" t="s">
        <v>77</v>
      </c>
      <c r="D32" s="33">
        <v>5843</v>
      </c>
      <c r="E32" s="33">
        <v>5015</v>
      </c>
      <c r="F32" s="34">
        <v>3424</v>
      </c>
    </row>
    <row r="33" spans="3:18" x14ac:dyDescent="0.25">
      <c r="C33" s="123" t="s">
        <v>78</v>
      </c>
      <c r="D33" s="33">
        <v>-1203</v>
      </c>
      <c r="E33" s="33">
        <v>-1142</v>
      </c>
      <c r="F33" s="34">
        <v>-981</v>
      </c>
      <c r="H33" t="s">
        <v>308</v>
      </c>
      <c r="I33" s="478" t="s">
        <v>316</v>
      </c>
      <c r="J33" s="418"/>
      <c r="K33" s="418"/>
      <c r="L33" s="418"/>
      <c r="M33" s="418"/>
      <c r="N33" s="418"/>
      <c r="O33" s="418"/>
      <c r="P33" s="418"/>
      <c r="Q33" s="418"/>
      <c r="R33" s="419"/>
    </row>
    <row r="34" spans="3:18" x14ac:dyDescent="0.25">
      <c r="C34" s="123" t="s">
        <v>79</v>
      </c>
      <c r="D34" s="33">
        <v>-1806</v>
      </c>
      <c r="E34" s="33">
        <v>-2020</v>
      </c>
      <c r="F34" s="34">
        <v>-1063</v>
      </c>
      <c r="I34" s="420"/>
      <c r="J34" s="421"/>
      <c r="K34" s="421"/>
      <c r="L34" s="421"/>
      <c r="M34" s="421"/>
      <c r="N34" s="421"/>
      <c r="O34" s="421"/>
      <c r="P34" s="421"/>
      <c r="Q34" s="421"/>
      <c r="R34" s="422"/>
    </row>
    <row r="35" spans="3:18" ht="15.75" thickBot="1" x14ac:dyDescent="0.3">
      <c r="C35" s="123" t="s">
        <v>80</v>
      </c>
      <c r="D35" s="33">
        <v>353</v>
      </c>
      <c r="E35" s="33">
        <v>242</v>
      </c>
      <c r="F35" s="34">
        <v>300</v>
      </c>
      <c r="I35" s="423"/>
      <c r="J35" s="424"/>
      <c r="K35" s="424"/>
      <c r="L35" s="424"/>
      <c r="M35" s="424"/>
      <c r="N35" s="424"/>
      <c r="O35" s="424"/>
      <c r="P35" s="424"/>
      <c r="Q35" s="424"/>
      <c r="R35" s="425"/>
    </row>
    <row r="36" spans="3:18" x14ac:dyDescent="0.25">
      <c r="C36" s="123" t="s">
        <v>81</v>
      </c>
      <c r="D36" s="33">
        <f>SUM(D31:D35)</f>
        <v>-1242</v>
      </c>
      <c r="E36" s="33">
        <f>SUM(E31:E35)</f>
        <v>-2624</v>
      </c>
      <c r="F36" s="34">
        <f>SUM(F30:F35)</f>
        <v>-2270</v>
      </c>
    </row>
    <row r="37" spans="3:18" ht="15.75" thickBot="1" x14ac:dyDescent="0.3">
      <c r="C37" s="123" t="s">
        <v>82</v>
      </c>
      <c r="D37" s="33">
        <v>-53</v>
      </c>
      <c r="E37" s="33">
        <v>-39</v>
      </c>
      <c r="F37" s="34">
        <v>-121</v>
      </c>
    </row>
    <row r="38" spans="3:18" x14ac:dyDescent="0.25">
      <c r="C38" s="123" t="s">
        <v>83</v>
      </c>
      <c r="D38" s="33">
        <f>D21+D29+D36+D37</f>
        <v>388</v>
      </c>
      <c r="E38" s="33">
        <f t="shared" ref="E38" si="2">E21+E29+E36+E37</f>
        <v>-110</v>
      </c>
      <c r="F38" s="34">
        <f>F21+F29+F36+F37</f>
        <v>45</v>
      </c>
      <c r="H38" t="s">
        <v>310</v>
      </c>
      <c r="I38" s="478" t="s">
        <v>317</v>
      </c>
      <c r="J38" s="418"/>
      <c r="K38" s="418"/>
      <c r="L38" s="418"/>
      <c r="M38" s="418"/>
      <c r="N38" s="418"/>
      <c r="O38" s="418"/>
      <c r="P38" s="418"/>
      <c r="Q38" s="418"/>
      <c r="R38" s="419"/>
    </row>
    <row r="39" spans="3:18" ht="15.75" thickBot="1" x14ac:dyDescent="0.3">
      <c r="C39" s="263" t="s">
        <v>84</v>
      </c>
      <c r="D39" s="110">
        <v>490</v>
      </c>
      <c r="E39" s="110">
        <v>600</v>
      </c>
      <c r="F39" s="111">
        <v>555</v>
      </c>
      <c r="I39" s="420"/>
      <c r="J39" s="421"/>
      <c r="K39" s="421"/>
      <c r="L39" s="421"/>
      <c r="M39" s="421"/>
      <c r="N39" s="421"/>
      <c r="O39" s="421"/>
      <c r="P39" s="421"/>
      <c r="Q39" s="421"/>
      <c r="R39" s="422"/>
    </row>
    <row r="40" spans="3:18" ht="15.75" thickBot="1" x14ac:dyDescent="0.3">
      <c r="C40" s="251" t="s">
        <v>85</v>
      </c>
      <c r="D40" s="265">
        <f>SUM(D38:D39)</f>
        <v>878</v>
      </c>
      <c r="E40" s="265">
        <f>SUM(E38:E39)</f>
        <v>490</v>
      </c>
      <c r="F40" s="266">
        <f t="shared" ref="F40" si="3">SUM(F38:F39)</f>
        <v>600</v>
      </c>
      <c r="I40" s="420"/>
      <c r="J40" s="421"/>
      <c r="K40" s="421"/>
      <c r="L40" s="421"/>
      <c r="M40" s="421"/>
      <c r="N40" s="421"/>
      <c r="O40" s="421"/>
      <c r="P40" s="421"/>
      <c r="Q40" s="421"/>
      <c r="R40" s="422"/>
    </row>
    <row r="41" spans="3:18" x14ac:dyDescent="0.25">
      <c r="C41" s="264" t="s">
        <v>86</v>
      </c>
      <c r="D41" s="113"/>
      <c r="E41" s="113"/>
      <c r="F41" s="114"/>
      <c r="I41" s="420"/>
      <c r="J41" s="421"/>
      <c r="K41" s="421"/>
      <c r="L41" s="421"/>
      <c r="M41" s="421"/>
      <c r="N41" s="421"/>
      <c r="O41" s="421"/>
      <c r="P41" s="421"/>
      <c r="Q41" s="421"/>
      <c r="R41" s="422"/>
    </row>
    <row r="42" spans="3:18" x14ac:dyDescent="0.25">
      <c r="C42" s="123" t="s">
        <v>87</v>
      </c>
      <c r="D42" s="33">
        <v>1007</v>
      </c>
      <c r="E42" s="33">
        <v>1123</v>
      </c>
      <c r="F42" s="34">
        <v>1098</v>
      </c>
      <c r="I42" s="420"/>
      <c r="J42" s="421"/>
      <c r="K42" s="421"/>
      <c r="L42" s="421"/>
      <c r="M42" s="421"/>
      <c r="N42" s="421"/>
      <c r="O42" s="421"/>
      <c r="P42" s="421"/>
      <c r="Q42" s="421"/>
      <c r="R42" s="422"/>
    </row>
    <row r="43" spans="3:18" x14ac:dyDescent="0.25">
      <c r="C43" s="123" t="s">
        <v>88</v>
      </c>
      <c r="D43" s="33">
        <v>58</v>
      </c>
      <c r="E43" s="33">
        <v>70</v>
      </c>
      <c r="F43" s="34">
        <v>98</v>
      </c>
      <c r="I43" s="420"/>
      <c r="J43" s="421"/>
      <c r="K43" s="421"/>
      <c r="L43" s="421"/>
      <c r="M43" s="421"/>
      <c r="N43" s="421"/>
      <c r="O43" s="421"/>
      <c r="P43" s="421"/>
      <c r="Q43" s="421"/>
      <c r="R43" s="422"/>
    </row>
    <row r="44" spans="3:18" ht="15.75" thickBot="1" x14ac:dyDescent="0.3">
      <c r="C44" s="177" t="s">
        <v>89</v>
      </c>
      <c r="D44" s="168"/>
      <c r="E44" s="94"/>
      <c r="F44" s="94">
        <v>74</v>
      </c>
      <c r="I44" s="420"/>
      <c r="J44" s="421"/>
      <c r="K44" s="421"/>
      <c r="L44" s="421"/>
      <c r="M44" s="421"/>
      <c r="N44" s="421"/>
      <c r="O44" s="421"/>
      <c r="P44" s="421"/>
      <c r="Q44" s="421"/>
      <c r="R44" s="422"/>
    </row>
    <row r="45" spans="3:18" ht="15.75" thickBot="1" x14ac:dyDescent="0.3">
      <c r="I45" s="423"/>
      <c r="J45" s="424"/>
      <c r="K45" s="424"/>
      <c r="L45" s="424"/>
      <c r="M45" s="424"/>
      <c r="N45" s="424"/>
      <c r="O45" s="424"/>
      <c r="P45" s="424"/>
      <c r="Q45" s="424"/>
      <c r="R45" s="425"/>
    </row>
  </sheetData>
  <mergeCells count="15">
    <mergeCell ref="A1:B1"/>
    <mergeCell ref="H3:J3"/>
    <mergeCell ref="I5:R7"/>
    <mergeCell ref="I9:R12"/>
    <mergeCell ref="H1:J1"/>
    <mergeCell ref="C1:F1"/>
    <mergeCell ref="C2:F2"/>
    <mergeCell ref="C3:F3"/>
    <mergeCell ref="C4:F4"/>
    <mergeCell ref="H31:J31"/>
    <mergeCell ref="I33:R35"/>
    <mergeCell ref="I38:R45"/>
    <mergeCell ref="H15:J15"/>
    <mergeCell ref="I17:R21"/>
    <mergeCell ref="I24:R28"/>
  </mergeCells>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Company Overview</vt:lpstr>
      <vt:lpstr>Colgate's Operating Divisions</vt:lpstr>
      <vt:lpstr>Share Price Movement</vt:lpstr>
      <vt:lpstr>Colgate's Summary Financial</vt:lpstr>
      <vt:lpstr>Balance sheet</vt:lpstr>
      <vt:lpstr>Income statement</vt:lpstr>
      <vt:lpstr>P&amp;L (Horizontal)</vt:lpstr>
      <vt:lpstr>P&amp;L (Vertical)</vt:lpstr>
      <vt:lpstr>BS (Ver &amp; Horz)</vt:lpstr>
      <vt:lpstr>Ratios</vt:lpstr>
      <vt:lpstr>Cashflow Statement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Kunal Jain</dc:creator>
  <cp:lastModifiedBy>Ashish Chaudhari</cp:lastModifiedBy>
  <dcterms:created xsi:type="dcterms:W3CDTF">2015-06-05T18:17:20Z</dcterms:created>
  <dcterms:modified xsi:type="dcterms:W3CDTF">2026-01-01T07:51:06Z</dcterms:modified>
</cp:coreProperties>
</file>