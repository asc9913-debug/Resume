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ddedc0b727acb5/Desktop/ISBM/CV/Projects/"/>
    </mc:Choice>
  </mc:AlternateContent>
  <xr:revisionPtr revIDLastSave="1" documentId="13_ncr:1_{65C59A52-F31E-46CA-840E-90F0D54FB44B}" xr6:coauthVersionLast="47" xr6:coauthVersionMax="47" xr10:uidLastSave="{9B8D7806-E7F5-41C6-B59B-50CB04D78A88}"/>
  <bookViews>
    <workbookView xWindow="-120" yWindow="-120" windowWidth="29040" windowHeight="15720" xr2:uid="{F1DCF731-0BF1-41C6-BBB3-B90C7CCC29E0}"/>
  </bookViews>
  <sheets>
    <sheet name="Monthly" sheetId="1" r:id="rId1"/>
    <sheet name="Data Shee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8" i="1" l="1"/>
  <c r="H27" i="1"/>
  <c r="AO11" i="1"/>
  <c r="Q36" i="1"/>
  <c r="X36" i="1" s="1"/>
  <c r="AE36" i="1" s="1"/>
  <c r="AL36" i="1" s="1"/>
  <c r="R36" i="1"/>
  <c r="Y36" i="1" s="1"/>
  <c r="AF36" i="1" s="1"/>
  <c r="AM36" i="1" s="1"/>
  <c r="S36" i="1"/>
  <c r="Z36" i="1" s="1"/>
  <c r="AG36" i="1" s="1"/>
  <c r="AN36" i="1" s="1"/>
  <c r="T36" i="1"/>
  <c r="AA36" i="1" s="1"/>
  <c r="AH36" i="1" s="1"/>
  <c r="U36" i="1"/>
  <c r="AB36" i="1" s="1"/>
  <c r="AI36" i="1" s="1"/>
  <c r="V36" i="1"/>
  <c r="AC36" i="1" s="1"/>
  <c r="AJ36" i="1" s="1"/>
  <c r="W36" i="1"/>
  <c r="AD36" i="1" s="1"/>
  <c r="AK36" i="1" s="1"/>
  <c r="K37" i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D39" i="1"/>
  <c r="D40" i="1" s="1"/>
  <c r="D41" i="1" s="1"/>
  <c r="D42" i="1" s="1"/>
  <c r="D43" i="1" s="1"/>
  <c r="D44" i="1" s="1"/>
  <c r="D45" i="1" s="1"/>
  <c r="D46" i="1" s="1"/>
  <c r="D47" i="1" s="1"/>
  <c r="AO9" i="1"/>
  <c r="AO10" i="1"/>
  <c r="AO12" i="1"/>
  <c r="AO13" i="1"/>
  <c r="AO14" i="1"/>
  <c r="AO15" i="1"/>
  <c r="AO16" i="1"/>
  <c r="AO7" i="1"/>
  <c r="AJ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AL27" i="1"/>
  <c r="AK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V5" i="1" s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8" i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P17" i="1"/>
  <c r="W17" i="1" s="1"/>
  <c r="AD17" i="1" s="1"/>
  <c r="AK17" i="1" s="1"/>
  <c r="Q17" i="1"/>
  <c r="X17" i="1" s="1"/>
  <c r="AE17" i="1" s="1"/>
  <c r="AL17" i="1" s="1"/>
  <c r="R17" i="1"/>
  <c r="Y17" i="1" s="1"/>
  <c r="AF17" i="1" s="1"/>
  <c r="S17" i="1"/>
  <c r="Z17" i="1" s="1"/>
  <c r="AG17" i="1" s="1"/>
  <c r="T17" i="1"/>
  <c r="AA17" i="1" s="1"/>
  <c r="AH17" i="1" s="1"/>
  <c r="U17" i="1"/>
  <c r="AB17" i="1" s="1"/>
  <c r="AI17" i="1" s="1"/>
  <c r="O17" i="1"/>
  <c r="V17" i="1" s="1"/>
  <c r="AC17" i="1" s="1"/>
  <c r="AJ17" i="1" s="1"/>
  <c r="F12" i="1"/>
  <c r="AN8" i="1"/>
  <c r="AN9" i="1" s="1"/>
  <c r="AN10" i="1" s="1"/>
  <c r="AN11" i="1" s="1"/>
  <c r="AN12" i="1" s="1"/>
  <c r="AN13" i="1" s="1"/>
  <c r="AN14" i="1" s="1"/>
  <c r="AN15" i="1" s="1"/>
  <c r="AN16" i="1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U5" i="1" l="1"/>
  <c r="AI5" i="1"/>
  <c r="T5" i="1"/>
  <c r="AP28" i="1"/>
  <c r="Z5" i="1"/>
  <c r="AP29" i="1"/>
  <c r="AP30" i="1"/>
  <c r="Q5" i="1"/>
  <c r="AD5" i="1"/>
  <c r="I5" i="1"/>
  <c r="J5" i="1"/>
  <c r="K5" i="1"/>
  <c r="AF5" i="1"/>
  <c r="L5" i="1"/>
  <c r="AG5" i="1"/>
  <c r="X5" i="1"/>
  <c r="M5" i="1"/>
  <c r="Y5" i="1"/>
  <c r="N5" i="1"/>
  <c r="AB5" i="1"/>
  <c r="O5" i="1"/>
  <c r="AA5" i="1"/>
  <c r="AH5" i="1"/>
  <c r="H5" i="1"/>
  <c r="W5" i="1"/>
  <c r="P5" i="1"/>
  <c r="AC5" i="1"/>
  <c r="AE5" i="1"/>
  <c r="R5" i="1"/>
  <c r="S5" i="1"/>
  <c r="AK5" i="1"/>
  <c r="AJ5" i="1"/>
  <c r="AL5" i="1"/>
  <c r="O29" i="1"/>
  <c r="D6" i="1"/>
  <c r="AQ30" i="1" l="1"/>
  <c r="AQ29" i="1"/>
  <c r="AJ29" i="1"/>
  <c r="AC29" i="1"/>
  <c r="H29" i="1"/>
  <c r="V29" i="1"/>
</calcChain>
</file>

<file path=xl/sharedStrings.xml><?xml version="1.0" encoding="utf-8"?>
<sst xmlns="http://schemas.openxmlformats.org/spreadsheetml/2006/main" count="75" uniqueCount="64">
  <si>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</si>
  <si>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</si>
  <si>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</si>
  <si>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</si>
  <si>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</si>
  <si>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</si>
  <si>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</si>
  <si>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</si>
  <si>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</si>
  <si>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Calender Setting</t>
  </si>
  <si>
    <t>Year</t>
  </si>
  <si>
    <t>September</t>
  </si>
  <si>
    <t>October</t>
  </si>
  <si>
    <t>November</t>
  </si>
  <si>
    <t>December</t>
  </si>
  <si>
    <t>Goal Setting</t>
  </si>
  <si>
    <t>OVERVIEW</t>
  </si>
  <si>
    <t>Sun</t>
  </si>
  <si>
    <t>Mon</t>
  </si>
  <si>
    <t>Tue</t>
  </si>
  <si>
    <t>Wed</t>
  </si>
  <si>
    <t>Thur</t>
  </si>
  <si>
    <t>Fri</t>
  </si>
  <si>
    <t>Sat</t>
  </si>
  <si>
    <t>Days</t>
  </si>
  <si>
    <t>Sunday</t>
  </si>
  <si>
    <t>Goal Progress</t>
  </si>
  <si>
    <t>Completed</t>
  </si>
  <si>
    <t>Goal</t>
  </si>
  <si>
    <t>Not Completed</t>
  </si>
  <si>
    <t>Week 1</t>
  </si>
  <si>
    <t>Week 2</t>
  </si>
  <si>
    <t>Week 3</t>
  </si>
  <si>
    <t>Week 4</t>
  </si>
  <si>
    <t>Week 5</t>
  </si>
  <si>
    <t>Monday</t>
  </si>
  <si>
    <t>Tuesday</t>
  </si>
  <si>
    <t>Wednesday</t>
  </si>
  <si>
    <t>Thursday</t>
  </si>
  <si>
    <t>Friday</t>
  </si>
  <si>
    <t>Saturday</t>
  </si>
  <si>
    <t>Weekly Progress</t>
  </si>
  <si>
    <t>WEEK 1</t>
  </si>
  <si>
    <t>WEEK 2</t>
  </si>
  <si>
    <t>WEEK 3</t>
  </si>
  <si>
    <t>WEEK 4</t>
  </si>
  <si>
    <t>Monthly Progress</t>
  </si>
  <si>
    <t>Values</t>
  </si>
  <si>
    <t>x</t>
  </si>
  <si>
    <t>Target</t>
  </si>
  <si>
    <t>Left</t>
  </si>
  <si>
    <t>Achieved</t>
  </si>
  <si>
    <t>Waking up at 6 am</t>
  </si>
  <si>
    <t>Having Breskfast</t>
  </si>
  <si>
    <t>Reading newspaper</t>
  </si>
  <si>
    <t>_Made by Ashish Chaudhari</t>
  </si>
  <si>
    <t>HEALTH TRACKER</t>
  </si>
  <si>
    <t>Going college on time</t>
  </si>
  <si>
    <t>Having lunch at 1:15 pm</t>
  </si>
  <si>
    <t>Going to Gym</t>
  </si>
  <si>
    <t>Having protein</t>
  </si>
  <si>
    <t>Sleeping at 11 pm</t>
  </si>
  <si>
    <t>Read 10 pages of book</t>
  </si>
  <si>
    <t>Worked on financial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</si>
</sst>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22"/>
      <color rgb="FFFFFF00"/>
      <name val="Calibri"/>
      <family val="2"/>
    </font>
    <font>
      <sz val="8"/>
      <name val="Calibri"/>
      <family val="2"/>
    </font>
    <font>
      <b/>
      <sz val="11"/>
      <color theme="1"/>
      <name val="Open Sans"/>
    </font>
    <font>
      <sz val="11"/>
      <color rgb="FFE9F5F3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3E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9F5F3"/>
        <bgColor indexed="64"/>
      </patternFill>
    </fill>
    <fill>
      <patternFill patternType="solid">
        <fgColor rgb="FFBAE0DA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3" fillId="5" borderId="0" xfId="1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1" fontId="0" fillId="5" borderId="18" xfId="0" applyNumberFormat="1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" fontId="0" fillId="5" borderId="20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1" fontId="0" fillId="5" borderId="21" xfId="0" applyNumberFormat="1" applyFill="1" applyBorder="1" applyAlignment="1">
      <alignment horizontal="center" vertical="center"/>
    </xf>
    <xf numFmtId="1" fontId="0" fillId="5" borderId="14" xfId="0" applyNumberFormat="1" applyFill="1" applyBorder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5" borderId="23" xfId="0" applyFont="1" applyFill="1" applyBorder="1"/>
    <xf numFmtId="9" fontId="0" fillId="4" borderId="0" xfId="0" applyNumberForma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9" fontId="7" fillId="5" borderId="0" xfId="1" applyFont="1" applyFill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" fillId="5" borderId="23" xfId="0" applyFont="1" applyFill="1" applyBorder="1" applyProtection="1">
      <protection locked="0"/>
    </xf>
    <xf numFmtId="0" fontId="3" fillId="5" borderId="29" xfId="0" applyFont="1" applyFill="1" applyBorder="1" applyProtection="1">
      <protection locked="0"/>
    </xf>
    <xf numFmtId="0" fontId="3" fillId="5" borderId="28" xfId="0" applyFont="1" applyFill="1" applyBorder="1" applyProtection="1">
      <protection locked="0"/>
    </xf>
    <xf numFmtId="0" fontId="3" fillId="5" borderId="15" xfId="0" applyFont="1" applyFill="1" applyBorder="1" applyProtection="1">
      <protection locked="0"/>
    </xf>
    <xf numFmtId="0" fontId="3" fillId="5" borderId="13" xfId="0" applyFont="1" applyFill="1" applyBorder="1" applyProtection="1">
      <protection locked="0"/>
    </xf>
    <xf numFmtId="0" fontId="3" fillId="5" borderId="20" xfId="0" applyFont="1" applyFill="1" applyBorder="1" applyProtection="1">
      <protection locked="0"/>
    </xf>
    <xf numFmtId="0" fontId="3" fillId="5" borderId="14" xfId="0" applyFont="1" applyFill="1" applyBorder="1" applyProtection="1">
      <protection locked="0"/>
    </xf>
    <xf numFmtId="0" fontId="3" fillId="5" borderId="16" xfId="0" applyFont="1" applyFill="1" applyBorder="1" applyProtection="1">
      <protection locked="0"/>
    </xf>
    <xf numFmtId="0" fontId="3" fillId="5" borderId="21" xfId="0" applyFont="1" applyFill="1" applyBorder="1" applyProtection="1">
      <protection locked="0"/>
    </xf>
    <xf numFmtId="0" fontId="8" fillId="0" borderId="0" xfId="0" applyFont="1" applyAlignment="1">
      <alignment horizontal="center" vertical="center"/>
    </xf>
    <xf numFmtId="0" fontId="3" fillId="5" borderId="30" xfId="0" applyFont="1" applyFill="1" applyBorder="1" applyProtection="1">
      <protection locked="0"/>
    </xf>
    <xf numFmtId="0" fontId="3" fillId="5" borderId="31" xfId="0" applyFont="1" applyFill="1" applyBorder="1" applyProtection="1">
      <protection locked="0"/>
    </xf>
    <xf numFmtId="0" fontId="3" fillId="5" borderId="27" xfId="0" applyFont="1" applyFill="1" applyBorder="1" applyProtection="1">
      <protection locked="0"/>
    </xf>
    <xf numFmtId="0" fontId="7" fillId="5" borderId="21" xfId="0" applyFont="1" applyFill="1" applyBorder="1" applyProtection="1"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0" fontId="2" fillId="6" borderId="22" xfId="0" applyFont="1" applyFill="1" applyBorder="1" applyAlignment="1" applyProtection="1">
      <alignment horizontal="center" vertical="center"/>
      <protection locked="0"/>
    </xf>
    <xf numFmtId="0" fontId="2" fillId="6" borderId="10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5" borderId="2" xfId="1" applyFont="1" applyFill="1" applyBorder="1" applyAlignment="1">
      <alignment horizontal="center" vertical="center"/>
    </xf>
    <xf numFmtId="9" fontId="0" fillId="5" borderId="3" xfId="1" applyFont="1" applyFill="1" applyBorder="1" applyAlignment="1">
      <alignment horizontal="center" vertical="center"/>
    </xf>
    <xf numFmtId="9" fontId="0" fillId="5" borderId="4" xfId="1" applyFont="1" applyFill="1" applyBorder="1" applyAlignment="1">
      <alignment horizontal="center" vertical="center"/>
    </xf>
    <xf numFmtId="9" fontId="0" fillId="5" borderId="7" xfId="1" applyFont="1" applyFill="1" applyBorder="1" applyAlignment="1">
      <alignment horizontal="center" vertical="center"/>
    </xf>
    <xf numFmtId="9" fontId="0" fillId="5" borderId="8" xfId="1" applyFont="1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locked="0"/>
    </xf>
    <xf numFmtId="0" fontId="0" fillId="5" borderId="9" xfId="0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u val="none"/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9F5F3"/>
      <color rgb="FFBAE0DA"/>
      <color rgb="FF8ECCC2"/>
      <color rgb="FFB4E6A2"/>
      <color rgb="FFFFF3E0"/>
      <color rgb="FFFF6565"/>
      <color rgb="FF98DD7F"/>
      <color rgb="FFFF4343"/>
      <color rgb="FFFF7171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57926480323056E-3"/>
          <c:y val="9.8324077708538005E-3"/>
          <c:w val="0.99430420735196767"/>
          <c:h val="0.970502776687438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56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Monthly!$H$26:$N$26</c:f>
              <c:numCache>
                <c:formatCode>0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C-454C-8D76-20442C3F6507}"/>
            </c:ext>
          </c:extLst>
        </c:ser>
        <c:ser>
          <c:idx val="1"/>
          <c:order val="1"/>
          <c:spPr>
            <a:solidFill>
              <a:srgbClr val="98DD7F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Monthly!$H$27:$N$27</c:f>
              <c:numCache>
                <c:formatCode>0</c:formatCode>
                <c:ptCount val="7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C-454C-8D76-20442C3F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37243936"/>
        <c:axId val="442787584"/>
      </c:barChart>
      <c:catAx>
        <c:axId val="43724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2787584"/>
        <c:crosses val="autoZero"/>
        <c:auto val="1"/>
        <c:lblAlgn val="ctr"/>
        <c:lblOffset val="100"/>
        <c:noMultiLvlLbl val="0"/>
      </c:catAx>
      <c:valAx>
        <c:axId val="4427875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37243936"/>
        <c:crosses val="autoZero"/>
        <c:crossBetween val="between"/>
      </c:valAx>
      <c:spPr>
        <a:solidFill>
          <a:srgbClr val="E9F5F3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57926480323056E-3"/>
          <c:y val="9.8324077708538005E-3"/>
          <c:w val="0.99430420735196767"/>
          <c:h val="0.970502776687438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565"/>
            </a:solidFill>
            <a:ln>
              <a:noFill/>
            </a:ln>
            <a:effectLst/>
          </c:spPr>
          <c:invertIfNegative val="0"/>
          <c:val>
            <c:numRef>
              <c:f>Monthly!$O$26:$U$26</c:f>
              <c:numCache>
                <c:formatCode>0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8-46F5-9F92-2C30CBB43C63}"/>
            </c:ext>
          </c:extLst>
        </c:ser>
        <c:ser>
          <c:idx val="1"/>
          <c:order val="1"/>
          <c:spPr>
            <a:solidFill>
              <a:srgbClr val="98DD7F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Monthly!$O$27:$U$27</c:f>
              <c:numCache>
                <c:formatCode>0</c:formatCode>
                <c:ptCount val="7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88-46F5-9F92-2C30CBB4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37243936"/>
        <c:axId val="442787584"/>
      </c:barChart>
      <c:catAx>
        <c:axId val="43724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2787584"/>
        <c:crosses val="autoZero"/>
        <c:auto val="1"/>
        <c:lblAlgn val="ctr"/>
        <c:lblOffset val="100"/>
        <c:noMultiLvlLbl val="0"/>
      </c:catAx>
      <c:valAx>
        <c:axId val="4427875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37243936"/>
        <c:crosses val="autoZero"/>
        <c:crossBetween val="between"/>
      </c:valAx>
      <c:spPr>
        <a:solidFill>
          <a:srgbClr val="E9F5F3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57926480323056E-3"/>
          <c:y val="9.8324077708538005E-3"/>
          <c:w val="0.99430420735196767"/>
          <c:h val="0.970502776687438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565"/>
            </a:solidFill>
            <a:ln>
              <a:noFill/>
            </a:ln>
            <a:effectLst/>
          </c:spPr>
          <c:invertIfNegative val="0"/>
          <c:val>
            <c:numRef>
              <c:f>Monthly!$V$26:$AB$26</c:f>
              <c:numCache>
                <c:formatCode>0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0-419E-AD7A-B8A63D055981}"/>
            </c:ext>
          </c:extLst>
        </c:ser>
        <c:ser>
          <c:idx val="1"/>
          <c:order val="1"/>
          <c:spPr>
            <a:solidFill>
              <a:srgbClr val="98DD7F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Monthly!$V$27:$AB$27</c:f>
              <c:numCache>
                <c:formatCode>0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0-419E-AD7A-B8A63D05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37243936"/>
        <c:axId val="442787584"/>
      </c:barChart>
      <c:catAx>
        <c:axId val="43724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2787584"/>
        <c:crosses val="autoZero"/>
        <c:auto val="1"/>
        <c:lblAlgn val="ctr"/>
        <c:lblOffset val="100"/>
        <c:noMultiLvlLbl val="0"/>
      </c:catAx>
      <c:valAx>
        <c:axId val="4427875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37243936"/>
        <c:crosses val="autoZero"/>
        <c:crossBetween val="between"/>
      </c:valAx>
      <c:spPr>
        <a:solidFill>
          <a:srgbClr val="E9F5F3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8324077708538005E-3"/>
          <c:w val="1"/>
          <c:h val="0.970502776687438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565"/>
            </a:solidFill>
            <a:ln>
              <a:noFill/>
            </a:ln>
            <a:effectLst/>
          </c:spPr>
          <c:invertIfNegative val="0"/>
          <c:val>
            <c:numRef>
              <c:f>Monthly!$AC$26:$AI$26</c:f>
              <c:numCache>
                <c:formatCode>0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8-4044-8324-456E3DF4CFB4}"/>
            </c:ext>
          </c:extLst>
        </c:ser>
        <c:ser>
          <c:idx val="1"/>
          <c:order val="1"/>
          <c:spPr>
            <a:solidFill>
              <a:srgbClr val="98DD7F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Monthly!$AC$27:$AI$27</c:f>
              <c:numCache>
                <c:formatCode>0</c:formatCode>
                <c:ptCount val="7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8-4044-8324-456E3DF4C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37243936"/>
        <c:axId val="442787584"/>
      </c:barChart>
      <c:catAx>
        <c:axId val="43724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2787584"/>
        <c:crosses val="autoZero"/>
        <c:auto val="1"/>
        <c:lblAlgn val="ctr"/>
        <c:lblOffset val="100"/>
        <c:noMultiLvlLbl val="0"/>
      </c:catAx>
      <c:valAx>
        <c:axId val="4427875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37243936"/>
        <c:crosses val="autoZero"/>
        <c:crossBetween val="between"/>
      </c:valAx>
      <c:spPr>
        <a:solidFill>
          <a:srgbClr val="E9F5F3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57926480323056E-3"/>
          <c:y val="9.8324077708538005E-3"/>
          <c:w val="0.99430420735196767"/>
          <c:h val="0.970502776687438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565"/>
            </a:solidFill>
            <a:ln>
              <a:noFill/>
            </a:ln>
            <a:effectLst/>
          </c:spPr>
          <c:invertIfNegative val="0"/>
          <c:val>
            <c:numRef>
              <c:f>Monthly!$AJ$26:$AL$26</c:f>
              <c:numCache>
                <c:formatCode>0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8-494F-BBA1-81960624A41E}"/>
            </c:ext>
          </c:extLst>
        </c:ser>
        <c:ser>
          <c:idx val="1"/>
          <c:order val="1"/>
          <c:spPr>
            <a:solidFill>
              <a:srgbClr val="98DD7F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Monthly!$AJ$27:$AL$27</c:f>
              <c:numCache>
                <c:formatCode>0</c:formatCode>
                <c:ptCount val="3"/>
                <c:pt idx="0">
                  <c:v>6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8-494F-BBA1-81960624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37243936"/>
        <c:axId val="442787584"/>
      </c:barChart>
      <c:catAx>
        <c:axId val="43724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2787584"/>
        <c:crosses val="autoZero"/>
        <c:auto val="1"/>
        <c:lblAlgn val="ctr"/>
        <c:lblOffset val="100"/>
        <c:noMultiLvlLbl val="0"/>
      </c:catAx>
      <c:valAx>
        <c:axId val="4427875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37243936"/>
        <c:crosses val="autoZero"/>
        <c:crossBetween val="between"/>
      </c:valAx>
      <c:spPr>
        <a:solidFill>
          <a:srgbClr val="E9F5F3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93412827229337E-2"/>
          <c:y val="7.0666659247594826E-2"/>
          <c:w val="0.94783655005062106"/>
          <c:h val="0.74781214662806272"/>
        </c:manualLayout>
      </c:layout>
      <c:areaChart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  <a:alpha val="39000"/>
              </a:schemeClr>
            </a:solidFill>
            <a:ln>
              <a:noFill/>
            </a:ln>
            <a:effectLst/>
          </c:spPr>
          <c:val>
            <c:numRef>
              <c:f>Monthly!$H$5:$AL$5</c:f>
              <c:numCache>
                <c:formatCode>0%</c:formatCode>
                <c:ptCount val="31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0.7</c:v>
                </c:pt>
                <c:pt idx="4">
                  <c:v>0.8</c:v>
                </c:pt>
                <c:pt idx="5">
                  <c:v>0.8</c:v>
                </c:pt>
                <c:pt idx="6">
                  <c:v>0.5</c:v>
                </c:pt>
                <c:pt idx="7">
                  <c:v>0.8</c:v>
                </c:pt>
                <c:pt idx="8">
                  <c:v>0.9</c:v>
                </c:pt>
                <c:pt idx="9">
                  <c:v>0.9</c:v>
                </c:pt>
                <c:pt idx="10">
                  <c:v>0.8</c:v>
                </c:pt>
                <c:pt idx="11">
                  <c:v>0.9</c:v>
                </c:pt>
                <c:pt idx="12">
                  <c:v>0.7</c:v>
                </c:pt>
                <c:pt idx="13">
                  <c:v>0.8</c:v>
                </c:pt>
                <c:pt idx="14">
                  <c:v>0.6</c:v>
                </c:pt>
                <c:pt idx="15">
                  <c:v>1</c:v>
                </c:pt>
                <c:pt idx="16">
                  <c:v>0.7</c:v>
                </c:pt>
                <c:pt idx="17">
                  <c:v>0.8</c:v>
                </c:pt>
                <c:pt idx="18">
                  <c:v>0.9</c:v>
                </c:pt>
                <c:pt idx="19">
                  <c:v>0.8</c:v>
                </c:pt>
                <c:pt idx="20">
                  <c:v>0.9</c:v>
                </c:pt>
                <c:pt idx="21">
                  <c:v>0.3</c:v>
                </c:pt>
                <c:pt idx="22">
                  <c:v>0.8</c:v>
                </c:pt>
                <c:pt idx="23">
                  <c:v>0.9</c:v>
                </c:pt>
                <c:pt idx="24">
                  <c:v>0.7</c:v>
                </c:pt>
                <c:pt idx="25">
                  <c:v>0.9</c:v>
                </c:pt>
                <c:pt idx="26">
                  <c:v>0.7</c:v>
                </c:pt>
                <c:pt idx="27">
                  <c:v>0.9</c:v>
                </c:pt>
                <c:pt idx="28">
                  <c:v>0.6</c:v>
                </c:pt>
                <c:pt idx="29">
                  <c:v>0.6</c:v>
                </c:pt>
                <c:pt idx="3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C-4EC5-BFA9-88B73357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26704"/>
        <c:axId val="454927184"/>
      </c:areaChart>
      <c:catAx>
        <c:axId val="4549267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solidFill>
            <a:srgbClr val="E9F5F3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27184"/>
        <c:crosses val="autoZero"/>
        <c:auto val="1"/>
        <c:lblAlgn val="ctr"/>
        <c:lblOffset val="100"/>
        <c:noMultiLvlLbl val="0"/>
      </c:catAx>
      <c:valAx>
        <c:axId val="454927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26704"/>
        <c:crosses val="autoZero"/>
        <c:crossBetween val="midCat"/>
      </c:valAx>
      <c:spPr>
        <a:solidFill>
          <a:srgbClr val="E9F5F3"/>
        </a:solidFill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9F5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32-4A21-AC34-629214C026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B6-4CA0-A4C1-9F7BF87D03C1}"/>
              </c:ext>
            </c:extLst>
          </c:dPt>
          <c:dLbls>
            <c:dLbl>
              <c:idx val="1"/>
              <c:layout>
                <c:manualLayout>
                  <c:x val="-0.15055935109828791"/>
                  <c:y val="1.69002089238426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B6-4CA0-A4C1-9F7BF87D03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Monthly!$AO$29:$AO$30</c:f>
              <c:strCache>
                <c:ptCount val="2"/>
                <c:pt idx="0">
                  <c:v>Achieved</c:v>
                </c:pt>
                <c:pt idx="1">
                  <c:v>Left</c:v>
                </c:pt>
              </c:strCache>
            </c:strRef>
          </c:cat>
          <c:val>
            <c:numRef>
              <c:f>Monthly!$AQ$29:$AQ$30</c:f>
              <c:numCache>
                <c:formatCode>0%</c:formatCode>
                <c:ptCount val="2"/>
                <c:pt idx="0">
                  <c:v>0.76451612903225807</c:v>
                </c:pt>
                <c:pt idx="1">
                  <c:v>0.23548387096774193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6-4CA0-A4C1-9F7BF87D03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9F5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J$39" noThreeD="1"/>
</file>

<file path=xl/ctrlProps/ctrlProp2.xml><?xml version="1.0" encoding="utf-8"?>
<formControlPr xmlns="http://schemas.microsoft.com/office/spreadsheetml/2009/9/main" objectType="CheckBox" checked="Checked" fmlaLink="$J$41" noThreeD="1"/>
</file>

<file path=xl/ctrlProps/ctrlProp3.xml><?xml version="1.0" encoding="utf-8"?>
<formControlPr xmlns="http://schemas.microsoft.com/office/spreadsheetml/2009/9/main" objectType="CheckBox" fmlaLink="$J$42" noThreeD="1"/>
</file>

<file path=xl/ctrlProps/ctrlProp4.xml><?xml version="1.0" encoding="utf-8"?>
<formControlPr xmlns="http://schemas.microsoft.com/office/spreadsheetml/2009/9/main" objectType="CheckBox" checked="Checked" fmlaLink="$J$40" noThreeD="1"/>
</file>

<file path=xl/ctrlProps/ctrlProp5.xml><?xml version="1.0" encoding="utf-8"?>
<formControlPr xmlns="http://schemas.microsoft.com/office/spreadsheetml/2009/9/main" objectType="CheckBox" checked="Checked" fmlaLink="$J$43" noThreeD="1"/>
</file>

<file path=xl/ctrlProps/ctrlProp6.xml><?xml version="1.0" encoding="utf-8"?>
<formControlPr xmlns="http://schemas.microsoft.com/office/spreadsheetml/2009/9/main" objectType="CheckBox" checked="Checked" fmlaLink="$J$44" noThreeD="1"/>
</file>

<file path=xl/ctrlProps/ctrlProp7.xml><?xml version="1.0" encoding="utf-8"?>
<formControlPr xmlns="http://schemas.microsoft.com/office/spreadsheetml/2009/9/main" objectType="CheckBox" checked="Checked" fmlaLink="$J$45" noThreeD="1"/>
</file>

<file path=xl/ctrlProps/ctrlProp8.xml><?xml version="1.0" encoding="utf-8"?>
<formControlPr xmlns="http://schemas.microsoft.com/office/spreadsheetml/2009/9/main" objectType="CheckBox" fmlaLink="$J$46" noThreeD="1"/>
</file>

<file path=xl/ctrlProps/ctrlProp9.xml><?xml version="1.0" encoding="utf-8"?>
<formControlPr xmlns="http://schemas.microsoft.com/office/spreadsheetml/2009/9/main" objectType="CheckBox" fmlaLink="$J$47" noThreeD="1"/>
</file>

<file path=xl/ctrlProps/ctrlProp10.xml><?xml version="1.0" encoding="utf-8"?>
<formControlPr xmlns="http://schemas.microsoft.com/office/spreadsheetml/2009/9/main" objectType="CheckBox" fmlaLink="$K$39" noThreeD="1"/>
</file>

<file path=xl/ctrlProps/ctrlProp11.xml><?xml version="1.0" encoding="utf-8"?>
<formControlPr xmlns="http://schemas.microsoft.com/office/spreadsheetml/2009/9/main" objectType="CheckBox" checked="Checked" fmlaLink="$K$41" noThreeD="1"/>
</file>

<file path=xl/ctrlProps/ctrlProp12.xml><?xml version="1.0" encoding="utf-8"?>
<formControlPr xmlns="http://schemas.microsoft.com/office/spreadsheetml/2009/9/main" objectType="CheckBox" checked="Checked" fmlaLink="$K$42" noThreeD="1"/>
</file>

<file path=xl/ctrlProps/ctrlProp13.xml><?xml version="1.0" encoding="utf-8"?>
<formControlPr xmlns="http://schemas.microsoft.com/office/spreadsheetml/2009/9/main" objectType="CheckBox" fmlaLink="$K$40" noThreeD="1"/>
</file>

<file path=xl/ctrlProps/ctrlProp14.xml><?xml version="1.0" encoding="utf-8"?>
<formControlPr xmlns="http://schemas.microsoft.com/office/spreadsheetml/2009/9/main" objectType="CheckBox" checked="Checked" fmlaLink="$K$43" noThreeD="1"/>
</file>

<file path=xl/ctrlProps/ctrlProp15.xml><?xml version="1.0" encoding="utf-8"?>
<formControlPr xmlns="http://schemas.microsoft.com/office/spreadsheetml/2009/9/main" objectType="CheckBox" checked="Checked" fmlaLink="$K$44" noThreeD="1"/>
</file>

<file path=xl/ctrlProps/ctrlProp16.xml><?xml version="1.0" encoding="utf-8"?>
<formControlPr xmlns="http://schemas.microsoft.com/office/spreadsheetml/2009/9/main" objectType="CheckBox" checked="Checked" fmlaLink="$K$45" noThreeD="1"/>
</file>

<file path=xl/ctrlProps/ctrlProp17.xml><?xml version="1.0" encoding="utf-8"?>
<formControlPr xmlns="http://schemas.microsoft.com/office/spreadsheetml/2009/9/main" objectType="CheckBox" checked="Checked" fmlaLink="$K$46" noThreeD="1"/>
</file>

<file path=xl/ctrlProps/ctrlProp18.xml><?xml version="1.0" encoding="utf-8"?>
<formControlPr xmlns="http://schemas.microsoft.com/office/spreadsheetml/2009/9/main" objectType="CheckBox" checked="Checked" fmlaLink="$K$47" noThreeD="1"/>
</file>

<file path=xl/ctrlProps/ctrlProp19.xml><?xml version="1.0" encoding="utf-8"?>
<formControlPr xmlns="http://schemas.microsoft.com/office/spreadsheetml/2009/9/main" objectType="CheckBox" checked="Checked" fmlaLink="$L$39" noThreeD="1"/>
</file>

<file path=xl/ctrlProps/ctrlProp20.xml><?xml version="1.0" encoding="utf-8"?>
<formControlPr xmlns="http://schemas.microsoft.com/office/spreadsheetml/2009/9/main" objectType="CheckBox" checked="Checked" fmlaLink="$L$41" noThreeD="1"/>
</file>

<file path=xl/ctrlProps/ctrlProp21.xml><?xml version="1.0" encoding="utf-8"?>
<formControlPr xmlns="http://schemas.microsoft.com/office/spreadsheetml/2009/9/main" objectType="CheckBox" checked="Checked" fmlaLink="$L$42" noThreeD="1"/>
</file>

<file path=xl/ctrlProps/ctrlProp22.xml><?xml version="1.0" encoding="utf-8"?>
<formControlPr xmlns="http://schemas.microsoft.com/office/spreadsheetml/2009/9/main" objectType="CheckBox" fmlaLink="$L$40" noThreeD="1"/>
</file>

<file path=xl/ctrlProps/ctrlProp23.xml><?xml version="1.0" encoding="utf-8"?>
<formControlPr xmlns="http://schemas.microsoft.com/office/spreadsheetml/2009/9/main" objectType="CheckBox" checked="Checked" fmlaLink="$L$38" noThreeD="1"/>
</file>

<file path=xl/ctrlProps/ctrlProp24.xml><?xml version="1.0" encoding="utf-8"?>
<formControlPr xmlns="http://schemas.microsoft.com/office/spreadsheetml/2009/9/main" objectType="CheckBox" checked="Checked" fmlaLink="$L$43" noThreeD="1"/>
</file>

<file path=xl/ctrlProps/ctrlProp25.xml><?xml version="1.0" encoding="utf-8"?>
<formControlPr xmlns="http://schemas.microsoft.com/office/spreadsheetml/2009/9/main" objectType="CheckBox" checked="Checked" fmlaLink="$L$44" noThreeD="1"/>
</file>

<file path=xl/ctrlProps/ctrlProp26.xml><?xml version="1.0" encoding="utf-8"?>
<formControlPr xmlns="http://schemas.microsoft.com/office/spreadsheetml/2009/9/main" objectType="CheckBox" checked="Checked" fmlaLink="$L$45" noThreeD="1"/>
</file>

<file path=xl/ctrlProps/ctrlProp27.xml><?xml version="1.0" encoding="utf-8"?>
<formControlPr xmlns="http://schemas.microsoft.com/office/spreadsheetml/2009/9/main" objectType="CheckBox" checked="Checked" fmlaLink="$L$46" noThreeD="1"/>
</file>

<file path=xl/ctrlProps/ctrlProp28.xml><?xml version="1.0" encoding="utf-8"?>
<formControlPr xmlns="http://schemas.microsoft.com/office/spreadsheetml/2009/9/main" objectType="CheckBox" checked="Checked" fmlaLink="$L$47" noThreeD="1"/>
</file>

<file path=xl/ctrlProps/ctrlProp29.xml><?xml version="1.0" encoding="utf-8"?>
<formControlPr xmlns="http://schemas.microsoft.com/office/spreadsheetml/2009/9/main" objectType="CheckBox" checked="Checked" fmlaLink="$M$39" noThreeD="1"/>
</file>

<file path=xl/ctrlProps/ctrlProp30.xml><?xml version="1.0" encoding="utf-8"?>
<formControlPr xmlns="http://schemas.microsoft.com/office/spreadsheetml/2009/9/main" objectType="CheckBox" fmlaLink="$M$41" noThreeD="1"/>
</file>

<file path=xl/ctrlProps/ctrlProp31.xml><?xml version="1.0" encoding="utf-8"?>
<formControlPr xmlns="http://schemas.microsoft.com/office/spreadsheetml/2009/9/main" objectType="CheckBox" checked="Checked" fmlaLink="$M$42" noThreeD="1"/>
</file>

<file path=xl/ctrlProps/ctrlProp32.xml><?xml version="1.0" encoding="utf-8"?>
<formControlPr xmlns="http://schemas.microsoft.com/office/spreadsheetml/2009/9/main" objectType="CheckBox" checked="Checked" fmlaLink="$M$40" noThreeD="1"/>
</file>

<file path=xl/ctrlProps/ctrlProp33.xml><?xml version="1.0" encoding="utf-8"?>
<formControlPr xmlns="http://schemas.microsoft.com/office/spreadsheetml/2009/9/main" objectType="CheckBox" checked="Checked" fmlaLink="$M$43" noThreeD="1"/>
</file>

<file path=xl/ctrlProps/ctrlProp34.xml><?xml version="1.0" encoding="utf-8"?>
<formControlPr xmlns="http://schemas.microsoft.com/office/spreadsheetml/2009/9/main" objectType="CheckBox" fmlaLink="$M$44" noThreeD="1"/>
</file>

<file path=xl/ctrlProps/ctrlProp35.xml><?xml version="1.0" encoding="utf-8"?>
<formControlPr xmlns="http://schemas.microsoft.com/office/spreadsheetml/2009/9/main" objectType="CheckBox" checked="Checked" fmlaLink="$M$45" noThreeD="1"/>
</file>

<file path=xl/ctrlProps/ctrlProp36.xml><?xml version="1.0" encoding="utf-8"?>
<formControlPr xmlns="http://schemas.microsoft.com/office/spreadsheetml/2009/9/main" objectType="CheckBox" checked="Checked" fmlaLink="$M$46" noThreeD="1"/>
</file>

<file path=xl/ctrlProps/ctrlProp37.xml><?xml version="1.0" encoding="utf-8"?>
<formControlPr xmlns="http://schemas.microsoft.com/office/spreadsheetml/2009/9/main" objectType="CheckBox" checked="Checked" fmlaLink="$M$47" noThreeD="1"/>
</file>

<file path=xl/ctrlProps/ctrlProp38.xml><?xml version="1.0" encoding="utf-8"?>
<formControlPr xmlns="http://schemas.microsoft.com/office/spreadsheetml/2009/9/main" objectType="CheckBox" checked="Checked" fmlaLink="$N$39" noThreeD="1"/>
</file>

<file path=xl/ctrlProps/ctrlProp39.xml><?xml version="1.0" encoding="utf-8"?>
<formControlPr xmlns="http://schemas.microsoft.com/office/spreadsheetml/2009/9/main" objectType="CheckBox" fmlaLink="$N$41" noThreeD="1"/>
</file>

<file path=xl/ctrlProps/ctrlProp40.xml><?xml version="1.0" encoding="utf-8"?>
<formControlPr xmlns="http://schemas.microsoft.com/office/spreadsheetml/2009/9/main" objectType="CheckBox" checked="Checked" fmlaLink="$N$42" noThreeD="1"/>
</file>

<file path=xl/ctrlProps/ctrlProp41.xml><?xml version="1.0" encoding="utf-8"?>
<formControlPr xmlns="http://schemas.microsoft.com/office/spreadsheetml/2009/9/main" objectType="CheckBox" checked="Checked" fmlaLink="$N$40" noThreeD="1"/>
</file>

<file path=xl/ctrlProps/ctrlProp42.xml><?xml version="1.0" encoding="utf-8"?>
<formControlPr xmlns="http://schemas.microsoft.com/office/spreadsheetml/2009/9/main" objectType="CheckBox" checked="Checked" fmlaLink="$N$38" noThreeD="1"/>
</file>

<file path=xl/ctrlProps/ctrlProp43.xml><?xml version="1.0" encoding="utf-8"?>
<formControlPr xmlns="http://schemas.microsoft.com/office/spreadsheetml/2009/9/main" objectType="CheckBox" checked="Checked" fmlaLink="$N$43" noThreeD="1"/>
</file>

<file path=xl/ctrlProps/ctrlProp44.xml><?xml version="1.0" encoding="utf-8"?>
<formControlPr xmlns="http://schemas.microsoft.com/office/spreadsheetml/2009/9/main" objectType="CheckBox" checked="Checked" fmlaLink="$N$44" noThreeD="1"/>
</file>

<file path=xl/ctrlProps/ctrlProp45.xml><?xml version="1.0" encoding="utf-8"?>
<formControlPr xmlns="http://schemas.microsoft.com/office/spreadsheetml/2009/9/main" objectType="CheckBox" fmlaLink="$N$45" noThreeD="1"/>
</file>

<file path=xl/ctrlProps/ctrlProp46.xml><?xml version="1.0" encoding="utf-8"?>
<formControlPr xmlns="http://schemas.microsoft.com/office/spreadsheetml/2009/9/main" objectType="CheckBox" checked="Checked" fmlaLink="$N$46" noThreeD="1"/>
</file>

<file path=xl/ctrlProps/ctrlProp47.xml><?xml version="1.0" encoding="utf-8"?>
<formControlPr xmlns="http://schemas.microsoft.com/office/spreadsheetml/2009/9/main" objectType="CheckBox" checked="Checked" fmlaLink="$N$47" noThreeD="1"/>
</file>

<file path=xl/ctrlProps/ctrlProp48.xml><?xml version="1.0" encoding="utf-8"?>
<formControlPr xmlns="http://schemas.microsoft.com/office/spreadsheetml/2009/9/main" objectType="CheckBox" checked="Checked" fmlaLink="$O$39" noThreeD="1"/>
</file>

<file path=xl/ctrlProps/ctrlProp49.xml><?xml version="1.0" encoding="utf-8"?>
<formControlPr xmlns="http://schemas.microsoft.com/office/spreadsheetml/2009/9/main" objectType="CheckBox" fmlaLink="$O$41" noThreeD="1"/>
</file>

<file path=xl/ctrlProps/ctrlProp50.xml><?xml version="1.0" encoding="utf-8"?>
<formControlPr xmlns="http://schemas.microsoft.com/office/spreadsheetml/2009/9/main" objectType="CheckBox" checked="Checked" fmlaLink="$O$42" noThreeD="1"/>
</file>

<file path=xl/ctrlProps/ctrlProp51.xml><?xml version="1.0" encoding="utf-8"?>
<formControlPr xmlns="http://schemas.microsoft.com/office/spreadsheetml/2009/9/main" objectType="CheckBox" checked="Checked" fmlaLink="$O$40" noThreeD="1"/>
</file>

<file path=xl/ctrlProps/ctrlProp52.xml><?xml version="1.0" encoding="utf-8"?>
<formControlPr xmlns="http://schemas.microsoft.com/office/spreadsheetml/2009/9/main" objectType="CheckBox" checked="Checked" fmlaLink="$O$38" noThreeD="1"/>
</file>

<file path=xl/ctrlProps/ctrlProp53.xml><?xml version="1.0" encoding="utf-8"?>
<formControlPr xmlns="http://schemas.microsoft.com/office/spreadsheetml/2009/9/main" objectType="CheckBox" checked="Checked" fmlaLink="$NJ$43" noThreeD="1"/>
</file>

<file path=xl/ctrlProps/ctrlProp54.xml><?xml version="1.0" encoding="utf-8"?>
<formControlPr xmlns="http://schemas.microsoft.com/office/spreadsheetml/2009/9/main" objectType="CheckBox" checked="Checked" fmlaLink="$O$44" noThreeD="1"/>
</file>

<file path=xl/ctrlProps/ctrlProp55.xml><?xml version="1.0" encoding="utf-8"?>
<formControlPr xmlns="http://schemas.microsoft.com/office/spreadsheetml/2009/9/main" objectType="CheckBox" fmlaLink="$O$45" noThreeD="1"/>
</file>

<file path=xl/ctrlProps/ctrlProp56.xml><?xml version="1.0" encoding="utf-8"?>
<formControlPr xmlns="http://schemas.microsoft.com/office/spreadsheetml/2009/9/main" objectType="CheckBox" checked="Checked" fmlaLink="$O$46" noThreeD="1"/>
</file>

<file path=xl/ctrlProps/ctrlProp57.xml><?xml version="1.0" encoding="utf-8"?>
<formControlPr xmlns="http://schemas.microsoft.com/office/spreadsheetml/2009/9/main" objectType="CheckBox" checked="Checked" fmlaLink="$O$47" noThreeD="1"/>
</file>

<file path=xl/ctrlProps/ctrlProp58.xml><?xml version="1.0" encoding="utf-8"?>
<formControlPr xmlns="http://schemas.microsoft.com/office/spreadsheetml/2009/9/main" objectType="CheckBox" checked="Checked" fmlaLink="$P$39" noThreeD="1"/>
</file>

<file path=xl/ctrlProps/ctrlProp59.xml><?xml version="1.0" encoding="utf-8"?>
<formControlPr xmlns="http://schemas.microsoft.com/office/spreadsheetml/2009/9/main" objectType="CheckBox" fmlaLink="$P$41" noThreeD="1"/>
</file>

<file path=xl/ctrlProps/ctrlProp60.xml><?xml version="1.0" encoding="utf-8"?>
<formControlPr xmlns="http://schemas.microsoft.com/office/spreadsheetml/2009/9/main" objectType="CheckBox" fmlaLink="$P$42" noThreeD="1"/>
</file>

<file path=xl/ctrlProps/ctrlProp61.xml><?xml version="1.0" encoding="utf-8"?>
<formControlPr xmlns="http://schemas.microsoft.com/office/spreadsheetml/2009/9/main" objectType="CheckBox" checked="Checked" fmlaLink="$P$40" noThreeD="1"/>
</file>

<file path=xl/ctrlProps/ctrlProp62.xml><?xml version="1.0" encoding="utf-8"?>
<formControlPr xmlns="http://schemas.microsoft.com/office/spreadsheetml/2009/9/main" objectType="CheckBox" checked="Checked" fmlaLink="$P$38" noThreeD="1"/>
</file>

<file path=xl/ctrlProps/ctrlProp63.xml><?xml version="1.0" encoding="utf-8"?>
<formControlPr xmlns="http://schemas.microsoft.com/office/spreadsheetml/2009/9/main" objectType="CheckBox" fmlaLink="$P$43" noThreeD="1"/>
</file>

<file path=xl/ctrlProps/ctrlProp64.xml><?xml version="1.0" encoding="utf-8"?>
<formControlPr xmlns="http://schemas.microsoft.com/office/spreadsheetml/2009/9/main" objectType="CheckBox" fmlaLink="$P$44" noThreeD="1"/>
</file>

<file path=xl/ctrlProps/ctrlProp65.xml><?xml version="1.0" encoding="utf-8"?>
<formControlPr xmlns="http://schemas.microsoft.com/office/spreadsheetml/2009/9/main" objectType="CheckBox" fmlaLink="$P$45" noThreeD="1"/>
</file>

<file path=xl/ctrlProps/ctrlProp66.xml><?xml version="1.0" encoding="utf-8"?>
<formControlPr xmlns="http://schemas.microsoft.com/office/spreadsheetml/2009/9/main" objectType="CheckBox" checked="Checked" fmlaLink="$P$46" noThreeD="1"/>
</file>

<file path=xl/ctrlProps/ctrlProp67.xml><?xml version="1.0" encoding="utf-8"?>
<formControlPr xmlns="http://schemas.microsoft.com/office/spreadsheetml/2009/9/main" objectType="CheckBox" checked="Checked" fmlaLink="$P$47" noThreeD="1"/>
</file>

<file path=xl/ctrlProps/ctrlProp68.xml><?xml version="1.0" encoding="utf-8"?>
<formControlPr xmlns="http://schemas.microsoft.com/office/spreadsheetml/2009/9/main" objectType="CheckBox" checked="Checked" fmlaLink="$Q$39" noThreeD="1"/>
</file>

<file path=xl/ctrlProps/ctrlProp69.xml><?xml version="1.0" encoding="utf-8"?>
<formControlPr xmlns="http://schemas.microsoft.com/office/spreadsheetml/2009/9/main" objectType="CheckBox" checked="Checked" fmlaLink="$Q$41" noThreeD="1"/>
</file>

<file path=xl/ctrlProps/ctrlProp70.xml><?xml version="1.0" encoding="utf-8"?>
<formControlPr xmlns="http://schemas.microsoft.com/office/spreadsheetml/2009/9/main" objectType="CheckBox" checked="Checked" fmlaLink="$Q$42" noThreeD="1"/>
</file>

<file path=xl/ctrlProps/ctrlProp71.xml><?xml version="1.0" encoding="utf-8"?>
<formControlPr xmlns="http://schemas.microsoft.com/office/spreadsheetml/2009/9/main" objectType="CheckBox" checked="Checked" fmlaLink="$Q$40" noThreeD="1"/>
</file>

<file path=xl/ctrlProps/ctrlProp72.xml><?xml version="1.0" encoding="utf-8"?>
<formControlPr xmlns="http://schemas.microsoft.com/office/spreadsheetml/2009/9/main" objectType="CheckBox" fmlaLink="$Q$38" noThreeD="1"/>
</file>

<file path=xl/ctrlProps/ctrlProp73.xml><?xml version="1.0" encoding="utf-8"?>
<formControlPr xmlns="http://schemas.microsoft.com/office/spreadsheetml/2009/9/main" objectType="CheckBox" checked="Checked" fmlaLink="$Q$43" noThreeD="1"/>
</file>

<file path=xl/ctrlProps/ctrlProp74.xml><?xml version="1.0" encoding="utf-8"?>
<formControlPr xmlns="http://schemas.microsoft.com/office/spreadsheetml/2009/9/main" objectType="CheckBox" checked="Checked" fmlaLink="$Q$44" noThreeD="1"/>
</file>

<file path=xl/ctrlProps/ctrlProp75.xml><?xml version="1.0" encoding="utf-8"?>
<formControlPr xmlns="http://schemas.microsoft.com/office/spreadsheetml/2009/9/main" objectType="CheckBox" checked="Checked" fmlaLink="$Q$45" noThreeD="1"/>
</file>

<file path=xl/ctrlProps/ctrlProp76.xml><?xml version="1.0" encoding="utf-8"?>
<formControlPr xmlns="http://schemas.microsoft.com/office/spreadsheetml/2009/9/main" objectType="CheckBox" checked="Checked" fmlaLink="$Q$46" noThreeD="1"/>
</file>

<file path=xl/ctrlProps/ctrlProp77.xml><?xml version="1.0" encoding="utf-8"?>
<formControlPr xmlns="http://schemas.microsoft.com/office/spreadsheetml/2009/9/main" objectType="CheckBox" fmlaLink="$Q$47" noThreeD="1"/>
</file>

<file path=xl/ctrlProps/ctrlProp78.xml><?xml version="1.0" encoding="utf-8"?>
<formControlPr xmlns="http://schemas.microsoft.com/office/spreadsheetml/2009/9/main" objectType="CheckBox" checked="Checked" fmlaLink="$R$39" noThreeD="1"/>
</file>

<file path=xl/ctrlProps/ctrlProp79.xml><?xml version="1.0" encoding="utf-8"?>
<formControlPr xmlns="http://schemas.microsoft.com/office/spreadsheetml/2009/9/main" objectType="CheckBox" checked="Checked" fmlaLink="$R$41" noThreeD="1"/>
</file>

<file path=xl/ctrlProps/ctrlProp80.xml><?xml version="1.0" encoding="utf-8"?>
<formControlPr xmlns="http://schemas.microsoft.com/office/spreadsheetml/2009/9/main" objectType="CheckBox" checked="Checked" fmlaLink="$R$42" noThreeD="1"/>
</file>

<file path=xl/ctrlProps/ctrlProp81.xml><?xml version="1.0" encoding="utf-8"?>
<formControlPr xmlns="http://schemas.microsoft.com/office/spreadsheetml/2009/9/main" objectType="CheckBox" checked="Checked" fmlaLink="$R$40" noThreeD="1"/>
</file>

<file path=xl/ctrlProps/ctrlProp82.xml><?xml version="1.0" encoding="utf-8"?>
<formControlPr xmlns="http://schemas.microsoft.com/office/spreadsheetml/2009/9/main" objectType="CheckBox" checked="Checked" fmlaLink="$R$38" noThreeD="1"/>
</file>

<file path=xl/ctrlProps/ctrlProp83.xml><?xml version="1.0" encoding="utf-8"?>
<formControlPr xmlns="http://schemas.microsoft.com/office/spreadsheetml/2009/9/main" objectType="CheckBox" fmlaLink="$R$43" noThreeD="1"/>
</file>

<file path=xl/ctrlProps/ctrlProp84.xml><?xml version="1.0" encoding="utf-8"?>
<formControlPr xmlns="http://schemas.microsoft.com/office/spreadsheetml/2009/9/main" objectType="CheckBox" checked="Checked" fmlaLink="$R$44" noThreeD="1"/>
</file>

<file path=xl/ctrlProps/ctrlProp85.xml><?xml version="1.0" encoding="utf-8"?>
<formControlPr xmlns="http://schemas.microsoft.com/office/spreadsheetml/2009/9/main" objectType="CheckBox" checked="Checked" fmlaLink="$R$45" noThreeD="1"/>
</file>

<file path=xl/ctrlProps/ctrlProp86.xml><?xml version="1.0" encoding="utf-8"?>
<formControlPr xmlns="http://schemas.microsoft.com/office/spreadsheetml/2009/9/main" objectType="CheckBox" checked="Checked" fmlaLink="$R$46" noThreeD="1"/>
</file>

<file path=xl/ctrlProps/ctrlProp87.xml><?xml version="1.0" encoding="utf-8"?>
<formControlPr xmlns="http://schemas.microsoft.com/office/spreadsheetml/2009/9/main" objectType="CheckBox" checked="Checked" fmlaLink="$R$47" noThreeD="1"/>
</file>

<file path=xl/ctrlProps/ctrlProp88.xml><?xml version="1.0" encoding="utf-8"?>
<formControlPr xmlns="http://schemas.microsoft.com/office/spreadsheetml/2009/9/main" objectType="CheckBox" checked="Checked" fmlaLink="$S$39" noThreeD="1"/>
</file>

<file path=xl/ctrlProps/ctrlProp89.xml><?xml version="1.0" encoding="utf-8"?>
<formControlPr xmlns="http://schemas.microsoft.com/office/spreadsheetml/2009/9/main" objectType="CheckBox" checked="Checked" fmlaLink="$S$41" noThreeD="1"/>
</file>

<file path=xl/ctrlProps/ctrlProp90.xml><?xml version="1.0" encoding="utf-8"?>
<formControlPr xmlns="http://schemas.microsoft.com/office/spreadsheetml/2009/9/main" objectType="CheckBox" checked="Checked" fmlaLink="$S$42" noThreeD="1"/>
</file>

<file path=xl/ctrlProps/ctrlProp91.xml><?xml version="1.0" encoding="utf-8"?>
<formControlPr xmlns="http://schemas.microsoft.com/office/spreadsheetml/2009/9/main" objectType="CheckBox" checked="Checked" fmlaLink="$S$40" noThreeD="1"/>
</file>

<file path=xl/ctrlProps/ctrlProp92.xml><?xml version="1.0" encoding="utf-8"?>
<formControlPr xmlns="http://schemas.microsoft.com/office/spreadsheetml/2009/9/main" objectType="CheckBox" checked="Checked" fmlaLink="$S$38" noThreeD="1"/>
</file>

<file path=xl/ctrlProps/ctrlProp93.xml><?xml version="1.0" encoding="utf-8"?>
<formControlPr xmlns="http://schemas.microsoft.com/office/spreadsheetml/2009/9/main" objectType="CheckBox" checked="Checked" fmlaLink="$S$43" noThreeD="1"/>
</file>

<file path=xl/ctrlProps/ctrlProp94.xml><?xml version="1.0" encoding="utf-8"?>
<formControlPr xmlns="http://schemas.microsoft.com/office/spreadsheetml/2009/9/main" objectType="CheckBox" checked="Checked" fmlaLink="$S$44" noThreeD="1"/>
</file>

<file path=xl/ctrlProps/ctrlProp95.xml><?xml version="1.0" encoding="utf-8"?>
<formControlPr xmlns="http://schemas.microsoft.com/office/spreadsheetml/2009/9/main" objectType="CheckBox" checked="Checked" fmlaLink="$S$45" noThreeD="1"/>
</file>

<file path=xl/ctrlProps/ctrlProp96.xml><?xml version="1.0" encoding="utf-8"?>
<formControlPr xmlns="http://schemas.microsoft.com/office/spreadsheetml/2009/9/main" objectType="CheckBox" checked="Checked" fmlaLink="$S$46" noThreeD="1"/>
</file>

<file path=xl/ctrlProps/ctrlProp97.xml><?xml version="1.0" encoding="utf-8"?>
<formControlPr xmlns="http://schemas.microsoft.com/office/spreadsheetml/2009/9/main" objectType="CheckBox" fmlaLink="$S$47" noThreeD="1"/>
</file>

<file path=xl/ctrlProps/ctrlProp98.xml><?xml version="1.0" encoding="utf-8"?>
<formControlPr xmlns="http://schemas.microsoft.com/office/spreadsheetml/2009/9/main" objectType="CheckBox" checked="Checked" fmlaLink="$T$39" noThreeD="1"/>
</file>

<file path=xl/ctrlProps/ctrlProp99.xml><?xml version="1.0" encoding="utf-8"?>
<formControlPr xmlns="http://schemas.microsoft.com/office/spreadsheetml/2009/9/main" objectType="CheckBox" checked="Checked" fmlaLink="$T$41" noThreeD="1"/>
</file>

<file path=xl/ctrlProps/ctrlProp100.xml><?xml version="1.0" encoding="utf-8"?>
<formControlPr xmlns="http://schemas.microsoft.com/office/spreadsheetml/2009/9/main" objectType="CheckBox" fmlaLink="$T$42" noThreeD="1"/>
</file>

<file path=xl/ctrlProps/ctrlProp101.xml><?xml version="1.0" encoding="utf-8"?>
<formControlPr xmlns="http://schemas.microsoft.com/office/spreadsheetml/2009/9/main" objectType="CheckBox" checked="Checked" fmlaLink="$T$40" noThreeD="1"/>
</file>

<file path=xl/ctrlProps/ctrlProp102.xml><?xml version="1.0" encoding="utf-8"?>
<formControlPr xmlns="http://schemas.microsoft.com/office/spreadsheetml/2009/9/main" objectType="CheckBox" checked="Checked" fmlaLink="$T$38" noThreeD="1"/>
</file>

<file path=xl/ctrlProps/ctrlProp103.xml><?xml version="1.0" encoding="utf-8"?>
<formControlPr xmlns="http://schemas.microsoft.com/office/spreadsheetml/2009/9/main" objectType="CheckBox" checked="Checked" fmlaLink="$T$43" noThreeD="1"/>
</file>

<file path=xl/ctrlProps/ctrlProp104.xml><?xml version="1.0" encoding="utf-8"?>
<formControlPr xmlns="http://schemas.microsoft.com/office/spreadsheetml/2009/9/main" objectType="CheckBox" fmlaLink="$T$44" noThreeD="1"/>
</file>

<file path=xl/ctrlProps/ctrlProp105.xml><?xml version="1.0" encoding="utf-8"?>
<formControlPr xmlns="http://schemas.microsoft.com/office/spreadsheetml/2009/9/main" objectType="CheckBox" checked="Checked" fmlaLink="$T$45" noThreeD="1"/>
</file>

<file path=xl/ctrlProps/ctrlProp106.xml><?xml version="1.0" encoding="utf-8"?>
<formControlPr xmlns="http://schemas.microsoft.com/office/spreadsheetml/2009/9/main" objectType="CheckBox" checked="Checked" fmlaLink="$T$46" noThreeD="1"/>
</file>

<file path=xl/ctrlProps/ctrlProp107.xml><?xml version="1.0" encoding="utf-8"?>
<formControlPr xmlns="http://schemas.microsoft.com/office/spreadsheetml/2009/9/main" objectType="CheckBox" checked="Checked" fmlaLink="$T$47" noThreeD="1"/>
</file>

<file path=xl/ctrlProps/ctrlProp108.xml><?xml version="1.0" encoding="utf-8"?>
<formControlPr xmlns="http://schemas.microsoft.com/office/spreadsheetml/2009/9/main" objectType="CheckBox" fmlaLink="$U$39" noThreeD="1"/>
</file>

<file path=xl/ctrlProps/ctrlProp109.xml><?xml version="1.0" encoding="utf-8"?>
<formControlPr xmlns="http://schemas.microsoft.com/office/spreadsheetml/2009/9/main" objectType="CheckBox" checked="Checked" fmlaLink="$U$41" noThreeD="1"/>
</file>

<file path=xl/ctrlProps/ctrlProp110.xml><?xml version="1.0" encoding="utf-8"?>
<formControlPr xmlns="http://schemas.microsoft.com/office/spreadsheetml/2009/9/main" objectType="CheckBox" checked="Checked" fmlaLink="$U$42" noThreeD="1"/>
</file>

<file path=xl/ctrlProps/ctrlProp111.xml><?xml version="1.0" encoding="utf-8"?>
<formControlPr xmlns="http://schemas.microsoft.com/office/spreadsheetml/2009/9/main" objectType="CheckBox" checked="Checked" fmlaLink="$U$40" noThreeD="1"/>
</file>

<file path=xl/ctrlProps/ctrlProp112.xml><?xml version="1.0" encoding="utf-8"?>
<formControlPr xmlns="http://schemas.microsoft.com/office/spreadsheetml/2009/9/main" objectType="CheckBox" checked="Checked" fmlaLink="$U$38" noThreeD="1"/>
</file>

<file path=xl/ctrlProps/ctrlProp113.xml><?xml version="1.0" encoding="utf-8"?>
<formControlPr xmlns="http://schemas.microsoft.com/office/spreadsheetml/2009/9/main" objectType="CheckBox" checked="Checked" fmlaLink="$U$43" noThreeD="1"/>
</file>

<file path=xl/ctrlProps/ctrlProp114.xml><?xml version="1.0" encoding="utf-8"?>
<formControlPr xmlns="http://schemas.microsoft.com/office/spreadsheetml/2009/9/main" objectType="CheckBox" checked="Checked" fmlaLink="$U$44" noThreeD="1"/>
</file>

<file path=xl/ctrlProps/ctrlProp115.xml><?xml version="1.0" encoding="utf-8"?>
<formControlPr xmlns="http://schemas.microsoft.com/office/spreadsheetml/2009/9/main" objectType="CheckBox" checked="Checked" fmlaLink="$U$45" noThreeD="1"/>
</file>

<file path=xl/ctrlProps/ctrlProp116.xml><?xml version="1.0" encoding="utf-8"?>
<formControlPr xmlns="http://schemas.microsoft.com/office/spreadsheetml/2009/9/main" objectType="CheckBox" checked="Checked" fmlaLink="$U$46" noThreeD="1"/>
</file>

<file path=xl/ctrlProps/ctrlProp117.xml><?xml version="1.0" encoding="utf-8"?>
<formControlPr xmlns="http://schemas.microsoft.com/office/spreadsheetml/2009/9/main" objectType="CheckBox" checked="Checked" fmlaLink="$U$47" noThreeD="1"/>
</file>

<file path=xl/ctrlProps/ctrlProp118.xml><?xml version="1.0" encoding="utf-8"?>
<formControlPr xmlns="http://schemas.microsoft.com/office/spreadsheetml/2009/9/main" objectType="CheckBox" fmlaLink="$V$39" noThreeD="1"/>
</file>

<file path=xl/ctrlProps/ctrlProp119.xml><?xml version="1.0" encoding="utf-8"?>
<formControlPr xmlns="http://schemas.microsoft.com/office/spreadsheetml/2009/9/main" objectType="CheckBox" fmlaLink="$V$41" noThreeD="1"/>
</file>

<file path=xl/ctrlProps/ctrlProp120.xml><?xml version="1.0" encoding="utf-8"?>
<formControlPr xmlns="http://schemas.microsoft.com/office/spreadsheetml/2009/9/main" objectType="CheckBox" fmlaLink="$V$42" noThreeD="1"/>
</file>

<file path=xl/ctrlProps/ctrlProp121.xml><?xml version="1.0" encoding="utf-8"?>
<formControlPr xmlns="http://schemas.microsoft.com/office/spreadsheetml/2009/9/main" objectType="CheckBox" checked="Checked" fmlaLink="$V$40" noThreeD="1"/>
</file>

<file path=xl/ctrlProps/ctrlProp122.xml><?xml version="1.0" encoding="utf-8"?>
<formControlPr xmlns="http://schemas.microsoft.com/office/spreadsheetml/2009/9/main" objectType="CheckBox" checked="Checked" fmlaLink="$V$38" noThreeD="1"/>
</file>

<file path=xl/ctrlProps/ctrlProp123.xml><?xml version="1.0" encoding="utf-8"?>
<formControlPr xmlns="http://schemas.microsoft.com/office/spreadsheetml/2009/9/main" objectType="CheckBox" checked="Checked" fmlaLink="$V$43" noThreeD="1"/>
</file>

<file path=xl/ctrlProps/ctrlProp124.xml><?xml version="1.0" encoding="utf-8"?>
<formControlPr xmlns="http://schemas.microsoft.com/office/spreadsheetml/2009/9/main" objectType="CheckBox" checked="Checked" fmlaLink="$V$44" noThreeD="1"/>
</file>

<file path=xl/ctrlProps/ctrlProp125.xml><?xml version="1.0" encoding="utf-8"?>
<formControlPr xmlns="http://schemas.microsoft.com/office/spreadsheetml/2009/9/main" objectType="CheckBox" checked="Checked" fmlaLink="$V$45" noThreeD="1"/>
</file>

<file path=xl/ctrlProps/ctrlProp126.xml><?xml version="1.0" encoding="utf-8"?>
<formControlPr xmlns="http://schemas.microsoft.com/office/spreadsheetml/2009/9/main" objectType="CheckBox" checked="Checked" fmlaLink="$V$46" noThreeD="1"/>
</file>

<file path=xl/ctrlProps/ctrlProp127.xml><?xml version="1.0" encoding="utf-8"?>
<formControlPr xmlns="http://schemas.microsoft.com/office/spreadsheetml/2009/9/main" objectType="CheckBox" checked="Checked" fmlaLink="$V$47" noThreeD="1"/>
</file>

<file path=xl/ctrlProps/ctrlProp128.xml><?xml version="1.0" encoding="utf-8"?>
<formControlPr xmlns="http://schemas.microsoft.com/office/spreadsheetml/2009/9/main" objectType="CheckBox" checked="Checked" fmlaLink="$W$39" noThreeD="1"/>
</file>

<file path=xl/ctrlProps/ctrlProp129.xml><?xml version="1.0" encoding="utf-8"?>
<formControlPr xmlns="http://schemas.microsoft.com/office/spreadsheetml/2009/9/main" objectType="CheckBox" checked="Checked" fmlaLink="$W$41" noThreeD="1"/>
</file>

<file path=xl/ctrlProps/ctrlProp130.xml><?xml version="1.0" encoding="utf-8"?>
<formControlPr xmlns="http://schemas.microsoft.com/office/spreadsheetml/2009/9/main" objectType="CheckBox" checked="Checked" fmlaLink="$W$42" noThreeD="1"/>
</file>

<file path=xl/ctrlProps/ctrlProp131.xml><?xml version="1.0" encoding="utf-8"?>
<formControlPr xmlns="http://schemas.microsoft.com/office/spreadsheetml/2009/9/main" objectType="CheckBox" checked="Checked" fmlaLink="$W$40" noThreeD="1"/>
</file>

<file path=xl/ctrlProps/ctrlProp132.xml><?xml version="1.0" encoding="utf-8"?>
<formControlPr xmlns="http://schemas.microsoft.com/office/spreadsheetml/2009/9/main" objectType="CheckBox" checked="Checked" fmlaLink="$W$38" noThreeD="1"/>
</file>

<file path=xl/ctrlProps/ctrlProp133.xml><?xml version="1.0" encoding="utf-8"?>
<formControlPr xmlns="http://schemas.microsoft.com/office/spreadsheetml/2009/9/main" objectType="CheckBox" fmlaLink="$W$43" noThreeD="1"/>
</file>

<file path=xl/ctrlProps/ctrlProp134.xml><?xml version="1.0" encoding="utf-8"?>
<formControlPr xmlns="http://schemas.microsoft.com/office/spreadsheetml/2009/9/main" objectType="CheckBox" fmlaLink="$W$44" noThreeD="1"/>
</file>

<file path=xl/ctrlProps/ctrlProp135.xml><?xml version="1.0" encoding="utf-8"?>
<formControlPr xmlns="http://schemas.microsoft.com/office/spreadsheetml/2009/9/main" objectType="CheckBox" checked="Checked" fmlaLink="$W$45" noThreeD="1"/>
</file>

<file path=xl/ctrlProps/ctrlProp136.xml><?xml version="1.0" encoding="utf-8"?>
<formControlPr xmlns="http://schemas.microsoft.com/office/spreadsheetml/2009/9/main" objectType="CheckBox" checked="Checked" fmlaLink="$W$46" noThreeD="1"/>
</file>

<file path=xl/ctrlProps/ctrlProp137.xml><?xml version="1.0" encoding="utf-8"?>
<formControlPr xmlns="http://schemas.microsoft.com/office/spreadsheetml/2009/9/main" objectType="CheckBox" checked="Checked" fmlaLink="$W$47" noThreeD="1"/>
</file>

<file path=xl/ctrlProps/ctrlProp138.xml><?xml version="1.0" encoding="utf-8"?>
<formControlPr xmlns="http://schemas.microsoft.com/office/spreadsheetml/2009/9/main" objectType="CheckBox" checked="Checked" fmlaLink="$X$39" noThreeD="1"/>
</file>

<file path=xl/ctrlProps/ctrlProp139.xml><?xml version="1.0" encoding="utf-8"?>
<formControlPr xmlns="http://schemas.microsoft.com/office/spreadsheetml/2009/9/main" objectType="CheckBox" fmlaLink="$X$41" noThreeD="1"/>
</file>

<file path=xl/ctrlProps/ctrlProp140.xml><?xml version="1.0" encoding="utf-8"?>
<formControlPr xmlns="http://schemas.microsoft.com/office/spreadsheetml/2009/9/main" objectType="CheckBox" checked="Checked" fmlaLink="$X$42" noThreeD="1"/>
</file>

<file path=xl/ctrlProps/ctrlProp141.xml><?xml version="1.0" encoding="utf-8"?>
<formControlPr xmlns="http://schemas.microsoft.com/office/spreadsheetml/2009/9/main" objectType="CheckBox" fmlaLink="$X$40" noThreeD="1"/>
</file>

<file path=xl/ctrlProps/ctrlProp142.xml><?xml version="1.0" encoding="utf-8"?>
<formControlPr xmlns="http://schemas.microsoft.com/office/spreadsheetml/2009/9/main" objectType="CheckBox" checked="Checked" fmlaLink="$X$38" noThreeD="1"/>
</file>

<file path=xl/ctrlProps/ctrlProp143.xml><?xml version="1.0" encoding="utf-8"?>
<formControlPr xmlns="http://schemas.microsoft.com/office/spreadsheetml/2009/9/main" objectType="CheckBox" checked="Checked" fmlaLink="$X$43" noThreeD="1"/>
</file>

<file path=xl/ctrlProps/ctrlProp144.xml><?xml version="1.0" encoding="utf-8"?>
<formControlPr xmlns="http://schemas.microsoft.com/office/spreadsheetml/2009/9/main" objectType="CheckBox" fmlaLink="$X$44" noThreeD="1"/>
</file>

<file path=xl/ctrlProps/ctrlProp145.xml><?xml version="1.0" encoding="utf-8"?>
<formControlPr xmlns="http://schemas.microsoft.com/office/spreadsheetml/2009/9/main" objectType="CheckBox" checked="Checked" fmlaLink="$X$45" noThreeD="1"/>
</file>

<file path=xl/ctrlProps/ctrlProp146.xml><?xml version="1.0" encoding="utf-8"?>
<formControlPr xmlns="http://schemas.microsoft.com/office/spreadsheetml/2009/9/main" objectType="CheckBox" fmlaLink="$X$46" noThreeD="1"/>
</file>

<file path=xl/ctrlProps/ctrlProp147.xml><?xml version="1.0" encoding="utf-8"?>
<formControlPr xmlns="http://schemas.microsoft.com/office/spreadsheetml/2009/9/main" objectType="CheckBox" checked="Checked" fmlaLink="$X$47" noThreeD="1"/>
</file>

<file path=xl/ctrlProps/ctrlProp148.xml><?xml version="1.0" encoding="utf-8"?>
<formControlPr xmlns="http://schemas.microsoft.com/office/spreadsheetml/2009/9/main" objectType="CheckBox" checked="Checked" fmlaLink="$Y$39" noThreeD="1"/>
</file>

<file path=xl/ctrlProps/ctrlProp149.xml><?xml version="1.0" encoding="utf-8"?>
<formControlPr xmlns="http://schemas.microsoft.com/office/spreadsheetml/2009/9/main" objectType="CheckBox" checked="Checked" fmlaLink="$Y$41" noThreeD="1"/>
</file>

<file path=xl/ctrlProps/ctrlProp150.xml><?xml version="1.0" encoding="utf-8"?>
<formControlPr xmlns="http://schemas.microsoft.com/office/spreadsheetml/2009/9/main" objectType="CheckBox" checked="Checked" fmlaLink="$Y$42" noThreeD="1"/>
</file>

<file path=xl/ctrlProps/ctrlProp151.xml><?xml version="1.0" encoding="utf-8"?>
<formControlPr xmlns="http://schemas.microsoft.com/office/spreadsheetml/2009/9/main" objectType="CheckBox" checked="Checked" fmlaLink="$Y$40" noThreeD="1"/>
</file>

<file path=xl/ctrlProps/ctrlProp152.xml><?xml version="1.0" encoding="utf-8"?>
<formControlPr xmlns="http://schemas.microsoft.com/office/spreadsheetml/2009/9/main" objectType="CheckBox" checked="Checked" fmlaLink="$Y$38" noThreeD="1"/>
</file>

<file path=xl/ctrlProps/ctrlProp153.xml><?xml version="1.0" encoding="utf-8"?>
<formControlPr xmlns="http://schemas.microsoft.com/office/spreadsheetml/2009/9/main" objectType="CheckBox" checked="Checked" fmlaLink="$Y$43" noThreeD="1"/>
</file>

<file path=xl/ctrlProps/ctrlProp154.xml><?xml version="1.0" encoding="utf-8"?>
<formControlPr xmlns="http://schemas.microsoft.com/office/spreadsheetml/2009/9/main" objectType="CheckBox" checked="Checked" fmlaLink="$Y$44" noThreeD="1"/>
</file>

<file path=xl/ctrlProps/ctrlProp155.xml><?xml version="1.0" encoding="utf-8"?>
<formControlPr xmlns="http://schemas.microsoft.com/office/spreadsheetml/2009/9/main" objectType="CheckBox" checked="Checked" fmlaLink="$Y$45" noThreeD="1"/>
</file>

<file path=xl/ctrlProps/ctrlProp156.xml><?xml version="1.0" encoding="utf-8"?>
<formControlPr xmlns="http://schemas.microsoft.com/office/spreadsheetml/2009/9/main" objectType="CheckBox" checked="Checked" fmlaLink="$Y$46" noThreeD="1"/>
</file>

<file path=xl/ctrlProps/ctrlProp157.xml><?xml version="1.0" encoding="utf-8"?>
<formControlPr xmlns="http://schemas.microsoft.com/office/spreadsheetml/2009/9/main" objectType="CheckBox" checked="Checked" fmlaLink="$Y$47" noThreeD="1"/>
</file>

<file path=xl/ctrlProps/ctrlProp158.xml><?xml version="1.0" encoding="utf-8"?>
<formControlPr xmlns="http://schemas.microsoft.com/office/spreadsheetml/2009/9/main" objectType="CheckBox" checked="Checked" fmlaLink="$Z$39" noThreeD="1"/>
</file>

<file path=xl/ctrlProps/ctrlProp159.xml><?xml version="1.0" encoding="utf-8"?>
<formControlPr xmlns="http://schemas.microsoft.com/office/spreadsheetml/2009/9/main" objectType="CheckBox" checked="Checked" fmlaLink="$Z$41" noThreeD="1"/>
</file>

<file path=xl/ctrlProps/ctrlProp160.xml><?xml version="1.0" encoding="utf-8"?>
<formControlPr xmlns="http://schemas.microsoft.com/office/spreadsheetml/2009/9/main" objectType="CheckBox" checked="Checked" fmlaLink="$Z$42" noThreeD="1"/>
</file>

<file path=xl/ctrlProps/ctrlProp161.xml><?xml version="1.0" encoding="utf-8"?>
<formControlPr xmlns="http://schemas.microsoft.com/office/spreadsheetml/2009/9/main" objectType="CheckBox" fmlaLink="$Z$40" noThreeD="1"/>
</file>

<file path=xl/ctrlProps/ctrlProp162.xml><?xml version="1.0" encoding="utf-8"?>
<formControlPr xmlns="http://schemas.microsoft.com/office/spreadsheetml/2009/9/main" objectType="CheckBox" checked="Checked" fmlaLink="$Z$38" noThreeD="1"/>
</file>

<file path=xl/ctrlProps/ctrlProp163.xml><?xml version="1.0" encoding="utf-8"?>
<formControlPr xmlns="http://schemas.microsoft.com/office/spreadsheetml/2009/9/main" objectType="CheckBox" checked="Checked" fmlaLink="$Z$43" noThreeD="1"/>
</file>

<file path=xl/ctrlProps/ctrlProp164.xml><?xml version="1.0" encoding="utf-8"?>
<formControlPr xmlns="http://schemas.microsoft.com/office/spreadsheetml/2009/9/main" objectType="CheckBox" fmlaLink="$Z$44" noThreeD="1"/>
</file>

<file path=xl/ctrlProps/ctrlProp165.xml><?xml version="1.0" encoding="utf-8"?>
<formControlPr xmlns="http://schemas.microsoft.com/office/spreadsheetml/2009/9/main" objectType="CheckBox" fmlaLink="$Z$45" noThreeD="1"/>
</file>

<file path=xl/ctrlProps/ctrlProp166.xml><?xml version="1.0" encoding="utf-8"?>
<formControlPr xmlns="http://schemas.microsoft.com/office/spreadsheetml/2009/9/main" objectType="CheckBox" checked="Checked" fmlaLink="$Z$46" noThreeD="1"/>
</file>

<file path=xl/ctrlProps/ctrlProp167.xml><?xml version="1.0" encoding="utf-8"?>
<formControlPr xmlns="http://schemas.microsoft.com/office/spreadsheetml/2009/9/main" objectType="CheckBox" checked="Checked" fmlaLink="$Z$47" noThreeD="1"/>
</file>

<file path=xl/ctrlProps/ctrlProp168.xml><?xml version="1.0" encoding="utf-8"?>
<formControlPr xmlns="http://schemas.microsoft.com/office/spreadsheetml/2009/9/main" objectType="CheckBox" fmlaLink="$AA$39" noThreeD="1"/>
</file>

<file path=xl/ctrlProps/ctrlProp169.xml><?xml version="1.0" encoding="utf-8"?>
<formControlPr xmlns="http://schemas.microsoft.com/office/spreadsheetml/2009/9/main" objectType="CheckBox" fmlaLink="$AA$41" noThreeD="1"/>
</file>

<file path=xl/ctrlProps/ctrlProp170.xml><?xml version="1.0" encoding="utf-8"?>
<formControlPr xmlns="http://schemas.microsoft.com/office/spreadsheetml/2009/9/main" objectType="CheckBox" checked="Checked" fmlaLink="$AA$42" noThreeD="1"/>
</file>

<file path=xl/ctrlProps/ctrlProp171.xml><?xml version="1.0" encoding="utf-8"?>
<formControlPr xmlns="http://schemas.microsoft.com/office/spreadsheetml/2009/9/main" objectType="CheckBox" checked="Checked" fmlaLink="$AA$40" noThreeD="1"/>
</file>

<file path=xl/ctrlProps/ctrlProp172.xml><?xml version="1.0" encoding="utf-8"?>
<formControlPr xmlns="http://schemas.microsoft.com/office/spreadsheetml/2009/9/main" objectType="CheckBox" checked="Checked" fmlaLink="$AA$38" noThreeD="1"/>
</file>

<file path=xl/ctrlProps/ctrlProp173.xml><?xml version="1.0" encoding="utf-8"?>
<formControlPr xmlns="http://schemas.microsoft.com/office/spreadsheetml/2009/9/main" objectType="CheckBox" checked="Checked" fmlaLink="$AA$43" noThreeD="1"/>
</file>

<file path=xl/ctrlProps/ctrlProp174.xml><?xml version="1.0" encoding="utf-8"?>
<formControlPr xmlns="http://schemas.microsoft.com/office/spreadsheetml/2009/9/main" objectType="CheckBox" checked="Checked" fmlaLink="$AA$44" noThreeD="1"/>
</file>

<file path=xl/ctrlProps/ctrlProp175.xml><?xml version="1.0" encoding="utf-8"?>
<formControlPr xmlns="http://schemas.microsoft.com/office/spreadsheetml/2009/9/main" objectType="CheckBox" checked="Checked" fmlaLink="$AA$45" noThreeD="1"/>
</file>

<file path=xl/ctrlProps/ctrlProp176.xml><?xml version="1.0" encoding="utf-8"?>
<formControlPr xmlns="http://schemas.microsoft.com/office/spreadsheetml/2009/9/main" objectType="CheckBox" checked="Checked" fmlaLink="$AA$46" noThreeD="1"/>
</file>

<file path=xl/ctrlProps/ctrlProp177.xml><?xml version="1.0" encoding="utf-8"?>
<formControlPr xmlns="http://schemas.microsoft.com/office/spreadsheetml/2009/9/main" objectType="CheckBox" checked="Checked" fmlaLink="$AA$47" noThreeD="1"/>
</file>

<file path=xl/ctrlProps/ctrlProp178.xml><?xml version="1.0" encoding="utf-8"?>
<formControlPr xmlns="http://schemas.microsoft.com/office/spreadsheetml/2009/9/main" objectType="CheckBox" checked="Checked" fmlaLink="$AB$39" noThreeD="1"/>
</file>

<file path=xl/ctrlProps/ctrlProp179.xml><?xml version="1.0" encoding="utf-8"?>
<formControlPr xmlns="http://schemas.microsoft.com/office/spreadsheetml/2009/9/main" objectType="CheckBox" checked="Checked" fmlaLink="$AB$41" noThreeD="1"/>
</file>

<file path=xl/ctrlProps/ctrlProp180.xml><?xml version="1.0" encoding="utf-8"?>
<formControlPr xmlns="http://schemas.microsoft.com/office/spreadsheetml/2009/9/main" objectType="CheckBox" checked="Checked" fmlaLink="$AB$42" noThreeD="1"/>
</file>

<file path=xl/ctrlProps/ctrlProp181.xml><?xml version="1.0" encoding="utf-8"?>
<formControlPr xmlns="http://schemas.microsoft.com/office/spreadsheetml/2009/9/main" objectType="CheckBox" checked="Checked" fmlaLink="$AB$40" noThreeD="1"/>
</file>

<file path=xl/ctrlProps/ctrlProp182.xml><?xml version="1.0" encoding="utf-8"?>
<formControlPr xmlns="http://schemas.microsoft.com/office/spreadsheetml/2009/9/main" objectType="CheckBox" checked="Checked" fmlaLink="$AB$38" noThreeD="1"/>
</file>

<file path=xl/ctrlProps/ctrlProp183.xml><?xml version="1.0" encoding="utf-8"?>
<formControlPr xmlns="http://schemas.microsoft.com/office/spreadsheetml/2009/9/main" objectType="CheckBox" checked="Checked" fmlaLink="$AB$43" noThreeD="1"/>
</file>

<file path=xl/ctrlProps/ctrlProp184.xml><?xml version="1.0" encoding="utf-8"?>
<formControlPr xmlns="http://schemas.microsoft.com/office/spreadsheetml/2009/9/main" objectType="CheckBox" checked="Checked" fmlaLink="$AB$44" noThreeD="1"/>
</file>

<file path=xl/ctrlProps/ctrlProp185.xml><?xml version="1.0" encoding="utf-8"?>
<formControlPr xmlns="http://schemas.microsoft.com/office/spreadsheetml/2009/9/main" objectType="CheckBox" fmlaLink="$AB$45" noThreeD="1"/>
</file>

<file path=xl/ctrlProps/ctrlProp186.xml><?xml version="1.0" encoding="utf-8"?>
<formControlPr xmlns="http://schemas.microsoft.com/office/spreadsheetml/2009/9/main" objectType="CheckBox" checked="Checked" fmlaLink="$AB$46" noThreeD="1"/>
</file>

<file path=xl/ctrlProps/ctrlProp187.xml><?xml version="1.0" encoding="utf-8"?>
<formControlPr xmlns="http://schemas.microsoft.com/office/spreadsheetml/2009/9/main" objectType="CheckBox" checked="Checked" fmlaLink="$AB$47" noThreeD="1"/>
</file>

<file path=xl/ctrlProps/ctrlProp188.xml><?xml version="1.0" encoding="utf-8"?>
<formControlPr xmlns="http://schemas.microsoft.com/office/spreadsheetml/2009/9/main" objectType="CheckBox" checked="Checked" fmlaLink="$AC$39" noThreeD="1"/>
</file>

<file path=xl/ctrlProps/ctrlProp189.xml><?xml version="1.0" encoding="utf-8"?>
<formControlPr xmlns="http://schemas.microsoft.com/office/spreadsheetml/2009/9/main" objectType="CheckBox" fmlaLink="$AC$41" noThreeD="1"/>
</file>

<file path=xl/ctrlProps/ctrlProp190.xml><?xml version="1.0" encoding="utf-8"?>
<formControlPr xmlns="http://schemas.microsoft.com/office/spreadsheetml/2009/9/main" objectType="CheckBox" checked="Checked" fmlaLink="$AC$42" noThreeD="1"/>
</file>

<file path=xl/ctrlProps/ctrlProp191.xml><?xml version="1.0" encoding="utf-8"?>
<formControlPr xmlns="http://schemas.microsoft.com/office/spreadsheetml/2009/9/main" objectType="CheckBox" fmlaLink="$AC$40" noThreeD="1"/>
</file>

<file path=xl/ctrlProps/ctrlProp192.xml><?xml version="1.0" encoding="utf-8"?>
<formControlPr xmlns="http://schemas.microsoft.com/office/spreadsheetml/2009/9/main" objectType="CheckBox" checked="Checked" fmlaLink="$AC$38" noThreeD="1"/>
</file>

<file path=xl/ctrlProps/ctrlProp193.xml><?xml version="1.0" encoding="utf-8"?>
<formControlPr xmlns="http://schemas.microsoft.com/office/spreadsheetml/2009/9/main" objectType="CheckBox" checked="Checked" fmlaLink="$AC$43" noThreeD="1"/>
</file>

<file path=xl/ctrlProps/ctrlProp194.xml><?xml version="1.0" encoding="utf-8"?>
<formControlPr xmlns="http://schemas.microsoft.com/office/spreadsheetml/2009/9/main" objectType="CheckBox" checked="Checked" fmlaLink="$AC$44" noThreeD="1"/>
</file>

<file path=xl/ctrlProps/ctrlProp195.xml><?xml version="1.0" encoding="utf-8"?>
<formControlPr xmlns="http://schemas.microsoft.com/office/spreadsheetml/2009/9/main" objectType="CheckBox" checked="Checked" fmlaLink="$AC$45" noThreeD="1"/>
</file>

<file path=xl/ctrlProps/ctrlProp196.xml><?xml version="1.0" encoding="utf-8"?>
<formControlPr xmlns="http://schemas.microsoft.com/office/spreadsheetml/2009/9/main" objectType="CheckBox" checked="Checked" fmlaLink="$AC$46" noThreeD="1"/>
</file>

<file path=xl/ctrlProps/ctrlProp197.xml><?xml version="1.0" encoding="utf-8"?>
<formControlPr xmlns="http://schemas.microsoft.com/office/spreadsheetml/2009/9/main" objectType="CheckBox" checked="Checked" fmlaLink="$AC$47" noThreeD="1"/>
</file>

<file path=xl/ctrlProps/ctrlProp198.xml><?xml version="1.0" encoding="utf-8"?>
<formControlPr xmlns="http://schemas.microsoft.com/office/spreadsheetml/2009/9/main" objectType="CheckBox" checked="Checked" fmlaLink="$AD$39" noThreeD="1"/>
</file>

<file path=xl/ctrlProps/ctrlProp199.xml><?xml version="1.0" encoding="utf-8"?>
<formControlPr xmlns="http://schemas.microsoft.com/office/spreadsheetml/2009/9/main" objectType="CheckBox" checked="Checked" fmlaLink="$AD$41" noThreeD="1"/>
</file>

<file path=xl/ctrlProps/ctrlProp200.xml><?xml version="1.0" encoding="utf-8"?>
<formControlPr xmlns="http://schemas.microsoft.com/office/spreadsheetml/2009/9/main" objectType="CheckBox" checked="Checked" fmlaLink="$AD$42" noThreeD="1"/>
</file>

<file path=xl/ctrlProps/ctrlProp201.xml><?xml version="1.0" encoding="utf-8"?>
<formControlPr xmlns="http://schemas.microsoft.com/office/spreadsheetml/2009/9/main" objectType="CheckBox" checked="Checked" fmlaLink="$AD$40" noThreeD="1"/>
</file>

<file path=xl/ctrlProps/ctrlProp202.xml><?xml version="1.0" encoding="utf-8"?>
<formControlPr xmlns="http://schemas.microsoft.com/office/spreadsheetml/2009/9/main" objectType="CheckBox" checked="Checked" fmlaLink="$AD$38" noThreeD="1"/>
</file>

<file path=xl/ctrlProps/ctrlProp203.xml><?xml version="1.0" encoding="utf-8"?>
<formControlPr xmlns="http://schemas.microsoft.com/office/spreadsheetml/2009/9/main" objectType="CheckBox" checked="Checked" fmlaLink="$AD$43" noThreeD="1"/>
</file>

<file path=xl/ctrlProps/ctrlProp204.xml><?xml version="1.0" encoding="utf-8"?>
<formControlPr xmlns="http://schemas.microsoft.com/office/spreadsheetml/2009/9/main" objectType="CheckBox" fmlaLink="$AD$44" noThreeD="1"/>
</file>

<file path=xl/ctrlProps/ctrlProp205.xml><?xml version="1.0" encoding="utf-8"?>
<formControlPr xmlns="http://schemas.microsoft.com/office/spreadsheetml/2009/9/main" objectType="CheckBox" checked="Checked" fmlaLink="$AD$45" noThreeD="1"/>
</file>

<file path=xl/ctrlProps/ctrlProp206.xml><?xml version="1.0" encoding="utf-8"?>
<formControlPr xmlns="http://schemas.microsoft.com/office/spreadsheetml/2009/9/main" objectType="CheckBox" checked="Checked" fmlaLink="$AD$46" noThreeD="1"/>
</file>

<file path=xl/ctrlProps/ctrlProp207.xml><?xml version="1.0" encoding="utf-8"?>
<formControlPr xmlns="http://schemas.microsoft.com/office/spreadsheetml/2009/9/main" objectType="CheckBox" checked="Checked" fmlaLink="$AD$47" noThreeD="1"/>
</file>

<file path=xl/ctrlProps/ctrlProp208.xml><?xml version="1.0" encoding="utf-8"?>
<formControlPr xmlns="http://schemas.microsoft.com/office/spreadsheetml/2009/9/main" objectType="CheckBox" checked="Checked" fmlaLink="$AE$39" noThreeD="1"/>
</file>

<file path=xl/ctrlProps/ctrlProp209.xml><?xml version="1.0" encoding="utf-8"?>
<formControlPr xmlns="http://schemas.microsoft.com/office/spreadsheetml/2009/9/main" objectType="CheckBox" fmlaLink="$AE$41" noThreeD="1"/>
</file>

<file path=xl/ctrlProps/ctrlProp210.xml><?xml version="1.0" encoding="utf-8"?>
<formControlPr xmlns="http://schemas.microsoft.com/office/spreadsheetml/2009/9/main" objectType="CheckBox" fmlaLink="$AE$42" noThreeD="1"/>
</file>

<file path=xl/ctrlProps/ctrlProp211.xml><?xml version="1.0" encoding="utf-8"?>
<formControlPr xmlns="http://schemas.microsoft.com/office/spreadsheetml/2009/9/main" objectType="CheckBox" checked="Checked" fmlaLink="$AE$40" noThreeD="1"/>
</file>

<file path=xl/ctrlProps/ctrlProp212.xml><?xml version="1.0" encoding="utf-8"?>
<formControlPr xmlns="http://schemas.microsoft.com/office/spreadsheetml/2009/9/main" objectType="CheckBox" checked="Checked" fmlaLink="$AE$38" noThreeD="1"/>
</file>

<file path=xl/ctrlProps/ctrlProp213.xml><?xml version="1.0" encoding="utf-8"?>
<formControlPr xmlns="http://schemas.microsoft.com/office/spreadsheetml/2009/9/main" objectType="CheckBox" fmlaLink="$AE$43" noThreeD="1"/>
</file>

<file path=xl/ctrlProps/ctrlProp214.xml><?xml version="1.0" encoding="utf-8"?>
<formControlPr xmlns="http://schemas.microsoft.com/office/spreadsheetml/2009/9/main" objectType="CheckBox" fmlaLink="$AE$44" noThreeD="1"/>
</file>

<file path=xl/ctrlProps/ctrlProp215.xml><?xml version="1.0" encoding="utf-8"?>
<formControlPr xmlns="http://schemas.microsoft.com/office/spreadsheetml/2009/9/main" objectType="CheckBox" fmlaLink="$AE$45" noThreeD="1"/>
</file>

<file path=xl/ctrlProps/ctrlProp216.xml><?xml version="1.0" encoding="utf-8"?>
<formControlPr xmlns="http://schemas.microsoft.com/office/spreadsheetml/2009/9/main" objectType="CheckBox" fmlaLink="$AE$46" noThreeD="1"/>
</file>

<file path=xl/ctrlProps/ctrlProp217.xml><?xml version="1.0" encoding="utf-8"?>
<formControlPr xmlns="http://schemas.microsoft.com/office/spreadsheetml/2009/9/main" objectType="CheckBox" fmlaLink="$AE$47" noThreeD="1"/>
</file>

<file path=xl/ctrlProps/ctrlProp218.xml><?xml version="1.0" encoding="utf-8"?>
<formControlPr xmlns="http://schemas.microsoft.com/office/spreadsheetml/2009/9/main" objectType="CheckBox" checked="Checked" fmlaLink="$AN$39" noThreeD="1"/>
</file>

<file path=xl/ctrlProps/ctrlProp219.xml><?xml version="1.0" encoding="utf-8"?>
<formControlPr xmlns="http://schemas.microsoft.com/office/spreadsheetml/2009/9/main" objectType="CheckBox" fmlaLink="$AN$41" noThreeD="1"/>
</file>

<file path=xl/ctrlProps/ctrlProp220.xml><?xml version="1.0" encoding="utf-8"?>
<formControlPr xmlns="http://schemas.microsoft.com/office/spreadsheetml/2009/9/main" objectType="CheckBox" checked="Checked" fmlaLink="$AN$42" noThreeD="1"/>
</file>

<file path=xl/ctrlProps/ctrlProp221.xml><?xml version="1.0" encoding="utf-8"?>
<formControlPr xmlns="http://schemas.microsoft.com/office/spreadsheetml/2009/9/main" objectType="CheckBox" checked="Checked" fmlaLink="$AN$40" noThreeD="1"/>
</file>

<file path=xl/ctrlProps/ctrlProp222.xml><?xml version="1.0" encoding="utf-8"?>
<formControlPr xmlns="http://schemas.microsoft.com/office/spreadsheetml/2009/9/main" objectType="CheckBox" fmlaLink="$AN$38" noThreeD="1"/>
</file>

<file path=xl/ctrlProps/ctrlProp223.xml><?xml version="1.0" encoding="utf-8"?>
<formControlPr xmlns="http://schemas.microsoft.com/office/spreadsheetml/2009/9/main" objectType="CheckBox" checked="Checked" fmlaLink="$AN$43" noThreeD="1"/>
</file>

<file path=xl/ctrlProps/ctrlProp224.xml><?xml version="1.0" encoding="utf-8"?>
<formControlPr xmlns="http://schemas.microsoft.com/office/spreadsheetml/2009/9/main" objectType="CheckBox" checked="Checked" fmlaLink="$AN$44" noThreeD="1"/>
</file>

<file path=xl/ctrlProps/ctrlProp225.xml><?xml version="1.0" encoding="utf-8"?>
<formControlPr xmlns="http://schemas.microsoft.com/office/spreadsheetml/2009/9/main" objectType="CheckBox" fmlaLink="$AN$45" noThreeD="1"/>
</file>

<file path=xl/ctrlProps/ctrlProp226.xml><?xml version="1.0" encoding="utf-8"?>
<formControlPr xmlns="http://schemas.microsoft.com/office/spreadsheetml/2009/9/main" objectType="CheckBox" checked="Checked" fmlaLink="$AN$46" noThreeD="1"/>
</file>

<file path=xl/ctrlProps/ctrlProp227.xml><?xml version="1.0" encoding="utf-8"?>
<formControlPr xmlns="http://schemas.microsoft.com/office/spreadsheetml/2009/9/main" objectType="CheckBox" checked="Checked" fmlaLink="$AN$47" noThreeD="1"/>
</file>

<file path=xl/ctrlProps/ctrlProp228.xml><?xml version="1.0" encoding="utf-8"?>
<formControlPr xmlns="http://schemas.microsoft.com/office/spreadsheetml/2009/9/main" objectType="CheckBox" fmlaLink="$AM$39" noThreeD="1"/>
</file>

<file path=xl/ctrlProps/ctrlProp229.xml><?xml version="1.0" encoding="utf-8"?>
<formControlPr xmlns="http://schemas.microsoft.com/office/spreadsheetml/2009/9/main" objectType="CheckBox" checked="Checked" fmlaLink="$AM$41" noThreeD="1"/>
</file>

<file path=xl/ctrlProps/ctrlProp230.xml><?xml version="1.0" encoding="utf-8"?>
<formControlPr xmlns="http://schemas.microsoft.com/office/spreadsheetml/2009/9/main" objectType="CheckBox" fmlaLink="$AM$42" noThreeD="1"/>
</file>

<file path=xl/ctrlProps/ctrlProp231.xml><?xml version="1.0" encoding="utf-8"?>
<formControlPr xmlns="http://schemas.microsoft.com/office/spreadsheetml/2009/9/main" objectType="CheckBox" fmlaLink="$AM$40" noThreeD="1"/>
</file>

<file path=xl/ctrlProps/ctrlProp232.xml><?xml version="1.0" encoding="utf-8"?>
<formControlPr xmlns="http://schemas.microsoft.com/office/spreadsheetml/2009/9/main" objectType="CheckBox" fmlaLink="$AM$38" noThreeD="1"/>
</file>

<file path=xl/ctrlProps/ctrlProp233.xml><?xml version="1.0" encoding="utf-8"?>
<formControlPr xmlns="http://schemas.microsoft.com/office/spreadsheetml/2009/9/main" objectType="CheckBox" checked="Checked" fmlaLink="$AM$43" noThreeD="1"/>
</file>

<file path=xl/ctrlProps/ctrlProp234.xml><?xml version="1.0" encoding="utf-8"?>
<formControlPr xmlns="http://schemas.microsoft.com/office/spreadsheetml/2009/9/main" objectType="CheckBox" checked="Checked" fmlaLink="$AM$44" noThreeD="1"/>
</file>

<file path=xl/ctrlProps/ctrlProp235.xml><?xml version="1.0" encoding="utf-8"?>
<formControlPr xmlns="http://schemas.microsoft.com/office/spreadsheetml/2009/9/main" objectType="CheckBox" checked="Checked" fmlaLink="$AM$45" noThreeD="1"/>
</file>

<file path=xl/ctrlProps/ctrlProp236.xml><?xml version="1.0" encoding="utf-8"?>
<formControlPr xmlns="http://schemas.microsoft.com/office/spreadsheetml/2009/9/main" objectType="CheckBox" checked="Checked" fmlaLink="$AM$46" noThreeD="1"/>
</file>

<file path=xl/ctrlProps/ctrlProp237.xml><?xml version="1.0" encoding="utf-8"?>
<formControlPr xmlns="http://schemas.microsoft.com/office/spreadsheetml/2009/9/main" objectType="CheckBox" checked="Checked" fmlaLink="$AM$47" noThreeD="1"/>
</file>

<file path=xl/ctrlProps/ctrlProp238.xml><?xml version="1.0" encoding="utf-8"?>
<formControlPr xmlns="http://schemas.microsoft.com/office/spreadsheetml/2009/9/main" objectType="CheckBox" fmlaLink="$AL$39" noThreeD="1"/>
</file>

<file path=xl/ctrlProps/ctrlProp239.xml><?xml version="1.0" encoding="utf-8"?>
<formControlPr xmlns="http://schemas.microsoft.com/office/spreadsheetml/2009/9/main" objectType="CheckBox" checked="Checked" fmlaLink="$AL$41" noThreeD="1"/>
</file>

<file path=xl/ctrlProps/ctrlProp240.xml><?xml version="1.0" encoding="utf-8"?>
<formControlPr xmlns="http://schemas.microsoft.com/office/spreadsheetml/2009/9/main" objectType="CheckBox" fmlaLink="$AL$42" noThreeD="1"/>
</file>

<file path=xl/ctrlProps/ctrlProp241.xml><?xml version="1.0" encoding="utf-8"?>
<formControlPr xmlns="http://schemas.microsoft.com/office/spreadsheetml/2009/9/main" objectType="CheckBox" fmlaLink="$AL$40" noThreeD="1"/>
</file>

<file path=xl/ctrlProps/ctrlProp242.xml><?xml version="1.0" encoding="utf-8"?>
<formControlPr xmlns="http://schemas.microsoft.com/office/spreadsheetml/2009/9/main" objectType="CheckBox" checked="Checked" fmlaLink="$AL$38" noThreeD="1"/>
</file>

<file path=xl/ctrlProps/ctrlProp243.xml><?xml version="1.0" encoding="utf-8"?>
<formControlPr xmlns="http://schemas.microsoft.com/office/spreadsheetml/2009/9/main" objectType="CheckBox" checked="Checked" fmlaLink="$AL$43" noThreeD="1"/>
</file>

<file path=xl/ctrlProps/ctrlProp244.xml><?xml version="1.0" encoding="utf-8"?>
<formControlPr xmlns="http://schemas.microsoft.com/office/spreadsheetml/2009/9/main" objectType="CheckBox" checked="Checked" fmlaLink="$AL$44" noThreeD="1"/>
</file>

<file path=xl/ctrlProps/ctrlProp245.xml><?xml version="1.0" encoding="utf-8"?>
<formControlPr xmlns="http://schemas.microsoft.com/office/spreadsheetml/2009/9/main" objectType="CheckBox" fmlaLink="$AL$45" noThreeD="1"/>
</file>

<file path=xl/ctrlProps/ctrlProp246.xml><?xml version="1.0" encoding="utf-8"?>
<formControlPr xmlns="http://schemas.microsoft.com/office/spreadsheetml/2009/9/main" objectType="CheckBox" checked="Checked" fmlaLink="$AL$46" noThreeD="1"/>
</file>

<file path=xl/ctrlProps/ctrlProp247.xml><?xml version="1.0" encoding="utf-8"?>
<formControlPr xmlns="http://schemas.microsoft.com/office/spreadsheetml/2009/9/main" objectType="CheckBox" checked="Checked" fmlaLink="$AL$47" noThreeD="1"/>
</file>

<file path=xl/ctrlProps/ctrlProp248.xml><?xml version="1.0" encoding="utf-8"?>
<formControlPr xmlns="http://schemas.microsoft.com/office/spreadsheetml/2009/9/main" objectType="CheckBox" checked="Checked" fmlaLink="$AK$39" noThreeD="1"/>
</file>

<file path=xl/ctrlProps/ctrlProp249.xml><?xml version="1.0" encoding="utf-8"?>
<formControlPr xmlns="http://schemas.microsoft.com/office/spreadsheetml/2009/9/main" objectType="CheckBox" checked="Checked" fmlaLink="$AK$41" noThreeD="1"/>
</file>

<file path=xl/ctrlProps/ctrlProp250.xml><?xml version="1.0" encoding="utf-8"?>
<formControlPr xmlns="http://schemas.microsoft.com/office/spreadsheetml/2009/9/main" objectType="CheckBox" checked="Checked" fmlaLink="$AK$42" noThreeD="1"/>
</file>

<file path=xl/ctrlProps/ctrlProp251.xml><?xml version="1.0" encoding="utf-8"?>
<formControlPr xmlns="http://schemas.microsoft.com/office/spreadsheetml/2009/9/main" objectType="CheckBox" fmlaLink="$AK$40" noThreeD="1"/>
</file>

<file path=xl/ctrlProps/ctrlProp252.xml><?xml version="1.0" encoding="utf-8"?>
<formControlPr xmlns="http://schemas.microsoft.com/office/spreadsheetml/2009/9/main" objectType="CheckBox" checked="Checked" fmlaLink="$AK$38" noThreeD="1"/>
</file>

<file path=xl/ctrlProps/ctrlProp253.xml><?xml version="1.0" encoding="utf-8"?>
<formControlPr xmlns="http://schemas.microsoft.com/office/spreadsheetml/2009/9/main" objectType="CheckBox" checked="Checked" fmlaLink="$AK$43" noThreeD="1"/>
</file>

<file path=xl/ctrlProps/ctrlProp254.xml><?xml version="1.0" encoding="utf-8"?>
<formControlPr xmlns="http://schemas.microsoft.com/office/spreadsheetml/2009/9/main" objectType="CheckBox" checked="Checked" fmlaLink="$AK$44" noThreeD="1"/>
</file>

<file path=xl/ctrlProps/ctrlProp255.xml><?xml version="1.0" encoding="utf-8"?>
<formControlPr xmlns="http://schemas.microsoft.com/office/spreadsheetml/2009/9/main" objectType="CheckBox" checked="Checked" fmlaLink="$AK$45" noThreeD="1"/>
</file>

<file path=xl/ctrlProps/ctrlProp256.xml><?xml version="1.0" encoding="utf-8"?>
<formControlPr xmlns="http://schemas.microsoft.com/office/spreadsheetml/2009/9/main" objectType="CheckBox" checked="Checked" fmlaLink="$AK$46" noThreeD="1"/>
</file>

<file path=xl/ctrlProps/ctrlProp257.xml><?xml version="1.0" encoding="utf-8"?>
<formControlPr xmlns="http://schemas.microsoft.com/office/spreadsheetml/2009/9/main" objectType="CheckBox" checked="Checked" fmlaLink="$AK$47" noThreeD="1"/>
</file>

<file path=xl/ctrlProps/ctrlProp258.xml><?xml version="1.0" encoding="utf-8"?>
<formControlPr xmlns="http://schemas.microsoft.com/office/spreadsheetml/2009/9/main" objectType="CheckBox" fmlaLink="$AJ$39" noThreeD="1"/>
</file>

<file path=xl/ctrlProps/ctrlProp259.xml><?xml version="1.0" encoding="utf-8"?>
<formControlPr xmlns="http://schemas.microsoft.com/office/spreadsheetml/2009/9/main" objectType="CheckBox" fmlaLink="$AJ$41" noThreeD="1"/>
</file>

<file path=xl/ctrlProps/ctrlProp260.xml><?xml version="1.0" encoding="utf-8"?>
<formControlPr xmlns="http://schemas.microsoft.com/office/spreadsheetml/2009/9/main" objectType="CheckBox" checked="Checked" fmlaLink="$AJ$42" noThreeD="1"/>
</file>

<file path=xl/ctrlProps/ctrlProp261.xml><?xml version="1.0" encoding="utf-8"?>
<formControlPr xmlns="http://schemas.microsoft.com/office/spreadsheetml/2009/9/main" objectType="CheckBox" checked="Checked" fmlaLink="$AJ$40" noThreeD="1"/>
</file>

<file path=xl/ctrlProps/ctrlProp262.xml><?xml version="1.0" encoding="utf-8"?>
<formControlPr xmlns="http://schemas.microsoft.com/office/spreadsheetml/2009/9/main" objectType="CheckBox" checked="Checked" fmlaLink="$AJ$38" noThreeD="1"/>
</file>

<file path=xl/ctrlProps/ctrlProp263.xml><?xml version="1.0" encoding="utf-8"?>
<formControlPr xmlns="http://schemas.microsoft.com/office/spreadsheetml/2009/9/main" objectType="CheckBox" checked="Checked" fmlaLink="$AJ$43" noThreeD="1"/>
</file>

<file path=xl/ctrlProps/ctrlProp264.xml><?xml version="1.0" encoding="utf-8"?>
<formControlPr xmlns="http://schemas.microsoft.com/office/spreadsheetml/2009/9/main" objectType="CheckBox" fmlaLink="$AJ$44" noThreeD="1"/>
</file>

<file path=xl/ctrlProps/ctrlProp265.xml><?xml version="1.0" encoding="utf-8"?>
<formControlPr xmlns="http://schemas.microsoft.com/office/spreadsheetml/2009/9/main" objectType="CheckBox" checked="Checked" fmlaLink="$AJ$45" noThreeD="1"/>
</file>

<file path=xl/ctrlProps/ctrlProp266.xml><?xml version="1.0" encoding="utf-8"?>
<formControlPr xmlns="http://schemas.microsoft.com/office/spreadsheetml/2009/9/main" objectType="CheckBox" checked="Checked" fmlaLink="$AJ$4" noThreeD="1"/>
</file>

<file path=xl/ctrlProps/ctrlProp267.xml><?xml version="1.0" encoding="utf-8"?>
<formControlPr xmlns="http://schemas.microsoft.com/office/spreadsheetml/2009/9/main" objectType="CheckBox" checked="Checked" fmlaLink="$AJ$47" noThreeD="1"/>
</file>

<file path=xl/ctrlProps/ctrlProp268.xml><?xml version="1.0" encoding="utf-8"?>
<formControlPr xmlns="http://schemas.microsoft.com/office/spreadsheetml/2009/9/main" objectType="CheckBox" checked="Checked" fmlaLink="$AI$39" noThreeD="1"/>
</file>

<file path=xl/ctrlProps/ctrlProp269.xml><?xml version="1.0" encoding="utf-8"?>
<formControlPr xmlns="http://schemas.microsoft.com/office/spreadsheetml/2009/9/main" objectType="CheckBox" checked="Checked" fmlaLink="$AI$41" noThreeD="1"/>
</file>

<file path=xl/ctrlProps/ctrlProp270.xml><?xml version="1.0" encoding="utf-8"?>
<formControlPr xmlns="http://schemas.microsoft.com/office/spreadsheetml/2009/9/main" objectType="CheckBox" checked="Checked" fmlaLink="$AI$42" noThreeD="1"/>
</file>

<file path=xl/ctrlProps/ctrlProp271.xml><?xml version="1.0" encoding="utf-8"?>
<formControlPr xmlns="http://schemas.microsoft.com/office/spreadsheetml/2009/9/main" objectType="CheckBox" checked="Checked" fmlaLink="$AI$40" noThreeD="1"/>
</file>

<file path=xl/ctrlProps/ctrlProp272.xml><?xml version="1.0" encoding="utf-8"?>
<formControlPr xmlns="http://schemas.microsoft.com/office/spreadsheetml/2009/9/main" objectType="CheckBox" checked="Checked" fmlaLink="$AI$38" noThreeD="1"/>
</file>

<file path=xl/ctrlProps/ctrlProp273.xml><?xml version="1.0" encoding="utf-8"?>
<formControlPr xmlns="http://schemas.microsoft.com/office/spreadsheetml/2009/9/main" objectType="CheckBox" checked="Checked" fmlaLink="$AI$43" noThreeD="1"/>
</file>

<file path=xl/ctrlProps/ctrlProp274.xml><?xml version="1.0" encoding="utf-8"?>
<formControlPr xmlns="http://schemas.microsoft.com/office/spreadsheetml/2009/9/main" objectType="CheckBox" checked="Checked" fmlaLink="$AI$44" noThreeD="1"/>
</file>

<file path=xl/ctrlProps/ctrlProp275.xml><?xml version="1.0" encoding="utf-8"?>
<formControlPr xmlns="http://schemas.microsoft.com/office/spreadsheetml/2009/9/main" objectType="CheckBox" fmlaLink="$AI$45" noThreeD="1"/>
</file>

<file path=xl/ctrlProps/ctrlProp276.xml><?xml version="1.0" encoding="utf-8"?>
<formControlPr xmlns="http://schemas.microsoft.com/office/spreadsheetml/2009/9/main" objectType="CheckBox" checked="Checked" fmlaLink="$AI$46" noThreeD="1"/>
</file>

<file path=xl/ctrlProps/ctrlProp277.xml><?xml version="1.0" encoding="utf-8"?>
<formControlPr xmlns="http://schemas.microsoft.com/office/spreadsheetml/2009/9/main" objectType="CheckBox" checked="Checked" fmlaLink="$AI$47" noThreeD="1"/>
</file>

<file path=xl/ctrlProps/ctrlProp278.xml><?xml version="1.0" encoding="utf-8"?>
<formControlPr xmlns="http://schemas.microsoft.com/office/spreadsheetml/2009/9/main" objectType="CheckBox" checked="Checked" fmlaLink="$AH$39" noThreeD="1"/>
</file>

<file path=xl/ctrlProps/ctrlProp279.xml><?xml version="1.0" encoding="utf-8"?>
<formControlPr xmlns="http://schemas.microsoft.com/office/spreadsheetml/2009/9/main" objectType="CheckBox" fmlaLink="$AH$41" noThreeD="1"/>
</file>

<file path=xl/ctrlProps/ctrlProp280.xml><?xml version="1.0" encoding="utf-8"?>
<formControlPr xmlns="http://schemas.microsoft.com/office/spreadsheetml/2009/9/main" objectType="CheckBox" checked="Checked" fmlaLink="$AH$42" noThreeD="1"/>
</file>

<file path=xl/ctrlProps/ctrlProp281.xml><?xml version="1.0" encoding="utf-8"?>
<formControlPr xmlns="http://schemas.microsoft.com/office/spreadsheetml/2009/9/main" objectType="CheckBox" fmlaLink="$AH$40" noThreeD="1"/>
</file>

<file path=xl/ctrlProps/ctrlProp282.xml><?xml version="1.0" encoding="utf-8"?>
<formControlPr xmlns="http://schemas.microsoft.com/office/spreadsheetml/2009/9/main" objectType="CheckBox" checked="Checked" fmlaLink="$AH$38" noThreeD="1"/>
</file>

<file path=xl/ctrlProps/ctrlProp283.xml><?xml version="1.0" encoding="utf-8"?>
<formControlPr xmlns="http://schemas.microsoft.com/office/spreadsheetml/2009/9/main" objectType="CheckBox" fmlaLink="$AH$43" noThreeD="1"/>
</file>

<file path=xl/ctrlProps/ctrlProp284.xml><?xml version="1.0" encoding="utf-8"?>
<formControlPr xmlns="http://schemas.microsoft.com/office/spreadsheetml/2009/9/main" objectType="CheckBox" checked="Checked" fmlaLink="$AH$44" noThreeD="1"/>
</file>

<file path=xl/ctrlProps/ctrlProp285.xml><?xml version="1.0" encoding="utf-8"?>
<formControlPr xmlns="http://schemas.microsoft.com/office/spreadsheetml/2009/9/main" objectType="CheckBox" checked="Checked" fmlaLink="$AH$45" noThreeD="1"/>
</file>

<file path=xl/ctrlProps/ctrlProp286.xml><?xml version="1.0" encoding="utf-8"?>
<formControlPr xmlns="http://schemas.microsoft.com/office/spreadsheetml/2009/9/main" objectType="CheckBox" checked="Checked" fmlaLink="$AH$46" noThreeD="1"/>
</file>

<file path=xl/ctrlProps/ctrlProp287.xml><?xml version="1.0" encoding="utf-8"?>
<formControlPr xmlns="http://schemas.microsoft.com/office/spreadsheetml/2009/9/main" objectType="CheckBox" checked="Checked" fmlaLink="$AH$47" noThreeD="1"/>
</file>

<file path=xl/ctrlProps/ctrlProp288.xml><?xml version="1.0" encoding="utf-8"?>
<formControlPr xmlns="http://schemas.microsoft.com/office/spreadsheetml/2009/9/main" objectType="CheckBox" checked="Checked" fmlaLink="$AG$39" noThreeD="1"/>
</file>

<file path=xl/ctrlProps/ctrlProp289.xml><?xml version="1.0" encoding="utf-8"?>
<formControlPr xmlns="http://schemas.microsoft.com/office/spreadsheetml/2009/9/main" objectType="CheckBox" fmlaLink="$AG$41" noThreeD="1"/>
</file>

<file path=xl/ctrlProps/ctrlProp290.xml><?xml version="1.0" encoding="utf-8"?>
<formControlPr xmlns="http://schemas.microsoft.com/office/spreadsheetml/2009/9/main" objectType="CheckBox" checked="Checked" fmlaLink="$AG$42" noThreeD="1"/>
</file>

<file path=xl/ctrlProps/ctrlProp291.xml><?xml version="1.0" encoding="utf-8"?>
<formControlPr xmlns="http://schemas.microsoft.com/office/spreadsheetml/2009/9/main" objectType="CheckBox" checked="Checked" fmlaLink="$AG$40" noThreeD="1"/>
</file>

<file path=xl/ctrlProps/ctrlProp292.xml><?xml version="1.0" encoding="utf-8"?>
<formControlPr xmlns="http://schemas.microsoft.com/office/spreadsheetml/2009/9/main" objectType="CheckBox" checked="Checked" fmlaLink="$AG$38" noThreeD="1"/>
</file>

<file path=xl/ctrlProps/ctrlProp293.xml><?xml version="1.0" encoding="utf-8"?>
<formControlPr xmlns="http://schemas.microsoft.com/office/spreadsheetml/2009/9/main" objectType="CheckBox" checked="Checked" fmlaLink="$AG$43" noThreeD="1"/>
</file>

<file path=xl/ctrlProps/ctrlProp294.xml><?xml version="1.0" encoding="utf-8"?>
<formControlPr xmlns="http://schemas.microsoft.com/office/spreadsheetml/2009/9/main" objectType="CheckBox" checked="Checked" fmlaLink="$AG$44" noThreeD="1"/>
</file>

<file path=xl/ctrlProps/ctrlProp295.xml><?xml version="1.0" encoding="utf-8"?>
<formControlPr xmlns="http://schemas.microsoft.com/office/spreadsheetml/2009/9/main" objectType="CheckBox" checked="Checked" fmlaLink="$AG$45" noThreeD="1"/>
</file>

<file path=xl/ctrlProps/ctrlProp296.xml><?xml version="1.0" encoding="utf-8"?>
<formControlPr xmlns="http://schemas.microsoft.com/office/spreadsheetml/2009/9/main" objectType="CheckBox" checked="Checked" fmlaLink="$AG$46" noThreeD="1"/>
</file>

<file path=xl/ctrlProps/ctrlProp297.xml><?xml version="1.0" encoding="utf-8"?>
<formControlPr xmlns="http://schemas.microsoft.com/office/spreadsheetml/2009/9/main" objectType="CheckBox" checked="Checked" fmlaLink="$AG$47" noThreeD="1"/>
</file>

<file path=xl/ctrlProps/ctrlProp298.xml><?xml version="1.0" encoding="utf-8"?>
<formControlPr xmlns="http://schemas.microsoft.com/office/spreadsheetml/2009/9/main" objectType="CheckBox" checked="Checked" fmlaLink="$AF$39" noThreeD="1"/>
</file>

<file path=xl/ctrlProps/ctrlProp299.xml><?xml version="1.0" encoding="utf-8"?>
<formControlPr xmlns="http://schemas.microsoft.com/office/spreadsheetml/2009/9/main" objectType="CheckBox" checked="Checked" fmlaLink="$AF$41" noThreeD="1"/>
</file>

<file path=xl/ctrlProps/ctrlProp300.xml><?xml version="1.0" encoding="utf-8"?>
<formControlPr xmlns="http://schemas.microsoft.com/office/spreadsheetml/2009/9/main" objectType="CheckBox" checked="Checked" fmlaLink="$AF$42" noThreeD="1"/>
</file>

<file path=xl/ctrlProps/ctrlProp301.xml><?xml version="1.0" encoding="utf-8"?>
<formControlPr xmlns="http://schemas.microsoft.com/office/spreadsheetml/2009/9/main" objectType="CheckBox" fmlaLink="$AF$40" noThreeD="1"/>
</file>

<file path=xl/ctrlProps/ctrlProp302.xml><?xml version="1.0" encoding="utf-8"?>
<formControlPr xmlns="http://schemas.microsoft.com/office/spreadsheetml/2009/9/main" objectType="CheckBox" checked="Checked" fmlaLink="$AF$38" noThreeD="1"/>
</file>

<file path=xl/ctrlProps/ctrlProp303.xml><?xml version="1.0" encoding="utf-8"?>
<formControlPr xmlns="http://schemas.microsoft.com/office/spreadsheetml/2009/9/main" objectType="CheckBox" checked="Checked" fmlaLink="$AF$43" noThreeD="1"/>
</file>

<file path=xl/ctrlProps/ctrlProp304.xml><?xml version="1.0" encoding="utf-8"?>
<formControlPr xmlns="http://schemas.microsoft.com/office/spreadsheetml/2009/9/main" objectType="CheckBox" checked="Checked" fmlaLink="$AF$44" noThreeD="1"/>
</file>

<file path=xl/ctrlProps/ctrlProp305.xml><?xml version="1.0" encoding="utf-8"?>
<formControlPr xmlns="http://schemas.microsoft.com/office/spreadsheetml/2009/9/main" objectType="CheckBox" fmlaLink="$AF$45" noThreeD="1"/>
</file>

<file path=xl/ctrlProps/ctrlProp306.xml><?xml version="1.0" encoding="utf-8"?>
<formControlPr xmlns="http://schemas.microsoft.com/office/spreadsheetml/2009/9/main" objectType="CheckBox" checked="Checked" fmlaLink="$AF$46" noThreeD="1"/>
</file>

<file path=xl/ctrlProps/ctrlProp307.xml><?xml version="1.0" encoding="utf-8"?>
<formControlPr xmlns="http://schemas.microsoft.com/office/spreadsheetml/2009/9/main" objectType="CheckBox" checked="Checked" fmlaLink="$AF$47" noThreeD="1"/>
</file>

<file path=xl/ctrlProps/ctrlProp308.xml><?xml version="1.0" encoding="utf-8"?>
<formControlPr xmlns="http://schemas.microsoft.com/office/spreadsheetml/2009/9/main" objectType="CheckBox" checked="Checked" fmlaLink="$K$38" noThreeD="1"/>
</file>

<file path=xl/ctrlProps/ctrlProp309.xml><?xml version="1.0" encoding="utf-8"?>
<formControlPr xmlns="http://schemas.microsoft.com/office/spreadsheetml/2009/9/main" objectType="CheckBox" checked="Checked" fmlaLink="$J$38" lockText="1" noThreeD="1"/>
</file>

<file path=xl/ctrlProps/ctrlProp310.xml><?xml version="1.0" encoding="utf-8"?>
<formControlPr xmlns="http://schemas.microsoft.com/office/spreadsheetml/2009/9/main" objectType="CheckBox" checked="Checked" fmlaLink="$J$38" noThreeD="1"/>
</file>

<file path=xl/ctrlProps/ctrlProp311.xml><?xml version="1.0" encoding="utf-8"?>
<formControlPr xmlns="http://schemas.microsoft.com/office/spreadsheetml/2009/9/main" objectType="CheckBox" fmlaLink="$M$38" noThreeD="1"/>
</file>

<file path=xl/ctrlProps/ctrlProp312.xml><?xml version="1.0" encoding="utf-8"?>
<formControlPr xmlns="http://schemas.microsoft.com/office/spreadsheetml/2009/9/main" objectType="CheckBox" checked="Checked" fmlaLink="$J$38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8429</xdr:colOff>
      <xdr:row>18</xdr:row>
      <xdr:rowOff>7216</xdr:rowOff>
    </xdr:from>
    <xdr:to>
      <xdr:col>13</xdr:col>
      <xdr:colOff>299041</xdr:colOff>
      <xdr:row>24</xdr:row>
      <xdr:rowOff>173181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D9C0A-466E-C1A8-CD3B-423F6104D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44302</xdr:colOff>
      <xdr:row>18</xdr:row>
      <xdr:rowOff>14432</xdr:rowOff>
    </xdr:from>
    <xdr:to>
      <xdr:col>20</xdr:col>
      <xdr:colOff>276890</xdr:colOff>
      <xdr:row>24</xdr:row>
      <xdr:rowOff>180397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8EE9C6-2F42-4A7C-A358-9098D97C2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33226</xdr:colOff>
      <xdr:row>18</xdr:row>
      <xdr:rowOff>14432</xdr:rowOff>
    </xdr:from>
    <xdr:to>
      <xdr:col>27</xdr:col>
      <xdr:colOff>303451</xdr:colOff>
      <xdr:row>24</xdr:row>
      <xdr:rowOff>165965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1B6A86-D991-4B63-9406-C886E600E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21074</xdr:colOff>
      <xdr:row>18</xdr:row>
      <xdr:rowOff>14432</xdr:rowOff>
    </xdr:from>
    <xdr:to>
      <xdr:col>34</xdr:col>
      <xdr:colOff>303069</xdr:colOff>
      <xdr:row>24</xdr:row>
      <xdr:rowOff>165965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7AEEB7-F004-4437-8445-9347587FE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16858</xdr:colOff>
      <xdr:row>18</xdr:row>
      <xdr:rowOff>21648</xdr:rowOff>
    </xdr:from>
    <xdr:to>
      <xdr:col>37</xdr:col>
      <xdr:colOff>296534</xdr:colOff>
      <xdr:row>24</xdr:row>
      <xdr:rowOff>165965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92F146A-338B-4762-BC9A-086D925D9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47231</xdr:colOff>
      <xdr:row>5</xdr:row>
      <xdr:rowOff>35943</xdr:rowOff>
    </xdr:from>
    <xdr:to>
      <xdr:col>38</xdr:col>
      <xdr:colOff>267645</xdr:colOff>
      <xdr:row>13</xdr:row>
      <xdr:rowOff>149567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7A5C9A3-BD4E-A479-90D4-806F64659DDC}"/>
            </a:ext>
          </a:extLst>
        </xdr:cNvPr>
        <xdr:cNvSpPr/>
      </xdr:nvSpPr>
      <xdr:spPr>
        <a:xfrm>
          <a:off x="1988174" y="826698"/>
          <a:ext cx="9970061" cy="1623246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3175">
              <a:solidFill>
                <a:schemeClr val="tx1"/>
              </a:solidFill>
            </a:ln>
            <a:noFill/>
          </a:endParaRPr>
        </a:p>
      </xdr:txBody>
    </xdr:sp>
    <xdr:clientData/>
  </xdr:twoCellAnchor>
  <xdr:twoCellAnchor>
    <xdr:from>
      <xdr:col>7</xdr:col>
      <xdr:colOff>53916</xdr:colOff>
      <xdr:row>5</xdr:row>
      <xdr:rowOff>53916</xdr:rowOff>
    </xdr:from>
    <xdr:to>
      <xdr:col>38</xdr:col>
      <xdr:colOff>260589</xdr:colOff>
      <xdr:row>13</xdr:row>
      <xdr:rowOff>143774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2392B0-EFFD-4296-5393-FB22741B1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180975</xdr:rowOff>
        </xdr:from>
        <xdr:to>
          <xdr:col>6</xdr:col>
          <xdr:colOff>19050</xdr:colOff>
          <xdr:row>36</xdr:row>
          <xdr:rowOff>76200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38</xdr:row>
          <xdr:rowOff>57150</xdr:rowOff>
        </xdr:from>
        <xdr:to>
          <xdr:col>9</xdr:col>
          <xdr:colOff>247650</xdr:colOff>
          <xdr:row>38</xdr:row>
          <xdr:rowOff>247650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40</xdr:row>
          <xdr:rowOff>28575</xdr:rowOff>
        </xdr:from>
        <xdr:to>
          <xdr:col>9</xdr:col>
          <xdr:colOff>247650</xdr:colOff>
          <xdr:row>40</xdr:row>
          <xdr:rowOff>228600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41</xdr:row>
          <xdr:rowOff>57150</xdr:rowOff>
        </xdr:from>
        <xdr:to>
          <xdr:col>9</xdr:col>
          <xdr:colOff>266700</xdr:colOff>
          <xdr:row>41</xdr:row>
          <xdr:rowOff>247650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39</xdr:row>
          <xdr:rowOff>38100</xdr:rowOff>
        </xdr:from>
        <xdr:to>
          <xdr:col>9</xdr:col>
          <xdr:colOff>276225</xdr:colOff>
          <xdr:row>39</xdr:row>
          <xdr:rowOff>228600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37</xdr:row>
          <xdr:rowOff>85725</xdr:rowOff>
        </xdr:from>
        <xdr:to>
          <xdr:col>9</xdr:col>
          <xdr:colOff>219075</xdr:colOff>
          <xdr:row>37</xdr:row>
          <xdr:rowOff>228600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42</xdr:row>
          <xdr:rowOff>47625</xdr:rowOff>
        </xdr:from>
        <xdr:to>
          <xdr:col>9</xdr:col>
          <xdr:colOff>295275</xdr:colOff>
          <xdr:row>42</xdr:row>
          <xdr:rowOff>228600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43</xdr:row>
          <xdr:rowOff>19050</xdr:rowOff>
        </xdr:from>
        <xdr:to>
          <xdr:col>10</xdr:col>
          <xdr:colOff>0</xdr:colOff>
          <xdr:row>43</xdr:row>
          <xdr:rowOff>257175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44</xdr:row>
          <xdr:rowOff>57150</xdr:rowOff>
        </xdr:from>
        <xdr:to>
          <xdr:col>9</xdr:col>
          <xdr:colOff>285750</xdr:colOff>
          <xdr:row>45</xdr:row>
          <xdr:rowOff>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45</xdr:row>
          <xdr:rowOff>28575</xdr:rowOff>
        </xdr:from>
        <xdr:to>
          <xdr:col>9</xdr:col>
          <xdr:colOff>266700</xdr:colOff>
          <xdr:row>45</xdr:row>
          <xdr:rowOff>257175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46</xdr:row>
          <xdr:rowOff>28575</xdr:rowOff>
        </xdr:from>
        <xdr:to>
          <xdr:col>9</xdr:col>
          <xdr:colOff>266700</xdr:colOff>
          <xdr:row>46</xdr:row>
          <xdr:rowOff>266700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38</xdr:row>
          <xdr:rowOff>57150</xdr:rowOff>
        </xdr:from>
        <xdr:to>
          <xdr:col>10</xdr:col>
          <xdr:colOff>247650</xdr:colOff>
          <xdr:row>38</xdr:row>
          <xdr:rowOff>247650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40</xdr:row>
          <xdr:rowOff>28575</xdr:rowOff>
        </xdr:from>
        <xdr:to>
          <xdr:col>10</xdr:col>
          <xdr:colOff>247650</xdr:colOff>
          <xdr:row>40</xdr:row>
          <xdr:rowOff>228600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41</xdr:row>
          <xdr:rowOff>57150</xdr:rowOff>
        </xdr:from>
        <xdr:to>
          <xdr:col>10</xdr:col>
          <xdr:colOff>266700</xdr:colOff>
          <xdr:row>41</xdr:row>
          <xdr:rowOff>247650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39</xdr:row>
          <xdr:rowOff>38100</xdr:rowOff>
        </xdr:from>
        <xdr:to>
          <xdr:col>10</xdr:col>
          <xdr:colOff>276225</xdr:colOff>
          <xdr:row>39</xdr:row>
          <xdr:rowOff>228600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37</xdr:row>
          <xdr:rowOff>85725</xdr:rowOff>
        </xdr:from>
        <xdr:to>
          <xdr:col>10</xdr:col>
          <xdr:colOff>219075</xdr:colOff>
          <xdr:row>37</xdr:row>
          <xdr:rowOff>228600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42</xdr:row>
          <xdr:rowOff>47625</xdr:rowOff>
        </xdr:from>
        <xdr:to>
          <xdr:col>10</xdr:col>
          <xdr:colOff>295275</xdr:colOff>
          <xdr:row>42</xdr:row>
          <xdr:rowOff>228600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43</xdr:row>
          <xdr:rowOff>19050</xdr:rowOff>
        </xdr:from>
        <xdr:to>
          <xdr:col>11</xdr:col>
          <xdr:colOff>0</xdr:colOff>
          <xdr:row>43</xdr:row>
          <xdr:rowOff>257175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44</xdr:row>
          <xdr:rowOff>57150</xdr:rowOff>
        </xdr:from>
        <xdr:to>
          <xdr:col>10</xdr:col>
          <xdr:colOff>285750</xdr:colOff>
          <xdr:row>45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45</xdr:row>
          <xdr:rowOff>28575</xdr:rowOff>
        </xdr:from>
        <xdr:to>
          <xdr:col>10</xdr:col>
          <xdr:colOff>266700</xdr:colOff>
          <xdr:row>45</xdr:row>
          <xdr:rowOff>257175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46</xdr:row>
          <xdr:rowOff>28575</xdr:rowOff>
        </xdr:from>
        <xdr:to>
          <xdr:col>10</xdr:col>
          <xdr:colOff>266700</xdr:colOff>
          <xdr:row>46</xdr:row>
          <xdr:rowOff>266700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38</xdr:row>
          <xdr:rowOff>28575</xdr:rowOff>
        </xdr:from>
        <xdr:to>
          <xdr:col>11</xdr:col>
          <xdr:colOff>247650</xdr:colOff>
          <xdr:row>38</xdr:row>
          <xdr:rowOff>257175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40</xdr:row>
          <xdr:rowOff>9525</xdr:rowOff>
        </xdr:from>
        <xdr:to>
          <xdr:col>11</xdr:col>
          <xdr:colOff>257175</xdr:colOff>
          <xdr:row>40</xdr:row>
          <xdr:rowOff>257175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41</xdr:row>
          <xdr:rowOff>19050</xdr:rowOff>
        </xdr:from>
        <xdr:to>
          <xdr:col>11</xdr:col>
          <xdr:colOff>276225</xdr:colOff>
          <xdr:row>41</xdr:row>
          <xdr:rowOff>257175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39</xdr:row>
          <xdr:rowOff>19050</xdr:rowOff>
        </xdr:from>
        <xdr:to>
          <xdr:col>11</xdr:col>
          <xdr:colOff>285750</xdr:colOff>
          <xdr:row>39</xdr:row>
          <xdr:rowOff>257175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37</xdr:row>
          <xdr:rowOff>57150</xdr:rowOff>
        </xdr:from>
        <xdr:to>
          <xdr:col>11</xdr:col>
          <xdr:colOff>219075</xdr:colOff>
          <xdr:row>37</xdr:row>
          <xdr:rowOff>247650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42</xdr:row>
          <xdr:rowOff>38100</xdr:rowOff>
        </xdr:from>
        <xdr:to>
          <xdr:col>12</xdr:col>
          <xdr:colOff>0</xdr:colOff>
          <xdr:row>42</xdr:row>
          <xdr:rowOff>257175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43</xdr:row>
          <xdr:rowOff>0</xdr:rowOff>
        </xdr:from>
        <xdr:to>
          <xdr:col>12</xdr:col>
          <xdr:colOff>9525</xdr:colOff>
          <xdr:row>44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44</xdr:row>
          <xdr:rowOff>28575</xdr:rowOff>
        </xdr:from>
        <xdr:to>
          <xdr:col>11</xdr:col>
          <xdr:colOff>295275</xdr:colOff>
          <xdr:row>45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45</xdr:row>
          <xdr:rowOff>28575</xdr:rowOff>
        </xdr:from>
        <xdr:to>
          <xdr:col>11</xdr:col>
          <xdr:colOff>295275</xdr:colOff>
          <xdr:row>46</xdr:row>
          <xdr:rowOff>28575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46</xdr:row>
          <xdr:rowOff>19050</xdr:rowOff>
        </xdr:from>
        <xdr:to>
          <xdr:col>11</xdr:col>
          <xdr:colOff>276225</xdr:colOff>
          <xdr:row>47</xdr:row>
          <xdr:rowOff>28575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38</xdr:row>
          <xdr:rowOff>66675</xdr:rowOff>
        </xdr:from>
        <xdr:to>
          <xdr:col>12</xdr:col>
          <xdr:colOff>247650</xdr:colOff>
          <xdr:row>38</xdr:row>
          <xdr:rowOff>247650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40</xdr:row>
          <xdr:rowOff>38100</xdr:rowOff>
        </xdr:from>
        <xdr:to>
          <xdr:col>12</xdr:col>
          <xdr:colOff>247650</xdr:colOff>
          <xdr:row>40</xdr:row>
          <xdr:rowOff>247650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41</xdr:row>
          <xdr:rowOff>66675</xdr:rowOff>
        </xdr:from>
        <xdr:to>
          <xdr:col>12</xdr:col>
          <xdr:colOff>276225</xdr:colOff>
          <xdr:row>41</xdr:row>
          <xdr:rowOff>257175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39</xdr:row>
          <xdr:rowOff>47625</xdr:rowOff>
        </xdr:from>
        <xdr:to>
          <xdr:col>12</xdr:col>
          <xdr:colOff>285750</xdr:colOff>
          <xdr:row>39</xdr:row>
          <xdr:rowOff>247650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37</xdr:row>
          <xdr:rowOff>95250</xdr:rowOff>
        </xdr:from>
        <xdr:to>
          <xdr:col>12</xdr:col>
          <xdr:colOff>228600</xdr:colOff>
          <xdr:row>37</xdr:row>
          <xdr:rowOff>247650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42</xdr:row>
          <xdr:rowOff>57150</xdr:rowOff>
        </xdr:from>
        <xdr:to>
          <xdr:col>13</xdr:col>
          <xdr:colOff>0</xdr:colOff>
          <xdr:row>42</xdr:row>
          <xdr:rowOff>247650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43</xdr:row>
          <xdr:rowOff>28575</xdr:rowOff>
        </xdr:from>
        <xdr:to>
          <xdr:col>13</xdr:col>
          <xdr:colOff>9525</xdr:colOff>
          <xdr:row>43</xdr:row>
          <xdr:rowOff>266700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44</xdr:row>
          <xdr:rowOff>66675</xdr:rowOff>
        </xdr:from>
        <xdr:to>
          <xdr:col>12</xdr:col>
          <xdr:colOff>295275</xdr:colOff>
          <xdr:row>45</xdr:row>
          <xdr:rowOff>9525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45</xdr:row>
          <xdr:rowOff>38100</xdr:rowOff>
        </xdr:from>
        <xdr:to>
          <xdr:col>12</xdr:col>
          <xdr:colOff>276225</xdr:colOff>
          <xdr:row>45</xdr:row>
          <xdr:rowOff>266700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46</xdr:row>
          <xdr:rowOff>38100</xdr:rowOff>
        </xdr:from>
        <xdr:to>
          <xdr:col>12</xdr:col>
          <xdr:colOff>276225</xdr:colOff>
          <xdr:row>47</xdr:row>
          <xdr:rowOff>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38</xdr:row>
          <xdr:rowOff>66675</xdr:rowOff>
        </xdr:from>
        <xdr:to>
          <xdr:col>13</xdr:col>
          <xdr:colOff>247650</xdr:colOff>
          <xdr:row>38</xdr:row>
          <xdr:rowOff>219075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40</xdr:row>
          <xdr:rowOff>38100</xdr:rowOff>
        </xdr:from>
        <xdr:to>
          <xdr:col>13</xdr:col>
          <xdr:colOff>247650</xdr:colOff>
          <xdr:row>40</xdr:row>
          <xdr:rowOff>209550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41</xdr:row>
          <xdr:rowOff>66675</xdr:rowOff>
        </xdr:from>
        <xdr:to>
          <xdr:col>13</xdr:col>
          <xdr:colOff>266700</xdr:colOff>
          <xdr:row>41</xdr:row>
          <xdr:rowOff>228600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39</xdr:row>
          <xdr:rowOff>47625</xdr:rowOff>
        </xdr:from>
        <xdr:to>
          <xdr:col>13</xdr:col>
          <xdr:colOff>276225</xdr:colOff>
          <xdr:row>39</xdr:row>
          <xdr:rowOff>209550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37</xdr:row>
          <xdr:rowOff>85725</xdr:rowOff>
        </xdr:from>
        <xdr:to>
          <xdr:col>13</xdr:col>
          <xdr:colOff>219075</xdr:colOff>
          <xdr:row>37</xdr:row>
          <xdr:rowOff>209550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42</xdr:row>
          <xdr:rowOff>57150</xdr:rowOff>
        </xdr:from>
        <xdr:to>
          <xdr:col>13</xdr:col>
          <xdr:colOff>295275</xdr:colOff>
          <xdr:row>42</xdr:row>
          <xdr:rowOff>209550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43</xdr:row>
          <xdr:rowOff>38100</xdr:rowOff>
        </xdr:from>
        <xdr:to>
          <xdr:col>14</xdr:col>
          <xdr:colOff>0</xdr:colOff>
          <xdr:row>43</xdr:row>
          <xdr:rowOff>247650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44</xdr:row>
          <xdr:rowOff>66675</xdr:rowOff>
        </xdr:from>
        <xdr:to>
          <xdr:col>13</xdr:col>
          <xdr:colOff>285750</xdr:colOff>
          <xdr:row>44</xdr:row>
          <xdr:rowOff>257175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45</xdr:row>
          <xdr:rowOff>38100</xdr:rowOff>
        </xdr:from>
        <xdr:to>
          <xdr:col>13</xdr:col>
          <xdr:colOff>266700</xdr:colOff>
          <xdr:row>45</xdr:row>
          <xdr:rowOff>247650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46</xdr:row>
          <xdr:rowOff>47625</xdr:rowOff>
        </xdr:from>
        <xdr:to>
          <xdr:col>13</xdr:col>
          <xdr:colOff>266700</xdr:colOff>
          <xdr:row>46</xdr:row>
          <xdr:rowOff>247650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38</xdr:row>
          <xdr:rowOff>47625</xdr:rowOff>
        </xdr:from>
        <xdr:to>
          <xdr:col>14</xdr:col>
          <xdr:colOff>247650</xdr:colOff>
          <xdr:row>38</xdr:row>
          <xdr:rowOff>228600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40</xdr:row>
          <xdr:rowOff>19050</xdr:rowOff>
        </xdr:from>
        <xdr:to>
          <xdr:col>14</xdr:col>
          <xdr:colOff>247650</xdr:colOff>
          <xdr:row>40</xdr:row>
          <xdr:rowOff>219075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41</xdr:row>
          <xdr:rowOff>47625</xdr:rowOff>
        </xdr:from>
        <xdr:to>
          <xdr:col>14</xdr:col>
          <xdr:colOff>266700</xdr:colOff>
          <xdr:row>41</xdr:row>
          <xdr:rowOff>247650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39</xdr:row>
          <xdr:rowOff>28575</xdr:rowOff>
        </xdr:from>
        <xdr:to>
          <xdr:col>14</xdr:col>
          <xdr:colOff>276225</xdr:colOff>
          <xdr:row>39</xdr:row>
          <xdr:rowOff>219075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37</xdr:row>
          <xdr:rowOff>76200</xdr:rowOff>
        </xdr:from>
        <xdr:to>
          <xdr:col>14</xdr:col>
          <xdr:colOff>219075</xdr:colOff>
          <xdr:row>37</xdr:row>
          <xdr:rowOff>219075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42</xdr:row>
          <xdr:rowOff>38100</xdr:rowOff>
        </xdr:from>
        <xdr:to>
          <xdr:col>14</xdr:col>
          <xdr:colOff>295275</xdr:colOff>
          <xdr:row>42</xdr:row>
          <xdr:rowOff>219075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43</xdr:row>
          <xdr:rowOff>9525</xdr:rowOff>
        </xdr:from>
        <xdr:to>
          <xdr:col>15</xdr:col>
          <xdr:colOff>0</xdr:colOff>
          <xdr:row>43</xdr:row>
          <xdr:rowOff>247650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44</xdr:row>
          <xdr:rowOff>47625</xdr:rowOff>
        </xdr:from>
        <xdr:to>
          <xdr:col>14</xdr:col>
          <xdr:colOff>285750</xdr:colOff>
          <xdr:row>44</xdr:row>
          <xdr:rowOff>266700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45</xdr:row>
          <xdr:rowOff>19050</xdr:rowOff>
        </xdr:from>
        <xdr:to>
          <xdr:col>14</xdr:col>
          <xdr:colOff>266700</xdr:colOff>
          <xdr:row>45</xdr:row>
          <xdr:rowOff>247650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46</xdr:row>
          <xdr:rowOff>19050</xdr:rowOff>
        </xdr:from>
        <xdr:to>
          <xdr:col>14</xdr:col>
          <xdr:colOff>266700</xdr:colOff>
          <xdr:row>46</xdr:row>
          <xdr:rowOff>257175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38</xdr:row>
          <xdr:rowOff>47625</xdr:rowOff>
        </xdr:from>
        <xdr:to>
          <xdr:col>15</xdr:col>
          <xdr:colOff>247650</xdr:colOff>
          <xdr:row>38</xdr:row>
          <xdr:rowOff>228600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40</xdr:row>
          <xdr:rowOff>19050</xdr:rowOff>
        </xdr:from>
        <xdr:to>
          <xdr:col>15</xdr:col>
          <xdr:colOff>247650</xdr:colOff>
          <xdr:row>40</xdr:row>
          <xdr:rowOff>219075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41</xdr:row>
          <xdr:rowOff>47625</xdr:rowOff>
        </xdr:from>
        <xdr:to>
          <xdr:col>15</xdr:col>
          <xdr:colOff>266700</xdr:colOff>
          <xdr:row>41</xdr:row>
          <xdr:rowOff>247650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39</xdr:row>
          <xdr:rowOff>28575</xdr:rowOff>
        </xdr:from>
        <xdr:to>
          <xdr:col>15</xdr:col>
          <xdr:colOff>276225</xdr:colOff>
          <xdr:row>39</xdr:row>
          <xdr:rowOff>219075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37</xdr:row>
          <xdr:rowOff>76200</xdr:rowOff>
        </xdr:from>
        <xdr:to>
          <xdr:col>15</xdr:col>
          <xdr:colOff>219075</xdr:colOff>
          <xdr:row>37</xdr:row>
          <xdr:rowOff>219075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42</xdr:row>
          <xdr:rowOff>38100</xdr:rowOff>
        </xdr:from>
        <xdr:to>
          <xdr:col>15</xdr:col>
          <xdr:colOff>295275</xdr:colOff>
          <xdr:row>42</xdr:row>
          <xdr:rowOff>219075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43</xdr:row>
          <xdr:rowOff>9525</xdr:rowOff>
        </xdr:from>
        <xdr:to>
          <xdr:col>16</xdr:col>
          <xdr:colOff>0</xdr:colOff>
          <xdr:row>43</xdr:row>
          <xdr:rowOff>247650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44</xdr:row>
          <xdr:rowOff>47625</xdr:rowOff>
        </xdr:from>
        <xdr:to>
          <xdr:col>15</xdr:col>
          <xdr:colOff>285750</xdr:colOff>
          <xdr:row>44</xdr:row>
          <xdr:rowOff>266700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45</xdr:row>
          <xdr:rowOff>19050</xdr:rowOff>
        </xdr:from>
        <xdr:to>
          <xdr:col>15</xdr:col>
          <xdr:colOff>266700</xdr:colOff>
          <xdr:row>45</xdr:row>
          <xdr:rowOff>247650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46</xdr:row>
          <xdr:rowOff>19050</xdr:rowOff>
        </xdr:from>
        <xdr:to>
          <xdr:col>15</xdr:col>
          <xdr:colOff>266700</xdr:colOff>
          <xdr:row>46</xdr:row>
          <xdr:rowOff>257175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38</xdr:row>
          <xdr:rowOff>47625</xdr:rowOff>
        </xdr:from>
        <xdr:to>
          <xdr:col>16</xdr:col>
          <xdr:colOff>247650</xdr:colOff>
          <xdr:row>38</xdr:row>
          <xdr:rowOff>228600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40</xdr:row>
          <xdr:rowOff>19050</xdr:rowOff>
        </xdr:from>
        <xdr:to>
          <xdr:col>16</xdr:col>
          <xdr:colOff>247650</xdr:colOff>
          <xdr:row>40</xdr:row>
          <xdr:rowOff>219075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41</xdr:row>
          <xdr:rowOff>47625</xdr:rowOff>
        </xdr:from>
        <xdr:to>
          <xdr:col>16</xdr:col>
          <xdr:colOff>266700</xdr:colOff>
          <xdr:row>41</xdr:row>
          <xdr:rowOff>247650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39</xdr:row>
          <xdr:rowOff>28575</xdr:rowOff>
        </xdr:from>
        <xdr:to>
          <xdr:col>16</xdr:col>
          <xdr:colOff>276225</xdr:colOff>
          <xdr:row>39</xdr:row>
          <xdr:rowOff>219075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37</xdr:row>
          <xdr:rowOff>76200</xdr:rowOff>
        </xdr:from>
        <xdr:to>
          <xdr:col>16</xdr:col>
          <xdr:colOff>219075</xdr:colOff>
          <xdr:row>37</xdr:row>
          <xdr:rowOff>219075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42</xdr:row>
          <xdr:rowOff>38100</xdr:rowOff>
        </xdr:from>
        <xdr:to>
          <xdr:col>16</xdr:col>
          <xdr:colOff>295275</xdr:colOff>
          <xdr:row>42</xdr:row>
          <xdr:rowOff>219075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43</xdr:row>
          <xdr:rowOff>9525</xdr:rowOff>
        </xdr:from>
        <xdr:to>
          <xdr:col>17</xdr:col>
          <xdr:colOff>0</xdr:colOff>
          <xdr:row>43</xdr:row>
          <xdr:rowOff>247650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44</xdr:row>
          <xdr:rowOff>47625</xdr:rowOff>
        </xdr:from>
        <xdr:to>
          <xdr:col>16</xdr:col>
          <xdr:colOff>285750</xdr:colOff>
          <xdr:row>44</xdr:row>
          <xdr:rowOff>266700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45</xdr:row>
          <xdr:rowOff>19050</xdr:rowOff>
        </xdr:from>
        <xdr:to>
          <xdr:col>16</xdr:col>
          <xdr:colOff>266700</xdr:colOff>
          <xdr:row>45</xdr:row>
          <xdr:rowOff>247650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46</xdr:row>
          <xdr:rowOff>19050</xdr:rowOff>
        </xdr:from>
        <xdr:to>
          <xdr:col>16</xdr:col>
          <xdr:colOff>266700</xdr:colOff>
          <xdr:row>46</xdr:row>
          <xdr:rowOff>257175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38</xdr:row>
          <xdr:rowOff>66675</xdr:rowOff>
        </xdr:from>
        <xdr:to>
          <xdr:col>17</xdr:col>
          <xdr:colOff>247650</xdr:colOff>
          <xdr:row>38</xdr:row>
          <xdr:rowOff>247650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40</xdr:row>
          <xdr:rowOff>38100</xdr:rowOff>
        </xdr:from>
        <xdr:to>
          <xdr:col>17</xdr:col>
          <xdr:colOff>247650</xdr:colOff>
          <xdr:row>40</xdr:row>
          <xdr:rowOff>247650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41</xdr:row>
          <xdr:rowOff>66675</xdr:rowOff>
        </xdr:from>
        <xdr:to>
          <xdr:col>17</xdr:col>
          <xdr:colOff>276225</xdr:colOff>
          <xdr:row>41</xdr:row>
          <xdr:rowOff>257175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39</xdr:row>
          <xdr:rowOff>47625</xdr:rowOff>
        </xdr:from>
        <xdr:to>
          <xdr:col>17</xdr:col>
          <xdr:colOff>285750</xdr:colOff>
          <xdr:row>39</xdr:row>
          <xdr:rowOff>247650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37</xdr:row>
          <xdr:rowOff>95250</xdr:rowOff>
        </xdr:from>
        <xdr:to>
          <xdr:col>17</xdr:col>
          <xdr:colOff>228600</xdr:colOff>
          <xdr:row>37</xdr:row>
          <xdr:rowOff>247650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42</xdr:row>
          <xdr:rowOff>57150</xdr:rowOff>
        </xdr:from>
        <xdr:to>
          <xdr:col>18</xdr:col>
          <xdr:colOff>0</xdr:colOff>
          <xdr:row>42</xdr:row>
          <xdr:rowOff>247650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43</xdr:row>
          <xdr:rowOff>28575</xdr:rowOff>
        </xdr:from>
        <xdr:to>
          <xdr:col>18</xdr:col>
          <xdr:colOff>9525</xdr:colOff>
          <xdr:row>43</xdr:row>
          <xdr:rowOff>266700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44</xdr:row>
          <xdr:rowOff>66675</xdr:rowOff>
        </xdr:from>
        <xdr:to>
          <xdr:col>17</xdr:col>
          <xdr:colOff>295275</xdr:colOff>
          <xdr:row>45</xdr:row>
          <xdr:rowOff>9525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45</xdr:row>
          <xdr:rowOff>38100</xdr:rowOff>
        </xdr:from>
        <xdr:to>
          <xdr:col>17</xdr:col>
          <xdr:colOff>276225</xdr:colOff>
          <xdr:row>45</xdr:row>
          <xdr:rowOff>266700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46</xdr:row>
          <xdr:rowOff>38100</xdr:rowOff>
        </xdr:from>
        <xdr:to>
          <xdr:col>17</xdr:col>
          <xdr:colOff>276225</xdr:colOff>
          <xdr:row>47</xdr:row>
          <xdr:rowOff>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38</xdr:row>
          <xdr:rowOff>47625</xdr:rowOff>
        </xdr:from>
        <xdr:to>
          <xdr:col>18</xdr:col>
          <xdr:colOff>247650</xdr:colOff>
          <xdr:row>38</xdr:row>
          <xdr:rowOff>228600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40</xdr:row>
          <xdr:rowOff>19050</xdr:rowOff>
        </xdr:from>
        <xdr:to>
          <xdr:col>18</xdr:col>
          <xdr:colOff>247650</xdr:colOff>
          <xdr:row>40</xdr:row>
          <xdr:rowOff>219075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41</xdr:row>
          <xdr:rowOff>47625</xdr:rowOff>
        </xdr:from>
        <xdr:to>
          <xdr:col>18</xdr:col>
          <xdr:colOff>266700</xdr:colOff>
          <xdr:row>41</xdr:row>
          <xdr:rowOff>247650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39</xdr:row>
          <xdr:rowOff>28575</xdr:rowOff>
        </xdr:from>
        <xdr:to>
          <xdr:col>18</xdr:col>
          <xdr:colOff>276225</xdr:colOff>
          <xdr:row>39</xdr:row>
          <xdr:rowOff>219075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37</xdr:row>
          <xdr:rowOff>76200</xdr:rowOff>
        </xdr:from>
        <xdr:to>
          <xdr:col>18</xdr:col>
          <xdr:colOff>219075</xdr:colOff>
          <xdr:row>37</xdr:row>
          <xdr:rowOff>219075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42</xdr:row>
          <xdr:rowOff>38100</xdr:rowOff>
        </xdr:from>
        <xdr:to>
          <xdr:col>18</xdr:col>
          <xdr:colOff>295275</xdr:colOff>
          <xdr:row>42</xdr:row>
          <xdr:rowOff>219075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43</xdr:row>
          <xdr:rowOff>57150</xdr:rowOff>
        </xdr:from>
        <xdr:to>
          <xdr:col>18</xdr:col>
          <xdr:colOff>228600</xdr:colOff>
          <xdr:row>43</xdr:row>
          <xdr:rowOff>228600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44</xdr:row>
          <xdr:rowOff>47625</xdr:rowOff>
        </xdr:from>
        <xdr:to>
          <xdr:col>18</xdr:col>
          <xdr:colOff>285750</xdr:colOff>
          <xdr:row>44</xdr:row>
          <xdr:rowOff>266700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45</xdr:row>
          <xdr:rowOff>66675</xdr:rowOff>
        </xdr:from>
        <xdr:to>
          <xdr:col>18</xdr:col>
          <xdr:colOff>257175</xdr:colOff>
          <xdr:row>45</xdr:row>
          <xdr:rowOff>209550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46</xdr:row>
          <xdr:rowOff>66675</xdr:rowOff>
        </xdr:from>
        <xdr:to>
          <xdr:col>18</xdr:col>
          <xdr:colOff>228600</xdr:colOff>
          <xdr:row>46</xdr:row>
          <xdr:rowOff>247650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38</xdr:row>
          <xdr:rowOff>57150</xdr:rowOff>
        </xdr:from>
        <xdr:to>
          <xdr:col>19</xdr:col>
          <xdr:colOff>247650</xdr:colOff>
          <xdr:row>38</xdr:row>
          <xdr:rowOff>247650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40</xdr:row>
          <xdr:rowOff>28575</xdr:rowOff>
        </xdr:from>
        <xdr:to>
          <xdr:col>19</xdr:col>
          <xdr:colOff>247650</xdr:colOff>
          <xdr:row>40</xdr:row>
          <xdr:rowOff>228600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41</xdr:row>
          <xdr:rowOff>57150</xdr:rowOff>
        </xdr:from>
        <xdr:to>
          <xdr:col>19</xdr:col>
          <xdr:colOff>266700</xdr:colOff>
          <xdr:row>41</xdr:row>
          <xdr:rowOff>247650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39</xdr:row>
          <xdr:rowOff>57150</xdr:rowOff>
        </xdr:from>
        <xdr:to>
          <xdr:col>19</xdr:col>
          <xdr:colOff>247650</xdr:colOff>
          <xdr:row>39</xdr:row>
          <xdr:rowOff>228600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37</xdr:row>
          <xdr:rowOff>85725</xdr:rowOff>
        </xdr:from>
        <xdr:to>
          <xdr:col>19</xdr:col>
          <xdr:colOff>247650</xdr:colOff>
          <xdr:row>37</xdr:row>
          <xdr:rowOff>228600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42</xdr:row>
          <xdr:rowOff>66675</xdr:rowOff>
        </xdr:from>
        <xdr:to>
          <xdr:col>19</xdr:col>
          <xdr:colOff>257175</xdr:colOff>
          <xdr:row>42</xdr:row>
          <xdr:rowOff>228600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43</xdr:row>
          <xdr:rowOff>38100</xdr:rowOff>
        </xdr:from>
        <xdr:to>
          <xdr:col>19</xdr:col>
          <xdr:colOff>266700</xdr:colOff>
          <xdr:row>43</xdr:row>
          <xdr:rowOff>257175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44</xdr:row>
          <xdr:rowOff>57150</xdr:rowOff>
        </xdr:from>
        <xdr:to>
          <xdr:col>19</xdr:col>
          <xdr:colOff>285750</xdr:colOff>
          <xdr:row>45</xdr:row>
          <xdr:rowOff>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45</xdr:row>
          <xdr:rowOff>28575</xdr:rowOff>
        </xdr:from>
        <xdr:to>
          <xdr:col>19</xdr:col>
          <xdr:colOff>266700</xdr:colOff>
          <xdr:row>45</xdr:row>
          <xdr:rowOff>257175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46</xdr:row>
          <xdr:rowOff>28575</xdr:rowOff>
        </xdr:from>
        <xdr:to>
          <xdr:col>19</xdr:col>
          <xdr:colOff>266700</xdr:colOff>
          <xdr:row>46</xdr:row>
          <xdr:rowOff>266700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57150</xdr:colOff>
          <xdr:row>38</xdr:row>
          <xdr:rowOff>47625</xdr:rowOff>
        </xdr:from>
        <xdr:to>
          <xdr:col>20</xdr:col>
          <xdr:colOff>247650</xdr:colOff>
          <xdr:row>38</xdr:row>
          <xdr:rowOff>228600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40</xdr:row>
          <xdr:rowOff>19050</xdr:rowOff>
        </xdr:from>
        <xdr:to>
          <xdr:col>20</xdr:col>
          <xdr:colOff>247650</xdr:colOff>
          <xdr:row>40</xdr:row>
          <xdr:rowOff>219075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41</xdr:row>
          <xdr:rowOff>47625</xdr:rowOff>
        </xdr:from>
        <xdr:to>
          <xdr:col>20</xdr:col>
          <xdr:colOff>276225</xdr:colOff>
          <xdr:row>41</xdr:row>
          <xdr:rowOff>247650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57150</xdr:colOff>
          <xdr:row>39</xdr:row>
          <xdr:rowOff>28575</xdr:rowOff>
        </xdr:from>
        <xdr:to>
          <xdr:col>20</xdr:col>
          <xdr:colOff>285750</xdr:colOff>
          <xdr:row>39</xdr:row>
          <xdr:rowOff>219075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37</xdr:row>
          <xdr:rowOff>76200</xdr:rowOff>
        </xdr:from>
        <xdr:to>
          <xdr:col>20</xdr:col>
          <xdr:colOff>228600</xdr:colOff>
          <xdr:row>37</xdr:row>
          <xdr:rowOff>219075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42</xdr:row>
          <xdr:rowOff>38100</xdr:rowOff>
        </xdr:from>
        <xdr:to>
          <xdr:col>21</xdr:col>
          <xdr:colOff>0</xdr:colOff>
          <xdr:row>42</xdr:row>
          <xdr:rowOff>219075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43</xdr:row>
          <xdr:rowOff>9525</xdr:rowOff>
        </xdr:from>
        <xdr:to>
          <xdr:col>21</xdr:col>
          <xdr:colOff>9525</xdr:colOff>
          <xdr:row>43</xdr:row>
          <xdr:rowOff>247650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44</xdr:row>
          <xdr:rowOff>47625</xdr:rowOff>
        </xdr:from>
        <xdr:to>
          <xdr:col>20</xdr:col>
          <xdr:colOff>295275</xdr:colOff>
          <xdr:row>44</xdr:row>
          <xdr:rowOff>266700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45</xdr:row>
          <xdr:rowOff>19050</xdr:rowOff>
        </xdr:from>
        <xdr:to>
          <xdr:col>20</xdr:col>
          <xdr:colOff>276225</xdr:colOff>
          <xdr:row>45</xdr:row>
          <xdr:rowOff>247650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46</xdr:row>
          <xdr:rowOff>19050</xdr:rowOff>
        </xdr:from>
        <xdr:to>
          <xdr:col>20</xdr:col>
          <xdr:colOff>276225</xdr:colOff>
          <xdr:row>46</xdr:row>
          <xdr:rowOff>257175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38</xdr:row>
          <xdr:rowOff>47625</xdr:rowOff>
        </xdr:from>
        <xdr:to>
          <xdr:col>21</xdr:col>
          <xdr:colOff>247650</xdr:colOff>
          <xdr:row>38</xdr:row>
          <xdr:rowOff>228600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38100</xdr:colOff>
          <xdr:row>40</xdr:row>
          <xdr:rowOff>19050</xdr:rowOff>
        </xdr:from>
        <xdr:to>
          <xdr:col>21</xdr:col>
          <xdr:colOff>247650</xdr:colOff>
          <xdr:row>40</xdr:row>
          <xdr:rowOff>219075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57150</xdr:colOff>
          <xdr:row>41</xdr:row>
          <xdr:rowOff>47625</xdr:rowOff>
        </xdr:from>
        <xdr:to>
          <xdr:col>21</xdr:col>
          <xdr:colOff>266700</xdr:colOff>
          <xdr:row>41</xdr:row>
          <xdr:rowOff>247650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39</xdr:row>
          <xdr:rowOff>28575</xdr:rowOff>
        </xdr:from>
        <xdr:to>
          <xdr:col>21</xdr:col>
          <xdr:colOff>276225</xdr:colOff>
          <xdr:row>39</xdr:row>
          <xdr:rowOff>219075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57150</xdr:colOff>
          <xdr:row>37</xdr:row>
          <xdr:rowOff>76200</xdr:rowOff>
        </xdr:from>
        <xdr:to>
          <xdr:col>21</xdr:col>
          <xdr:colOff>219075</xdr:colOff>
          <xdr:row>37</xdr:row>
          <xdr:rowOff>219075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57150</xdr:colOff>
          <xdr:row>42</xdr:row>
          <xdr:rowOff>38100</xdr:rowOff>
        </xdr:from>
        <xdr:to>
          <xdr:col>21</xdr:col>
          <xdr:colOff>295275</xdr:colOff>
          <xdr:row>42</xdr:row>
          <xdr:rowOff>219075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57150</xdr:colOff>
          <xdr:row>43</xdr:row>
          <xdr:rowOff>66675</xdr:rowOff>
        </xdr:from>
        <xdr:to>
          <xdr:col>21</xdr:col>
          <xdr:colOff>266700</xdr:colOff>
          <xdr:row>43</xdr:row>
          <xdr:rowOff>247650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57150</xdr:colOff>
          <xdr:row>44</xdr:row>
          <xdr:rowOff>47625</xdr:rowOff>
        </xdr:from>
        <xdr:to>
          <xdr:col>21</xdr:col>
          <xdr:colOff>285750</xdr:colOff>
          <xdr:row>44</xdr:row>
          <xdr:rowOff>266700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38100</xdr:colOff>
          <xdr:row>45</xdr:row>
          <xdr:rowOff>19050</xdr:rowOff>
        </xdr:from>
        <xdr:to>
          <xdr:col>21</xdr:col>
          <xdr:colOff>266700</xdr:colOff>
          <xdr:row>45</xdr:row>
          <xdr:rowOff>247650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38100</xdr:colOff>
          <xdr:row>46</xdr:row>
          <xdr:rowOff>19050</xdr:rowOff>
        </xdr:from>
        <xdr:to>
          <xdr:col>21</xdr:col>
          <xdr:colOff>266700</xdr:colOff>
          <xdr:row>46</xdr:row>
          <xdr:rowOff>257175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38</xdr:row>
          <xdr:rowOff>38100</xdr:rowOff>
        </xdr:from>
        <xdr:to>
          <xdr:col>22</xdr:col>
          <xdr:colOff>228600</xdr:colOff>
          <xdr:row>38</xdr:row>
          <xdr:rowOff>228600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40</xdr:row>
          <xdr:rowOff>9525</xdr:rowOff>
        </xdr:from>
        <xdr:to>
          <xdr:col>22</xdr:col>
          <xdr:colOff>228600</xdr:colOff>
          <xdr:row>40</xdr:row>
          <xdr:rowOff>219075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41</xdr:row>
          <xdr:rowOff>38100</xdr:rowOff>
        </xdr:from>
        <xdr:to>
          <xdr:col>22</xdr:col>
          <xdr:colOff>257175</xdr:colOff>
          <xdr:row>41</xdr:row>
          <xdr:rowOff>247650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39</xdr:row>
          <xdr:rowOff>19050</xdr:rowOff>
        </xdr:from>
        <xdr:to>
          <xdr:col>22</xdr:col>
          <xdr:colOff>266700</xdr:colOff>
          <xdr:row>39</xdr:row>
          <xdr:rowOff>219075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37</xdr:row>
          <xdr:rowOff>66675</xdr:rowOff>
        </xdr:from>
        <xdr:to>
          <xdr:col>22</xdr:col>
          <xdr:colOff>247650</xdr:colOff>
          <xdr:row>37</xdr:row>
          <xdr:rowOff>219075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42</xdr:row>
          <xdr:rowOff>28575</xdr:rowOff>
        </xdr:from>
        <xdr:to>
          <xdr:col>22</xdr:col>
          <xdr:colOff>285750</xdr:colOff>
          <xdr:row>42</xdr:row>
          <xdr:rowOff>219075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43</xdr:row>
          <xdr:rowOff>0</xdr:rowOff>
        </xdr:from>
        <xdr:to>
          <xdr:col>23</xdr:col>
          <xdr:colOff>0</xdr:colOff>
          <xdr:row>43</xdr:row>
          <xdr:rowOff>247650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44</xdr:row>
          <xdr:rowOff>38100</xdr:rowOff>
        </xdr:from>
        <xdr:to>
          <xdr:col>22</xdr:col>
          <xdr:colOff>276225</xdr:colOff>
          <xdr:row>44</xdr:row>
          <xdr:rowOff>266700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45</xdr:row>
          <xdr:rowOff>9525</xdr:rowOff>
        </xdr:from>
        <xdr:to>
          <xdr:col>22</xdr:col>
          <xdr:colOff>257175</xdr:colOff>
          <xdr:row>45</xdr:row>
          <xdr:rowOff>247650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46</xdr:row>
          <xdr:rowOff>9525</xdr:rowOff>
        </xdr:from>
        <xdr:to>
          <xdr:col>22</xdr:col>
          <xdr:colOff>257175</xdr:colOff>
          <xdr:row>46</xdr:row>
          <xdr:rowOff>257175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38</xdr:row>
          <xdr:rowOff>57150</xdr:rowOff>
        </xdr:from>
        <xdr:to>
          <xdr:col>23</xdr:col>
          <xdr:colOff>228600</xdr:colOff>
          <xdr:row>38</xdr:row>
          <xdr:rowOff>247650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28575</xdr:colOff>
          <xdr:row>40</xdr:row>
          <xdr:rowOff>28575</xdr:rowOff>
        </xdr:from>
        <xdr:to>
          <xdr:col>23</xdr:col>
          <xdr:colOff>228600</xdr:colOff>
          <xdr:row>40</xdr:row>
          <xdr:rowOff>228600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41</xdr:row>
          <xdr:rowOff>57150</xdr:rowOff>
        </xdr:from>
        <xdr:to>
          <xdr:col>23</xdr:col>
          <xdr:colOff>257175</xdr:colOff>
          <xdr:row>41</xdr:row>
          <xdr:rowOff>247650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39</xdr:row>
          <xdr:rowOff>38100</xdr:rowOff>
        </xdr:from>
        <xdr:to>
          <xdr:col>23</xdr:col>
          <xdr:colOff>266700</xdr:colOff>
          <xdr:row>39</xdr:row>
          <xdr:rowOff>228600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37</xdr:row>
          <xdr:rowOff>85725</xdr:rowOff>
        </xdr:from>
        <xdr:to>
          <xdr:col>23</xdr:col>
          <xdr:colOff>209550</xdr:colOff>
          <xdr:row>37</xdr:row>
          <xdr:rowOff>228600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42</xdr:row>
          <xdr:rowOff>47625</xdr:rowOff>
        </xdr:from>
        <xdr:to>
          <xdr:col>23</xdr:col>
          <xdr:colOff>285750</xdr:colOff>
          <xdr:row>42</xdr:row>
          <xdr:rowOff>228600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43</xdr:row>
          <xdr:rowOff>19050</xdr:rowOff>
        </xdr:from>
        <xdr:to>
          <xdr:col>24</xdr:col>
          <xdr:colOff>0</xdr:colOff>
          <xdr:row>43</xdr:row>
          <xdr:rowOff>257175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44</xdr:row>
          <xdr:rowOff>57150</xdr:rowOff>
        </xdr:from>
        <xdr:to>
          <xdr:col>23</xdr:col>
          <xdr:colOff>276225</xdr:colOff>
          <xdr:row>45</xdr:row>
          <xdr:rowOff>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28575</xdr:colOff>
          <xdr:row>45</xdr:row>
          <xdr:rowOff>28575</xdr:rowOff>
        </xdr:from>
        <xdr:to>
          <xdr:col>23</xdr:col>
          <xdr:colOff>257175</xdr:colOff>
          <xdr:row>45</xdr:row>
          <xdr:rowOff>257175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28575</xdr:colOff>
          <xdr:row>46</xdr:row>
          <xdr:rowOff>28575</xdr:rowOff>
        </xdr:from>
        <xdr:to>
          <xdr:col>23</xdr:col>
          <xdr:colOff>257175</xdr:colOff>
          <xdr:row>46</xdr:row>
          <xdr:rowOff>266700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38</xdr:row>
          <xdr:rowOff>57150</xdr:rowOff>
        </xdr:from>
        <xdr:to>
          <xdr:col>24</xdr:col>
          <xdr:colOff>228600</xdr:colOff>
          <xdr:row>38</xdr:row>
          <xdr:rowOff>247650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40</xdr:row>
          <xdr:rowOff>28575</xdr:rowOff>
        </xdr:from>
        <xdr:to>
          <xdr:col>24</xdr:col>
          <xdr:colOff>228600</xdr:colOff>
          <xdr:row>40</xdr:row>
          <xdr:rowOff>228600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57150</xdr:colOff>
          <xdr:row>41</xdr:row>
          <xdr:rowOff>57150</xdr:rowOff>
        </xdr:from>
        <xdr:to>
          <xdr:col>24</xdr:col>
          <xdr:colOff>257175</xdr:colOff>
          <xdr:row>41</xdr:row>
          <xdr:rowOff>247650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39</xdr:row>
          <xdr:rowOff>38100</xdr:rowOff>
        </xdr:from>
        <xdr:to>
          <xdr:col>24</xdr:col>
          <xdr:colOff>266700</xdr:colOff>
          <xdr:row>39</xdr:row>
          <xdr:rowOff>228600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57150</xdr:colOff>
          <xdr:row>37</xdr:row>
          <xdr:rowOff>85725</xdr:rowOff>
        </xdr:from>
        <xdr:to>
          <xdr:col>24</xdr:col>
          <xdr:colOff>209550</xdr:colOff>
          <xdr:row>37</xdr:row>
          <xdr:rowOff>228600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57150</xdr:colOff>
          <xdr:row>42</xdr:row>
          <xdr:rowOff>47625</xdr:rowOff>
        </xdr:from>
        <xdr:to>
          <xdr:col>24</xdr:col>
          <xdr:colOff>285750</xdr:colOff>
          <xdr:row>42</xdr:row>
          <xdr:rowOff>228600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57150</xdr:colOff>
          <xdr:row>43</xdr:row>
          <xdr:rowOff>47625</xdr:rowOff>
        </xdr:from>
        <xdr:to>
          <xdr:col>24</xdr:col>
          <xdr:colOff>266700</xdr:colOff>
          <xdr:row>43</xdr:row>
          <xdr:rowOff>257175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57150</xdr:colOff>
          <xdr:row>44</xdr:row>
          <xdr:rowOff>57150</xdr:rowOff>
        </xdr:from>
        <xdr:to>
          <xdr:col>24</xdr:col>
          <xdr:colOff>276225</xdr:colOff>
          <xdr:row>45</xdr:row>
          <xdr:rowOff>0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45</xdr:row>
          <xdr:rowOff>28575</xdr:rowOff>
        </xdr:from>
        <xdr:to>
          <xdr:col>24</xdr:col>
          <xdr:colOff>257175</xdr:colOff>
          <xdr:row>45</xdr:row>
          <xdr:rowOff>257175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46</xdr:row>
          <xdr:rowOff>28575</xdr:rowOff>
        </xdr:from>
        <xdr:to>
          <xdr:col>24</xdr:col>
          <xdr:colOff>257175</xdr:colOff>
          <xdr:row>46</xdr:row>
          <xdr:rowOff>266700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38</xdr:row>
          <xdr:rowOff>57150</xdr:rowOff>
        </xdr:from>
        <xdr:to>
          <xdr:col>25</xdr:col>
          <xdr:colOff>247650</xdr:colOff>
          <xdr:row>38</xdr:row>
          <xdr:rowOff>247650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40</xdr:row>
          <xdr:rowOff>28575</xdr:rowOff>
        </xdr:from>
        <xdr:to>
          <xdr:col>25</xdr:col>
          <xdr:colOff>247650</xdr:colOff>
          <xdr:row>40</xdr:row>
          <xdr:rowOff>228600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41</xdr:row>
          <xdr:rowOff>57150</xdr:rowOff>
        </xdr:from>
        <xdr:to>
          <xdr:col>25</xdr:col>
          <xdr:colOff>266700</xdr:colOff>
          <xdr:row>41</xdr:row>
          <xdr:rowOff>247650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39</xdr:row>
          <xdr:rowOff>38100</xdr:rowOff>
        </xdr:from>
        <xdr:to>
          <xdr:col>25</xdr:col>
          <xdr:colOff>276225</xdr:colOff>
          <xdr:row>39</xdr:row>
          <xdr:rowOff>228600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37</xdr:row>
          <xdr:rowOff>85725</xdr:rowOff>
        </xdr:from>
        <xdr:to>
          <xdr:col>25</xdr:col>
          <xdr:colOff>219075</xdr:colOff>
          <xdr:row>37</xdr:row>
          <xdr:rowOff>228600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42</xdr:row>
          <xdr:rowOff>47625</xdr:rowOff>
        </xdr:from>
        <xdr:to>
          <xdr:col>25</xdr:col>
          <xdr:colOff>266700</xdr:colOff>
          <xdr:row>42</xdr:row>
          <xdr:rowOff>228600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43</xdr:row>
          <xdr:rowOff>19050</xdr:rowOff>
        </xdr:from>
        <xdr:to>
          <xdr:col>26</xdr:col>
          <xdr:colOff>0</xdr:colOff>
          <xdr:row>43</xdr:row>
          <xdr:rowOff>257175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47625</xdr:rowOff>
        </xdr:from>
        <xdr:to>
          <xdr:col>25</xdr:col>
          <xdr:colOff>257175</xdr:colOff>
          <xdr:row>44</xdr:row>
          <xdr:rowOff>247650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45</xdr:row>
          <xdr:rowOff>28575</xdr:rowOff>
        </xdr:from>
        <xdr:to>
          <xdr:col>25</xdr:col>
          <xdr:colOff>266700</xdr:colOff>
          <xdr:row>45</xdr:row>
          <xdr:rowOff>257175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46</xdr:row>
          <xdr:rowOff>28575</xdr:rowOff>
        </xdr:from>
        <xdr:to>
          <xdr:col>25</xdr:col>
          <xdr:colOff>266700</xdr:colOff>
          <xdr:row>46</xdr:row>
          <xdr:rowOff>266700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38</xdr:row>
          <xdr:rowOff>57150</xdr:rowOff>
        </xdr:from>
        <xdr:to>
          <xdr:col>26</xdr:col>
          <xdr:colOff>247650</xdr:colOff>
          <xdr:row>38</xdr:row>
          <xdr:rowOff>247650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40</xdr:row>
          <xdr:rowOff>28575</xdr:rowOff>
        </xdr:from>
        <xdr:to>
          <xdr:col>26</xdr:col>
          <xdr:colOff>247650</xdr:colOff>
          <xdr:row>40</xdr:row>
          <xdr:rowOff>228600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41</xdr:row>
          <xdr:rowOff>57150</xdr:rowOff>
        </xdr:from>
        <xdr:to>
          <xdr:col>26</xdr:col>
          <xdr:colOff>266700</xdr:colOff>
          <xdr:row>41</xdr:row>
          <xdr:rowOff>247650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39</xdr:row>
          <xdr:rowOff>38100</xdr:rowOff>
        </xdr:from>
        <xdr:to>
          <xdr:col>26</xdr:col>
          <xdr:colOff>276225</xdr:colOff>
          <xdr:row>39</xdr:row>
          <xdr:rowOff>228600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37</xdr:row>
          <xdr:rowOff>85725</xdr:rowOff>
        </xdr:from>
        <xdr:to>
          <xdr:col>26</xdr:col>
          <xdr:colOff>219075</xdr:colOff>
          <xdr:row>37</xdr:row>
          <xdr:rowOff>228600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42</xdr:row>
          <xdr:rowOff>47625</xdr:rowOff>
        </xdr:from>
        <xdr:to>
          <xdr:col>26</xdr:col>
          <xdr:colOff>295275</xdr:colOff>
          <xdr:row>42</xdr:row>
          <xdr:rowOff>228600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43</xdr:row>
          <xdr:rowOff>19050</xdr:rowOff>
        </xdr:from>
        <xdr:to>
          <xdr:col>27</xdr:col>
          <xdr:colOff>0</xdr:colOff>
          <xdr:row>43</xdr:row>
          <xdr:rowOff>257175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44</xdr:row>
          <xdr:rowOff>57150</xdr:rowOff>
        </xdr:from>
        <xdr:to>
          <xdr:col>26</xdr:col>
          <xdr:colOff>285750</xdr:colOff>
          <xdr:row>45</xdr:row>
          <xdr:rowOff>0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45</xdr:row>
          <xdr:rowOff>28575</xdr:rowOff>
        </xdr:from>
        <xdr:to>
          <xdr:col>26</xdr:col>
          <xdr:colOff>266700</xdr:colOff>
          <xdr:row>45</xdr:row>
          <xdr:rowOff>257175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46</xdr:row>
          <xdr:rowOff>28575</xdr:rowOff>
        </xdr:from>
        <xdr:to>
          <xdr:col>26</xdr:col>
          <xdr:colOff>266700</xdr:colOff>
          <xdr:row>46</xdr:row>
          <xdr:rowOff>266700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57150</xdr:colOff>
          <xdr:row>38</xdr:row>
          <xdr:rowOff>57150</xdr:rowOff>
        </xdr:from>
        <xdr:to>
          <xdr:col>27</xdr:col>
          <xdr:colOff>247650</xdr:colOff>
          <xdr:row>38</xdr:row>
          <xdr:rowOff>247650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40</xdr:row>
          <xdr:rowOff>28575</xdr:rowOff>
        </xdr:from>
        <xdr:to>
          <xdr:col>27</xdr:col>
          <xdr:colOff>247650</xdr:colOff>
          <xdr:row>40</xdr:row>
          <xdr:rowOff>228600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66675</xdr:colOff>
          <xdr:row>41</xdr:row>
          <xdr:rowOff>57150</xdr:rowOff>
        </xdr:from>
        <xdr:to>
          <xdr:col>27</xdr:col>
          <xdr:colOff>276225</xdr:colOff>
          <xdr:row>41</xdr:row>
          <xdr:rowOff>247650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57150</xdr:colOff>
          <xdr:row>39</xdr:row>
          <xdr:rowOff>38100</xdr:rowOff>
        </xdr:from>
        <xdr:to>
          <xdr:col>27</xdr:col>
          <xdr:colOff>285750</xdr:colOff>
          <xdr:row>39</xdr:row>
          <xdr:rowOff>228600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66675</xdr:colOff>
          <xdr:row>37</xdr:row>
          <xdr:rowOff>85725</xdr:rowOff>
        </xdr:from>
        <xdr:to>
          <xdr:col>27</xdr:col>
          <xdr:colOff>228600</xdr:colOff>
          <xdr:row>37</xdr:row>
          <xdr:rowOff>228600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66675</xdr:colOff>
          <xdr:row>42</xdr:row>
          <xdr:rowOff>47625</xdr:rowOff>
        </xdr:from>
        <xdr:to>
          <xdr:col>28</xdr:col>
          <xdr:colOff>0</xdr:colOff>
          <xdr:row>42</xdr:row>
          <xdr:rowOff>228600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66675</xdr:colOff>
          <xdr:row>43</xdr:row>
          <xdr:rowOff>19050</xdr:rowOff>
        </xdr:from>
        <xdr:to>
          <xdr:col>28</xdr:col>
          <xdr:colOff>9525</xdr:colOff>
          <xdr:row>43</xdr:row>
          <xdr:rowOff>257175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66675</xdr:colOff>
          <xdr:row>44</xdr:row>
          <xdr:rowOff>57150</xdr:rowOff>
        </xdr:from>
        <xdr:to>
          <xdr:col>27</xdr:col>
          <xdr:colOff>295275</xdr:colOff>
          <xdr:row>45</xdr:row>
          <xdr:rowOff>0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45</xdr:row>
          <xdr:rowOff>28575</xdr:rowOff>
        </xdr:from>
        <xdr:to>
          <xdr:col>27</xdr:col>
          <xdr:colOff>276225</xdr:colOff>
          <xdr:row>45</xdr:row>
          <xdr:rowOff>257175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46</xdr:row>
          <xdr:rowOff>28575</xdr:rowOff>
        </xdr:from>
        <xdr:to>
          <xdr:col>27</xdr:col>
          <xdr:colOff>276225</xdr:colOff>
          <xdr:row>46</xdr:row>
          <xdr:rowOff>266700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38</xdr:row>
          <xdr:rowOff>57150</xdr:rowOff>
        </xdr:from>
        <xdr:to>
          <xdr:col>28</xdr:col>
          <xdr:colOff>247650</xdr:colOff>
          <xdr:row>38</xdr:row>
          <xdr:rowOff>247650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40</xdr:row>
          <xdr:rowOff>28575</xdr:rowOff>
        </xdr:from>
        <xdr:to>
          <xdr:col>28</xdr:col>
          <xdr:colOff>247650</xdr:colOff>
          <xdr:row>40</xdr:row>
          <xdr:rowOff>228600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41</xdr:row>
          <xdr:rowOff>57150</xdr:rowOff>
        </xdr:from>
        <xdr:to>
          <xdr:col>28</xdr:col>
          <xdr:colOff>266700</xdr:colOff>
          <xdr:row>41</xdr:row>
          <xdr:rowOff>247650</xdr:rowOff>
        </xdr:to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39</xdr:row>
          <xdr:rowOff>38100</xdr:rowOff>
        </xdr:from>
        <xdr:to>
          <xdr:col>28</xdr:col>
          <xdr:colOff>276225</xdr:colOff>
          <xdr:row>39</xdr:row>
          <xdr:rowOff>228600</xdr:rowOff>
        </xdr:to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37</xdr:row>
          <xdr:rowOff>85725</xdr:rowOff>
        </xdr:from>
        <xdr:to>
          <xdr:col>28</xdr:col>
          <xdr:colOff>219075</xdr:colOff>
          <xdr:row>37</xdr:row>
          <xdr:rowOff>228600</xdr:rowOff>
        </xdr:to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42</xdr:row>
          <xdr:rowOff>47625</xdr:rowOff>
        </xdr:from>
        <xdr:to>
          <xdr:col>28</xdr:col>
          <xdr:colOff>295275</xdr:colOff>
          <xdr:row>42</xdr:row>
          <xdr:rowOff>228600</xdr:rowOff>
        </xdr:to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43</xdr:row>
          <xdr:rowOff>19050</xdr:rowOff>
        </xdr:from>
        <xdr:to>
          <xdr:col>29</xdr:col>
          <xdr:colOff>0</xdr:colOff>
          <xdr:row>43</xdr:row>
          <xdr:rowOff>257175</xdr:rowOff>
        </xdr:to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44</xdr:row>
          <xdr:rowOff>57150</xdr:rowOff>
        </xdr:from>
        <xdr:to>
          <xdr:col>28</xdr:col>
          <xdr:colOff>285750</xdr:colOff>
          <xdr:row>45</xdr:row>
          <xdr:rowOff>0</xdr:rowOff>
        </xdr:to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45</xdr:row>
          <xdr:rowOff>28575</xdr:rowOff>
        </xdr:from>
        <xdr:to>
          <xdr:col>28</xdr:col>
          <xdr:colOff>266700</xdr:colOff>
          <xdr:row>45</xdr:row>
          <xdr:rowOff>257175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46</xdr:row>
          <xdr:rowOff>28575</xdr:rowOff>
        </xdr:from>
        <xdr:to>
          <xdr:col>28</xdr:col>
          <xdr:colOff>266700</xdr:colOff>
          <xdr:row>46</xdr:row>
          <xdr:rowOff>266700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38</xdr:row>
          <xdr:rowOff>57150</xdr:rowOff>
        </xdr:from>
        <xdr:to>
          <xdr:col>29</xdr:col>
          <xdr:colOff>247650</xdr:colOff>
          <xdr:row>38</xdr:row>
          <xdr:rowOff>247650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40</xdr:row>
          <xdr:rowOff>28575</xdr:rowOff>
        </xdr:from>
        <xdr:to>
          <xdr:col>29</xdr:col>
          <xdr:colOff>247650</xdr:colOff>
          <xdr:row>40</xdr:row>
          <xdr:rowOff>228600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66675</xdr:colOff>
          <xdr:row>41</xdr:row>
          <xdr:rowOff>57150</xdr:rowOff>
        </xdr:from>
        <xdr:to>
          <xdr:col>29</xdr:col>
          <xdr:colOff>276225</xdr:colOff>
          <xdr:row>41</xdr:row>
          <xdr:rowOff>247650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39</xdr:row>
          <xdr:rowOff>38100</xdr:rowOff>
        </xdr:from>
        <xdr:to>
          <xdr:col>29</xdr:col>
          <xdr:colOff>285750</xdr:colOff>
          <xdr:row>39</xdr:row>
          <xdr:rowOff>228600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66675</xdr:colOff>
          <xdr:row>37</xdr:row>
          <xdr:rowOff>85725</xdr:rowOff>
        </xdr:from>
        <xdr:to>
          <xdr:col>29</xdr:col>
          <xdr:colOff>228600</xdr:colOff>
          <xdr:row>37</xdr:row>
          <xdr:rowOff>228600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66675</xdr:colOff>
          <xdr:row>42</xdr:row>
          <xdr:rowOff>47625</xdr:rowOff>
        </xdr:from>
        <xdr:to>
          <xdr:col>30</xdr:col>
          <xdr:colOff>0</xdr:colOff>
          <xdr:row>42</xdr:row>
          <xdr:rowOff>228600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66675</xdr:colOff>
          <xdr:row>43</xdr:row>
          <xdr:rowOff>19050</xdr:rowOff>
        </xdr:from>
        <xdr:to>
          <xdr:col>30</xdr:col>
          <xdr:colOff>9525</xdr:colOff>
          <xdr:row>43</xdr:row>
          <xdr:rowOff>257175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66675</xdr:colOff>
          <xdr:row>44</xdr:row>
          <xdr:rowOff>57150</xdr:rowOff>
        </xdr:from>
        <xdr:to>
          <xdr:col>29</xdr:col>
          <xdr:colOff>295275</xdr:colOff>
          <xdr:row>45</xdr:row>
          <xdr:rowOff>0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45</xdr:row>
          <xdr:rowOff>28575</xdr:rowOff>
        </xdr:from>
        <xdr:to>
          <xdr:col>29</xdr:col>
          <xdr:colOff>276225</xdr:colOff>
          <xdr:row>45</xdr:row>
          <xdr:rowOff>257175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46</xdr:row>
          <xdr:rowOff>28575</xdr:rowOff>
        </xdr:from>
        <xdr:to>
          <xdr:col>29</xdr:col>
          <xdr:colOff>276225</xdr:colOff>
          <xdr:row>46</xdr:row>
          <xdr:rowOff>266700</xdr:rowOff>
        </xdr:to>
        <xdr:sp macro="" textlink="">
          <xdr:nvSpPr>
            <xdr:cNvPr id="2279" name="Check Box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38</xdr:row>
          <xdr:rowOff>57150</xdr:rowOff>
        </xdr:from>
        <xdr:to>
          <xdr:col>30</xdr:col>
          <xdr:colOff>247650</xdr:colOff>
          <xdr:row>38</xdr:row>
          <xdr:rowOff>247650</xdr:rowOff>
        </xdr:to>
        <xdr:sp macro="" textlink="">
          <xdr:nvSpPr>
            <xdr:cNvPr id="2280" name="Check Box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40</xdr:row>
          <xdr:rowOff>28575</xdr:rowOff>
        </xdr:from>
        <xdr:to>
          <xdr:col>30</xdr:col>
          <xdr:colOff>247650</xdr:colOff>
          <xdr:row>40</xdr:row>
          <xdr:rowOff>228600</xdr:rowOff>
        </xdr:to>
        <xdr:sp macro="" textlink="">
          <xdr:nvSpPr>
            <xdr:cNvPr id="2281" name="Check Box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41</xdr:row>
          <xdr:rowOff>57150</xdr:rowOff>
        </xdr:from>
        <xdr:to>
          <xdr:col>30</xdr:col>
          <xdr:colOff>276225</xdr:colOff>
          <xdr:row>41</xdr:row>
          <xdr:rowOff>247650</xdr:rowOff>
        </xdr:to>
        <xdr:sp macro="" textlink="">
          <xdr:nvSpPr>
            <xdr:cNvPr id="2282" name="Check Box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39</xdr:row>
          <xdr:rowOff>38100</xdr:rowOff>
        </xdr:from>
        <xdr:to>
          <xdr:col>30</xdr:col>
          <xdr:colOff>285750</xdr:colOff>
          <xdr:row>39</xdr:row>
          <xdr:rowOff>228600</xdr:rowOff>
        </xdr:to>
        <xdr:sp macro="" textlink="">
          <xdr:nvSpPr>
            <xdr:cNvPr id="2283" name="Check Box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37</xdr:row>
          <xdr:rowOff>85725</xdr:rowOff>
        </xdr:from>
        <xdr:to>
          <xdr:col>30</xdr:col>
          <xdr:colOff>228600</xdr:colOff>
          <xdr:row>37</xdr:row>
          <xdr:rowOff>228600</xdr:rowOff>
        </xdr:to>
        <xdr:sp macro="" textlink="">
          <xdr:nvSpPr>
            <xdr:cNvPr id="2284" name="Check Box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0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42</xdr:row>
          <xdr:rowOff>47625</xdr:rowOff>
        </xdr:from>
        <xdr:to>
          <xdr:col>31</xdr:col>
          <xdr:colOff>0</xdr:colOff>
          <xdr:row>42</xdr:row>
          <xdr:rowOff>228600</xdr:rowOff>
        </xdr:to>
        <xdr:sp macro="" textlink="">
          <xdr:nvSpPr>
            <xdr:cNvPr id="2285" name="Check Box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0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43</xdr:row>
          <xdr:rowOff>19050</xdr:rowOff>
        </xdr:from>
        <xdr:to>
          <xdr:col>31</xdr:col>
          <xdr:colOff>9525</xdr:colOff>
          <xdr:row>43</xdr:row>
          <xdr:rowOff>257175</xdr:rowOff>
        </xdr:to>
        <xdr:sp macro="" textlink="">
          <xdr:nvSpPr>
            <xdr:cNvPr id="2286" name="Check Box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0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44</xdr:row>
          <xdr:rowOff>57150</xdr:rowOff>
        </xdr:from>
        <xdr:to>
          <xdr:col>30</xdr:col>
          <xdr:colOff>295275</xdr:colOff>
          <xdr:row>45</xdr:row>
          <xdr:rowOff>0</xdr:rowOff>
        </xdr:to>
        <xdr:sp macro="" textlink="">
          <xdr:nvSpPr>
            <xdr:cNvPr id="2287" name="Check Box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0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45</xdr:row>
          <xdr:rowOff>28575</xdr:rowOff>
        </xdr:from>
        <xdr:to>
          <xdr:col>30</xdr:col>
          <xdr:colOff>276225</xdr:colOff>
          <xdr:row>45</xdr:row>
          <xdr:rowOff>257175</xdr:rowOff>
        </xdr:to>
        <xdr:sp macro="" textlink="">
          <xdr:nvSpPr>
            <xdr:cNvPr id="2288" name="Check Box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0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46</xdr:row>
          <xdr:rowOff>28575</xdr:rowOff>
        </xdr:from>
        <xdr:to>
          <xdr:col>30</xdr:col>
          <xdr:colOff>276225</xdr:colOff>
          <xdr:row>46</xdr:row>
          <xdr:rowOff>266700</xdr:rowOff>
        </xdr:to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0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57150</xdr:colOff>
          <xdr:row>38</xdr:row>
          <xdr:rowOff>57150</xdr:rowOff>
        </xdr:from>
        <xdr:to>
          <xdr:col>39</xdr:col>
          <xdr:colOff>247650</xdr:colOff>
          <xdr:row>38</xdr:row>
          <xdr:rowOff>247650</xdr:rowOff>
        </xdr:to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0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47625</xdr:colOff>
          <xdr:row>40</xdr:row>
          <xdr:rowOff>28575</xdr:rowOff>
        </xdr:from>
        <xdr:to>
          <xdr:col>39</xdr:col>
          <xdr:colOff>247650</xdr:colOff>
          <xdr:row>40</xdr:row>
          <xdr:rowOff>228600</xdr:rowOff>
        </xdr:to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0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41</xdr:row>
          <xdr:rowOff>57150</xdr:rowOff>
        </xdr:from>
        <xdr:to>
          <xdr:col>39</xdr:col>
          <xdr:colOff>276225</xdr:colOff>
          <xdr:row>41</xdr:row>
          <xdr:rowOff>247650</xdr:rowOff>
        </xdr:to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0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57150</xdr:colOff>
          <xdr:row>39</xdr:row>
          <xdr:rowOff>38100</xdr:rowOff>
        </xdr:from>
        <xdr:to>
          <xdr:col>39</xdr:col>
          <xdr:colOff>285750</xdr:colOff>
          <xdr:row>39</xdr:row>
          <xdr:rowOff>228600</xdr:rowOff>
        </xdr:to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0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37</xdr:row>
          <xdr:rowOff>85725</xdr:rowOff>
        </xdr:from>
        <xdr:to>
          <xdr:col>39</xdr:col>
          <xdr:colOff>228600</xdr:colOff>
          <xdr:row>37</xdr:row>
          <xdr:rowOff>228600</xdr:rowOff>
        </xdr:to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0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42</xdr:row>
          <xdr:rowOff>47625</xdr:rowOff>
        </xdr:from>
        <xdr:to>
          <xdr:col>39</xdr:col>
          <xdr:colOff>314325</xdr:colOff>
          <xdr:row>42</xdr:row>
          <xdr:rowOff>228600</xdr:rowOff>
        </xdr:to>
        <xdr:sp macro="" textlink="">
          <xdr:nvSpPr>
            <xdr:cNvPr id="2295" name="Check Box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0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43</xdr:row>
          <xdr:rowOff>19050</xdr:rowOff>
        </xdr:from>
        <xdr:to>
          <xdr:col>40</xdr:col>
          <xdr:colOff>0</xdr:colOff>
          <xdr:row>43</xdr:row>
          <xdr:rowOff>257175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44</xdr:row>
          <xdr:rowOff>57150</xdr:rowOff>
        </xdr:from>
        <xdr:to>
          <xdr:col>39</xdr:col>
          <xdr:colOff>295275</xdr:colOff>
          <xdr:row>45</xdr:row>
          <xdr:rowOff>0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47625</xdr:colOff>
          <xdr:row>45</xdr:row>
          <xdr:rowOff>28575</xdr:rowOff>
        </xdr:from>
        <xdr:to>
          <xdr:col>39</xdr:col>
          <xdr:colOff>276225</xdr:colOff>
          <xdr:row>45</xdr:row>
          <xdr:rowOff>257175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38100</xdr:colOff>
          <xdr:row>46</xdr:row>
          <xdr:rowOff>28575</xdr:rowOff>
        </xdr:from>
        <xdr:to>
          <xdr:col>39</xdr:col>
          <xdr:colOff>266700</xdr:colOff>
          <xdr:row>46</xdr:row>
          <xdr:rowOff>266700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47625</xdr:colOff>
          <xdr:row>38</xdr:row>
          <xdr:rowOff>57150</xdr:rowOff>
        </xdr:from>
        <xdr:to>
          <xdr:col>38</xdr:col>
          <xdr:colOff>247650</xdr:colOff>
          <xdr:row>38</xdr:row>
          <xdr:rowOff>247650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19050</xdr:colOff>
          <xdr:row>40</xdr:row>
          <xdr:rowOff>28575</xdr:rowOff>
        </xdr:from>
        <xdr:to>
          <xdr:col>38</xdr:col>
          <xdr:colOff>219075</xdr:colOff>
          <xdr:row>40</xdr:row>
          <xdr:rowOff>228600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41</xdr:row>
          <xdr:rowOff>57150</xdr:rowOff>
        </xdr:from>
        <xdr:to>
          <xdr:col>38</xdr:col>
          <xdr:colOff>247650</xdr:colOff>
          <xdr:row>41</xdr:row>
          <xdr:rowOff>247650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28575</xdr:colOff>
          <xdr:row>39</xdr:row>
          <xdr:rowOff>38100</xdr:rowOff>
        </xdr:from>
        <xdr:to>
          <xdr:col>38</xdr:col>
          <xdr:colOff>257175</xdr:colOff>
          <xdr:row>39</xdr:row>
          <xdr:rowOff>228600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37</xdr:row>
          <xdr:rowOff>85725</xdr:rowOff>
        </xdr:from>
        <xdr:to>
          <xdr:col>38</xdr:col>
          <xdr:colOff>200025</xdr:colOff>
          <xdr:row>37</xdr:row>
          <xdr:rowOff>228600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42</xdr:row>
          <xdr:rowOff>47625</xdr:rowOff>
        </xdr:from>
        <xdr:to>
          <xdr:col>38</xdr:col>
          <xdr:colOff>276225</xdr:colOff>
          <xdr:row>42</xdr:row>
          <xdr:rowOff>228600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43</xdr:row>
          <xdr:rowOff>19050</xdr:rowOff>
        </xdr:from>
        <xdr:to>
          <xdr:col>38</xdr:col>
          <xdr:colOff>295275</xdr:colOff>
          <xdr:row>43</xdr:row>
          <xdr:rowOff>257175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44</xdr:row>
          <xdr:rowOff>57150</xdr:rowOff>
        </xdr:from>
        <xdr:to>
          <xdr:col>38</xdr:col>
          <xdr:colOff>266700</xdr:colOff>
          <xdr:row>45</xdr:row>
          <xdr:rowOff>0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19050</xdr:colOff>
          <xdr:row>45</xdr:row>
          <xdr:rowOff>28575</xdr:rowOff>
        </xdr:from>
        <xdr:to>
          <xdr:col>38</xdr:col>
          <xdr:colOff>247650</xdr:colOff>
          <xdr:row>45</xdr:row>
          <xdr:rowOff>257175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19050</xdr:colOff>
          <xdr:row>46</xdr:row>
          <xdr:rowOff>28575</xdr:rowOff>
        </xdr:from>
        <xdr:to>
          <xdr:col>38</xdr:col>
          <xdr:colOff>247650</xdr:colOff>
          <xdr:row>46</xdr:row>
          <xdr:rowOff>266700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38</xdr:row>
          <xdr:rowOff>38100</xdr:rowOff>
        </xdr:from>
        <xdr:to>
          <xdr:col>37</xdr:col>
          <xdr:colOff>228600</xdr:colOff>
          <xdr:row>38</xdr:row>
          <xdr:rowOff>228600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40</xdr:row>
          <xdr:rowOff>9525</xdr:rowOff>
        </xdr:from>
        <xdr:to>
          <xdr:col>37</xdr:col>
          <xdr:colOff>228600</xdr:colOff>
          <xdr:row>40</xdr:row>
          <xdr:rowOff>219075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</xdr:colOff>
          <xdr:row>41</xdr:row>
          <xdr:rowOff>38100</xdr:rowOff>
        </xdr:from>
        <xdr:to>
          <xdr:col>37</xdr:col>
          <xdr:colOff>257175</xdr:colOff>
          <xdr:row>41</xdr:row>
          <xdr:rowOff>247650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0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39</xdr:row>
          <xdr:rowOff>19050</xdr:rowOff>
        </xdr:from>
        <xdr:to>
          <xdr:col>37</xdr:col>
          <xdr:colOff>266700</xdr:colOff>
          <xdr:row>39</xdr:row>
          <xdr:rowOff>219075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0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</xdr:colOff>
          <xdr:row>37</xdr:row>
          <xdr:rowOff>66675</xdr:rowOff>
        </xdr:from>
        <xdr:to>
          <xdr:col>37</xdr:col>
          <xdr:colOff>209550</xdr:colOff>
          <xdr:row>37</xdr:row>
          <xdr:rowOff>219075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0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</xdr:colOff>
          <xdr:row>42</xdr:row>
          <xdr:rowOff>28575</xdr:rowOff>
        </xdr:from>
        <xdr:to>
          <xdr:col>37</xdr:col>
          <xdr:colOff>285750</xdr:colOff>
          <xdr:row>42</xdr:row>
          <xdr:rowOff>219075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0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</xdr:colOff>
          <xdr:row>43</xdr:row>
          <xdr:rowOff>0</xdr:rowOff>
        </xdr:from>
        <xdr:to>
          <xdr:col>38</xdr:col>
          <xdr:colOff>0</xdr:colOff>
          <xdr:row>43</xdr:row>
          <xdr:rowOff>247650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0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</xdr:colOff>
          <xdr:row>44</xdr:row>
          <xdr:rowOff>38100</xdr:rowOff>
        </xdr:from>
        <xdr:to>
          <xdr:col>37</xdr:col>
          <xdr:colOff>276225</xdr:colOff>
          <xdr:row>44</xdr:row>
          <xdr:rowOff>266700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0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45</xdr:row>
          <xdr:rowOff>9525</xdr:rowOff>
        </xdr:from>
        <xdr:to>
          <xdr:col>37</xdr:col>
          <xdr:colOff>257175</xdr:colOff>
          <xdr:row>45</xdr:row>
          <xdr:rowOff>247650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46</xdr:row>
          <xdr:rowOff>9525</xdr:rowOff>
        </xdr:from>
        <xdr:to>
          <xdr:col>37</xdr:col>
          <xdr:colOff>257175</xdr:colOff>
          <xdr:row>46</xdr:row>
          <xdr:rowOff>257175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38</xdr:row>
          <xdr:rowOff>47625</xdr:rowOff>
        </xdr:from>
        <xdr:to>
          <xdr:col>36</xdr:col>
          <xdr:colOff>247650</xdr:colOff>
          <xdr:row>38</xdr:row>
          <xdr:rowOff>228600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19050</xdr:rowOff>
        </xdr:from>
        <xdr:to>
          <xdr:col>36</xdr:col>
          <xdr:colOff>247650</xdr:colOff>
          <xdr:row>40</xdr:row>
          <xdr:rowOff>219075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41</xdr:row>
          <xdr:rowOff>47625</xdr:rowOff>
        </xdr:from>
        <xdr:to>
          <xdr:col>36</xdr:col>
          <xdr:colOff>266700</xdr:colOff>
          <xdr:row>41</xdr:row>
          <xdr:rowOff>247650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39</xdr:row>
          <xdr:rowOff>28575</xdr:rowOff>
        </xdr:from>
        <xdr:to>
          <xdr:col>36</xdr:col>
          <xdr:colOff>276225</xdr:colOff>
          <xdr:row>39</xdr:row>
          <xdr:rowOff>219075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37</xdr:row>
          <xdr:rowOff>76200</xdr:rowOff>
        </xdr:from>
        <xdr:to>
          <xdr:col>36</xdr:col>
          <xdr:colOff>219075</xdr:colOff>
          <xdr:row>37</xdr:row>
          <xdr:rowOff>219075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42</xdr:row>
          <xdr:rowOff>38100</xdr:rowOff>
        </xdr:from>
        <xdr:to>
          <xdr:col>36</xdr:col>
          <xdr:colOff>295275</xdr:colOff>
          <xdr:row>42</xdr:row>
          <xdr:rowOff>219075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43</xdr:row>
          <xdr:rowOff>9525</xdr:rowOff>
        </xdr:from>
        <xdr:to>
          <xdr:col>37</xdr:col>
          <xdr:colOff>0</xdr:colOff>
          <xdr:row>43</xdr:row>
          <xdr:rowOff>247650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0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44</xdr:row>
          <xdr:rowOff>47625</xdr:rowOff>
        </xdr:from>
        <xdr:to>
          <xdr:col>36</xdr:col>
          <xdr:colOff>285750</xdr:colOff>
          <xdr:row>44</xdr:row>
          <xdr:rowOff>266700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0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45</xdr:row>
          <xdr:rowOff>19050</xdr:rowOff>
        </xdr:from>
        <xdr:to>
          <xdr:col>36</xdr:col>
          <xdr:colOff>266700</xdr:colOff>
          <xdr:row>45</xdr:row>
          <xdr:rowOff>247650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0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46</xdr:row>
          <xdr:rowOff>19050</xdr:rowOff>
        </xdr:from>
        <xdr:to>
          <xdr:col>36</xdr:col>
          <xdr:colOff>266700</xdr:colOff>
          <xdr:row>46</xdr:row>
          <xdr:rowOff>257175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0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57150</xdr:colOff>
          <xdr:row>38</xdr:row>
          <xdr:rowOff>38100</xdr:rowOff>
        </xdr:from>
        <xdr:to>
          <xdr:col>35</xdr:col>
          <xdr:colOff>247650</xdr:colOff>
          <xdr:row>38</xdr:row>
          <xdr:rowOff>219075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0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40</xdr:row>
          <xdr:rowOff>9525</xdr:rowOff>
        </xdr:from>
        <xdr:to>
          <xdr:col>35</xdr:col>
          <xdr:colOff>247650</xdr:colOff>
          <xdr:row>40</xdr:row>
          <xdr:rowOff>209550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0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41</xdr:row>
          <xdr:rowOff>38100</xdr:rowOff>
        </xdr:from>
        <xdr:to>
          <xdr:col>35</xdr:col>
          <xdr:colOff>276225</xdr:colOff>
          <xdr:row>41</xdr:row>
          <xdr:rowOff>228600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0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57150</xdr:colOff>
          <xdr:row>39</xdr:row>
          <xdr:rowOff>19050</xdr:rowOff>
        </xdr:from>
        <xdr:to>
          <xdr:col>35</xdr:col>
          <xdr:colOff>285750</xdr:colOff>
          <xdr:row>39</xdr:row>
          <xdr:rowOff>209550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37</xdr:row>
          <xdr:rowOff>66675</xdr:rowOff>
        </xdr:from>
        <xdr:to>
          <xdr:col>35</xdr:col>
          <xdr:colOff>228600</xdr:colOff>
          <xdr:row>37</xdr:row>
          <xdr:rowOff>209550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42</xdr:row>
          <xdr:rowOff>28575</xdr:rowOff>
        </xdr:from>
        <xdr:to>
          <xdr:col>36</xdr:col>
          <xdr:colOff>0</xdr:colOff>
          <xdr:row>42</xdr:row>
          <xdr:rowOff>209550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42</xdr:row>
          <xdr:rowOff>276225</xdr:rowOff>
        </xdr:from>
        <xdr:to>
          <xdr:col>36</xdr:col>
          <xdr:colOff>9525</xdr:colOff>
          <xdr:row>43</xdr:row>
          <xdr:rowOff>247650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44</xdr:row>
          <xdr:rowOff>38100</xdr:rowOff>
        </xdr:from>
        <xdr:to>
          <xdr:col>35</xdr:col>
          <xdr:colOff>295275</xdr:colOff>
          <xdr:row>44</xdr:row>
          <xdr:rowOff>257175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45</xdr:row>
          <xdr:rowOff>9525</xdr:rowOff>
        </xdr:from>
        <xdr:to>
          <xdr:col>35</xdr:col>
          <xdr:colOff>276225</xdr:colOff>
          <xdr:row>45</xdr:row>
          <xdr:rowOff>247650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46</xdr:row>
          <xdr:rowOff>9525</xdr:rowOff>
        </xdr:from>
        <xdr:to>
          <xdr:col>35</xdr:col>
          <xdr:colOff>276225</xdr:colOff>
          <xdr:row>46</xdr:row>
          <xdr:rowOff>247650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57150</xdr:colOff>
          <xdr:row>38</xdr:row>
          <xdr:rowOff>38100</xdr:rowOff>
        </xdr:from>
        <xdr:to>
          <xdr:col>34</xdr:col>
          <xdr:colOff>247650</xdr:colOff>
          <xdr:row>38</xdr:row>
          <xdr:rowOff>219075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40</xdr:row>
          <xdr:rowOff>9525</xdr:rowOff>
        </xdr:from>
        <xdr:to>
          <xdr:col>34</xdr:col>
          <xdr:colOff>247650</xdr:colOff>
          <xdr:row>40</xdr:row>
          <xdr:rowOff>209550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66675</xdr:colOff>
          <xdr:row>41</xdr:row>
          <xdr:rowOff>38100</xdr:rowOff>
        </xdr:from>
        <xdr:to>
          <xdr:col>34</xdr:col>
          <xdr:colOff>276225</xdr:colOff>
          <xdr:row>41</xdr:row>
          <xdr:rowOff>228600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57150</xdr:colOff>
          <xdr:row>39</xdr:row>
          <xdr:rowOff>19050</xdr:rowOff>
        </xdr:from>
        <xdr:to>
          <xdr:col>34</xdr:col>
          <xdr:colOff>285750</xdr:colOff>
          <xdr:row>39</xdr:row>
          <xdr:rowOff>209550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66675</xdr:colOff>
          <xdr:row>37</xdr:row>
          <xdr:rowOff>66675</xdr:rowOff>
        </xdr:from>
        <xdr:to>
          <xdr:col>34</xdr:col>
          <xdr:colOff>228600</xdr:colOff>
          <xdr:row>37</xdr:row>
          <xdr:rowOff>209550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66675</xdr:colOff>
          <xdr:row>42</xdr:row>
          <xdr:rowOff>28575</xdr:rowOff>
        </xdr:from>
        <xdr:to>
          <xdr:col>35</xdr:col>
          <xdr:colOff>0</xdr:colOff>
          <xdr:row>42</xdr:row>
          <xdr:rowOff>209550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66675</xdr:colOff>
          <xdr:row>42</xdr:row>
          <xdr:rowOff>276225</xdr:rowOff>
        </xdr:from>
        <xdr:to>
          <xdr:col>35</xdr:col>
          <xdr:colOff>9525</xdr:colOff>
          <xdr:row>43</xdr:row>
          <xdr:rowOff>247650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66675</xdr:colOff>
          <xdr:row>44</xdr:row>
          <xdr:rowOff>38100</xdr:rowOff>
        </xdr:from>
        <xdr:to>
          <xdr:col>34</xdr:col>
          <xdr:colOff>295275</xdr:colOff>
          <xdr:row>44</xdr:row>
          <xdr:rowOff>257175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45</xdr:row>
          <xdr:rowOff>9525</xdr:rowOff>
        </xdr:from>
        <xdr:to>
          <xdr:col>34</xdr:col>
          <xdr:colOff>276225</xdr:colOff>
          <xdr:row>45</xdr:row>
          <xdr:rowOff>247650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46</xdr:row>
          <xdr:rowOff>9525</xdr:rowOff>
        </xdr:from>
        <xdr:to>
          <xdr:col>34</xdr:col>
          <xdr:colOff>276225</xdr:colOff>
          <xdr:row>46</xdr:row>
          <xdr:rowOff>247650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66675</xdr:colOff>
          <xdr:row>38</xdr:row>
          <xdr:rowOff>38100</xdr:rowOff>
        </xdr:from>
        <xdr:to>
          <xdr:col>33</xdr:col>
          <xdr:colOff>257175</xdr:colOff>
          <xdr:row>38</xdr:row>
          <xdr:rowOff>228600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57150</xdr:colOff>
          <xdr:row>40</xdr:row>
          <xdr:rowOff>9525</xdr:rowOff>
        </xdr:from>
        <xdr:to>
          <xdr:col>33</xdr:col>
          <xdr:colOff>257175</xdr:colOff>
          <xdr:row>40</xdr:row>
          <xdr:rowOff>219075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76200</xdr:colOff>
          <xdr:row>41</xdr:row>
          <xdr:rowOff>38100</xdr:rowOff>
        </xdr:from>
        <xdr:to>
          <xdr:col>33</xdr:col>
          <xdr:colOff>285750</xdr:colOff>
          <xdr:row>41</xdr:row>
          <xdr:rowOff>247650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66675</xdr:colOff>
          <xdr:row>39</xdr:row>
          <xdr:rowOff>19050</xdr:rowOff>
        </xdr:from>
        <xdr:to>
          <xdr:col>33</xdr:col>
          <xdr:colOff>295275</xdr:colOff>
          <xdr:row>39</xdr:row>
          <xdr:rowOff>219075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76200</xdr:colOff>
          <xdr:row>37</xdr:row>
          <xdr:rowOff>66675</xdr:rowOff>
        </xdr:from>
        <xdr:to>
          <xdr:col>33</xdr:col>
          <xdr:colOff>247650</xdr:colOff>
          <xdr:row>37</xdr:row>
          <xdr:rowOff>219075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76200</xdr:colOff>
          <xdr:row>42</xdr:row>
          <xdr:rowOff>28575</xdr:rowOff>
        </xdr:from>
        <xdr:to>
          <xdr:col>34</xdr:col>
          <xdr:colOff>0</xdr:colOff>
          <xdr:row>42</xdr:row>
          <xdr:rowOff>219075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76200</xdr:colOff>
          <xdr:row>43</xdr:row>
          <xdr:rowOff>0</xdr:rowOff>
        </xdr:from>
        <xdr:to>
          <xdr:col>34</xdr:col>
          <xdr:colOff>19050</xdr:colOff>
          <xdr:row>43</xdr:row>
          <xdr:rowOff>247650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76200</xdr:colOff>
          <xdr:row>44</xdr:row>
          <xdr:rowOff>38100</xdr:rowOff>
        </xdr:from>
        <xdr:to>
          <xdr:col>34</xdr:col>
          <xdr:colOff>0</xdr:colOff>
          <xdr:row>44</xdr:row>
          <xdr:rowOff>266700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57150</xdr:colOff>
          <xdr:row>45</xdr:row>
          <xdr:rowOff>9525</xdr:rowOff>
        </xdr:from>
        <xdr:to>
          <xdr:col>33</xdr:col>
          <xdr:colOff>285750</xdr:colOff>
          <xdr:row>45</xdr:row>
          <xdr:rowOff>247650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0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57150</xdr:colOff>
          <xdr:row>46</xdr:row>
          <xdr:rowOff>9525</xdr:rowOff>
        </xdr:from>
        <xdr:to>
          <xdr:col>33</xdr:col>
          <xdr:colOff>285750</xdr:colOff>
          <xdr:row>46</xdr:row>
          <xdr:rowOff>257175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0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38</xdr:row>
          <xdr:rowOff>47625</xdr:rowOff>
        </xdr:from>
        <xdr:to>
          <xdr:col>32</xdr:col>
          <xdr:colOff>247650</xdr:colOff>
          <xdr:row>38</xdr:row>
          <xdr:rowOff>228600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0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40</xdr:row>
          <xdr:rowOff>19050</xdr:rowOff>
        </xdr:from>
        <xdr:to>
          <xdr:col>32</xdr:col>
          <xdr:colOff>247650</xdr:colOff>
          <xdr:row>40</xdr:row>
          <xdr:rowOff>219075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0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41</xdr:row>
          <xdr:rowOff>47625</xdr:rowOff>
        </xdr:from>
        <xdr:to>
          <xdr:col>32</xdr:col>
          <xdr:colOff>276225</xdr:colOff>
          <xdr:row>41</xdr:row>
          <xdr:rowOff>247650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0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39</xdr:row>
          <xdr:rowOff>28575</xdr:rowOff>
        </xdr:from>
        <xdr:to>
          <xdr:col>32</xdr:col>
          <xdr:colOff>285750</xdr:colOff>
          <xdr:row>39</xdr:row>
          <xdr:rowOff>219075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0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37</xdr:row>
          <xdr:rowOff>76200</xdr:rowOff>
        </xdr:from>
        <xdr:to>
          <xdr:col>32</xdr:col>
          <xdr:colOff>228600</xdr:colOff>
          <xdr:row>37</xdr:row>
          <xdr:rowOff>219075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42</xdr:row>
          <xdr:rowOff>38100</xdr:rowOff>
        </xdr:from>
        <xdr:to>
          <xdr:col>33</xdr:col>
          <xdr:colOff>0</xdr:colOff>
          <xdr:row>42</xdr:row>
          <xdr:rowOff>219075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43</xdr:row>
          <xdr:rowOff>9525</xdr:rowOff>
        </xdr:from>
        <xdr:to>
          <xdr:col>33</xdr:col>
          <xdr:colOff>9525</xdr:colOff>
          <xdr:row>43</xdr:row>
          <xdr:rowOff>247650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44</xdr:row>
          <xdr:rowOff>47625</xdr:rowOff>
        </xdr:from>
        <xdr:to>
          <xdr:col>32</xdr:col>
          <xdr:colOff>295275</xdr:colOff>
          <xdr:row>44</xdr:row>
          <xdr:rowOff>266700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45</xdr:row>
          <xdr:rowOff>19050</xdr:rowOff>
        </xdr:from>
        <xdr:to>
          <xdr:col>32</xdr:col>
          <xdr:colOff>276225</xdr:colOff>
          <xdr:row>45</xdr:row>
          <xdr:rowOff>247650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46</xdr:row>
          <xdr:rowOff>19050</xdr:rowOff>
        </xdr:from>
        <xdr:to>
          <xdr:col>32</xdr:col>
          <xdr:colOff>276225</xdr:colOff>
          <xdr:row>46</xdr:row>
          <xdr:rowOff>257175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66675</xdr:colOff>
          <xdr:row>38</xdr:row>
          <xdr:rowOff>57150</xdr:rowOff>
        </xdr:from>
        <xdr:to>
          <xdr:col>31</xdr:col>
          <xdr:colOff>257175</xdr:colOff>
          <xdr:row>38</xdr:row>
          <xdr:rowOff>247650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40</xdr:row>
          <xdr:rowOff>28575</xdr:rowOff>
        </xdr:from>
        <xdr:to>
          <xdr:col>31</xdr:col>
          <xdr:colOff>257175</xdr:colOff>
          <xdr:row>40</xdr:row>
          <xdr:rowOff>228600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41</xdr:row>
          <xdr:rowOff>57150</xdr:rowOff>
        </xdr:from>
        <xdr:to>
          <xdr:col>31</xdr:col>
          <xdr:colOff>285750</xdr:colOff>
          <xdr:row>41</xdr:row>
          <xdr:rowOff>247650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0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66675</xdr:colOff>
          <xdr:row>39</xdr:row>
          <xdr:rowOff>38100</xdr:rowOff>
        </xdr:from>
        <xdr:to>
          <xdr:col>31</xdr:col>
          <xdr:colOff>295275</xdr:colOff>
          <xdr:row>39</xdr:row>
          <xdr:rowOff>228600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0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37</xdr:row>
          <xdr:rowOff>85725</xdr:rowOff>
        </xdr:from>
        <xdr:to>
          <xdr:col>31</xdr:col>
          <xdr:colOff>247650</xdr:colOff>
          <xdr:row>37</xdr:row>
          <xdr:rowOff>228600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0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42</xdr:row>
          <xdr:rowOff>47625</xdr:rowOff>
        </xdr:from>
        <xdr:to>
          <xdr:col>32</xdr:col>
          <xdr:colOff>0</xdr:colOff>
          <xdr:row>42</xdr:row>
          <xdr:rowOff>228600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0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43</xdr:row>
          <xdr:rowOff>19050</xdr:rowOff>
        </xdr:from>
        <xdr:to>
          <xdr:col>32</xdr:col>
          <xdr:colOff>19050</xdr:colOff>
          <xdr:row>43</xdr:row>
          <xdr:rowOff>257175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0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44</xdr:row>
          <xdr:rowOff>57150</xdr:rowOff>
        </xdr:from>
        <xdr:to>
          <xdr:col>32</xdr:col>
          <xdr:colOff>0</xdr:colOff>
          <xdr:row>45</xdr:row>
          <xdr:rowOff>0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0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45</xdr:row>
          <xdr:rowOff>28575</xdr:rowOff>
        </xdr:from>
        <xdr:to>
          <xdr:col>31</xdr:col>
          <xdr:colOff>285750</xdr:colOff>
          <xdr:row>45</xdr:row>
          <xdr:rowOff>257175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0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46</xdr:row>
          <xdr:rowOff>28575</xdr:rowOff>
        </xdr:from>
        <xdr:to>
          <xdr:col>31</xdr:col>
          <xdr:colOff>285750</xdr:colOff>
          <xdr:row>46</xdr:row>
          <xdr:rowOff>266700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0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37</xdr:row>
          <xdr:rowOff>85725</xdr:rowOff>
        </xdr:from>
        <xdr:to>
          <xdr:col>9</xdr:col>
          <xdr:colOff>219075</xdr:colOff>
          <xdr:row>37</xdr:row>
          <xdr:rowOff>228600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0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39</xdr:col>
      <xdr:colOff>12423</xdr:colOff>
      <xdr:row>19</xdr:row>
      <xdr:rowOff>19145</xdr:rowOff>
    </xdr:from>
    <xdr:to>
      <xdr:col>42</xdr:col>
      <xdr:colOff>753140</xdr:colOff>
      <xdr:row>26</xdr:row>
      <xdr:rowOff>181884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20FC7C-7B75-7B15-729B-5D9A5C021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99" Type="http://schemas.openxmlformats.org/officeDocument/2006/relationships/ctrlProp" Target="../ctrlProps/ctrlProp297.xml"/><Relationship Id="rId21" Type="http://schemas.openxmlformats.org/officeDocument/2006/relationships/ctrlProp" Target="../ctrlProps/ctrlProp19.xml"/><Relationship Id="rId63" Type="http://schemas.openxmlformats.org/officeDocument/2006/relationships/ctrlProp" Target="../ctrlProps/ctrlProp61.xml"/><Relationship Id="rId159" Type="http://schemas.openxmlformats.org/officeDocument/2006/relationships/ctrlProp" Target="../ctrlProps/ctrlProp157.xml"/><Relationship Id="rId170" Type="http://schemas.openxmlformats.org/officeDocument/2006/relationships/ctrlProp" Target="../ctrlProps/ctrlProp168.xml"/><Relationship Id="rId226" Type="http://schemas.openxmlformats.org/officeDocument/2006/relationships/ctrlProp" Target="../ctrlProps/ctrlProp224.xml"/><Relationship Id="rId268" Type="http://schemas.openxmlformats.org/officeDocument/2006/relationships/ctrlProp" Target="../ctrlProps/ctrlProp266.xml"/><Relationship Id="rId32" Type="http://schemas.openxmlformats.org/officeDocument/2006/relationships/ctrlProp" Target="../ctrlProps/ctrlProp30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181" Type="http://schemas.openxmlformats.org/officeDocument/2006/relationships/ctrlProp" Target="../ctrlProps/ctrlProp179.xml"/><Relationship Id="rId237" Type="http://schemas.openxmlformats.org/officeDocument/2006/relationships/ctrlProp" Target="../ctrlProps/ctrlProp235.xml"/><Relationship Id="rId279" Type="http://schemas.openxmlformats.org/officeDocument/2006/relationships/ctrlProp" Target="../ctrlProps/ctrlProp277.xml"/><Relationship Id="rId43" Type="http://schemas.openxmlformats.org/officeDocument/2006/relationships/ctrlProp" Target="../ctrlProps/ctrlProp41.xml"/><Relationship Id="rId139" Type="http://schemas.openxmlformats.org/officeDocument/2006/relationships/ctrlProp" Target="../ctrlProps/ctrlProp137.xml"/><Relationship Id="rId290" Type="http://schemas.openxmlformats.org/officeDocument/2006/relationships/ctrlProp" Target="../ctrlProps/ctrlProp288.xml"/><Relationship Id="rId304" Type="http://schemas.openxmlformats.org/officeDocument/2006/relationships/ctrlProp" Target="../ctrlProps/ctrlProp302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248" Type="http://schemas.openxmlformats.org/officeDocument/2006/relationships/ctrlProp" Target="../ctrlProps/ctrlProp246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54" Type="http://schemas.openxmlformats.org/officeDocument/2006/relationships/ctrlProp" Target="../ctrlProps/ctrlProp52.xml"/><Relationship Id="rId96" Type="http://schemas.openxmlformats.org/officeDocument/2006/relationships/ctrlProp" Target="../ctrlProps/ctrlProp94.xml"/><Relationship Id="rId161" Type="http://schemas.openxmlformats.org/officeDocument/2006/relationships/ctrlProp" Target="../ctrlProps/ctrlProp159.xml"/><Relationship Id="rId217" Type="http://schemas.openxmlformats.org/officeDocument/2006/relationships/ctrlProp" Target="../ctrlProps/ctrlProp215.xml"/><Relationship Id="rId259" Type="http://schemas.openxmlformats.org/officeDocument/2006/relationships/ctrlProp" Target="../ctrlProps/ctrlProp257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270" Type="http://schemas.openxmlformats.org/officeDocument/2006/relationships/ctrlProp" Target="../ctrlProps/ctrlProp268.xml"/><Relationship Id="rId65" Type="http://schemas.openxmlformats.org/officeDocument/2006/relationships/ctrlProp" Target="../ctrlProps/ctrlProp63.xml"/><Relationship Id="rId130" Type="http://schemas.openxmlformats.org/officeDocument/2006/relationships/ctrlProp" Target="../ctrlProps/ctrlProp128.xml"/><Relationship Id="rId172" Type="http://schemas.openxmlformats.org/officeDocument/2006/relationships/ctrlProp" Target="../ctrlProps/ctrlProp170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28" Type="http://schemas.openxmlformats.org/officeDocument/2006/relationships/ctrlProp" Target="../ctrlProps/ctrlProp226.xml"/><Relationship Id="rId249" Type="http://schemas.openxmlformats.org/officeDocument/2006/relationships/ctrlProp" Target="../ctrlProps/ctrlProp247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260" Type="http://schemas.openxmlformats.org/officeDocument/2006/relationships/ctrlProp" Target="../ctrlProps/ctrlProp258.xml"/><Relationship Id="rId281" Type="http://schemas.openxmlformats.org/officeDocument/2006/relationships/ctrlProp" Target="../ctrlProps/ctrlProp279.xml"/><Relationship Id="rId34" Type="http://schemas.openxmlformats.org/officeDocument/2006/relationships/ctrlProp" Target="../ctrlProps/ctrlProp32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162" Type="http://schemas.openxmlformats.org/officeDocument/2006/relationships/ctrlProp" Target="../ctrlProps/ctrlProp160.xml"/><Relationship Id="rId183" Type="http://schemas.openxmlformats.org/officeDocument/2006/relationships/ctrlProp" Target="../ctrlProps/ctrlProp181.xml"/><Relationship Id="rId218" Type="http://schemas.openxmlformats.org/officeDocument/2006/relationships/ctrlProp" Target="../ctrlProps/ctrlProp216.xml"/><Relationship Id="rId239" Type="http://schemas.openxmlformats.org/officeDocument/2006/relationships/ctrlProp" Target="../ctrlProps/ctrlProp237.xml"/><Relationship Id="rId250" Type="http://schemas.openxmlformats.org/officeDocument/2006/relationships/ctrlProp" Target="../ctrlProps/ctrlProp248.xml"/><Relationship Id="rId271" Type="http://schemas.openxmlformats.org/officeDocument/2006/relationships/ctrlProp" Target="../ctrlProps/ctrlProp269.xml"/><Relationship Id="rId292" Type="http://schemas.openxmlformats.org/officeDocument/2006/relationships/ctrlProp" Target="../ctrlProps/ctrlProp290.xml"/><Relationship Id="rId306" Type="http://schemas.openxmlformats.org/officeDocument/2006/relationships/ctrlProp" Target="../ctrlProps/ctrlProp304.xml"/><Relationship Id="rId24" Type="http://schemas.openxmlformats.org/officeDocument/2006/relationships/ctrlProp" Target="../ctrlProps/ctrlProp22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31" Type="http://schemas.openxmlformats.org/officeDocument/2006/relationships/ctrlProp" Target="../ctrlProps/ctrlProp129.xml"/><Relationship Id="rId152" Type="http://schemas.openxmlformats.org/officeDocument/2006/relationships/ctrlProp" Target="../ctrlProps/ctrlProp150.xml"/><Relationship Id="rId173" Type="http://schemas.openxmlformats.org/officeDocument/2006/relationships/ctrlProp" Target="../ctrlProps/ctrlProp171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229" Type="http://schemas.openxmlformats.org/officeDocument/2006/relationships/ctrlProp" Target="../ctrlProps/ctrlProp227.xml"/><Relationship Id="rId240" Type="http://schemas.openxmlformats.org/officeDocument/2006/relationships/ctrlProp" Target="../ctrlProps/ctrlProp238.xml"/><Relationship Id="rId261" Type="http://schemas.openxmlformats.org/officeDocument/2006/relationships/ctrlProp" Target="../ctrlProps/ctrlProp259.xml"/><Relationship Id="rId14" Type="http://schemas.openxmlformats.org/officeDocument/2006/relationships/ctrlProp" Target="../ctrlProps/ctrlProp12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282" Type="http://schemas.openxmlformats.org/officeDocument/2006/relationships/ctrlProp" Target="../ctrlProps/ctrlProp280.xml"/><Relationship Id="rId8" Type="http://schemas.openxmlformats.org/officeDocument/2006/relationships/ctrlProp" Target="../ctrlProps/ctrlProp6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184" Type="http://schemas.openxmlformats.org/officeDocument/2006/relationships/ctrlProp" Target="../ctrlProps/ctrlProp182.xml"/><Relationship Id="rId219" Type="http://schemas.openxmlformats.org/officeDocument/2006/relationships/ctrlProp" Target="../ctrlProps/ctrlProp217.xml"/><Relationship Id="rId230" Type="http://schemas.openxmlformats.org/officeDocument/2006/relationships/ctrlProp" Target="../ctrlProps/ctrlProp228.xml"/><Relationship Id="rId251" Type="http://schemas.openxmlformats.org/officeDocument/2006/relationships/ctrlProp" Target="../ctrlProps/ctrlProp249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293" Type="http://schemas.openxmlformats.org/officeDocument/2006/relationships/ctrlProp" Target="../ctrlProps/ctrlProp291.xml"/><Relationship Id="rId307" Type="http://schemas.openxmlformats.org/officeDocument/2006/relationships/ctrlProp" Target="../ctrlProps/ctrlProp305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74" Type="http://schemas.openxmlformats.org/officeDocument/2006/relationships/ctrlProp" Target="../ctrlProps/ctrlProp172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220" Type="http://schemas.openxmlformats.org/officeDocument/2006/relationships/ctrlProp" Target="../ctrlProps/ctrlProp218.xml"/><Relationship Id="rId241" Type="http://schemas.openxmlformats.org/officeDocument/2006/relationships/ctrlProp" Target="../ctrlProps/ctrlProp239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262" Type="http://schemas.openxmlformats.org/officeDocument/2006/relationships/ctrlProp" Target="../ctrlProps/ctrlProp260.xml"/><Relationship Id="rId283" Type="http://schemas.openxmlformats.org/officeDocument/2006/relationships/ctrlProp" Target="../ctrlProps/ctrlProp281.xml"/><Relationship Id="rId78" Type="http://schemas.openxmlformats.org/officeDocument/2006/relationships/ctrlProp" Target="../ctrlProps/ctrlProp76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64" Type="http://schemas.openxmlformats.org/officeDocument/2006/relationships/ctrlProp" Target="../ctrlProps/ctrlProp162.xml"/><Relationship Id="rId185" Type="http://schemas.openxmlformats.org/officeDocument/2006/relationships/ctrlProp" Target="../ctrlProps/ctrlProp183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252" Type="http://schemas.openxmlformats.org/officeDocument/2006/relationships/ctrlProp" Target="../ctrlProps/ctrlProp250.xml"/><Relationship Id="rId273" Type="http://schemas.openxmlformats.org/officeDocument/2006/relationships/ctrlProp" Target="../ctrlProps/ctrlProp271.xml"/><Relationship Id="rId294" Type="http://schemas.openxmlformats.org/officeDocument/2006/relationships/ctrlProp" Target="../ctrlProps/ctrlProp292.xml"/><Relationship Id="rId308" Type="http://schemas.openxmlformats.org/officeDocument/2006/relationships/ctrlProp" Target="../ctrlProps/ctrlProp306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196" Type="http://schemas.openxmlformats.org/officeDocument/2006/relationships/ctrlProp" Target="../ctrlProps/ctrlProp194.xml"/><Relationship Id="rId200" Type="http://schemas.openxmlformats.org/officeDocument/2006/relationships/ctrlProp" Target="../ctrlProps/ctrlProp198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242" Type="http://schemas.openxmlformats.org/officeDocument/2006/relationships/ctrlProp" Target="../ctrlProps/ctrlProp240.xml"/><Relationship Id="rId263" Type="http://schemas.openxmlformats.org/officeDocument/2006/relationships/ctrlProp" Target="../ctrlProps/ctrlProp261.xml"/><Relationship Id="rId284" Type="http://schemas.openxmlformats.org/officeDocument/2006/relationships/ctrlProp" Target="../ctrlProps/ctrlProp282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211" Type="http://schemas.openxmlformats.org/officeDocument/2006/relationships/ctrlProp" Target="../ctrlProps/ctrlProp209.xml"/><Relationship Id="rId232" Type="http://schemas.openxmlformats.org/officeDocument/2006/relationships/ctrlProp" Target="../ctrlProps/ctrlProp230.xml"/><Relationship Id="rId253" Type="http://schemas.openxmlformats.org/officeDocument/2006/relationships/ctrlProp" Target="../ctrlProps/ctrlProp251.xml"/><Relationship Id="rId274" Type="http://schemas.openxmlformats.org/officeDocument/2006/relationships/ctrlProp" Target="../ctrlProps/ctrlProp272.xml"/><Relationship Id="rId295" Type="http://schemas.openxmlformats.org/officeDocument/2006/relationships/ctrlProp" Target="../ctrlProps/ctrlProp293.xml"/><Relationship Id="rId309" Type="http://schemas.openxmlformats.org/officeDocument/2006/relationships/ctrlProp" Target="../ctrlProps/ctrlProp307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97" Type="http://schemas.openxmlformats.org/officeDocument/2006/relationships/ctrlProp" Target="../ctrlProps/ctrlProp195.xml"/><Relationship Id="rId201" Type="http://schemas.openxmlformats.org/officeDocument/2006/relationships/ctrlProp" Target="../ctrlProps/ctrlProp199.xml"/><Relationship Id="rId222" Type="http://schemas.openxmlformats.org/officeDocument/2006/relationships/ctrlProp" Target="../ctrlProps/ctrlProp220.xml"/><Relationship Id="rId243" Type="http://schemas.openxmlformats.org/officeDocument/2006/relationships/ctrlProp" Target="../ctrlProps/ctrlProp241.xml"/><Relationship Id="rId264" Type="http://schemas.openxmlformats.org/officeDocument/2006/relationships/ctrlProp" Target="../ctrlProps/ctrlProp262.xml"/><Relationship Id="rId285" Type="http://schemas.openxmlformats.org/officeDocument/2006/relationships/ctrlProp" Target="../ctrlProps/ctrlProp283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310" Type="http://schemas.openxmlformats.org/officeDocument/2006/relationships/ctrlProp" Target="../ctrlProps/ctrlProp308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1" Type="http://schemas.openxmlformats.org/officeDocument/2006/relationships/drawing" Target="../drawings/drawing1.xml"/><Relationship Id="rId212" Type="http://schemas.openxmlformats.org/officeDocument/2006/relationships/ctrlProp" Target="../ctrlProps/ctrlProp210.xml"/><Relationship Id="rId233" Type="http://schemas.openxmlformats.org/officeDocument/2006/relationships/ctrlProp" Target="../ctrlProps/ctrlProp231.xml"/><Relationship Id="rId254" Type="http://schemas.openxmlformats.org/officeDocument/2006/relationships/ctrlProp" Target="../ctrlProps/ctrlProp252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275" Type="http://schemas.openxmlformats.org/officeDocument/2006/relationships/ctrlProp" Target="../ctrlProps/ctrlProp273.xml"/><Relationship Id="rId296" Type="http://schemas.openxmlformats.org/officeDocument/2006/relationships/ctrlProp" Target="../ctrlProps/ctrlProp294.xml"/><Relationship Id="rId300" Type="http://schemas.openxmlformats.org/officeDocument/2006/relationships/ctrlProp" Target="../ctrlProps/ctrlProp298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98" Type="http://schemas.openxmlformats.org/officeDocument/2006/relationships/ctrlProp" Target="../ctrlProps/ctrlProp196.xml"/><Relationship Id="rId202" Type="http://schemas.openxmlformats.org/officeDocument/2006/relationships/ctrlProp" Target="../ctrlProps/ctrlProp200.xml"/><Relationship Id="rId223" Type="http://schemas.openxmlformats.org/officeDocument/2006/relationships/ctrlProp" Target="../ctrlProps/ctrlProp221.xml"/><Relationship Id="rId244" Type="http://schemas.openxmlformats.org/officeDocument/2006/relationships/ctrlProp" Target="../ctrlProps/ctrlProp242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265" Type="http://schemas.openxmlformats.org/officeDocument/2006/relationships/ctrlProp" Target="../ctrlProps/ctrlProp263.xml"/><Relationship Id="rId286" Type="http://schemas.openxmlformats.org/officeDocument/2006/relationships/ctrlProp" Target="../ctrlProps/ctrlProp284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25" Type="http://schemas.openxmlformats.org/officeDocument/2006/relationships/ctrlProp" Target="../ctrlProps/ctrlProp123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311" Type="http://schemas.openxmlformats.org/officeDocument/2006/relationships/ctrlProp" Target="../ctrlProps/ctrlProp309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234" Type="http://schemas.openxmlformats.org/officeDocument/2006/relationships/ctrlProp" Target="../ctrlProps/ctrlProp232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55" Type="http://schemas.openxmlformats.org/officeDocument/2006/relationships/ctrlProp" Target="../ctrlProps/ctrlProp253.xml"/><Relationship Id="rId276" Type="http://schemas.openxmlformats.org/officeDocument/2006/relationships/ctrlProp" Target="../ctrlProps/ctrlProp274.xml"/><Relationship Id="rId297" Type="http://schemas.openxmlformats.org/officeDocument/2006/relationships/ctrlProp" Target="../ctrlProps/ctrlProp295.xml"/><Relationship Id="rId40" Type="http://schemas.openxmlformats.org/officeDocument/2006/relationships/ctrlProp" Target="../ctrlProps/ctrlProp38.xml"/><Relationship Id="rId115" Type="http://schemas.openxmlformats.org/officeDocument/2006/relationships/ctrlProp" Target="../ctrlProps/ctrlProp113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301" Type="http://schemas.openxmlformats.org/officeDocument/2006/relationships/ctrlProp" Target="../ctrlProps/ctrlProp299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9" Type="http://schemas.openxmlformats.org/officeDocument/2006/relationships/ctrlProp" Target="../ctrlProps/ctrlProp197.xml"/><Relationship Id="rId203" Type="http://schemas.openxmlformats.org/officeDocument/2006/relationships/ctrlProp" Target="../ctrlProps/ctrlProp201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245" Type="http://schemas.openxmlformats.org/officeDocument/2006/relationships/ctrlProp" Target="../ctrlProps/ctrlProp243.xml"/><Relationship Id="rId266" Type="http://schemas.openxmlformats.org/officeDocument/2006/relationships/ctrlProp" Target="../ctrlProps/ctrlProp264.xml"/><Relationship Id="rId287" Type="http://schemas.openxmlformats.org/officeDocument/2006/relationships/ctrlProp" Target="../ctrlProps/ctrlProp285.xml"/><Relationship Id="rId30" Type="http://schemas.openxmlformats.org/officeDocument/2006/relationships/ctrlProp" Target="../ctrlProps/ctrlProp2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312" Type="http://schemas.openxmlformats.org/officeDocument/2006/relationships/ctrlProp" Target="../ctrlProps/ctrlProp310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14" Type="http://schemas.openxmlformats.org/officeDocument/2006/relationships/ctrlProp" Target="../ctrlProps/ctrlProp212.xml"/><Relationship Id="rId235" Type="http://schemas.openxmlformats.org/officeDocument/2006/relationships/ctrlProp" Target="../ctrlProps/ctrlProp233.xml"/><Relationship Id="rId256" Type="http://schemas.openxmlformats.org/officeDocument/2006/relationships/ctrlProp" Target="../ctrlProps/ctrlProp254.xml"/><Relationship Id="rId277" Type="http://schemas.openxmlformats.org/officeDocument/2006/relationships/ctrlProp" Target="../ctrlProps/ctrlProp275.xml"/><Relationship Id="rId298" Type="http://schemas.openxmlformats.org/officeDocument/2006/relationships/ctrlProp" Target="../ctrlProps/ctrlProp296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302" Type="http://schemas.openxmlformats.org/officeDocument/2006/relationships/ctrlProp" Target="../ctrlProps/ctrlProp300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25" Type="http://schemas.openxmlformats.org/officeDocument/2006/relationships/ctrlProp" Target="../ctrlProps/ctrlProp223.xml"/><Relationship Id="rId246" Type="http://schemas.openxmlformats.org/officeDocument/2006/relationships/ctrlProp" Target="../ctrlProps/ctrlProp244.xml"/><Relationship Id="rId267" Type="http://schemas.openxmlformats.org/officeDocument/2006/relationships/ctrlProp" Target="../ctrlProps/ctrlProp265.xml"/><Relationship Id="rId288" Type="http://schemas.openxmlformats.org/officeDocument/2006/relationships/ctrlProp" Target="../ctrlProps/ctrlProp286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313" Type="http://schemas.openxmlformats.org/officeDocument/2006/relationships/ctrlProp" Target="../ctrlProps/ctrlProp311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94" Type="http://schemas.openxmlformats.org/officeDocument/2006/relationships/ctrlProp" Target="../ctrlProps/ctrlProp92.xml"/><Relationship Id="rId148" Type="http://schemas.openxmlformats.org/officeDocument/2006/relationships/ctrlProp" Target="../ctrlProps/ctrlProp146.xml"/><Relationship Id="rId169" Type="http://schemas.openxmlformats.org/officeDocument/2006/relationships/ctrlProp" Target="../ctrlProps/ctrlProp167.xml"/><Relationship Id="rId4" Type="http://schemas.openxmlformats.org/officeDocument/2006/relationships/ctrlProp" Target="../ctrlProps/ctrlProp2.xml"/><Relationship Id="rId180" Type="http://schemas.openxmlformats.org/officeDocument/2006/relationships/ctrlProp" Target="../ctrlProps/ctrlProp178.xml"/><Relationship Id="rId215" Type="http://schemas.openxmlformats.org/officeDocument/2006/relationships/ctrlProp" Target="../ctrlProps/ctrlProp213.xml"/><Relationship Id="rId236" Type="http://schemas.openxmlformats.org/officeDocument/2006/relationships/ctrlProp" Target="../ctrlProps/ctrlProp234.xml"/><Relationship Id="rId257" Type="http://schemas.openxmlformats.org/officeDocument/2006/relationships/ctrlProp" Target="../ctrlProps/ctrlProp255.xml"/><Relationship Id="rId278" Type="http://schemas.openxmlformats.org/officeDocument/2006/relationships/ctrlProp" Target="../ctrlProps/ctrlProp276.xml"/><Relationship Id="rId303" Type="http://schemas.openxmlformats.org/officeDocument/2006/relationships/ctrlProp" Target="../ctrlProps/ctrlProp301.xml"/><Relationship Id="rId42" Type="http://schemas.openxmlformats.org/officeDocument/2006/relationships/ctrlProp" Target="../ctrlProps/ctrlProp40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47" Type="http://schemas.openxmlformats.org/officeDocument/2006/relationships/ctrlProp" Target="../ctrlProps/ctrlProp245.xml"/><Relationship Id="rId107" Type="http://schemas.openxmlformats.org/officeDocument/2006/relationships/ctrlProp" Target="../ctrlProps/ctrlProp105.xml"/><Relationship Id="rId289" Type="http://schemas.openxmlformats.org/officeDocument/2006/relationships/ctrlProp" Target="../ctrlProps/ctrlProp287.xml"/><Relationship Id="rId11" Type="http://schemas.openxmlformats.org/officeDocument/2006/relationships/ctrlProp" Target="../ctrlProps/ctrlProp9.xml"/><Relationship Id="rId53" Type="http://schemas.openxmlformats.org/officeDocument/2006/relationships/ctrlProp" Target="../ctrlProps/ctrlProp51.xml"/><Relationship Id="rId149" Type="http://schemas.openxmlformats.org/officeDocument/2006/relationships/ctrlProp" Target="../ctrlProps/ctrlProp147.xml"/><Relationship Id="rId314" Type="http://schemas.openxmlformats.org/officeDocument/2006/relationships/ctrlProp" Target="../ctrlProps/ctrlProp312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16" Type="http://schemas.openxmlformats.org/officeDocument/2006/relationships/ctrlProp" Target="../ctrlProps/ctrlProp214.xml"/><Relationship Id="rId258" Type="http://schemas.openxmlformats.org/officeDocument/2006/relationships/ctrlProp" Target="../ctrlProps/ctrlProp256.xml"/><Relationship Id="rId22" Type="http://schemas.openxmlformats.org/officeDocument/2006/relationships/ctrlProp" Target="../ctrlProps/ctrlProp20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71" Type="http://schemas.openxmlformats.org/officeDocument/2006/relationships/ctrlProp" Target="../ctrlProps/ctrlProp169.xml"/><Relationship Id="rId227" Type="http://schemas.openxmlformats.org/officeDocument/2006/relationships/ctrlProp" Target="../ctrlProps/ctrlProp225.xml"/><Relationship Id="rId269" Type="http://schemas.openxmlformats.org/officeDocument/2006/relationships/ctrlProp" Target="../ctrlProps/ctrlProp267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280" Type="http://schemas.openxmlformats.org/officeDocument/2006/relationships/ctrlProp" Target="../ctrlProps/ctrlProp278.xml"/><Relationship Id="rId75" Type="http://schemas.openxmlformats.org/officeDocument/2006/relationships/ctrlProp" Target="../ctrlProps/ctrlProp73.xml"/><Relationship Id="rId140" Type="http://schemas.openxmlformats.org/officeDocument/2006/relationships/ctrlProp" Target="../ctrlProps/ctrlProp138.xml"/><Relationship Id="rId182" Type="http://schemas.openxmlformats.org/officeDocument/2006/relationships/ctrlProp" Target="../ctrlProps/ctrlProp180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291" Type="http://schemas.openxmlformats.org/officeDocument/2006/relationships/ctrlProp" Target="../ctrlProps/ctrlProp289.xml"/><Relationship Id="rId305" Type="http://schemas.openxmlformats.org/officeDocument/2006/relationships/ctrlProp" Target="../ctrlProps/ctrlProp303.xml"/><Relationship Id="rId44" Type="http://schemas.openxmlformats.org/officeDocument/2006/relationships/ctrlProp" Target="../ctrlProps/ctrlProp42.xml"/><Relationship Id="rId86" Type="http://schemas.openxmlformats.org/officeDocument/2006/relationships/ctrlProp" Target="../ctrlProps/ctrlProp84.xml"/><Relationship Id="rId151" Type="http://schemas.openxmlformats.org/officeDocument/2006/relationships/ctrlProp" Target="../ctrlProps/ctrlProp1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8E0A-5492-4331-B18E-635B7F375614}">
  <dimension ref="A1:NJ68"/>
  <sheetViews>
    <sheetView showGridLines="0" tabSelected="1" zoomScale="86" zoomScaleNormal="106" workbookViewId="0">
      <selection activeCell="AQ38" sqref="AQ38"/>
    </sheetView>
  </sheetViews>
  <sheetFormatPr defaultColWidth="0" defaultRowHeight="15" zeroHeight="1" x14ac:dyDescent="0.25"/>
  <cols>
    <col min="1" max="1" width="5.7109375" style="50" customWidth="1"/>
    <col min="2" max="2" width="0.85546875" style="50" customWidth="1"/>
    <col min="3" max="7" width="5.7109375" style="50" customWidth="1"/>
    <col min="8" max="39" width="4.7109375" style="50" customWidth="1"/>
    <col min="40" max="40" width="4.85546875" style="50" customWidth="1"/>
    <col min="41" max="41" width="5.7109375" style="50" customWidth="1"/>
    <col min="42" max="42" width="8.42578125" style="50" bestFit="1" customWidth="1"/>
    <col min="43" max="43" width="11.5703125" style="50" customWidth="1"/>
    <col min="44" max="44" width="5.7109375" style="50" customWidth="1"/>
    <col min="45" max="45" width="0.85546875" style="50" customWidth="1"/>
    <col min="46" max="46" width="5.7109375" style="50" customWidth="1"/>
    <col min="47" max="47" width="5.7109375" style="50" hidden="1" customWidth="1"/>
    <col min="48" max="48" width="5.42578125" style="50" hidden="1" customWidth="1"/>
    <col min="49" max="49" width="4.5703125" style="50" hidden="1" customWidth="1"/>
    <col min="50" max="374" width="0" style="50" hidden="1" customWidth="1"/>
    <col min="375" max="16384" width="5.7109375" style="50" hidden="1"/>
  </cols>
  <sheetData>
    <row r="1" spans="2:45" s="1" customFormat="1" x14ac:dyDescent="0.25"/>
    <row r="2" spans="2:45" customFormat="1" ht="3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2:45" s="1" customFormat="1" ht="15" customHeight="1" x14ac:dyDescent="0.25">
      <c r="B3" s="2"/>
      <c r="C3" s="105" t="s">
        <v>56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2"/>
    </row>
    <row r="4" spans="2:45" s="1" customFormat="1" ht="15" customHeight="1" x14ac:dyDescent="0.25">
      <c r="B4" s="2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 t="b">
        <v>1</v>
      </c>
      <c r="AK4" s="105"/>
      <c r="AL4" s="105"/>
      <c r="AM4" s="105"/>
      <c r="AN4" s="105"/>
      <c r="AO4" s="105"/>
      <c r="AP4" s="105"/>
      <c r="AQ4" s="105"/>
      <c r="AR4" s="105"/>
      <c r="AS4" s="2"/>
    </row>
    <row r="5" spans="2:45" s="1" customFormat="1" ht="7.5" customHeight="1" x14ac:dyDescent="0.25">
      <c r="B5" s="2"/>
      <c r="C5" s="3"/>
      <c r="D5" s="3"/>
      <c r="E5" s="3"/>
      <c r="F5" s="3"/>
      <c r="G5" s="3"/>
      <c r="H5" s="4">
        <f>IFERROR(H27/H26,0)</f>
        <v>0.6</v>
      </c>
      <c r="I5" s="4">
        <f t="shared" ref="I5:AL5" si="0">IFERROR(I27/I26,0)</f>
        <v>0.8</v>
      </c>
      <c r="J5" s="4">
        <f t="shared" si="0"/>
        <v>0.9</v>
      </c>
      <c r="K5" s="4">
        <f t="shared" si="0"/>
        <v>0.7</v>
      </c>
      <c r="L5" s="4">
        <f t="shared" si="0"/>
        <v>0.8</v>
      </c>
      <c r="M5" s="4">
        <f t="shared" si="0"/>
        <v>0.8</v>
      </c>
      <c r="N5" s="4">
        <f t="shared" si="0"/>
        <v>0.5</v>
      </c>
      <c r="O5" s="4">
        <f t="shared" si="0"/>
        <v>0.8</v>
      </c>
      <c r="P5" s="4">
        <f t="shared" si="0"/>
        <v>0.9</v>
      </c>
      <c r="Q5" s="4">
        <f t="shared" si="0"/>
        <v>0.9</v>
      </c>
      <c r="R5" s="4">
        <f t="shared" si="0"/>
        <v>0.8</v>
      </c>
      <c r="S5" s="4">
        <f t="shared" si="0"/>
        <v>0.9</v>
      </c>
      <c r="T5" s="4">
        <f t="shared" si="0"/>
        <v>0.7</v>
      </c>
      <c r="U5" s="4">
        <f t="shared" si="0"/>
        <v>0.8</v>
      </c>
      <c r="V5" s="4">
        <f t="shared" si="0"/>
        <v>0.6</v>
      </c>
      <c r="W5" s="4">
        <f t="shared" si="0"/>
        <v>1</v>
      </c>
      <c r="X5" s="4">
        <f t="shared" si="0"/>
        <v>0.7</v>
      </c>
      <c r="Y5" s="4">
        <f t="shared" si="0"/>
        <v>0.8</v>
      </c>
      <c r="Z5" s="4">
        <f t="shared" si="0"/>
        <v>0.9</v>
      </c>
      <c r="AA5" s="4">
        <f t="shared" si="0"/>
        <v>0.8</v>
      </c>
      <c r="AB5" s="4">
        <f t="shared" si="0"/>
        <v>0.9</v>
      </c>
      <c r="AC5" s="4">
        <f t="shared" si="0"/>
        <v>0.3</v>
      </c>
      <c r="AD5" s="4">
        <f t="shared" si="0"/>
        <v>0.8</v>
      </c>
      <c r="AE5" s="4">
        <f t="shared" si="0"/>
        <v>0.9</v>
      </c>
      <c r="AF5" s="4">
        <f t="shared" si="0"/>
        <v>0.7</v>
      </c>
      <c r="AG5" s="4">
        <f t="shared" si="0"/>
        <v>0.9</v>
      </c>
      <c r="AH5" s="4">
        <f t="shared" si="0"/>
        <v>0.7</v>
      </c>
      <c r="AI5" s="4">
        <f t="shared" si="0"/>
        <v>0.9</v>
      </c>
      <c r="AJ5" s="4">
        <f t="shared" si="0"/>
        <v>0.6</v>
      </c>
      <c r="AK5" s="4">
        <f t="shared" si="0"/>
        <v>0.6</v>
      </c>
      <c r="AL5" s="4">
        <f t="shared" si="0"/>
        <v>0.7</v>
      </c>
      <c r="AM5" s="3"/>
      <c r="AN5" s="3"/>
      <c r="AO5" s="3"/>
      <c r="AP5" s="3"/>
      <c r="AQ5" s="3"/>
      <c r="AR5" s="3"/>
      <c r="AS5" s="2"/>
    </row>
    <row r="6" spans="2:45" s="1" customFormat="1" x14ac:dyDescent="0.25">
      <c r="B6" s="2"/>
      <c r="C6" s="3"/>
      <c r="D6" s="78" t="str">
        <f>CONCATENATE(F12," , ",F11)</f>
        <v>January , 2026</v>
      </c>
      <c r="E6" s="79"/>
      <c r="F6" s="79"/>
      <c r="G6" s="8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70" t="s">
        <v>15</v>
      </c>
      <c r="AO6" s="70"/>
      <c r="AP6" s="70"/>
      <c r="AQ6" s="70"/>
      <c r="AR6" s="3"/>
      <c r="AS6" s="2"/>
    </row>
    <row r="7" spans="2:45" s="1" customFormat="1" x14ac:dyDescent="0.25">
      <c r="B7" s="2"/>
      <c r="C7" s="3"/>
      <c r="D7" s="81"/>
      <c r="E7" s="82"/>
      <c r="F7" s="82"/>
      <c r="G7" s="8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5">
        <v>1</v>
      </c>
      <c r="AO7" s="77" t="str">
        <f>Monthly!E38</f>
        <v>Waking up at 6 am</v>
      </c>
      <c r="AP7" s="77"/>
      <c r="AQ7" s="77"/>
      <c r="AR7" s="3"/>
      <c r="AS7" s="2"/>
    </row>
    <row r="8" spans="2:45" s="1" customFormat="1" x14ac:dyDescent="0.25">
      <c r="B8" s="2"/>
      <c r="C8" s="3"/>
      <c r="D8" s="106"/>
      <c r="E8" s="107"/>
      <c r="F8" s="107"/>
      <c r="G8" s="10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5">
        <f>AN7+1</f>
        <v>2</v>
      </c>
      <c r="AO8" s="77" t="str">
        <f>Monthly!E39</f>
        <v>Having Breskfast</v>
      </c>
      <c r="AP8" s="77"/>
      <c r="AQ8" s="77"/>
      <c r="AR8" s="3"/>
      <c r="AS8" s="2"/>
    </row>
    <row r="9" spans="2:45" s="1" customFormat="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5">
        <f t="shared" ref="AN9:AN12" si="1">AN8+1</f>
        <v>3</v>
      </c>
      <c r="AO9" s="77" t="str">
        <f>Monthly!E40</f>
        <v>Reading newspaper</v>
      </c>
      <c r="AP9" s="77"/>
      <c r="AQ9" s="77"/>
      <c r="AR9" s="3"/>
      <c r="AS9" s="2"/>
    </row>
    <row r="10" spans="2:45" s="1" customFormat="1" x14ac:dyDescent="0.25">
      <c r="B10" s="2"/>
      <c r="C10" s="3"/>
      <c r="D10" s="94" t="s">
        <v>9</v>
      </c>
      <c r="E10" s="95"/>
      <c r="F10" s="95"/>
      <c r="G10" s="9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5">
        <f t="shared" si="1"/>
        <v>4</v>
      </c>
      <c r="AO10" s="77" t="str">
        <f>Monthly!E41</f>
        <v>Going college on time</v>
      </c>
      <c r="AP10" s="77"/>
      <c r="AQ10" s="77"/>
      <c r="AR10" s="3"/>
      <c r="AS10" s="2"/>
    </row>
    <row r="11" spans="2:45" s="1" customFormat="1" x14ac:dyDescent="0.25">
      <c r="B11" s="2"/>
      <c r="C11" s="3"/>
      <c r="D11" s="97" t="s">
        <v>10</v>
      </c>
      <c r="E11" s="98"/>
      <c r="F11" s="99">
        <v>2026</v>
      </c>
      <c r="G11" s="10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5">
        <f t="shared" si="1"/>
        <v>5</v>
      </c>
      <c r="AO11" s="77" t="str">
        <f>Monthly!E42</f>
        <v>Having lunch at 1:15 pm</v>
      </c>
      <c r="AP11" s="77"/>
      <c r="AQ11" s="77"/>
      <c r="AR11" s="3"/>
      <c r="AS11" s="2"/>
    </row>
    <row r="12" spans="2:45" s="1" customFormat="1" x14ac:dyDescent="0.25">
      <c r="B12" s="2"/>
      <c r="C12" s="3"/>
      <c r="D12" s="103" t="s">
        <v>0</v>
      </c>
      <c r="E12" s="104"/>
      <c r="F12" s="101" t="str">
        <f>'Data Sheet'!C3</f>
        <v>January</v>
      </c>
      <c r="G12" s="10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5">
        <f t="shared" si="1"/>
        <v>6</v>
      </c>
      <c r="AO12" s="77" t="str">
        <f>Monthly!E43</f>
        <v>Going to Gym</v>
      </c>
      <c r="AP12" s="77"/>
      <c r="AQ12" s="77"/>
      <c r="AR12" s="3"/>
      <c r="AS12" s="2"/>
    </row>
    <row r="13" spans="2:45" s="1" customFormat="1" x14ac:dyDescent="0.25">
      <c r="B13" s="2"/>
      <c r="C13" s="3"/>
      <c r="D13" s="6"/>
      <c r="E13" s="6"/>
      <c r="F13" s="7"/>
      <c r="G13" s="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5">
        <f>AN12+1</f>
        <v>7</v>
      </c>
      <c r="AO13" s="77" t="str">
        <f>Monthly!E44</f>
        <v>Having protein</v>
      </c>
      <c r="AP13" s="77"/>
      <c r="AQ13" s="77"/>
      <c r="AR13" s="3"/>
      <c r="AS13" s="2"/>
    </row>
    <row r="14" spans="2:45" s="1" customFormat="1" x14ac:dyDescent="0.25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5">
        <f>AN13+1</f>
        <v>8</v>
      </c>
      <c r="AO14" s="77" t="str">
        <f>Monthly!E45</f>
        <v>Sleeping at 11 pm</v>
      </c>
      <c r="AP14" s="77"/>
      <c r="AQ14" s="77"/>
      <c r="AR14" s="3"/>
      <c r="AS14" s="2"/>
    </row>
    <row r="15" spans="2:45" s="1" customFormat="1" ht="15" customHeight="1" x14ac:dyDescent="0.25">
      <c r="B15" s="2"/>
      <c r="C15" s="3"/>
      <c r="D15" s="70" t="s">
        <v>16</v>
      </c>
      <c r="E15" s="70"/>
      <c r="F15" s="70"/>
      <c r="G15" s="70"/>
      <c r="H15" s="70" t="s">
        <v>42</v>
      </c>
      <c r="I15" s="70"/>
      <c r="J15" s="70"/>
      <c r="K15" s="70"/>
      <c r="L15" s="70"/>
      <c r="M15" s="70"/>
      <c r="N15" s="70"/>
      <c r="O15" s="70" t="s">
        <v>43</v>
      </c>
      <c r="P15" s="70"/>
      <c r="Q15" s="70"/>
      <c r="R15" s="70"/>
      <c r="S15" s="70"/>
      <c r="T15" s="70"/>
      <c r="U15" s="70"/>
      <c r="V15" s="70" t="s">
        <v>44</v>
      </c>
      <c r="W15" s="70"/>
      <c r="X15" s="70"/>
      <c r="Y15" s="70"/>
      <c r="Z15" s="70"/>
      <c r="AA15" s="70"/>
      <c r="AB15" s="70"/>
      <c r="AC15" s="70" t="s">
        <v>45</v>
      </c>
      <c r="AD15" s="70"/>
      <c r="AE15" s="70"/>
      <c r="AF15" s="70"/>
      <c r="AG15" s="70"/>
      <c r="AH15" s="70"/>
      <c r="AI15" s="70"/>
      <c r="AJ15" s="70" t="s">
        <v>34</v>
      </c>
      <c r="AK15" s="70"/>
      <c r="AL15" s="70"/>
      <c r="AM15" s="8"/>
      <c r="AN15" s="5">
        <f>AN14+1</f>
        <v>9</v>
      </c>
      <c r="AO15" s="77" t="str">
        <f>Monthly!E46</f>
        <v>Read 10 pages of book</v>
      </c>
      <c r="AP15" s="77"/>
      <c r="AQ15" s="77"/>
      <c r="AR15" s="3"/>
      <c r="AS15" s="2"/>
    </row>
    <row r="16" spans="2:45" s="1" customFormat="1" ht="15" customHeight="1" x14ac:dyDescent="0.25">
      <c r="B16" s="2"/>
      <c r="C16" s="3"/>
      <c r="D16" s="70"/>
      <c r="E16" s="70"/>
      <c r="F16" s="70"/>
      <c r="G16" s="70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8"/>
      <c r="AN16" s="5">
        <f>AN15+1</f>
        <v>10</v>
      </c>
      <c r="AO16" s="77" t="str">
        <f>Monthly!E47</f>
        <v>Worked on financial model</v>
      </c>
      <c r="AP16" s="77"/>
      <c r="AQ16" s="77"/>
      <c r="AR16" s="3"/>
      <c r="AS16" s="2"/>
    </row>
    <row r="17" spans="2:47" s="1" customFormat="1" x14ac:dyDescent="0.25">
      <c r="B17" s="2"/>
      <c r="C17" s="3"/>
      <c r="D17" s="70"/>
      <c r="E17" s="70"/>
      <c r="F17" s="70"/>
      <c r="G17" s="58"/>
      <c r="H17" s="9" t="s">
        <v>17</v>
      </c>
      <c r="I17" s="10" t="s">
        <v>18</v>
      </c>
      <c r="J17" s="10" t="s">
        <v>19</v>
      </c>
      <c r="K17" s="10" t="s">
        <v>20</v>
      </c>
      <c r="L17" s="10" t="s">
        <v>21</v>
      </c>
      <c r="M17" s="10" t="s">
        <v>22</v>
      </c>
      <c r="N17" s="12" t="s">
        <v>23</v>
      </c>
      <c r="O17" s="9" t="str">
        <f>H17</f>
        <v>Sun</v>
      </c>
      <c r="P17" s="10" t="str">
        <f t="shared" ref="P17:U17" si="2">I17</f>
        <v>Mon</v>
      </c>
      <c r="Q17" s="10" t="str">
        <f t="shared" si="2"/>
        <v>Tue</v>
      </c>
      <c r="R17" s="10" t="str">
        <f t="shared" si="2"/>
        <v>Wed</v>
      </c>
      <c r="S17" s="10" t="str">
        <f t="shared" si="2"/>
        <v>Thur</v>
      </c>
      <c r="T17" s="10" t="str">
        <f t="shared" si="2"/>
        <v>Fri</v>
      </c>
      <c r="U17" s="12" t="str">
        <f t="shared" si="2"/>
        <v>Sat</v>
      </c>
      <c r="V17" s="13" t="str">
        <f>O17</f>
        <v>Sun</v>
      </c>
      <c r="W17" s="10" t="str">
        <f t="shared" ref="W17" si="3">P17</f>
        <v>Mon</v>
      </c>
      <c r="X17" s="10" t="str">
        <f t="shared" ref="X17" si="4">Q17</f>
        <v>Tue</v>
      </c>
      <c r="Y17" s="10" t="str">
        <f t="shared" ref="Y17" si="5">R17</f>
        <v>Wed</v>
      </c>
      <c r="Z17" s="10" t="str">
        <f t="shared" ref="Z17" si="6">S17</f>
        <v>Thur</v>
      </c>
      <c r="AA17" s="10" t="str">
        <f t="shared" ref="AA17" si="7">T17</f>
        <v>Fri</v>
      </c>
      <c r="AB17" s="11" t="str">
        <f t="shared" ref="AB17" si="8">U17</f>
        <v>Sat</v>
      </c>
      <c r="AC17" s="9" t="str">
        <f>V17</f>
        <v>Sun</v>
      </c>
      <c r="AD17" s="10" t="str">
        <f t="shared" ref="AD17" si="9">W17</f>
        <v>Mon</v>
      </c>
      <c r="AE17" s="10" t="str">
        <f t="shared" ref="AE17" si="10">X17</f>
        <v>Tue</v>
      </c>
      <c r="AF17" s="10" t="str">
        <f t="shared" ref="AF17" si="11">Y17</f>
        <v>Wed</v>
      </c>
      <c r="AG17" s="10" t="str">
        <f t="shared" ref="AG17" si="12">Z17</f>
        <v>Thur</v>
      </c>
      <c r="AH17" s="10" t="str">
        <f t="shared" ref="AH17" si="13">AA17</f>
        <v>Fri</v>
      </c>
      <c r="AI17" s="12" t="str">
        <f t="shared" ref="AI17" si="14">AB17</f>
        <v>Sat</v>
      </c>
      <c r="AJ17" s="13" t="str">
        <f>AC17</f>
        <v>Sun</v>
      </c>
      <c r="AK17" s="10" t="str">
        <f t="shared" ref="AK17" si="15">AD17</f>
        <v>Mon</v>
      </c>
      <c r="AL17" s="12" t="str">
        <f t="shared" ref="AL17" si="16">AE17</f>
        <v>Tue</v>
      </c>
      <c r="AM17" s="3"/>
      <c r="AN17" s="3"/>
      <c r="AO17" s="3"/>
      <c r="AP17" s="3"/>
      <c r="AQ17" s="3"/>
      <c r="AR17" s="3"/>
      <c r="AS17" s="2"/>
    </row>
    <row r="18" spans="2:47" s="1" customFormat="1" x14ac:dyDescent="0.25">
      <c r="B18" s="2"/>
      <c r="C18" s="3"/>
      <c r="D18" s="70"/>
      <c r="E18" s="70"/>
      <c r="F18" s="70"/>
      <c r="G18" s="58"/>
      <c r="H18" s="14">
        <v>1</v>
      </c>
      <c r="I18" s="15">
        <f>H18+1</f>
        <v>2</v>
      </c>
      <c r="J18" s="15">
        <f t="shared" ref="J18:AL18" si="17">I18+1</f>
        <v>3</v>
      </c>
      <c r="K18" s="15">
        <f t="shared" si="17"/>
        <v>4</v>
      </c>
      <c r="L18" s="15">
        <f t="shared" si="17"/>
        <v>5</v>
      </c>
      <c r="M18" s="15">
        <f t="shared" si="17"/>
        <v>6</v>
      </c>
      <c r="N18" s="17">
        <f t="shared" si="17"/>
        <v>7</v>
      </c>
      <c r="O18" s="14">
        <f t="shared" si="17"/>
        <v>8</v>
      </c>
      <c r="P18" s="15">
        <f t="shared" si="17"/>
        <v>9</v>
      </c>
      <c r="Q18" s="15">
        <f t="shared" si="17"/>
        <v>10</v>
      </c>
      <c r="R18" s="15">
        <f t="shared" si="17"/>
        <v>11</v>
      </c>
      <c r="S18" s="15">
        <f t="shared" si="17"/>
        <v>12</v>
      </c>
      <c r="T18" s="15">
        <f t="shared" si="17"/>
        <v>13</v>
      </c>
      <c r="U18" s="17">
        <f t="shared" si="17"/>
        <v>14</v>
      </c>
      <c r="V18" s="18">
        <f t="shared" si="17"/>
        <v>15</v>
      </c>
      <c r="W18" s="15">
        <f t="shared" si="17"/>
        <v>16</v>
      </c>
      <c r="X18" s="15">
        <f t="shared" si="17"/>
        <v>17</v>
      </c>
      <c r="Y18" s="15">
        <f t="shared" si="17"/>
        <v>18</v>
      </c>
      <c r="Z18" s="15">
        <f t="shared" si="17"/>
        <v>19</v>
      </c>
      <c r="AA18" s="15">
        <f t="shared" si="17"/>
        <v>20</v>
      </c>
      <c r="AB18" s="16">
        <f t="shared" si="17"/>
        <v>21</v>
      </c>
      <c r="AC18" s="14">
        <f t="shared" si="17"/>
        <v>22</v>
      </c>
      <c r="AD18" s="15">
        <f t="shared" si="17"/>
        <v>23</v>
      </c>
      <c r="AE18" s="15">
        <f t="shared" si="17"/>
        <v>24</v>
      </c>
      <c r="AF18" s="15">
        <f t="shared" si="17"/>
        <v>25</v>
      </c>
      <c r="AG18" s="15">
        <f t="shared" si="17"/>
        <v>26</v>
      </c>
      <c r="AH18" s="15">
        <f t="shared" si="17"/>
        <v>27</v>
      </c>
      <c r="AI18" s="17">
        <f t="shared" si="17"/>
        <v>28</v>
      </c>
      <c r="AJ18" s="18">
        <f t="shared" si="17"/>
        <v>29</v>
      </c>
      <c r="AK18" s="15">
        <f t="shared" si="17"/>
        <v>30</v>
      </c>
      <c r="AL18" s="17">
        <f t="shared" si="17"/>
        <v>31</v>
      </c>
      <c r="AM18" s="3"/>
      <c r="AN18" s="78" t="s">
        <v>46</v>
      </c>
      <c r="AO18" s="79"/>
      <c r="AP18" s="79"/>
      <c r="AQ18" s="80"/>
      <c r="AR18" s="3"/>
      <c r="AS18" s="2"/>
    </row>
    <row r="19" spans="2:47" s="1" customFormat="1" x14ac:dyDescent="0.25">
      <c r="B19" s="2"/>
      <c r="C19" s="3"/>
      <c r="D19" s="70" t="s">
        <v>26</v>
      </c>
      <c r="E19" s="70"/>
      <c r="F19" s="70"/>
      <c r="G19" s="70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9"/>
      <c r="V19" s="87"/>
      <c r="W19" s="88"/>
      <c r="X19" s="88"/>
      <c r="Y19" s="88"/>
      <c r="Z19" s="88"/>
      <c r="AA19" s="88"/>
      <c r="AB19" s="89"/>
      <c r="AC19" s="87"/>
      <c r="AD19" s="88"/>
      <c r="AE19" s="88"/>
      <c r="AF19" s="88"/>
      <c r="AG19" s="88"/>
      <c r="AH19" s="88"/>
      <c r="AI19" s="89"/>
      <c r="AJ19" s="87"/>
      <c r="AK19" s="88"/>
      <c r="AL19" s="89"/>
      <c r="AM19" s="3"/>
      <c r="AN19" s="81"/>
      <c r="AO19" s="82"/>
      <c r="AP19" s="82"/>
      <c r="AQ19" s="83"/>
      <c r="AR19" s="3"/>
      <c r="AS19" s="2"/>
    </row>
    <row r="20" spans="2:47" s="1" customFormat="1" x14ac:dyDescent="0.25">
      <c r="B20" s="2"/>
      <c r="C20" s="3"/>
      <c r="D20" s="70"/>
      <c r="E20" s="70"/>
      <c r="F20" s="70"/>
      <c r="G20" s="70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88"/>
      <c r="T20" s="88"/>
      <c r="U20" s="89"/>
      <c r="V20" s="87"/>
      <c r="W20" s="88"/>
      <c r="X20" s="88"/>
      <c r="Y20" s="88"/>
      <c r="Z20" s="88"/>
      <c r="AA20" s="88"/>
      <c r="AB20" s="89"/>
      <c r="AC20" s="87"/>
      <c r="AD20" s="88"/>
      <c r="AE20" s="88"/>
      <c r="AF20" s="88"/>
      <c r="AG20" s="88"/>
      <c r="AH20" s="88"/>
      <c r="AI20" s="89"/>
      <c r="AJ20" s="87"/>
      <c r="AK20" s="88"/>
      <c r="AL20" s="89"/>
      <c r="AM20" s="3"/>
      <c r="AN20" s="84"/>
      <c r="AO20" s="85"/>
      <c r="AP20" s="85"/>
      <c r="AQ20" s="86"/>
      <c r="AR20" s="3"/>
      <c r="AS20" s="2"/>
    </row>
    <row r="21" spans="2:47" s="1" customFormat="1" x14ac:dyDescent="0.25">
      <c r="B21" s="2"/>
      <c r="C21" s="3"/>
      <c r="D21" s="70"/>
      <c r="E21" s="70"/>
      <c r="F21" s="70"/>
      <c r="G21" s="70"/>
      <c r="H21" s="87"/>
      <c r="I21" s="88"/>
      <c r="J21" s="88"/>
      <c r="K21" s="88"/>
      <c r="L21" s="88"/>
      <c r="M21" s="88"/>
      <c r="N21" s="89"/>
      <c r="O21" s="87"/>
      <c r="P21" s="88"/>
      <c r="Q21" s="88"/>
      <c r="R21" s="88"/>
      <c r="S21" s="88"/>
      <c r="T21" s="88"/>
      <c r="U21" s="89"/>
      <c r="V21" s="87"/>
      <c r="W21" s="88"/>
      <c r="X21" s="88"/>
      <c r="Y21" s="88"/>
      <c r="Z21" s="88"/>
      <c r="AA21" s="88"/>
      <c r="AB21" s="89"/>
      <c r="AC21" s="87"/>
      <c r="AD21" s="88"/>
      <c r="AE21" s="88"/>
      <c r="AF21" s="88"/>
      <c r="AG21" s="88"/>
      <c r="AH21" s="88"/>
      <c r="AI21" s="89"/>
      <c r="AJ21" s="87"/>
      <c r="AK21" s="88"/>
      <c r="AL21" s="89"/>
      <c r="AM21" s="3"/>
      <c r="AN21" s="87"/>
      <c r="AO21" s="88"/>
      <c r="AP21" s="88"/>
      <c r="AQ21" s="89"/>
      <c r="AR21" s="3"/>
      <c r="AS21" s="2"/>
    </row>
    <row r="22" spans="2:47" s="1" customFormat="1" x14ac:dyDescent="0.25">
      <c r="B22" s="2"/>
      <c r="C22" s="3"/>
      <c r="D22" s="70"/>
      <c r="E22" s="70"/>
      <c r="F22" s="70"/>
      <c r="G22" s="70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88"/>
      <c r="T22" s="88"/>
      <c r="U22" s="89"/>
      <c r="V22" s="87"/>
      <c r="W22" s="88"/>
      <c r="X22" s="88"/>
      <c r="Y22" s="88"/>
      <c r="Z22" s="88"/>
      <c r="AA22" s="88"/>
      <c r="AB22" s="89"/>
      <c r="AC22" s="87"/>
      <c r="AD22" s="88"/>
      <c r="AE22" s="88"/>
      <c r="AF22" s="88"/>
      <c r="AG22" s="88"/>
      <c r="AH22" s="88"/>
      <c r="AI22" s="89"/>
      <c r="AJ22" s="87"/>
      <c r="AK22" s="88"/>
      <c r="AL22" s="89"/>
      <c r="AM22" s="3"/>
      <c r="AN22" s="87"/>
      <c r="AO22" s="88"/>
      <c r="AP22" s="88"/>
      <c r="AQ22" s="89"/>
      <c r="AR22" s="3"/>
      <c r="AS22" s="2"/>
    </row>
    <row r="23" spans="2:47" s="1" customFormat="1" x14ac:dyDescent="0.25">
      <c r="B23" s="2"/>
      <c r="C23" s="3"/>
      <c r="D23" s="70"/>
      <c r="E23" s="70"/>
      <c r="F23" s="70"/>
      <c r="G23" s="70"/>
      <c r="H23" s="87"/>
      <c r="I23" s="88"/>
      <c r="J23" s="88"/>
      <c r="K23" s="88"/>
      <c r="L23" s="88"/>
      <c r="M23" s="88"/>
      <c r="N23" s="89"/>
      <c r="O23" s="87"/>
      <c r="P23" s="88"/>
      <c r="Q23" s="88"/>
      <c r="R23" s="88"/>
      <c r="S23" s="88"/>
      <c r="T23" s="88"/>
      <c r="U23" s="89"/>
      <c r="V23" s="87"/>
      <c r="W23" s="88"/>
      <c r="X23" s="88"/>
      <c r="Y23" s="88"/>
      <c r="Z23" s="88"/>
      <c r="AA23" s="88"/>
      <c r="AB23" s="89"/>
      <c r="AC23" s="87"/>
      <c r="AD23" s="88"/>
      <c r="AE23" s="88"/>
      <c r="AF23" s="88"/>
      <c r="AG23" s="88"/>
      <c r="AH23" s="88"/>
      <c r="AI23" s="89"/>
      <c r="AJ23" s="87"/>
      <c r="AK23" s="88"/>
      <c r="AL23" s="89"/>
      <c r="AM23" s="3"/>
      <c r="AN23" s="87"/>
      <c r="AO23" s="88"/>
      <c r="AP23" s="88"/>
      <c r="AQ23" s="89"/>
      <c r="AR23" s="3"/>
      <c r="AS23" s="2"/>
    </row>
    <row r="24" spans="2:47" s="1" customFormat="1" x14ac:dyDescent="0.25">
      <c r="B24" s="2"/>
      <c r="C24" s="3"/>
      <c r="D24" s="70"/>
      <c r="E24" s="70"/>
      <c r="F24" s="70"/>
      <c r="G24" s="70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88"/>
      <c r="T24" s="88"/>
      <c r="U24" s="89"/>
      <c r="V24" s="87"/>
      <c r="W24" s="88"/>
      <c r="X24" s="88"/>
      <c r="Y24" s="88"/>
      <c r="Z24" s="88"/>
      <c r="AA24" s="88"/>
      <c r="AB24" s="89"/>
      <c r="AC24" s="87"/>
      <c r="AD24" s="88"/>
      <c r="AE24" s="88"/>
      <c r="AF24" s="88"/>
      <c r="AG24" s="88"/>
      <c r="AH24" s="88"/>
      <c r="AI24" s="89"/>
      <c r="AJ24" s="87"/>
      <c r="AK24" s="88"/>
      <c r="AL24" s="89"/>
      <c r="AM24" s="3"/>
      <c r="AN24" s="87"/>
      <c r="AO24" s="88"/>
      <c r="AP24" s="88"/>
      <c r="AQ24" s="89"/>
      <c r="AR24" s="3"/>
      <c r="AS24" s="2"/>
    </row>
    <row r="25" spans="2:47" s="1" customFormat="1" x14ac:dyDescent="0.25">
      <c r="B25" s="2"/>
      <c r="C25" s="3"/>
      <c r="D25" s="70"/>
      <c r="E25" s="70"/>
      <c r="F25" s="70"/>
      <c r="G25" s="70"/>
      <c r="H25" s="90"/>
      <c r="I25" s="91"/>
      <c r="J25" s="91"/>
      <c r="K25" s="91"/>
      <c r="L25" s="91"/>
      <c r="M25" s="91"/>
      <c r="N25" s="92"/>
      <c r="O25" s="87"/>
      <c r="P25" s="88"/>
      <c r="Q25" s="88"/>
      <c r="R25" s="88"/>
      <c r="S25" s="88"/>
      <c r="T25" s="88"/>
      <c r="U25" s="89"/>
      <c r="V25" s="87"/>
      <c r="W25" s="88"/>
      <c r="X25" s="88"/>
      <c r="Y25" s="88"/>
      <c r="Z25" s="88"/>
      <c r="AA25" s="88"/>
      <c r="AB25" s="89"/>
      <c r="AC25" s="87"/>
      <c r="AD25" s="88"/>
      <c r="AE25" s="88"/>
      <c r="AF25" s="88"/>
      <c r="AG25" s="88"/>
      <c r="AH25" s="88"/>
      <c r="AI25" s="89"/>
      <c r="AJ25" s="87"/>
      <c r="AK25" s="88"/>
      <c r="AL25" s="89"/>
      <c r="AM25" s="3"/>
      <c r="AN25" s="87"/>
      <c r="AO25" s="88"/>
      <c r="AP25" s="88"/>
      <c r="AQ25" s="89"/>
      <c r="AR25" s="3"/>
      <c r="AS25" s="2"/>
    </row>
    <row r="26" spans="2:47" s="1" customFormat="1" x14ac:dyDescent="0.25">
      <c r="B26" s="2"/>
      <c r="C26" s="3"/>
      <c r="D26" s="70" t="s">
        <v>28</v>
      </c>
      <c r="E26" s="70"/>
      <c r="F26" s="70"/>
      <c r="G26" s="70"/>
      <c r="H26" s="19">
        <f>COUNTIF(Monthly!$E$38:$G$47,"*")</f>
        <v>10</v>
      </c>
      <c r="I26" s="20">
        <f>COUNTIF(Monthly!$E$38:$G$47,"*")</f>
        <v>10</v>
      </c>
      <c r="J26" s="20">
        <f>COUNTIF(Monthly!$E$38:$G$47,"*")</f>
        <v>10</v>
      </c>
      <c r="K26" s="20">
        <f>COUNTIF(Monthly!$E$38:$G$47,"*")</f>
        <v>10</v>
      </c>
      <c r="L26" s="20">
        <f>COUNTIF(Monthly!$E$38:$G$47,"*")</f>
        <v>10</v>
      </c>
      <c r="M26" s="20">
        <f>COUNTIF(Monthly!$E$38:$G$47,"*")</f>
        <v>10</v>
      </c>
      <c r="N26" s="21">
        <f>COUNTIF(Monthly!$E$38:$G$47,"*")</f>
        <v>10</v>
      </c>
      <c r="O26" s="19">
        <f>COUNTIF(Monthly!$E$38:$G$47,"*")</f>
        <v>10</v>
      </c>
      <c r="P26" s="20">
        <f>COUNTIF(Monthly!$E$38:$G$47,"*")</f>
        <v>10</v>
      </c>
      <c r="Q26" s="20">
        <f>COUNTIF(Monthly!$E$38:$G$47,"*")</f>
        <v>10</v>
      </c>
      <c r="R26" s="20">
        <f>COUNTIF(Monthly!$E$38:$G$47,"*")</f>
        <v>10</v>
      </c>
      <c r="S26" s="20">
        <f>COUNTIF(Monthly!$E$38:$G$47,"*")</f>
        <v>10</v>
      </c>
      <c r="T26" s="20">
        <f>COUNTIF(Monthly!$E$38:$G$47,"*")</f>
        <v>10</v>
      </c>
      <c r="U26" s="21">
        <f>COUNTIF(Monthly!$E$38:$G$47,"*")</f>
        <v>10</v>
      </c>
      <c r="V26" s="19">
        <f>COUNTIF(Monthly!$E$38:$G$47,"*")</f>
        <v>10</v>
      </c>
      <c r="W26" s="20">
        <f>COUNTIF(Monthly!$E$38:$G$47,"*")</f>
        <v>10</v>
      </c>
      <c r="X26" s="20">
        <f>COUNTIF(Monthly!$E$38:$G$47,"*")</f>
        <v>10</v>
      </c>
      <c r="Y26" s="20">
        <f>COUNTIF(Monthly!$E$38:$G$47,"*")</f>
        <v>10</v>
      </c>
      <c r="Z26" s="20">
        <f>COUNTIF(Monthly!$E$38:$G$47,"*")</f>
        <v>10</v>
      </c>
      <c r="AA26" s="20">
        <f>COUNTIF(Monthly!$E$38:$G$47,"*")</f>
        <v>10</v>
      </c>
      <c r="AB26" s="21">
        <f>COUNTIF(Monthly!$E$38:$G$47,"*")</f>
        <v>10</v>
      </c>
      <c r="AC26" s="19">
        <f>COUNTIF(Monthly!$E$38:$G$47,"*")</f>
        <v>10</v>
      </c>
      <c r="AD26" s="20">
        <f>COUNTIF(Monthly!$E$38:$G$47,"*")</f>
        <v>10</v>
      </c>
      <c r="AE26" s="20">
        <f>COUNTIF(Monthly!$E$38:$G$47,"*")</f>
        <v>10</v>
      </c>
      <c r="AF26" s="20">
        <f>COUNTIF(Monthly!$E$38:$G$47,"*")</f>
        <v>10</v>
      </c>
      <c r="AG26" s="20">
        <f>COUNTIF(Monthly!$E$38:$G$47,"*")</f>
        <v>10</v>
      </c>
      <c r="AH26" s="20">
        <f>COUNTIF(Monthly!$E$38:$G$47,"*")</f>
        <v>10</v>
      </c>
      <c r="AI26" s="21">
        <f>COUNTIF(Monthly!$E$38:$G$47,"*")</f>
        <v>10</v>
      </c>
      <c r="AJ26" s="19">
        <f>COUNTIF(Monthly!$E$38:$G$47,"*")</f>
        <v>10</v>
      </c>
      <c r="AK26" s="20">
        <f>COUNTIF(Monthly!$E$38:$G$47,"*")</f>
        <v>10</v>
      </c>
      <c r="AL26" s="21">
        <f>COUNTIF(Monthly!$E$38:$G$47,"*")</f>
        <v>10</v>
      </c>
      <c r="AM26" s="3"/>
      <c r="AN26" s="87"/>
      <c r="AO26" s="88"/>
      <c r="AP26" s="88"/>
      <c r="AQ26" s="89"/>
      <c r="AR26" s="3"/>
      <c r="AS26" s="2"/>
    </row>
    <row r="27" spans="2:47" s="1" customFormat="1" x14ac:dyDescent="0.25">
      <c r="B27" s="2"/>
      <c r="C27" s="3"/>
      <c r="D27" s="70" t="s">
        <v>27</v>
      </c>
      <c r="E27" s="70"/>
      <c r="F27" s="70"/>
      <c r="G27" s="70"/>
      <c r="H27" s="22">
        <f>COUNTIF(Monthly!J$38:J$47,TRUE)</f>
        <v>6</v>
      </c>
      <c r="I27" s="23">
        <f>COUNTIF(Monthly!K$38:K$47,TRUE)</f>
        <v>8</v>
      </c>
      <c r="J27" s="23">
        <f>COUNTIF(Monthly!L$38:L$47,TRUE)</f>
        <v>9</v>
      </c>
      <c r="K27" s="23">
        <f>COUNTIF(Monthly!M$38:M$47,TRUE)</f>
        <v>7</v>
      </c>
      <c r="L27" s="23">
        <f>COUNTIF(Monthly!N$38:N$47,TRUE)</f>
        <v>8</v>
      </c>
      <c r="M27" s="23">
        <f>COUNTIF(Monthly!O$38:O$47,TRUE)</f>
        <v>8</v>
      </c>
      <c r="N27" s="24">
        <f>COUNTIF(Monthly!P$38:P$47,TRUE)</f>
        <v>5</v>
      </c>
      <c r="O27" s="22">
        <f>COUNTIF(Monthly!Q$38:Q$47,TRUE)</f>
        <v>8</v>
      </c>
      <c r="P27" s="23">
        <f>COUNTIF(Monthly!R$38:R$47,TRUE)</f>
        <v>9</v>
      </c>
      <c r="Q27" s="23">
        <f>COUNTIF(Monthly!S$38:S$47,TRUE)</f>
        <v>9</v>
      </c>
      <c r="R27" s="23">
        <f>COUNTIF(Monthly!T$38:T$47,TRUE)</f>
        <v>8</v>
      </c>
      <c r="S27" s="23">
        <f>COUNTIF(Monthly!U$38:U$47,TRUE)</f>
        <v>9</v>
      </c>
      <c r="T27" s="23">
        <f>COUNTIF(Monthly!V$38:V$47,TRUE)</f>
        <v>7</v>
      </c>
      <c r="U27" s="24">
        <f>COUNTIF(Monthly!W$38:W$47,TRUE)</f>
        <v>8</v>
      </c>
      <c r="V27" s="22">
        <f>COUNTIF(Monthly!X$38:X$47,TRUE)</f>
        <v>6</v>
      </c>
      <c r="W27" s="23">
        <f>COUNTIF(Monthly!Y$38:Y$47,TRUE)</f>
        <v>10</v>
      </c>
      <c r="X27" s="23">
        <f>COUNTIF(Monthly!Z$38:Z$47,TRUE)</f>
        <v>7</v>
      </c>
      <c r="Y27" s="23">
        <f>COUNTIF(Monthly!AA$38:AA$47,TRUE)</f>
        <v>8</v>
      </c>
      <c r="Z27" s="23">
        <f>COUNTIF(Monthly!AB$38:AB$47,TRUE)</f>
        <v>9</v>
      </c>
      <c r="AA27" s="23">
        <f>COUNTIF(Monthly!AC$38:AC$47,TRUE)</f>
        <v>8</v>
      </c>
      <c r="AB27" s="24">
        <f>COUNTIF(Monthly!AD$38:AD$47,TRUE)</f>
        <v>9</v>
      </c>
      <c r="AC27" s="22">
        <f>COUNTIF(Monthly!AE$38:AE$47,TRUE)</f>
        <v>3</v>
      </c>
      <c r="AD27" s="23">
        <f>COUNTIF(Monthly!AF$38:AF$47,TRUE)</f>
        <v>8</v>
      </c>
      <c r="AE27" s="23">
        <f>COUNTIF(Monthly!AG$38:AG$47,TRUE)</f>
        <v>9</v>
      </c>
      <c r="AF27" s="23">
        <f>COUNTIF(Monthly!AH$38:AH$47,TRUE)</f>
        <v>7</v>
      </c>
      <c r="AG27" s="23">
        <f>COUNTIF(Monthly!AI$38:AI$47,TRUE)</f>
        <v>9</v>
      </c>
      <c r="AH27" s="23">
        <f>COUNTIF(Monthly!AJ$38:AJ$47,TRUE)</f>
        <v>7</v>
      </c>
      <c r="AI27" s="24">
        <f>COUNTIF(Monthly!AK$38:AK$47,TRUE)</f>
        <v>9</v>
      </c>
      <c r="AJ27" s="22">
        <f>COUNTIF(Monthly!AL$38:AL$47,TRUE)</f>
        <v>6</v>
      </c>
      <c r="AK27" s="23">
        <f>COUNTIF(Monthly!AM$38:AM$47,TRUE)</f>
        <v>6</v>
      </c>
      <c r="AL27" s="24">
        <f>COUNTIF(Monthly!AN$38:AN$47,TRUE)</f>
        <v>7</v>
      </c>
      <c r="AM27" s="3"/>
      <c r="AN27" s="90"/>
      <c r="AO27" s="91"/>
      <c r="AP27" s="91"/>
      <c r="AQ27" s="92"/>
      <c r="AR27" s="3"/>
      <c r="AS27" s="2"/>
      <c r="AU27" s="40"/>
    </row>
    <row r="28" spans="2:47" s="1" customFormat="1" x14ac:dyDescent="0.25">
      <c r="B28" s="2"/>
      <c r="C28" s="3"/>
      <c r="D28" s="70" t="s">
        <v>29</v>
      </c>
      <c r="E28" s="70"/>
      <c r="F28" s="70"/>
      <c r="G28" s="70"/>
      <c r="H28" s="39">
        <f>COUNTIF(Monthly!J$38:J$47,FALSE)</f>
        <v>4</v>
      </c>
      <c r="I28" s="26">
        <f>COUNTIF(Monthly!K$38:K$47,FALSE)</f>
        <v>2</v>
      </c>
      <c r="J28" s="26">
        <f>COUNTIF(Monthly!L$38:L$47,FALSE)</f>
        <v>1</v>
      </c>
      <c r="K28" s="26">
        <f>COUNTIF(Monthly!M$38:M$47,FALSE)</f>
        <v>3</v>
      </c>
      <c r="L28" s="26">
        <f>COUNTIF(Monthly!N$38:N$47,FALSE)</f>
        <v>2</v>
      </c>
      <c r="M28" s="26">
        <f>COUNTIF(Monthly!O$38:O$47,FALSE)</f>
        <v>2</v>
      </c>
      <c r="N28" s="27">
        <f>COUNTIF(Monthly!P$38:P$47,FALSE)</f>
        <v>5</v>
      </c>
      <c r="O28" s="28">
        <f>COUNTIF(Monthly!Q$38:Q$47,FALSE)</f>
        <v>2</v>
      </c>
      <c r="P28" s="26">
        <f>COUNTIF(Monthly!R$38:R$47,FALSE)</f>
        <v>1</v>
      </c>
      <c r="Q28" s="26">
        <f>COUNTIF(Monthly!S$38:S$47,FALSE)</f>
        <v>1</v>
      </c>
      <c r="R28" s="26">
        <f>COUNTIF(Monthly!T$38:T$47,FALSE)</f>
        <v>2</v>
      </c>
      <c r="S28" s="26">
        <f>COUNTIF(Monthly!U$38:U$47,FALSE)</f>
        <v>1</v>
      </c>
      <c r="T28" s="26">
        <f>COUNTIF(Monthly!V$38:V$47,FALSE)</f>
        <v>3</v>
      </c>
      <c r="U28" s="27">
        <f>COUNTIF(Monthly!W$38:W$47,FALSE)</f>
        <v>2</v>
      </c>
      <c r="V28" s="28">
        <f>COUNTIF(Monthly!X$38:X$47,FALSE)</f>
        <v>4</v>
      </c>
      <c r="W28" s="26">
        <f>COUNTIF(Monthly!Y$38:Y$47,FALSE)</f>
        <v>0</v>
      </c>
      <c r="X28" s="26">
        <f>COUNTIF(Monthly!Z$38:Z$47,FALSE)</f>
        <v>3</v>
      </c>
      <c r="Y28" s="26">
        <f>COUNTIF(Monthly!AA$38:AA$47,FALSE)</f>
        <v>2</v>
      </c>
      <c r="Z28" s="26">
        <f>COUNTIF(Monthly!AB$38:AB$47,FALSE)</f>
        <v>1</v>
      </c>
      <c r="AA28" s="26">
        <f>COUNTIF(Monthly!AC$38:AC$47,FALSE)</f>
        <v>2</v>
      </c>
      <c r="AB28" s="27">
        <f>COUNTIF(Monthly!AD$38:AD$47,FALSE)</f>
        <v>1</v>
      </c>
      <c r="AC28" s="28">
        <f>COUNTIF(Monthly!AE$38:AE$47,FALSE)</f>
        <v>7</v>
      </c>
      <c r="AD28" s="26">
        <f>COUNTIF(Monthly!AF$38:AF$47,FALSE)</f>
        <v>2</v>
      </c>
      <c r="AE28" s="26">
        <f>COUNTIF(Monthly!AG$38:AG$47,FALSE)</f>
        <v>1</v>
      </c>
      <c r="AF28" s="26">
        <f>COUNTIF(Monthly!AH$38:AH$47,FALSE)</f>
        <v>3</v>
      </c>
      <c r="AG28" s="26">
        <f>COUNTIF(Monthly!AI$38:AI$47,FALSE)</f>
        <v>1</v>
      </c>
      <c r="AH28" s="26">
        <f>COUNTIF(Monthly!AJ$38:AJ$47,FALSE)</f>
        <v>3</v>
      </c>
      <c r="AI28" s="27">
        <f>COUNTIF(Monthly!AK$38:AK$47,FALSE)</f>
        <v>1</v>
      </c>
      <c r="AJ28" s="28">
        <f>COUNTIF(Monthly!AL$38:AL$47,FALSE)</f>
        <v>4</v>
      </c>
      <c r="AK28" s="26">
        <f>COUNTIF(Monthly!AM$38:AM$47,FALSE)</f>
        <v>4</v>
      </c>
      <c r="AL28" s="27">
        <f>COUNTIF(Monthly!AN$38:AN$47,FALSE)</f>
        <v>3</v>
      </c>
      <c r="AM28" s="3"/>
      <c r="AN28" s="36"/>
      <c r="AO28" s="36" t="s">
        <v>49</v>
      </c>
      <c r="AP28" s="37">
        <f>SUM(H26:AL26)</f>
        <v>310</v>
      </c>
      <c r="AQ28" s="36"/>
      <c r="AR28" s="3"/>
      <c r="AS28" s="2"/>
    </row>
    <row r="29" spans="2:47" s="1" customFormat="1" x14ac:dyDescent="0.25">
      <c r="B29" s="2"/>
      <c r="C29" s="3"/>
      <c r="D29" s="70" t="s">
        <v>41</v>
      </c>
      <c r="E29" s="70"/>
      <c r="F29" s="70"/>
      <c r="G29" s="70"/>
      <c r="H29" s="71">
        <f>IFERROR((SUM(H27:N27))/(SUM(H26:N26)),0)</f>
        <v>0.72857142857142854</v>
      </c>
      <c r="I29" s="72"/>
      <c r="J29" s="72"/>
      <c r="K29" s="72"/>
      <c r="L29" s="72"/>
      <c r="M29" s="72"/>
      <c r="N29" s="73"/>
      <c r="O29" s="71">
        <f>IFERROR((SUM(O27:U27))/(SUM(O26:U26)),0)</f>
        <v>0.82857142857142863</v>
      </c>
      <c r="P29" s="72"/>
      <c r="Q29" s="72"/>
      <c r="R29" s="72"/>
      <c r="S29" s="72"/>
      <c r="T29" s="72"/>
      <c r="U29" s="73"/>
      <c r="V29" s="71">
        <f>IFERROR((SUM(V27:AB27))/(SUM(V26:AB26)),0)</f>
        <v>0.81428571428571428</v>
      </c>
      <c r="W29" s="72"/>
      <c r="X29" s="72"/>
      <c r="Y29" s="72"/>
      <c r="Z29" s="72"/>
      <c r="AA29" s="72"/>
      <c r="AB29" s="73"/>
      <c r="AC29" s="71">
        <f>IFERROR((SUM(AC27:AI27))/(SUM(AC26:AI26)),0)</f>
        <v>0.74285714285714288</v>
      </c>
      <c r="AD29" s="72"/>
      <c r="AE29" s="72"/>
      <c r="AF29" s="72"/>
      <c r="AG29" s="72"/>
      <c r="AH29" s="72"/>
      <c r="AI29" s="73"/>
      <c r="AJ29" s="71">
        <f>IFERROR((SUM(AJ27:AL27))/(SUM(AJ26:AL26)),0)</f>
        <v>0.6333333333333333</v>
      </c>
      <c r="AK29" s="72"/>
      <c r="AL29" s="73"/>
      <c r="AM29" s="3"/>
      <c r="AN29" s="36"/>
      <c r="AO29" s="36" t="s">
        <v>51</v>
      </c>
      <c r="AP29" s="37">
        <f>SUM(H27:AL27)</f>
        <v>237</v>
      </c>
      <c r="AQ29" s="38">
        <f>AP29/AP28</f>
        <v>0.76451612903225807</v>
      </c>
      <c r="AR29" s="3"/>
      <c r="AS29" s="2"/>
    </row>
    <row r="30" spans="2:47" s="1" customFormat="1" x14ac:dyDescent="0.25">
      <c r="B30" s="2"/>
      <c r="C30" s="3"/>
      <c r="D30" s="70"/>
      <c r="E30" s="70"/>
      <c r="F30" s="70"/>
      <c r="G30" s="70"/>
      <c r="H30" s="74"/>
      <c r="I30" s="75"/>
      <c r="J30" s="75"/>
      <c r="K30" s="75"/>
      <c r="L30" s="75"/>
      <c r="M30" s="75"/>
      <c r="N30" s="76"/>
      <c r="O30" s="74"/>
      <c r="P30" s="75"/>
      <c r="Q30" s="75"/>
      <c r="R30" s="75"/>
      <c r="S30" s="75"/>
      <c r="T30" s="75"/>
      <c r="U30" s="76"/>
      <c r="V30" s="74"/>
      <c r="W30" s="75"/>
      <c r="X30" s="75"/>
      <c r="Y30" s="75"/>
      <c r="Z30" s="75"/>
      <c r="AA30" s="75"/>
      <c r="AB30" s="76"/>
      <c r="AC30" s="74"/>
      <c r="AD30" s="75"/>
      <c r="AE30" s="75"/>
      <c r="AF30" s="75"/>
      <c r="AG30" s="75"/>
      <c r="AH30" s="75"/>
      <c r="AI30" s="76"/>
      <c r="AJ30" s="74"/>
      <c r="AK30" s="75"/>
      <c r="AL30" s="76"/>
      <c r="AM30" s="3"/>
      <c r="AN30" s="36"/>
      <c r="AO30" s="36" t="s">
        <v>50</v>
      </c>
      <c r="AP30" s="37">
        <f>SUM(H28:AL28)</f>
        <v>73</v>
      </c>
      <c r="AQ30" s="38">
        <f>AP30/AP28</f>
        <v>0.23548387096774193</v>
      </c>
      <c r="AR30" s="3"/>
      <c r="AS30" s="2"/>
    </row>
    <row r="31" spans="2:47" s="1" customFormat="1" x14ac:dyDescent="0.25">
      <c r="B31" s="2"/>
      <c r="C31" s="3"/>
      <c r="D31" s="8"/>
      <c r="E31" s="8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29"/>
      <c r="AQ31" s="25"/>
      <c r="AR31" s="3"/>
      <c r="AS31" s="2"/>
    </row>
    <row r="32" spans="2:47" s="1" customFormat="1" ht="5.25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35"/>
      <c r="AQ32" s="2"/>
      <c r="AR32" s="2"/>
      <c r="AS32" s="2"/>
    </row>
    <row r="33" spans="2:374" s="1" customFormat="1" x14ac:dyDescent="0.25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2"/>
    </row>
    <row r="34" spans="2:374" s="1" customFormat="1" x14ac:dyDescent="0.25">
      <c r="B34" s="2"/>
      <c r="C34" s="3"/>
      <c r="D34" s="61" t="s">
        <v>28</v>
      </c>
      <c r="E34" s="62"/>
      <c r="F34" s="62"/>
      <c r="G34" s="62"/>
      <c r="H34" s="62"/>
      <c r="I34" s="63"/>
      <c r="J34" s="58" t="s">
        <v>30</v>
      </c>
      <c r="K34" s="59"/>
      <c r="L34" s="59"/>
      <c r="M34" s="59"/>
      <c r="N34" s="59"/>
      <c r="O34" s="59"/>
      <c r="P34" s="60"/>
      <c r="Q34" s="58" t="s">
        <v>31</v>
      </c>
      <c r="R34" s="59"/>
      <c r="S34" s="59"/>
      <c r="T34" s="59"/>
      <c r="U34" s="59"/>
      <c r="V34" s="59"/>
      <c r="W34" s="60"/>
      <c r="X34" s="58" t="s">
        <v>32</v>
      </c>
      <c r="Y34" s="59"/>
      <c r="Z34" s="59"/>
      <c r="AA34" s="59"/>
      <c r="AB34" s="59"/>
      <c r="AC34" s="59"/>
      <c r="AD34" s="60"/>
      <c r="AE34" s="58" t="s">
        <v>33</v>
      </c>
      <c r="AF34" s="59"/>
      <c r="AG34" s="59"/>
      <c r="AH34" s="59"/>
      <c r="AI34" s="59"/>
      <c r="AJ34" s="59"/>
      <c r="AK34" s="60"/>
      <c r="AL34" s="58" t="s">
        <v>34</v>
      </c>
      <c r="AM34" s="59"/>
      <c r="AN34" s="60"/>
      <c r="AO34" s="3"/>
      <c r="AP34" s="3"/>
      <c r="AQ34" s="3"/>
      <c r="AR34" s="3"/>
      <c r="AS34" s="2"/>
    </row>
    <row r="35" spans="2:374" s="1" customFormat="1" x14ac:dyDescent="0.25">
      <c r="B35" s="2"/>
      <c r="C35" s="3"/>
      <c r="D35" s="64"/>
      <c r="E35" s="65"/>
      <c r="F35" s="65"/>
      <c r="G35" s="65"/>
      <c r="H35" s="65"/>
      <c r="I35" s="66"/>
      <c r="J35" s="58"/>
      <c r="K35" s="59"/>
      <c r="L35" s="59"/>
      <c r="M35" s="59"/>
      <c r="N35" s="59"/>
      <c r="O35" s="59"/>
      <c r="P35" s="60"/>
      <c r="Q35" s="58"/>
      <c r="R35" s="59"/>
      <c r="S35" s="59"/>
      <c r="T35" s="59"/>
      <c r="U35" s="59"/>
      <c r="V35" s="59"/>
      <c r="W35" s="60"/>
      <c r="X35" s="58"/>
      <c r="Y35" s="59"/>
      <c r="Z35" s="59"/>
      <c r="AA35" s="59"/>
      <c r="AB35" s="59"/>
      <c r="AC35" s="59"/>
      <c r="AD35" s="60"/>
      <c r="AE35" s="58"/>
      <c r="AF35" s="59"/>
      <c r="AG35" s="59"/>
      <c r="AH35" s="59"/>
      <c r="AI35" s="59"/>
      <c r="AJ35" s="59"/>
      <c r="AK35" s="60"/>
      <c r="AL35" s="58"/>
      <c r="AM35" s="59"/>
      <c r="AN35" s="60"/>
      <c r="AO35" s="3"/>
      <c r="AP35" s="3"/>
      <c r="AQ35" s="3"/>
      <c r="AR35" s="3"/>
      <c r="AS35" s="2"/>
    </row>
    <row r="36" spans="2:374" s="1" customFormat="1" x14ac:dyDescent="0.25">
      <c r="B36" s="2"/>
      <c r="C36" s="3"/>
      <c r="D36" s="64"/>
      <c r="E36" s="65"/>
      <c r="F36" s="65"/>
      <c r="G36" s="65"/>
      <c r="H36" s="65"/>
      <c r="I36" s="66"/>
      <c r="J36" s="30" t="s">
        <v>17</v>
      </c>
      <c r="K36" s="31" t="s">
        <v>18</v>
      </c>
      <c r="L36" s="31" t="s">
        <v>19</v>
      </c>
      <c r="M36" s="31" t="s">
        <v>20</v>
      </c>
      <c r="N36" s="31" t="s">
        <v>21</v>
      </c>
      <c r="O36" s="31" t="s">
        <v>22</v>
      </c>
      <c r="P36" s="32" t="s">
        <v>23</v>
      </c>
      <c r="Q36" s="30" t="str">
        <f t="shared" ref="Q36:AN36" si="18">J36</f>
        <v>Sun</v>
      </c>
      <c r="R36" s="31" t="str">
        <f t="shared" si="18"/>
        <v>Mon</v>
      </c>
      <c r="S36" s="31" t="str">
        <f t="shared" si="18"/>
        <v>Tue</v>
      </c>
      <c r="T36" s="31" t="str">
        <f t="shared" si="18"/>
        <v>Wed</v>
      </c>
      <c r="U36" s="31" t="str">
        <f t="shared" si="18"/>
        <v>Thur</v>
      </c>
      <c r="V36" s="31" t="str">
        <f t="shared" si="18"/>
        <v>Fri</v>
      </c>
      <c r="W36" s="32" t="str">
        <f t="shared" si="18"/>
        <v>Sat</v>
      </c>
      <c r="X36" s="30" t="str">
        <f t="shared" si="18"/>
        <v>Sun</v>
      </c>
      <c r="Y36" s="31" t="str">
        <f t="shared" si="18"/>
        <v>Mon</v>
      </c>
      <c r="Z36" s="31" t="str">
        <f t="shared" si="18"/>
        <v>Tue</v>
      </c>
      <c r="AA36" s="31" t="str">
        <f t="shared" si="18"/>
        <v>Wed</v>
      </c>
      <c r="AB36" s="31" t="str">
        <f t="shared" si="18"/>
        <v>Thur</v>
      </c>
      <c r="AC36" s="31" t="str">
        <f t="shared" si="18"/>
        <v>Fri</v>
      </c>
      <c r="AD36" s="32" t="str">
        <f t="shared" si="18"/>
        <v>Sat</v>
      </c>
      <c r="AE36" s="30" t="str">
        <f t="shared" si="18"/>
        <v>Sun</v>
      </c>
      <c r="AF36" s="31" t="str">
        <f t="shared" si="18"/>
        <v>Mon</v>
      </c>
      <c r="AG36" s="31" t="str">
        <f t="shared" si="18"/>
        <v>Tue</v>
      </c>
      <c r="AH36" s="31" t="str">
        <f t="shared" si="18"/>
        <v>Wed</v>
      </c>
      <c r="AI36" s="31" t="str">
        <f t="shared" si="18"/>
        <v>Thur</v>
      </c>
      <c r="AJ36" s="31" t="str">
        <f t="shared" si="18"/>
        <v>Fri</v>
      </c>
      <c r="AK36" s="32" t="str">
        <f t="shared" si="18"/>
        <v>Sat</v>
      </c>
      <c r="AL36" s="30" t="str">
        <f t="shared" si="18"/>
        <v>Sun</v>
      </c>
      <c r="AM36" s="31" t="str">
        <f t="shared" si="18"/>
        <v>Mon</v>
      </c>
      <c r="AN36" s="32" t="str">
        <f t="shared" si="18"/>
        <v>Tue</v>
      </c>
      <c r="AO36" s="3"/>
      <c r="AP36" s="3"/>
      <c r="AQ36" s="3"/>
      <c r="AR36" s="3"/>
      <c r="AS36" s="2"/>
    </row>
    <row r="37" spans="2:374" s="1" customFormat="1" x14ac:dyDescent="0.25">
      <c r="B37" s="2"/>
      <c r="C37" s="3"/>
      <c r="D37" s="67"/>
      <c r="E37" s="68"/>
      <c r="F37" s="68"/>
      <c r="G37" s="68"/>
      <c r="H37" s="68"/>
      <c r="I37" s="69"/>
      <c r="J37" s="30">
        <v>1</v>
      </c>
      <c r="K37" s="31">
        <f t="shared" ref="K37:AN37" si="19">J37+1</f>
        <v>2</v>
      </c>
      <c r="L37" s="31">
        <f t="shared" si="19"/>
        <v>3</v>
      </c>
      <c r="M37" s="31">
        <f t="shared" si="19"/>
        <v>4</v>
      </c>
      <c r="N37" s="31">
        <f t="shared" si="19"/>
        <v>5</v>
      </c>
      <c r="O37" s="31">
        <f t="shared" si="19"/>
        <v>6</v>
      </c>
      <c r="P37" s="32">
        <f t="shared" si="19"/>
        <v>7</v>
      </c>
      <c r="Q37" s="30">
        <f t="shared" si="19"/>
        <v>8</v>
      </c>
      <c r="R37" s="31">
        <f t="shared" si="19"/>
        <v>9</v>
      </c>
      <c r="S37" s="31">
        <f t="shared" si="19"/>
        <v>10</v>
      </c>
      <c r="T37" s="31">
        <f t="shared" si="19"/>
        <v>11</v>
      </c>
      <c r="U37" s="31">
        <f t="shared" si="19"/>
        <v>12</v>
      </c>
      <c r="V37" s="31">
        <f t="shared" si="19"/>
        <v>13</v>
      </c>
      <c r="W37" s="32">
        <f t="shared" si="19"/>
        <v>14</v>
      </c>
      <c r="X37" s="30">
        <f t="shared" si="19"/>
        <v>15</v>
      </c>
      <c r="Y37" s="31">
        <f t="shared" si="19"/>
        <v>16</v>
      </c>
      <c r="Z37" s="31">
        <f t="shared" si="19"/>
        <v>17</v>
      </c>
      <c r="AA37" s="31">
        <f t="shared" si="19"/>
        <v>18</v>
      </c>
      <c r="AB37" s="31">
        <f t="shared" si="19"/>
        <v>19</v>
      </c>
      <c r="AC37" s="31">
        <f t="shared" si="19"/>
        <v>20</v>
      </c>
      <c r="AD37" s="32">
        <f t="shared" si="19"/>
        <v>21</v>
      </c>
      <c r="AE37" s="30">
        <f t="shared" si="19"/>
        <v>22</v>
      </c>
      <c r="AF37" s="31">
        <f t="shared" si="19"/>
        <v>23</v>
      </c>
      <c r="AG37" s="31">
        <f t="shared" si="19"/>
        <v>24</v>
      </c>
      <c r="AH37" s="31">
        <f t="shared" si="19"/>
        <v>25</v>
      </c>
      <c r="AI37" s="31">
        <f t="shared" si="19"/>
        <v>26</v>
      </c>
      <c r="AJ37" s="31">
        <f t="shared" si="19"/>
        <v>27</v>
      </c>
      <c r="AK37" s="32">
        <f t="shared" si="19"/>
        <v>28</v>
      </c>
      <c r="AL37" s="30">
        <f t="shared" si="19"/>
        <v>29</v>
      </c>
      <c r="AM37" s="31">
        <f t="shared" si="19"/>
        <v>30</v>
      </c>
      <c r="AN37" s="32">
        <f t="shared" si="19"/>
        <v>31</v>
      </c>
      <c r="AO37" s="3"/>
      <c r="AP37" s="3"/>
      <c r="AQ37" s="3"/>
      <c r="AR37" s="3"/>
      <c r="AS37" s="2"/>
    </row>
    <row r="38" spans="2:374" s="1" customFormat="1" ht="21.95" customHeight="1" x14ac:dyDescent="0.25">
      <c r="B38" s="2"/>
      <c r="C38" s="3"/>
      <c r="D38" s="33">
        <v>1</v>
      </c>
      <c r="E38" s="55" t="s">
        <v>52</v>
      </c>
      <c r="F38" s="56"/>
      <c r="G38" s="56"/>
      <c r="H38" s="56"/>
      <c r="I38" s="57"/>
      <c r="J38" s="51" t="b">
        <v>1</v>
      </c>
      <c r="K38" s="41" t="b">
        <v>1</v>
      </c>
      <c r="L38" s="41" t="b">
        <v>1</v>
      </c>
      <c r="M38" s="41" t="b">
        <v>0</v>
      </c>
      <c r="N38" s="41" t="b">
        <v>1</v>
      </c>
      <c r="O38" s="41" t="b">
        <v>1</v>
      </c>
      <c r="P38" s="42" t="b">
        <v>1</v>
      </c>
      <c r="Q38" s="43" t="b">
        <v>0</v>
      </c>
      <c r="R38" s="41" t="b">
        <v>1</v>
      </c>
      <c r="S38" s="41" t="b">
        <v>1</v>
      </c>
      <c r="T38" s="41" t="b">
        <v>1</v>
      </c>
      <c r="U38" s="41" t="b">
        <v>1</v>
      </c>
      <c r="V38" s="41" t="b">
        <v>1</v>
      </c>
      <c r="W38" s="42" t="b">
        <v>1</v>
      </c>
      <c r="X38" s="43" t="b">
        <v>1</v>
      </c>
      <c r="Y38" s="41" t="b">
        <v>1</v>
      </c>
      <c r="Z38" s="41" t="b">
        <v>1</v>
      </c>
      <c r="AA38" s="41" t="b">
        <v>1</v>
      </c>
      <c r="AB38" s="41" t="b">
        <v>1</v>
      </c>
      <c r="AC38" s="41" t="b">
        <v>1</v>
      </c>
      <c r="AD38" s="42" t="b">
        <v>1</v>
      </c>
      <c r="AE38" s="43" t="b">
        <v>1</v>
      </c>
      <c r="AF38" s="41" t="b">
        <v>1</v>
      </c>
      <c r="AG38" s="41" t="b">
        <v>1</v>
      </c>
      <c r="AH38" s="41" t="b">
        <v>1</v>
      </c>
      <c r="AI38" s="41" t="b">
        <v>1</v>
      </c>
      <c r="AJ38" s="41" t="b">
        <v>1</v>
      </c>
      <c r="AK38" s="42" t="b">
        <v>1</v>
      </c>
      <c r="AL38" s="43" t="b">
        <v>1</v>
      </c>
      <c r="AM38" s="41" t="b">
        <v>0</v>
      </c>
      <c r="AN38" s="42" t="b">
        <v>0</v>
      </c>
      <c r="AO38" s="3"/>
      <c r="AP38" s="3"/>
      <c r="AQ38" s="3"/>
      <c r="AR38" s="3"/>
      <c r="AS38" s="2"/>
    </row>
    <row r="39" spans="2:374" s="1" customFormat="1" ht="21.95" customHeight="1" x14ac:dyDescent="0.25">
      <c r="B39" s="2"/>
      <c r="C39" s="3"/>
      <c r="D39" s="33">
        <f t="shared" ref="D39:D47" si="20">D38+1</f>
        <v>2</v>
      </c>
      <c r="E39" s="55" t="s">
        <v>53</v>
      </c>
      <c r="F39" s="56"/>
      <c r="G39" s="56"/>
      <c r="H39" s="56"/>
      <c r="I39" s="57"/>
      <c r="J39" s="52" t="b">
        <v>0</v>
      </c>
      <c r="K39" s="45" t="b">
        <v>0</v>
      </c>
      <c r="L39" s="45" t="b">
        <v>1</v>
      </c>
      <c r="M39" s="45" t="b">
        <v>1</v>
      </c>
      <c r="N39" s="45" t="b">
        <v>1</v>
      </c>
      <c r="O39" s="45" t="b">
        <v>1</v>
      </c>
      <c r="P39" s="46" t="b">
        <v>1</v>
      </c>
      <c r="Q39" s="44" t="b">
        <v>1</v>
      </c>
      <c r="R39" s="45" t="b">
        <v>1</v>
      </c>
      <c r="S39" s="45" t="b">
        <v>1</v>
      </c>
      <c r="T39" s="45" t="b">
        <v>1</v>
      </c>
      <c r="U39" s="45" t="b">
        <v>0</v>
      </c>
      <c r="V39" s="45" t="b">
        <v>0</v>
      </c>
      <c r="W39" s="46" t="b">
        <v>1</v>
      </c>
      <c r="X39" s="44" t="b">
        <v>1</v>
      </c>
      <c r="Y39" s="45" t="b">
        <v>1</v>
      </c>
      <c r="Z39" s="45" t="b">
        <v>1</v>
      </c>
      <c r="AA39" s="45" t="b">
        <v>0</v>
      </c>
      <c r="AB39" s="45" t="b">
        <v>1</v>
      </c>
      <c r="AC39" s="45" t="b">
        <v>1</v>
      </c>
      <c r="AD39" s="46" t="b">
        <v>1</v>
      </c>
      <c r="AE39" s="44" t="b">
        <v>1</v>
      </c>
      <c r="AF39" s="45" t="b">
        <v>1</v>
      </c>
      <c r="AG39" s="45" t="b">
        <v>1</v>
      </c>
      <c r="AH39" s="45" t="b">
        <v>1</v>
      </c>
      <c r="AI39" s="45" t="b">
        <v>1</v>
      </c>
      <c r="AJ39" s="45" t="b">
        <v>0</v>
      </c>
      <c r="AK39" s="46" t="b">
        <v>1</v>
      </c>
      <c r="AL39" s="44" t="b">
        <v>0</v>
      </c>
      <c r="AM39" s="45" t="b">
        <v>0</v>
      </c>
      <c r="AN39" s="46" t="b">
        <v>1</v>
      </c>
      <c r="AO39" s="3"/>
      <c r="AP39" s="3"/>
      <c r="AQ39" s="3"/>
      <c r="AR39" s="3"/>
      <c r="AS39" s="2"/>
    </row>
    <row r="40" spans="2:374" s="1" customFormat="1" ht="21.95" customHeight="1" x14ac:dyDescent="0.25">
      <c r="B40" s="2"/>
      <c r="C40" s="3"/>
      <c r="D40" s="33">
        <f t="shared" si="20"/>
        <v>3</v>
      </c>
      <c r="E40" s="55" t="s">
        <v>54</v>
      </c>
      <c r="F40" s="56"/>
      <c r="G40" s="56"/>
      <c r="H40" s="56"/>
      <c r="I40" s="57"/>
      <c r="J40" s="52" t="b">
        <v>1</v>
      </c>
      <c r="K40" s="45" t="b">
        <v>0</v>
      </c>
      <c r="L40" s="45" t="b">
        <v>0</v>
      </c>
      <c r="M40" s="45" t="b">
        <v>1</v>
      </c>
      <c r="N40" s="45" t="b">
        <v>1</v>
      </c>
      <c r="O40" s="45" t="b">
        <v>1</v>
      </c>
      <c r="P40" s="46" t="b">
        <v>1</v>
      </c>
      <c r="Q40" s="44" t="b">
        <v>1</v>
      </c>
      <c r="R40" s="45" t="b">
        <v>1</v>
      </c>
      <c r="S40" s="45" t="b">
        <v>1</v>
      </c>
      <c r="T40" s="45" t="b">
        <v>1</v>
      </c>
      <c r="U40" s="45" t="b">
        <v>1</v>
      </c>
      <c r="V40" s="45" t="b">
        <v>1</v>
      </c>
      <c r="W40" s="46" t="b">
        <v>1</v>
      </c>
      <c r="X40" s="44" t="b">
        <v>0</v>
      </c>
      <c r="Y40" s="45" t="b">
        <v>1</v>
      </c>
      <c r="Z40" s="45" t="b">
        <v>0</v>
      </c>
      <c r="AA40" s="45" t="b">
        <v>1</v>
      </c>
      <c r="AB40" s="45" t="b">
        <v>1</v>
      </c>
      <c r="AC40" s="45" t="b">
        <v>0</v>
      </c>
      <c r="AD40" s="46" t="b">
        <v>1</v>
      </c>
      <c r="AE40" s="44" t="b">
        <v>1</v>
      </c>
      <c r="AF40" s="45" t="b">
        <v>0</v>
      </c>
      <c r="AG40" s="45" t="b">
        <v>1</v>
      </c>
      <c r="AH40" s="45" t="b">
        <v>0</v>
      </c>
      <c r="AI40" s="45" t="b">
        <v>1</v>
      </c>
      <c r="AJ40" s="45" t="b">
        <v>1</v>
      </c>
      <c r="AK40" s="46" t="b">
        <v>0</v>
      </c>
      <c r="AL40" s="44" t="b">
        <v>0</v>
      </c>
      <c r="AM40" s="45" t="b">
        <v>0</v>
      </c>
      <c r="AN40" s="46" t="b">
        <v>1</v>
      </c>
      <c r="AO40" s="3"/>
      <c r="AP40" s="3"/>
      <c r="AQ40" s="3"/>
      <c r="AR40" s="3"/>
      <c r="AS40" s="2"/>
    </row>
    <row r="41" spans="2:374" s="1" customFormat="1" ht="21.95" customHeight="1" x14ac:dyDescent="0.25">
      <c r="B41" s="2"/>
      <c r="C41" s="3"/>
      <c r="D41" s="33">
        <f t="shared" si="20"/>
        <v>4</v>
      </c>
      <c r="E41" s="55" t="s">
        <v>57</v>
      </c>
      <c r="F41" s="56"/>
      <c r="G41" s="56"/>
      <c r="H41" s="56"/>
      <c r="I41" s="57"/>
      <c r="J41" s="52" t="b">
        <v>1</v>
      </c>
      <c r="K41" s="45" t="b">
        <v>1</v>
      </c>
      <c r="L41" s="45" t="b">
        <v>1</v>
      </c>
      <c r="M41" s="45" t="b">
        <v>0</v>
      </c>
      <c r="N41" s="45" t="b">
        <v>0</v>
      </c>
      <c r="O41" s="45" t="b">
        <v>0</v>
      </c>
      <c r="P41" s="46" t="b">
        <v>0</v>
      </c>
      <c r="Q41" s="44" t="b">
        <v>1</v>
      </c>
      <c r="R41" s="45" t="b">
        <v>1</v>
      </c>
      <c r="S41" s="45" t="b">
        <v>1</v>
      </c>
      <c r="T41" s="45" t="b">
        <v>1</v>
      </c>
      <c r="U41" s="45" t="b">
        <v>1</v>
      </c>
      <c r="V41" s="45" t="b">
        <v>0</v>
      </c>
      <c r="W41" s="46" t="b">
        <v>1</v>
      </c>
      <c r="X41" s="44" t="b">
        <v>0</v>
      </c>
      <c r="Y41" s="45" t="b">
        <v>1</v>
      </c>
      <c r="Z41" s="45" t="b">
        <v>1</v>
      </c>
      <c r="AA41" s="45" t="b">
        <v>0</v>
      </c>
      <c r="AB41" s="45" t="b">
        <v>1</v>
      </c>
      <c r="AC41" s="45" t="b">
        <v>0</v>
      </c>
      <c r="AD41" s="46" t="b">
        <v>1</v>
      </c>
      <c r="AE41" s="44" t="b">
        <v>0</v>
      </c>
      <c r="AF41" s="45" t="b">
        <v>1</v>
      </c>
      <c r="AG41" s="45" t="b">
        <v>0</v>
      </c>
      <c r="AH41" s="45" t="b">
        <v>0</v>
      </c>
      <c r="AI41" s="45" t="b">
        <v>1</v>
      </c>
      <c r="AJ41" s="45" t="b">
        <v>0</v>
      </c>
      <c r="AK41" s="46" t="b">
        <v>1</v>
      </c>
      <c r="AL41" s="44" t="b">
        <v>1</v>
      </c>
      <c r="AM41" s="45" t="b">
        <v>1</v>
      </c>
      <c r="AN41" s="46" t="b">
        <v>0</v>
      </c>
      <c r="AO41" s="3"/>
      <c r="AP41" s="3"/>
      <c r="AQ41" s="3"/>
      <c r="AR41" s="3"/>
      <c r="AS41" s="2"/>
    </row>
    <row r="42" spans="2:374" s="1" customFormat="1" ht="21.95" customHeight="1" x14ac:dyDescent="0.25">
      <c r="B42" s="2"/>
      <c r="C42" s="3"/>
      <c r="D42" s="33">
        <f t="shared" si="20"/>
        <v>5</v>
      </c>
      <c r="E42" s="55" t="s">
        <v>58</v>
      </c>
      <c r="F42" s="56"/>
      <c r="G42" s="56"/>
      <c r="H42" s="56"/>
      <c r="I42" s="57"/>
      <c r="J42" s="52" t="b">
        <v>0</v>
      </c>
      <c r="K42" s="45" t="b">
        <v>1</v>
      </c>
      <c r="L42" s="45" t="b">
        <v>1</v>
      </c>
      <c r="M42" s="45" t="b">
        <v>1</v>
      </c>
      <c r="N42" s="45" t="b">
        <v>1</v>
      </c>
      <c r="O42" s="45" t="b">
        <v>1</v>
      </c>
      <c r="P42" s="46" t="b">
        <v>0</v>
      </c>
      <c r="Q42" s="44" t="b">
        <v>1</v>
      </c>
      <c r="R42" s="45" t="b">
        <v>1</v>
      </c>
      <c r="S42" s="45" t="b">
        <v>1</v>
      </c>
      <c r="T42" s="45" t="b">
        <v>0</v>
      </c>
      <c r="U42" s="45" t="b">
        <v>1</v>
      </c>
      <c r="V42" s="45" t="b">
        <v>0</v>
      </c>
      <c r="W42" s="46" t="b">
        <v>1</v>
      </c>
      <c r="X42" s="44" t="b">
        <v>1</v>
      </c>
      <c r="Y42" s="45" t="b">
        <v>1</v>
      </c>
      <c r="Z42" s="45" t="b">
        <v>1</v>
      </c>
      <c r="AA42" s="45" t="b">
        <v>1</v>
      </c>
      <c r="AB42" s="45" t="b">
        <v>1</v>
      </c>
      <c r="AC42" s="45" t="b">
        <v>1</v>
      </c>
      <c r="AD42" s="46" t="b">
        <v>1</v>
      </c>
      <c r="AE42" s="44" t="b">
        <v>0</v>
      </c>
      <c r="AF42" s="45" t="b">
        <v>1</v>
      </c>
      <c r="AG42" s="45" t="b">
        <v>1</v>
      </c>
      <c r="AH42" s="45" t="b">
        <v>1</v>
      </c>
      <c r="AI42" s="45" t="b">
        <v>1</v>
      </c>
      <c r="AJ42" s="45" t="b">
        <v>1</v>
      </c>
      <c r="AK42" s="46" t="b">
        <v>1</v>
      </c>
      <c r="AL42" s="44" t="b">
        <v>0</v>
      </c>
      <c r="AM42" s="45" t="b">
        <v>0</v>
      </c>
      <c r="AN42" s="46" t="b">
        <v>1</v>
      </c>
      <c r="AO42" s="3"/>
      <c r="AP42" s="3"/>
      <c r="AQ42" s="3"/>
      <c r="AR42" s="3"/>
      <c r="AS42" s="2"/>
    </row>
    <row r="43" spans="2:374" s="1" customFormat="1" ht="21.95" customHeight="1" x14ac:dyDescent="0.25">
      <c r="B43" s="2"/>
      <c r="C43" s="3"/>
      <c r="D43" s="33">
        <f t="shared" si="20"/>
        <v>6</v>
      </c>
      <c r="E43" s="55" t="s">
        <v>59</v>
      </c>
      <c r="F43" s="56"/>
      <c r="G43" s="56"/>
      <c r="H43" s="56"/>
      <c r="I43" s="57"/>
      <c r="J43" s="52" t="b">
        <v>1</v>
      </c>
      <c r="K43" s="45" t="b">
        <v>1</v>
      </c>
      <c r="L43" s="45" t="b">
        <v>1</v>
      </c>
      <c r="M43" s="45" t="b">
        <v>1</v>
      </c>
      <c r="N43" s="45" t="b">
        <v>1</v>
      </c>
      <c r="O43" s="45" t="b">
        <v>1</v>
      </c>
      <c r="P43" s="46" t="b">
        <v>0</v>
      </c>
      <c r="Q43" s="44" t="b">
        <v>1</v>
      </c>
      <c r="R43" s="45" t="b">
        <v>0</v>
      </c>
      <c r="S43" s="45" t="b">
        <v>1</v>
      </c>
      <c r="T43" s="45" t="b">
        <v>1</v>
      </c>
      <c r="U43" s="45" t="b">
        <v>1</v>
      </c>
      <c r="V43" s="45" t="b">
        <v>1</v>
      </c>
      <c r="W43" s="46" t="b">
        <v>0</v>
      </c>
      <c r="X43" s="44" t="b">
        <v>1</v>
      </c>
      <c r="Y43" s="45" t="b">
        <v>1</v>
      </c>
      <c r="Z43" s="45" t="b">
        <v>1</v>
      </c>
      <c r="AA43" s="45" t="b">
        <v>1</v>
      </c>
      <c r="AB43" s="45" t="b">
        <v>1</v>
      </c>
      <c r="AC43" s="45" t="b">
        <v>1</v>
      </c>
      <c r="AD43" s="46" t="b">
        <v>1</v>
      </c>
      <c r="AE43" s="44" t="b">
        <v>0</v>
      </c>
      <c r="AF43" s="45" t="b">
        <v>1</v>
      </c>
      <c r="AG43" s="45" t="b">
        <v>1</v>
      </c>
      <c r="AH43" s="45" t="b">
        <v>0</v>
      </c>
      <c r="AI43" s="45" t="b">
        <v>1</v>
      </c>
      <c r="AJ43" s="45" t="b">
        <v>1</v>
      </c>
      <c r="AK43" s="46" t="b">
        <v>1</v>
      </c>
      <c r="AL43" s="44" t="b">
        <v>1</v>
      </c>
      <c r="AM43" s="45" t="b">
        <v>1</v>
      </c>
      <c r="AN43" s="46" t="b">
        <v>1</v>
      </c>
      <c r="AO43" s="3"/>
      <c r="AP43" s="3"/>
      <c r="AQ43" s="3"/>
      <c r="AR43" s="3"/>
      <c r="AS43" s="2"/>
      <c r="NJ43" s="1" t="b">
        <v>1</v>
      </c>
    </row>
    <row r="44" spans="2:374" s="1" customFormat="1" ht="21.95" customHeight="1" x14ac:dyDescent="0.25">
      <c r="B44" s="2"/>
      <c r="C44" s="3"/>
      <c r="D44" s="33">
        <f t="shared" si="20"/>
        <v>7</v>
      </c>
      <c r="E44" s="55" t="s">
        <v>60</v>
      </c>
      <c r="F44" s="56"/>
      <c r="G44" s="56"/>
      <c r="H44" s="56"/>
      <c r="I44" s="57"/>
      <c r="J44" s="52" t="b">
        <v>1</v>
      </c>
      <c r="K44" s="45" t="b">
        <v>1</v>
      </c>
      <c r="L44" s="45" t="b">
        <v>1</v>
      </c>
      <c r="M44" s="45" t="b">
        <v>0</v>
      </c>
      <c r="N44" s="45" t="b">
        <v>1</v>
      </c>
      <c r="O44" s="45" t="b">
        <v>1</v>
      </c>
      <c r="P44" s="46" t="b">
        <v>0</v>
      </c>
      <c r="Q44" s="44" t="b">
        <v>1</v>
      </c>
      <c r="R44" s="45" t="b">
        <v>1</v>
      </c>
      <c r="S44" s="45" t="b">
        <v>1</v>
      </c>
      <c r="T44" s="45" t="b">
        <v>0</v>
      </c>
      <c r="U44" s="45" t="b">
        <v>1</v>
      </c>
      <c r="V44" s="45" t="b">
        <v>1</v>
      </c>
      <c r="W44" s="46" t="b">
        <v>0</v>
      </c>
      <c r="X44" s="44" t="b">
        <v>0</v>
      </c>
      <c r="Y44" s="45" t="b">
        <v>1</v>
      </c>
      <c r="Z44" s="45" t="b">
        <v>0</v>
      </c>
      <c r="AA44" s="45" t="b">
        <v>1</v>
      </c>
      <c r="AB44" s="45" t="b">
        <v>1</v>
      </c>
      <c r="AC44" s="45" t="b">
        <v>1</v>
      </c>
      <c r="AD44" s="46" t="b">
        <v>0</v>
      </c>
      <c r="AE44" s="44" t="b">
        <v>0</v>
      </c>
      <c r="AF44" s="45" t="b">
        <v>1</v>
      </c>
      <c r="AG44" s="45" t="b">
        <v>1</v>
      </c>
      <c r="AH44" s="45" t="b">
        <v>1</v>
      </c>
      <c r="AI44" s="45" t="b">
        <v>1</v>
      </c>
      <c r="AJ44" s="45" t="b">
        <v>0</v>
      </c>
      <c r="AK44" s="46" t="b">
        <v>1</v>
      </c>
      <c r="AL44" s="44" t="b">
        <v>1</v>
      </c>
      <c r="AM44" s="45" t="b">
        <v>1</v>
      </c>
      <c r="AN44" s="46" t="b">
        <v>1</v>
      </c>
      <c r="AO44" s="3"/>
      <c r="AP44" s="3"/>
      <c r="AQ44" s="3"/>
      <c r="AR44" s="3"/>
      <c r="AS44" s="2"/>
    </row>
    <row r="45" spans="2:374" s="1" customFormat="1" ht="21.95" customHeight="1" x14ac:dyDescent="0.25">
      <c r="B45" s="2"/>
      <c r="C45" s="3"/>
      <c r="D45" s="33">
        <f t="shared" si="20"/>
        <v>8</v>
      </c>
      <c r="E45" s="55" t="s">
        <v>61</v>
      </c>
      <c r="F45" s="56"/>
      <c r="G45" s="56"/>
      <c r="H45" s="56"/>
      <c r="I45" s="57"/>
      <c r="J45" s="52" t="b">
        <v>1</v>
      </c>
      <c r="K45" s="45" t="b">
        <v>1</v>
      </c>
      <c r="L45" s="45" t="b">
        <v>1</v>
      </c>
      <c r="M45" s="45" t="b">
        <v>1</v>
      </c>
      <c r="N45" s="45" t="b">
        <v>0</v>
      </c>
      <c r="O45" s="45" t="b">
        <v>0</v>
      </c>
      <c r="P45" s="46" t="b">
        <v>0</v>
      </c>
      <c r="Q45" s="44" t="b">
        <v>1</v>
      </c>
      <c r="R45" s="45" t="b">
        <v>1</v>
      </c>
      <c r="S45" s="45" t="b">
        <v>1</v>
      </c>
      <c r="T45" s="45" t="b">
        <v>1</v>
      </c>
      <c r="U45" s="45" t="b">
        <v>1</v>
      </c>
      <c r="V45" s="45" t="b">
        <v>1</v>
      </c>
      <c r="W45" s="46" t="b">
        <v>1</v>
      </c>
      <c r="X45" s="44" t="b">
        <v>1</v>
      </c>
      <c r="Y45" s="45" t="b">
        <v>1</v>
      </c>
      <c r="Z45" s="45" t="b">
        <v>0</v>
      </c>
      <c r="AA45" s="45" t="b">
        <v>1</v>
      </c>
      <c r="AB45" s="45" t="b">
        <v>0</v>
      </c>
      <c r="AC45" s="45" t="b">
        <v>1</v>
      </c>
      <c r="AD45" s="46" t="b">
        <v>1</v>
      </c>
      <c r="AE45" s="44" t="b">
        <v>0</v>
      </c>
      <c r="AF45" s="45" t="b">
        <v>0</v>
      </c>
      <c r="AG45" s="45" t="b">
        <v>1</v>
      </c>
      <c r="AH45" s="45" t="b">
        <v>1</v>
      </c>
      <c r="AI45" s="45" t="b">
        <v>0</v>
      </c>
      <c r="AJ45" s="45" t="b">
        <v>1</v>
      </c>
      <c r="AK45" s="46" t="b">
        <v>1</v>
      </c>
      <c r="AL45" s="44" t="b">
        <v>0</v>
      </c>
      <c r="AM45" s="45" t="b">
        <v>1</v>
      </c>
      <c r="AN45" s="46" t="b">
        <v>0</v>
      </c>
      <c r="AO45" s="3"/>
      <c r="AP45" s="3"/>
      <c r="AQ45" s="3"/>
      <c r="AR45" s="3"/>
      <c r="AS45" s="2"/>
    </row>
    <row r="46" spans="2:374" s="1" customFormat="1" ht="21.95" customHeight="1" x14ac:dyDescent="0.25">
      <c r="B46" s="2"/>
      <c r="C46" s="3"/>
      <c r="D46" s="33">
        <f t="shared" si="20"/>
        <v>9</v>
      </c>
      <c r="E46" s="55" t="s">
        <v>62</v>
      </c>
      <c r="F46" s="56"/>
      <c r="G46" s="56"/>
      <c r="H46" s="56"/>
      <c r="I46" s="57"/>
      <c r="J46" s="52" t="b">
        <v>0</v>
      </c>
      <c r="K46" s="45" t="b">
        <v>1</v>
      </c>
      <c r="L46" s="45" t="b">
        <v>1</v>
      </c>
      <c r="M46" s="45" t="b">
        <v>1</v>
      </c>
      <c r="N46" s="45" t="b">
        <v>1</v>
      </c>
      <c r="O46" s="45" t="b">
        <v>1</v>
      </c>
      <c r="P46" s="46" t="b">
        <v>1</v>
      </c>
      <c r="Q46" s="44" t="b">
        <v>1</v>
      </c>
      <c r="R46" s="45" t="b">
        <v>1</v>
      </c>
      <c r="S46" s="45" t="b">
        <v>1</v>
      </c>
      <c r="T46" s="45" t="b">
        <v>1</v>
      </c>
      <c r="U46" s="45" t="b">
        <v>1</v>
      </c>
      <c r="V46" s="45" t="b">
        <v>1</v>
      </c>
      <c r="W46" s="46" t="b">
        <v>1</v>
      </c>
      <c r="X46" s="44" t="b">
        <v>0</v>
      </c>
      <c r="Y46" s="45" t="b">
        <v>1</v>
      </c>
      <c r="Z46" s="45" t="b">
        <v>1</v>
      </c>
      <c r="AA46" s="45" t="b">
        <v>1</v>
      </c>
      <c r="AB46" s="45" t="b">
        <v>1</v>
      </c>
      <c r="AC46" s="45" t="b">
        <v>1</v>
      </c>
      <c r="AD46" s="46" t="b">
        <v>1</v>
      </c>
      <c r="AE46" s="44" t="b">
        <v>0</v>
      </c>
      <c r="AF46" s="45" t="b">
        <v>1</v>
      </c>
      <c r="AG46" s="45" t="b">
        <v>1</v>
      </c>
      <c r="AH46" s="45" t="b">
        <v>1</v>
      </c>
      <c r="AI46" s="45" t="b">
        <v>1</v>
      </c>
      <c r="AJ46" s="45" t="b">
        <v>1</v>
      </c>
      <c r="AK46" s="46" t="b">
        <v>1</v>
      </c>
      <c r="AL46" s="44" t="b">
        <v>1</v>
      </c>
      <c r="AM46" s="45" t="b">
        <v>1</v>
      </c>
      <c r="AN46" s="46" t="b">
        <v>1</v>
      </c>
      <c r="AO46" s="3"/>
      <c r="AP46" s="3"/>
      <c r="AQ46" s="3"/>
      <c r="AR46" s="3"/>
      <c r="AS46" s="2"/>
    </row>
    <row r="47" spans="2:374" s="1" customFormat="1" ht="21.95" customHeight="1" x14ac:dyDescent="0.25">
      <c r="B47" s="2"/>
      <c r="C47" s="3"/>
      <c r="D47" s="33">
        <f t="shared" si="20"/>
        <v>10</v>
      </c>
      <c r="E47" s="55" t="s">
        <v>63</v>
      </c>
      <c r="F47" s="56"/>
      <c r="G47" s="56"/>
      <c r="H47" s="56"/>
      <c r="I47" s="57"/>
      <c r="J47" s="53" t="b">
        <v>0</v>
      </c>
      <c r="K47" s="48" t="b">
        <v>1</v>
      </c>
      <c r="L47" s="48" t="b">
        <v>1</v>
      </c>
      <c r="M47" s="48" t="b">
        <v>1</v>
      </c>
      <c r="N47" s="48" t="b">
        <v>1</v>
      </c>
      <c r="O47" s="48" t="b">
        <v>1</v>
      </c>
      <c r="P47" s="49" t="b">
        <v>1</v>
      </c>
      <c r="Q47" s="47" t="b">
        <v>0</v>
      </c>
      <c r="R47" s="48" t="b">
        <v>1</v>
      </c>
      <c r="S47" s="48" t="b">
        <v>0</v>
      </c>
      <c r="T47" s="48" t="b">
        <v>1</v>
      </c>
      <c r="U47" s="48" t="b">
        <v>1</v>
      </c>
      <c r="V47" s="48" t="b">
        <v>1</v>
      </c>
      <c r="W47" s="49" t="b">
        <v>1</v>
      </c>
      <c r="X47" s="47" t="b">
        <v>1</v>
      </c>
      <c r="Y47" s="48" t="b">
        <v>1</v>
      </c>
      <c r="Z47" s="48" t="b">
        <v>1</v>
      </c>
      <c r="AA47" s="48" t="b">
        <v>1</v>
      </c>
      <c r="AB47" s="48" t="b">
        <v>1</v>
      </c>
      <c r="AC47" s="48" t="b">
        <v>1</v>
      </c>
      <c r="AD47" s="49" t="b">
        <v>1</v>
      </c>
      <c r="AE47" s="47" t="b">
        <v>0</v>
      </c>
      <c r="AF47" s="48" t="b">
        <v>1</v>
      </c>
      <c r="AG47" s="48" t="b">
        <v>1</v>
      </c>
      <c r="AH47" s="48" t="b">
        <v>1</v>
      </c>
      <c r="AI47" s="48" t="b">
        <v>1</v>
      </c>
      <c r="AJ47" s="48" t="b">
        <v>1</v>
      </c>
      <c r="AK47" s="49" t="b">
        <v>1</v>
      </c>
      <c r="AL47" s="47" t="b">
        <v>1</v>
      </c>
      <c r="AM47" s="48" t="b">
        <v>1</v>
      </c>
      <c r="AN47" s="54" t="b">
        <v>1</v>
      </c>
      <c r="AO47" s="3"/>
      <c r="AP47" s="3"/>
      <c r="AQ47" s="3"/>
      <c r="AR47" s="3"/>
      <c r="AS47" s="2"/>
    </row>
    <row r="48" spans="2:374" s="1" customFormat="1" x14ac:dyDescent="0.25"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2"/>
    </row>
    <row r="49" spans="2:45" s="1" customFormat="1" ht="3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2:45" s="1" customFormat="1" x14ac:dyDescent="0.25">
      <c r="AP50" s="1" t="s">
        <v>55</v>
      </c>
    </row>
    <row r="65" s="50" customFormat="1" hidden="1" x14ac:dyDescent="0.25"/>
    <row r="66" s="50" customFormat="1" hidden="1" x14ac:dyDescent="0.25"/>
    <row r="67" s="50" customFormat="1" hidden="1" x14ac:dyDescent="0.25"/>
    <row r="68" s="50" customFormat="1" hidden="1" x14ac:dyDescent="0.25"/>
  </sheetData>
  <protectedRanges>
    <protectedRange algorithmName="SHA-512" hashValue="wpudeS+vgJ6/aM6jHMPYVhjZ4pNVhgJ5MmkY5+8K7O60YMZV7Dnzt+U1fmScrG07draq93CprAVEgsQUlV8M7Q==" saltValue="/vbVVE4myjtco+xUkdiSeQ==" spinCount="100000" sqref="AP50" name="Range1"/>
  </protectedRanges>
  <mergeCells count="57">
    <mergeCell ref="AN6:AQ6"/>
    <mergeCell ref="AO7:AQ7"/>
    <mergeCell ref="AO8:AQ8"/>
    <mergeCell ref="C3:AR4"/>
    <mergeCell ref="D6:G8"/>
    <mergeCell ref="D10:G10"/>
    <mergeCell ref="D11:E11"/>
    <mergeCell ref="F11:G11"/>
    <mergeCell ref="F12:G12"/>
    <mergeCell ref="D12:E12"/>
    <mergeCell ref="AO9:AQ9"/>
    <mergeCell ref="AO10:AQ10"/>
    <mergeCell ref="AO11:AQ11"/>
    <mergeCell ref="AO12:AQ12"/>
    <mergeCell ref="AO14:AQ14"/>
    <mergeCell ref="AO13:AQ13"/>
    <mergeCell ref="D26:G26"/>
    <mergeCell ref="D27:G27"/>
    <mergeCell ref="AC15:AI16"/>
    <mergeCell ref="AJ15:AL16"/>
    <mergeCell ref="D15:G18"/>
    <mergeCell ref="H15:N16"/>
    <mergeCell ref="O15:U16"/>
    <mergeCell ref="V15:AB16"/>
    <mergeCell ref="H19:N25"/>
    <mergeCell ref="O19:U25"/>
    <mergeCell ref="V19:AB25"/>
    <mergeCell ref="AC19:AI25"/>
    <mergeCell ref="D19:G25"/>
    <mergeCell ref="AO15:AQ15"/>
    <mergeCell ref="AO16:AQ16"/>
    <mergeCell ref="AN18:AQ19"/>
    <mergeCell ref="AN20:AQ27"/>
    <mergeCell ref="O29:U30"/>
    <mergeCell ref="V29:AB30"/>
    <mergeCell ref="AC29:AI30"/>
    <mergeCell ref="AJ29:AL30"/>
    <mergeCell ref="AJ19:AL25"/>
    <mergeCell ref="D34:I37"/>
    <mergeCell ref="E38:I38"/>
    <mergeCell ref="E39:I39"/>
    <mergeCell ref="E40:I40"/>
    <mergeCell ref="D28:G28"/>
    <mergeCell ref="D29:G30"/>
    <mergeCell ref="H29:N30"/>
    <mergeCell ref="AL34:AN35"/>
    <mergeCell ref="J34:P35"/>
    <mergeCell ref="Q34:W35"/>
    <mergeCell ref="X34:AD35"/>
    <mergeCell ref="AE34:AK35"/>
    <mergeCell ref="E46:I46"/>
    <mergeCell ref="E47:I47"/>
    <mergeCell ref="E41:I41"/>
    <mergeCell ref="E42:I42"/>
    <mergeCell ref="E43:I43"/>
    <mergeCell ref="E44:I44"/>
    <mergeCell ref="E45:I45"/>
  </mergeCells>
  <conditionalFormatting sqref="J38:AN47">
    <cfRule type="cellIs" dxfId="2" priority="1" operator="equal">
      <formula>FALSE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8" r:id="rId3" name="Check Box 20">
              <controlPr locked="0" defaultSize="0" autoFill="0" autoLine="0" autoPict="0">
                <anchor moveWithCells="1">
                  <from>
                    <xdr:col>9</xdr:col>
                    <xdr:colOff>47625</xdr:colOff>
                    <xdr:row>38</xdr:row>
                    <xdr:rowOff>57150</xdr:rowOff>
                  </from>
                  <to>
                    <xdr:col>9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4" name="Check Box 21">
              <controlPr locked="0" defaultSize="0" autoFill="0" autoLine="0" autoPict="0">
                <anchor moveWithCells="1">
                  <from>
                    <xdr:col>9</xdr:col>
                    <xdr:colOff>38100</xdr:colOff>
                    <xdr:row>40</xdr:row>
                    <xdr:rowOff>28575</xdr:rowOff>
                  </from>
                  <to>
                    <xdr:col>9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5" name="Check Box 22">
              <controlPr locked="0" defaultSize="0" autoFill="0" autoLine="0" autoPict="0">
                <anchor moveWithCells="1">
                  <from>
                    <xdr:col>9</xdr:col>
                    <xdr:colOff>57150</xdr:colOff>
                    <xdr:row>41</xdr:row>
                    <xdr:rowOff>57150</xdr:rowOff>
                  </from>
                  <to>
                    <xdr:col>9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6" name="Check Box 23">
              <controlPr locked="0" defaultSize="0" autoFill="0" autoLine="0" autoPict="0">
                <anchor moveWithCells="1">
                  <from>
                    <xdr:col>9</xdr:col>
                    <xdr:colOff>47625</xdr:colOff>
                    <xdr:row>39</xdr:row>
                    <xdr:rowOff>38100</xdr:rowOff>
                  </from>
                  <to>
                    <xdr:col>9</xdr:col>
                    <xdr:colOff>276225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7" name="Check Box 26">
              <controlPr locked="0" defaultSize="0" autoFill="0" autoLine="0" autoPict="0">
                <anchor moveWithCells="1">
                  <from>
                    <xdr:col>9</xdr:col>
                    <xdr:colOff>57150</xdr:colOff>
                    <xdr:row>42</xdr:row>
                    <xdr:rowOff>47625</xdr:rowOff>
                  </from>
                  <to>
                    <xdr:col>9</xdr:col>
                    <xdr:colOff>295275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8" name="Check Box 27">
              <controlPr locked="0" defaultSize="0" autoFill="0" autoLine="0" autoPict="0">
                <anchor moveWithCells="1">
                  <from>
                    <xdr:col>9</xdr:col>
                    <xdr:colOff>57150</xdr:colOff>
                    <xdr:row>43</xdr:row>
                    <xdr:rowOff>19050</xdr:rowOff>
                  </from>
                  <to>
                    <xdr:col>10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" name="Check Box 28">
              <controlPr locked="0" defaultSize="0" autoFill="0" autoLine="0" autoPict="0">
                <anchor moveWithCells="1">
                  <from>
                    <xdr:col>9</xdr:col>
                    <xdr:colOff>57150</xdr:colOff>
                    <xdr:row>44</xdr:row>
                    <xdr:rowOff>57150</xdr:rowOff>
                  </from>
                  <to>
                    <xdr:col>9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" name="Check Box 29">
              <controlPr locked="0" defaultSize="0" autoFill="0" autoLine="0" autoPict="0">
                <anchor moveWithCells="1">
                  <from>
                    <xdr:col>9</xdr:col>
                    <xdr:colOff>38100</xdr:colOff>
                    <xdr:row>45</xdr:row>
                    <xdr:rowOff>28575</xdr:rowOff>
                  </from>
                  <to>
                    <xdr:col>9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1" name="Check Box 30">
              <controlPr locked="0" defaultSize="0" autoFill="0" autoLine="0" autoPict="0">
                <anchor moveWithCells="1">
                  <from>
                    <xdr:col>9</xdr:col>
                    <xdr:colOff>38100</xdr:colOff>
                    <xdr:row>46</xdr:row>
                    <xdr:rowOff>28575</xdr:rowOff>
                  </from>
                  <to>
                    <xdr:col>9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2" name="Check Box 32">
              <controlPr locked="0" defaultSize="0" autoFill="0" autoLine="0" autoPict="0">
                <anchor moveWithCells="1">
                  <from>
                    <xdr:col>10</xdr:col>
                    <xdr:colOff>47625</xdr:colOff>
                    <xdr:row>38</xdr:row>
                    <xdr:rowOff>57150</xdr:rowOff>
                  </from>
                  <to>
                    <xdr:col>10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3" name="Check Box 33">
              <controlPr locked="0" defaultSize="0" autoFill="0" autoLine="0" autoPict="0">
                <anchor moveWithCells="1">
                  <from>
                    <xdr:col>10</xdr:col>
                    <xdr:colOff>38100</xdr:colOff>
                    <xdr:row>40</xdr:row>
                    <xdr:rowOff>28575</xdr:rowOff>
                  </from>
                  <to>
                    <xdr:col>10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4" name="Check Box 34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41</xdr:row>
                    <xdr:rowOff>57150</xdr:rowOff>
                  </from>
                  <to>
                    <xdr:col>10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5" name="Check Box 35">
              <controlPr locked="0" defaultSize="0" autoFill="0" autoLine="0" autoPict="0">
                <anchor moveWithCells="1">
                  <from>
                    <xdr:col>10</xdr:col>
                    <xdr:colOff>47625</xdr:colOff>
                    <xdr:row>39</xdr:row>
                    <xdr:rowOff>38100</xdr:rowOff>
                  </from>
                  <to>
                    <xdr:col>10</xdr:col>
                    <xdr:colOff>276225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6" name="Check Box 37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42</xdr:row>
                    <xdr:rowOff>47625</xdr:rowOff>
                  </from>
                  <to>
                    <xdr:col>10</xdr:col>
                    <xdr:colOff>295275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7" name="Check Box 38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43</xdr:row>
                    <xdr:rowOff>19050</xdr:rowOff>
                  </from>
                  <to>
                    <xdr:col>11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8" name="Check Box 39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44</xdr:row>
                    <xdr:rowOff>57150</xdr:rowOff>
                  </from>
                  <to>
                    <xdr:col>10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9" name="Check Box 40">
              <controlPr locked="0" defaultSize="0" autoFill="0" autoLine="0" autoPict="0">
                <anchor moveWithCells="1">
                  <from>
                    <xdr:col>10</xdr:col>
                    <xdr:colOff>38100</xdr:colOff>
                    <xdr:row>45</xdr:row>
                    <xdr:rowOff>28575</xdr:rowOff>
                  </from>
                  <to>
                    <xdr:col>10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0" name="Check Box 41">
              <controlPr locked="0" defaultSize="0" autoFill="0" autoLine="0" autoPict="0">
                <anchor moveWithCells="1">
                  <from>
                    <xdr:col>10</xdr:col>
                    <xdr:colOff>38100</xdr:colOff>
                    <xdr:row>46</xdr:row>
                    <xdr:rowOff>28575</xdr:rowOff>
                  </from>
                  <to>
                    <xdr:col>10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1" name="Check Box 42">
              <controlPr locked="0" defaultSize="0" autoFill="0" autoLine="0" autoPict="0">
                <anchor moveWithCells="1">
                  <from>
                    <xdr:col>11</xdr:col>
                    <xdr:colOff>47625</xdr:colOff>
                    <xdr:row>38</xdr:row>
                    <xdr:rowOff>28575</xdr:rowOff>
                  </from>
                  <to>
                    <xdr:col>11</xdr:col>
                    <xdr:colOff>247650</xdr:colOff>
                    <xdr:row>38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22" name="Check Box 43">
              <controlPr locked="0" defaultSize="0" autoFill="0" autoLine="0" autoPict="0">
                <anchor moveWithCells="1">
                  <from>
                    <xdr:col>11</xdr:col>
                    <xdr:colOff>47625</xdr:colOff>
                    <xdr:row>40</xdr:row>
                    <xdr:rowOff>9525</xdr:rowOff>
                  </from>
                  <to>
                    <xdr:col>11</xdr:col>
                    <xdr:colOff>257175</xdr:colOff>
                    <xdr:row>40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23" name="Check Box 44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41</xdr:row>
                    <xdr:rowOff>19050</xdr:rowOff>
                  </from>
                  <to>
                    <xdr:col>11</xdr:col>
                    <xdr:colOff>276225</xdr:colOff>
                    <xdr:row>41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24" name="Check Box 45">
              <controlPr locked="0" defaultSize="0" autoFill="0" autoLine="0" autoPict="0">
                <anchor moveWithCells="1">
                  <from>
                    <xdr:col>11</xdr:col>
                    <xdr:colOff>47625</xdr:colOff>
                    <xdr:row>39</xdr:row>
                    <xdr:rowOff>19050</xdr:rowOff>
                  </from>
                  <to>
                    <xdr:col>11</xdr:col>
                    <xdr:colOff>285750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25" name="Check Box 46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37</xdr:row>
                    <xdr:rowOff>57150</xdr:rowOff>
                  </from>
                  <to>
                    <xdr:col>11</xdr:col>
                    <xdr:colOff>219075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26" name="Check Box 47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42</xdr:row>
                    <xdr:rowOff>38100</xdr:rowOff>
                  </from>
                  <to>
                    <xdr:col>12</xdr:col>
                    <xdr:colOff>0</xdr:colOff>
                    <xdr:row>42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27" name="Check Box 48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43</xdr:row>
                    <xdr:rowOff>0</xdr:rowOff>
                  </from>
                  <to>
                    <xdr:col>12</xdr:col>
                    <xdr:colOff>9525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28" name="Check Box 49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44</xdr:row>
                    <xdr:rowOff>28575</xdr:rowOff>
                  </from>
                  <to>
                    <xdr:col>11</xdr:col>
                    <xdr:colOff>295275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9" name="Check Box 50">
              <controlPr locked="0" defaultSize="0" autoFill="0" autoLine="0" autoPict="0">
                <anchor moveWithCells="1">
                  <from>
                    <xdr:col>11</xdr:col>
                    <xdr:colOff>57150</xdr:colOff>
                    <xdr:row>45</xdr:row>
                    <xdr:rowOff>28575</xdr:rowOff>
                  </from>
                  <to>
                    <xdr:col>11</xdr:col>
                    <xdr:colOff>295275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0" name="Check Box 51">
              <controlPr locked="0" defaultSize="0" autoFill="0" autoLine="0" autoPict="0">
                <anchor moveWithCells="1">
                  <from>
                    <xdr:col>11</xdr:col>
                    <xdr:colOff>38100</xdr:colOff>
                    <xdr:row>46</xdr:row>
                    <xdr:rowOff>19050</xdr:rowOff>
                  </from>
                  <to>
                    <xdr:col>11</xdr:col>
                    <xdr:colOff>276225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1" name="Check Box 52">
              <controlPr locked="0" defaultSize="0" autoFill="0" autoLine="0" autoPict="0">
                <anchor moveWithCells="1">
                  <from>
                    <xdr:col>12</xdr:col>
                    <xdr:colOff>57150</xdr:colOff>
                    <xdr:row>38</xdr:row>
                    <xdr:rowOff>66675</xdr:rowOff>
                  </from>
                  <to>
                    <xdr:col>12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2" name="Check Box 53">
              <controlPr locked="0" defaultSize="0" autoFill="0" autoLine="0" autoPict="0">
                <anchor moveWithCells="1">
                  <from>
                    <xdr:col>12</xdr:col>
                    <xdr:colOff>47625</xdr:colOff>
                    <xdr:row>40</xdr:row>
                    <xdr:rowOff>38100</xdr:rowOff>
                  </from>
                  <to>
                    <xdr:col>12</xdr:col>
                    <xdr:colOff>247650</xdr:colOff>
                    <xdr:row>40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3" name="Check Box 54">
              <controlPr locked="0" defaultSize="0" autoFill="0" autoLine="0" autoPict="0">
                <anchor moveWithCells="1">
                  <from>
                    <xdr:col>12</xdr:col>
                    <xdr:colOff>66675</xdr:colOff>
                    <xdr:row>41</xdr:row>
                    <xdr:rowOff>66675</xdr:rowOff>
                  </from>
                  <to>
                    <xdr:col>12</xdr:col>
                    <xdr:colOff>276225</xdr:colOff>
                    <xdr:row>41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4" name="Check Box 55">
              <controlPr locked="0" defaultSize="0" autoFill="0" autoLine="0" autoPict="0">
                <anchor moveWithCells="1">
                  <from>
                    <xdr:col>12</xdr:col>
                    <xdr:colOff>57150</xdr:colOff>
                    <xdr:row>39</xdr:row>
                    <xdr:rowOff>47625</xdr:rowOff>
                  </from>
                  <to>
                    <xdr:col>12</xdr:col>
                    <xdr:colOff>285750</xdr:colOff>
                    <xdr:row>39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35" name="Check Box 57">
              <controlPr locked="0" defaultSize="0" autoFill="0" autoLine="0" autoPict="0">
                <anchor moveWithCells="1">
                  <from>
                    <xdr:col>12</xdr:col>
                    <xdr:colOff>66675</xdr:colOff>
                    <xdr:row>42</xdr:row>
                    <xdr:rowOff>57150</xdr:rowOff>
                  </from>
                  <to>
                    <xdr:col>13</xdr:col>
                    <xdr:colOff>0</xdr:colOff>
                    <xdr:row>42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36" name="Check Box 58">
              <controlPr locked="0" defaultSize="0" autoFill="0" autoLine="0" autoPict="0">
                <anchor moveWithCells="1">
                  <from>
                    <xdr:col>12</xdr:col>
                    <xdr:colOff>66675</xdr:colOff>
                    <xdr:row>43</xdr:row>
                    <xdr:rowOff>28575</xdr:rowOff>
                  </from>
                  <to>
                    <xdr:col>13</xdr:col>
                    <xdr:colOff>9525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37" name="Check Box 59">
              <controlPr locked="0" defaultSize="0" autoFill="0" autoLine="0" autoPict="0">
                <anchor moveWithCells="1">
                  <from>
                    <xdr:col>12</xdr:col>
                    <xdr:colOff>66675</xdr:colOff>
                    <xdr:row>44</xdr:row>
                    <xdr:rowOff>66675</xdr:rowOff>
                  </from>
                  <to>
                    <xdr:col>12</xdr:col>
                    <xdr:colOff>295275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38" name="Check Box 60">
              <controlPr locked="0" defaultSize="0" autoFill="0" autoLine="0" autoPict="0">
                <anchor moveWithCells="1">
                  <from>
                    <xdr:col>12</xdr:col>
                    <xdr:colOff>47625</xdr:colOff>
                    <xdr:row>45</xdr:row>
                    <xdr:rowOff>38100</xdr:rowOff>
                  </from>
                  <to>
                    <xdr:col>12</xdr:col>
                    <xdr:colOff>276225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39" name="Check Box 61">
              <controlPr locked="0" defaultSize="0" autoFill="0" autoLine="0" autoPict="0">
                <anchor moveWithCells="1">
                  <from>
                    <xdr:col>12</xdr:col>
                    <xdr:colOff>47625</xdr:colOff>
                    <xdr:row>46</xdr:row>
                    <xdr:rowOff>38100</xdr:rowOff>
                  </from>
                  <to>
                    <xdr:col>12</xdr:col>
                    <xdr:colOff>276225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0" name="Check Box 62">
              <controlPr locked="0" defaultSize="0" autoFill="0" autoLine="0" autoPict="0">
                <anchor moveWithCells="1">
                  <from>
                    <xdr:col>13</xdr:col>
                    <xdr:colOff>47625</xdr:colOff>
                    <xdr:row>38</xdr:row>
                    <xdr:rowOff>66675</xdr:rowOff>
                  </from>
                  <to>
                    <xdr:col>13</xdr:col>
                    <xdr:colOff>247650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41" name="Check Box 63">
              <controlPr locked="0" defaultSize="0" autoFill="0" autoLine="0" autoPict="0">
                <anchor moveWithCells="1">
                  <from>
                    <xdr:col>13</xdr:col>
                    <xdr:colOff>38100</xdr:colOff>
                    <xdr:row>40</xdr:row>
                    <xdr:rowOff>38100</xdr:rowOff>
                  </from>
                  <to>
                    <xdr:col>13</xdr:col>
                    <xdr:colOff>247650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42" name="Check Box 64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41</xdr:row>
                    <xdr:rowOff>66675</xdr:rowOff>
                  </from>
                  <to>
                    <xdr:col>13</xdr:col>
                    <xdr:colOff>266700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43" name="Check Box 65">
              <controlPr locked="0" defaultSize="0" autoFill="0" autoLine="0" autoPict="0">
                <anchor moveWithCells="1">
                  <from>
                    <xdr:col>13</xdr:col>
                    <xdr:colOff>47625</xdr:colOff>
                    <xdr:row>39</xdr:row>
                    <xdr:rowOff>47625</xdr:rowOff>
                  </from>
                  <to>
                    <xdr:col>13</xdr:col>
                    <xdr:colOff>276225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44" name="Check Box 66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37</xdr:row>
                    <xdr:rowOff>85725</xdr:rowOff>
                  </from>
                  <to>
                    <xdr:col>13</xdr:col>
                    <xdr:colOff>219075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45" name="Check Box 67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42</xdr:row>
                    <xdr:rowOff>57150</xdr:rowOff>
                  </from>
                  <to>
                    <xdr:col>13</xdr:col>
                    <xdr:colOff>295275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46" name="Check Box 68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43</xdr:row>
                    <xdr:rowOff>38100</xdr:rowOff>
                  </from>
                  <to>
                    <xdr:col>14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47" name="Check Box 69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44</xdr:row>
                    <xdr:rowOff>66675</xdr:rowOff>
                  </from>
                  <to>
                    <xdr:col>13</xdr:col>
                    <xdr:colOff>285750</xdr:colOff>
                    <xdr:row>44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48" name="Check Box 70">
              <controlPr locked="0" defaultSize="0" autoFill="0" autoLine="0" autoPict="0">
                <anchor moveWithCells="1">
                  <from>
                    <xdr:col>13</xdr:col>
                    <xdr:colOff>38100</xdr:colOff>
                    <xdr:row>45</xdr:row>
                    <xdr:rowOff>38100</xdr:rowOff>
                  </from>
                  <to>
                    <xdr:col>13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49" name="Check Box 71">
              <controlPr locked="0" defaultSize="0" autoFill="0" autoLine="0" autoPict="0">
                <anchor moveWithCells="1">
                  <from>
                    <xdr:col>13</xdr:col>
                    <xdr:colOff>38100</xdr:colOff>
                    <xdr:row>46</xdr:row>
                    <xdr:rowOff>47625</xdr:rowOff>
                  </from>
                  <to>
                    <xdr:col>13</xdr:col>
                    <xdr:colOff>266700</xdr:colOff>
                    <xdr:row>46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50" name="Check Box 72">
              <controlPr locked="0" defaultSize="0" autoFill="0" autoLine="0" autoPict="0">
                <anchor moveWithCells="1">
                  <from>
                    <xdr:col>14</xdr:col>
                    <xdr:colOff>47625</xdr:colOff>
                    <xdr:row>38</xdr:row>
                    <xdr:rowOff>47625</xdr:rowOff>
                  </from>
                  <to>
                    <xdr:col>14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51" name="Check Box 73">
              <controlPr locked="0" defaultSize="0" autoFill="0" autoLine="0" autoPict="0">
                <anchor moveWithCells="1">
                  <from>
                    <xdr:col>14</xdr:col>
                    <xdr:colOff>38100</xdr:colOff>
                    <xdr:row>40</xdr:row>
                    <xdr:rowOff>19050</xdr:rowOff>
                  </from>
                  <to>
                    <xdr:col>14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52" name="Check Box 74">
              <controlPr locked="0" defaultSize="0" autoFill="0" autoLine="0" autoPict="0">
                <anchor moveWithCells="1">
                  <from>
                    <xdr:col>14</xdr:col>
                    <xdr:colOff>57150</xdr:colOff>
                    <xdr:row>41</xdr:row>
                    <xdr:rowOff>47625</xdr:rowOff>
                  </from>
                  <to>
                    <xdr:col>14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53" name="Check Box 75">
              <controlPr locked="0" defaultSize="0" autoFill="0" autoLine="0" autoPict="0">
                <anchor moveWithCells="1">
                  <from>
                    <xdr:col>14</xdr:col>
                    <xdr:colOff>47625</xdr:colOff>
                    <xdr:row>39</xdr:row>
                    <xdr:rowOff>28575</xdr:rowOff>
                  </from>
                  <to>
                    <xdr:col>14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54" name="Check Box 76">
              <controlPr locked="0" defaultSize="0" autoFill="0" autoLine="0" autoPict="0">
                <anchor moveWithCells="1">
                  <from>
                    <xdr:col>14</xdr:col>
                    <xdr:colOff>57150</xdr:colOff>
                    <xdr:row>37</xdr:row>
                    <xdr:rowOff>76200</xdr:rowOff>
                  </from>
                  <to>
                    <xdr:col>14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55" name="Check Box 77">
              <controlPr locked="0" defaultSize="0" autoFill="0" autoLine="0" autoPict="0">
                <anchor moveWithCells="1">
                  <from>
                    <xdr:col>14</xdr:col>
                    <xdr:colOff>57150</xdr:colOff>
                    <xdr:row>42</xdr:row>
                    <xdr:rowOff>38100</xdr:rowOff>
                  </from>
                  <to>
                    <xdr:col>14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56" name="Check Box 78">
              <controlPr locked="0" defaultSize="0" autoFill="0" autoLine="0" autoPict="0">
                <anchor moveWithCells="1">
                  <from>
                    <xdr:col>14</xdr:col>
                    <xdr:colOff>57150</xdr:colOff>
                    <xdr:row>43</xdr:row>
                    <xdr:rowOff>9525</xdr:rowOff>
                  </from>
                  <to>
                    <xdr:col>15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57" name="Check Box 79">
              <controlPr locked="0" defaultSize="0" autoFill="0" autoLine="0" autoPict="0">
                <anchor moveWithCells="1">
                  <from>
                    <xdr:col>14</xdr:col>
                    <xdr:colOff>57150</xdr:colOff>
                    <xdr:row>44</xdr:row>
                    <xdr:rowOff>47625</xdr:rowOff>
                  </from>
                  <to>
                    <xdr:col>14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58" name="Check Box 80">
              <controlPr locked="0" defaultSize="0" autoFill="0" autoLine="0" autoPict="0">
                <anchor moveWithCells="1">
                  <from>
                    <xdr:col>14</xdr:col>
                    <xdr:colOff>38100</xdr:colOff>
                    <xdr:row>45</xdr:row>
                    <xdr:rowOff>19050</xdr:rowOff>
                  </from>
                  <to>
                    <xdr:col>14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59" name="Check Box 81">
              <controlPr locked="0" defaultSize="0" autoFill="0" autoLine="0" autoPict="0">
                <anchor moveWithCells="1">
                  <from>
                    <xdr:col>14</xdr:col>
                    <xdr:colOff>38100</xdr:colOff>
                    <xdr:row>46</xdr:row>
                    <xdr:rowOff>19050</xdr:rowOff>
                  </from>
                  <to>
                    <xdr:col>14</xdr:col>
                    <xdr:colOff>266700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60" name="Check Box 82">
              <controlPr locked="0" defaultSize="0" autoFill="0" autoLine="0" autoPict="0">
                <anchor moveWithCells="1">
                  <from>
                    <xdr:col>15</xdr:col>
                    <xdr:colOff>47625</xdr:colOff>
                    <xdr:row>38</xdr:row>
                    <xdr:rowOff>47625</xdr:rowOff>
                  </from>
                  <to>
                    <xdr:col>15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61" name="Check Box 83">
              <controlPr locked="0" defaultSize="0" autoFill="0" autoLine="0" autoPict="0">
                <anchor moveWithCells="1">
                  <from>
                    <xdr:col>15</xdr:col>
                    <xdr:colOff>38100</xdr:colOff>
                    <xdr:row>40</xdr:row>
                    <xdr:rowOff>19050</xdr:rowOff>
                  </from>
                  <to>
                    <xdr:col>15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62" name="Check Box 84">
              <controlPr locked="0" defaultSize="0" autoFill="0" autoLine="0" autoPict="0">
                <anchor moveWithCells="1">
                  <from>
                    <xdr:col>15</xdr:col>
                    <xdr:colOff>57150</xdr:colOff>
                    <xdr:row>41</xdr:row>
                    <xdr:rowOff>47625</xdr:rowOff>
                  </from>
                  <to>
                    <xdr:col>15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63" name="Check Box 85">
              <controlPr locked="0" defaultSize="0" autoFill="0" autoLine="0" autoPict="0">
                <anchor moveWithCells="1">
                  <from>
                    <xdr:col>15</xdr:col>
                    <xdr:colOff>47625</xdr:colOff>
                    <xdr:row>39</xdr:row>
                    <xdr:rowOff>28575</xdr:rowOff>
                  </from>
                  <to>
                    <xdr:col>15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64" name="Check Box 86">
              <controlPr locked="0" defaultSize="0" autoFill="0" autoLine="0" autoPict="0">
                <anchor moveWithCells="1">
                  <from>
                    <xdr:col>15</xdr:col>
                    <xdr:colOff>57150</xdr:colOff>
                    <xdr:row>37</xdr:row>
                    <xdr:rowOff>76200</xdr:rowOff>
                  </from>
                  <to>
                    <xdr:col>15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5" name="Check Box 87">
              <controlPr locked="0" defaultSize="0" autoFill="0" autoLine="0" autoPict="0">
                <anchor moveWithCells="1">
                  <from>
                    <xdr:col>15</xdr:col>
                    <xdr:colOff>57150</xdr:colOff>
                    <xdr:row>42</xdr:row>
                    <xdr:rowOff>38100</xdr:rowOff>
                  </from>
                  <to>
                    <xdr:col>15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66" name="Check Box 88">
              <controlPr locked="0" defaultSize="0" autoFill="0" autoLine="0" autoPict="0">
                <anchor moveWithCells="1">
                  <from>
                    <xdr:col>15</xdr:col>
                    <xdr:colOff>57150</xdr:colOff>
                    <xdr:row>43</xdr:row>
                    <xdr:rowOff>9525</xdr:rowOff>
                  </from>
                  <to>
                    <xdr:col>16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67" name="Check Box 89">
              <controlPr locked="0" defaultSize="0" autoFill="0" autoLine="0" autoPict="0">
                <anchor moveWithCells="1">
                  <from>
                    <xdr:col>15</xdr:col>
                    <xdr:colOff>57150</xdr:colOff>
                    <xdr:row>44</xdr:row>
                    <xdr:rowOff>47625</xdr:rowOff>
                  </from>
                  <to>
                    <xdr:col>15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68" name="Check Box 90">
              <controlPr locked="0" defaultSize="0" autoFill="0" autoLine="0" autoPict="0">
                <anchor moveWithCells="1">
                  <from>
                    <xdr:col>15</xdr:col>
                    <xdr:colOff>38100</xdr:colOff>
                    <xdr:row>45</xdr:row>
                    <xdr:rowOff>19050</xdr:rowOff>
                  </from>
                  <to>
                    <xdr:col>15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69" name="Check Box 91">
              <controlPr locked="0" defaultSize="0" autoFill="0" autoLine="0" autoPict="0">
                <anchor moveWithCells="1">
                  <from>
                    <xdr:col>15</xdr:col>
                    <xdr:colOff>38100</xdr:colOff>
                    <xdr:row>46</xdr:row>
                    <xdr:rowOff>19050</xdr:rowOff>
                  </from>
                  <to>
                    <xdr:col>15</xdr:col>
                    <xdr:colOff>266700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0" name="Check Box 92">
              <controlPr locked="0" defaultSize="0" autoFill="0" autoLine="0" autoPict="0">
                <anchor moveWithCells="1">
                  <from>
                    <xdr:col>16</xdr:col>
                    <xdr:colOff>47625</xdr:colOff>
                    <xdr:row>38</xdr:row>
                    <xdr:rowOff>47625</xdr:rowOff>
                  </from>
                  <to>
                    <xdr:col>16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71" name="Check Box 93">
              <controlPr locked="0" defaultSize="0" autoFill="0" autoLine="0" autoPict="0">
                <anchor moveWithCells="1">
                  <from>
                    <xdr:col>16</xdr:col>
                    <xdr:colOff>38100</xdr:colOff>
                    <xdr:row>40</xdr:row>
                    <xdr:rowOff>19050</xdr:rowOff>
                  </from>
                  <to>
                    <xdr:col>16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72" name="Check Box 94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41</xdr:row>
                    <xdr:rowOff>47625</xdr:rowOff>
                  </from>
                  <to>
                    <xdr:col>16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73" name="Check Box 95">
              <controlPr locked="0" defaultSize="0" autoFill="0" autoLine="0" autoPict="0">
                <anchor moveWithCells="1">
                  <from>
                    <xdr:col>16</xdr:col>
                    <xdr:colOff>47625</xdr:colOff>
                    <xdr:row>39</xdr:row>
                    <xdr:rowOff>28575</xdr:rowOff>
                  </from>
                  <to>
                    <xdr:col>16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74" name="Check Box 96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37</xdr:row>
                    <xdr:rowOff>76200</xdr:rowOff>
                  </from>
                  <to>
                    <xdr:col>16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75" name="Check Box 97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42</xdr:row>
                    <xdr:rowOff>38100</xdr:rowOff>
                  </from>
                  <to>
                    <xdr:col>16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76" name="Check Box 98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43</xdr:row>
                    <xdr:rowOff>9525</xdr:rowOff>
                  </from>
                  <to>
                    <xdr:col>17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77" name="Check Box 99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44</xdr:row>
                    <xdr:rowOff>47625</xdr:rowOff>
                  </from>
                  <to>
                    <xdr:col>16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78" name="Check Box 100">
              <controlPr locked="0" defaultSize="0" autoFill="0" autoLine="0" autoPict="0">
                <anchor moveWithCells="1">
                  <from>
                    <xdr:col>16</xdr:col>
                    <xdr:colOff>38100</xdr:colOff>
                    <xdr:row>45</xdr:row>
                    <xdr:rowOff>19050</xdr:rowOff>
                  </from>
                  <to>
                    <xdr:col>16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79" name="Check Box 101">
              <controlPr locked="0" defaultSize="0" autoFill="0" autoLine="0" autoPict="0">
                <anchor moveWithCells="1">
                  <from>
                    <xdr:col>16</xdr:col>
                    <xdr:colOff>38100</xdr:colOff>
                    <xdr:row>46</xdr:row>
                    <xdr:rowOff>19050</xdr:rowOff>
                  </from>
                  <to>
                    <xdr:col>16</xdr:col>
                    <xdr:colOff>266700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80" name="Check Box 102">
              <controlPr locked="0" defaultSize="0" autoFill="0" autoLine="0" autoPict="0">
                <anchor moveWithCells="1">
                  <from>
                    <xdr:col>17</xdr:col>
                    <xdr:colOff>57150</xdr:colOff>
                    <xdr:row>38</xdr:row>
                    <xdr:rowOff>66675</xdr:rowOff>
                  </from>
                  <to>
                    <xdr:col>17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81" name="Check Box 103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40</xdr:row>
                    <xdr:rowOff>38100</xdr:rowOff>
                  </from>
                  <to>
                    <xdr:col>17</xdr:col>
                    <xdr:colOff>247650</xdr:colOff>
                    <xdr:row>40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82" name="Check Box 104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41</xdr:row>
                    <xdr:rowOff>66675</xdr:rowOff>
                  </from>
                  <to>
                    <xdr:col>17</xdr:col>
                    <xdr:colOff>276225</xdr:colOff>
                    <xdr:row>41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83" name="Check Box 105">
              <controlPr locked="0" defaultSize="0" autoFill="0" autoLine="0" autoPict="0">
                <anchor moveWithCells="1">
                  <from>
                    <xdr:col>17</xdr:col>
                    <xdr:colOff>57150</xdr:colOff>
                    <xdr:row>39</xdr:row>
                    <xdr:rowOff>47625</xdr:rowOff>
                  </from>
                  <to>
                    <xdr:col>17</xdr:col>
                    <xdr:colOff>285750</xdr:colOff>
                    <xdr:row>39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84" name="Check Box 106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37</xdr:row>
                    <xdr:rowOff>95250</xdr:rowOff>
                  </from>
                  <to>
                    <xdr:col>17</xdr:col>
                    <xdr:colOff>228600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85" name="Check Box 107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42</xdr:row>
                    <xdr:rowOff>57150</xdr:rowOff>
                  </from>
                  <to>
                    <xdr:col>18</xdr:col>
                    <xdr:colOff>0</xdr:colOff>
                    <xdr:row>42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86" name="Check Box 108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43</xdr:row>
                    <xdr:rowOff>28575</xdr:rowOff>
                  </from>
                  <to>
                    <xdr:col>18</xdr:col>
                    <xdr:colOff>9525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87" name="Check Box 109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44</xdr:row>
                    <xdr:rowOff>66675</xdr:rowOff>
                  </from>
                  <to>
                    <xdr:col>17</xdr:col>
                    <xdr:colOff>295275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88" name="Check Box 110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45</xdr:row>
                    <xdr:rowOff>38100</xdr:rowOff>
                  </from>
                  <to>
                    <xdr:col>17</xdr:col>
                    <xdr:colOff>276225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89" name="Check Box 111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46</xdr:row>
                    <xdr:rowOff>38100</xdr:rowOff>
                  </from>
                  <to>
                    <xdr:col>17</xdr:col>
                    <xdr:colOff>276225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90" name="Check Box 112">
              <controlPr locked="0" defaultSize="0" autoFill="0" autoLine="0" autoPict="0">
                <anchor moveWithCells="1">
                  <from>
                    <xdr:col>18</xdr:col>
                    <xdr:colOff>47625</xdr:colOff>
                    <xdr:row>38</xdr:row>
                    <xdr:rowOff>47625</xdr:rowOff>
                  </from>
                  <to>
                    <xdr:col>18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91" name="Check Box 113">
              <controlPr locked="0" defaultSize="0" autoFill="0" autoLine="0" autoPict="0">
                <anchor moveWithCells="1">
                  <from>
                    <xdr:col>18</xdr:col>
                    <xdr:colOff>38100</xdr:colOff>
                    <xdr:row>40</xdr:row>
                    <xdr:rowOff>19050</xdr:rowOff>
                  </from>
                  <to>
                    <xdr:col>18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92" name="Check Box 114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41</xdr:row>
                    <xdr:rowOff>47625</xdr:rowOff>
                  </from>
                  <to>
                    <xdr:col>18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93" name="Check Box 115">
              <controlPr locked="0" defaultSize="0" autoFill="0" autoLine="0" autoPict="0">
                <anchor moveWithCells="1">
                  <from>
                    <xdr:col>18</xdr:col>
                    <xdr:colOff>47625</xdr:colOff>
                    <xdr:row>39</xdr:row>
                    <xdr:rowOff>28575</xdr:rowOff>
                  </from>
                  <to>
                    <xdr:col>18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94" name="Check Box 116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37</xdr:row>
                    <xdr:rowOff>76200</xdr:rowOff>
                  </from>
                  <to>
                    <xdr:col>18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95" name="Check Box 117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42</xdr:row>
                    <xdr:rowOff>38100</xdr:rowOff>
                  </from>
                  <to>
                    <xdr:col>18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96" name="Check Box 118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43</xdr:row>
                    <xdr:rowOff>57150</xdr:rowOff>
                  </from>
                  <to>
                    <xdr:col>18</xdr:col>
                    <xdr:colOff>228600</xdr:colOff>
                    <xdr:row>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97" name="Check Box 119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44</xdr:row>
                    <xdr:rowOff>47625</xdr:rowOff>
                  </from>
                  <to>
                    <xdr:col>18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98" name="Check Box 120">
              <controlPr locked="0" defaultSize="0" autoFill="0" autoLine="0" autoPict="0">
                <anchor moveWithCells="1">
                  <from>
                    <xdr:col>18</xdr:col>
                    <xdr:colOff>66675</xdr:colOff>
                    <xdr:row>45</xdr:row>
                    <xdr:rowOff>66675</xdr:rowOff>
                  </from>
                  <to>
                    <xdr:col>18</xdr:col>
                    <xdr:colOff>257175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99" name="Check Box 121">
              <controlPr locked="0" defaultSize="0" autoFill="0" autoLine="0" autoPict="0">
                <anchor moveWithCells="1">
                  <from>
                    <xdr:col>18</xdr:col>
                    <xdr:colOff>57150</xdr:colOff>
                    <xdr:row>46</xdr:row>
                    <xdr:rowOff>66675</xdr:rowOff>
                  </from>
                  <to>
                    <xdr:col>18</xdr:col>
                    <xdr:colOff>228600</xdr:colOff>
                    <xdr:row>46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0" name="Check Box 122">
              <controlPr locked="0" defaultSize="0" autoFill="0" autoLine="0" autoPict="0">
                <anchor moveWithCells="1">
                  <from>
                    <xdr:col>19</xdr:col>
                    <xdr:colOff>47625</xdr:colOff>
                    <xdr:row>38</xdr:row>
                    <xdr:rowOff>57150</xdr:rowOff>
                  </from>
                  <to>
                    <xdr:col>19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1" name="Check Box 123">
              <controlPr locked="0" defaultSize="0" autoFill="0" autoLine="0" autoPict="0">
                <anchor moveWithCells="1">
                  <from>
                    <xdr:col>19</xdr:col>
                    <xdr:colOff>38100</xdr:colOff>
                    <xdr:row>40</xdr:row>
                    <xdr:rowOff>28575</xdr:rowOff>
                  </from>
                  <to>
                    <xdr:col>19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2" name="Check Box 124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41</xdr:row>
                    <xdr:rowOff>57150</xdr:rowOff>
                  </from>
                  <to>
                    <xdr:col>19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3" name="Check Box 125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39</xdr:row>
                    <xdr:rowOff>57150</xdr:rowOff>
                  </from>
                  <to>
                    <xdr:col>19</xdr:col>
                    <xdr:colOff>247650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4" name="Check Box 126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37</xdr:row>
                    <xdr:rowOff>85725</xdr:rowOff>
                  </from>
                  <to>
                    <xdr:col>19</xdr:col>
                    <xdr:colOff>247650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5" name="Check Box 127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42</xdr:row>
                    <xdr:rowOff>66675</xdr:rowOff>
                  </from>
                  <to>
                    <xdr:col>19</xdr:col>
                    <xdr:colOff>257175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6" name="Check Box 128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43</xdr:row>
                    <xdr:rowOff>38100</xdr:rowOff>
                  </from>
                  <to>
                    <xdr:col>19</xdr:col>
                    <xdr:colOff>266700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7" name="Check Box 129">
              <controlPr locked="0" defaultSize="0" autoFill="0" autoLine="0" autoPict="0">
                <anchor moveWithCells="1">
                  <from>
                    <xdr:col>19</xdr:col>
                    <xdr:colOff>57150</xdr:colOff>
                    <xdr:row>44</xdr:row>
                    <xdr:rowOff>57150</xdr:rowOff>
                  </from>
                  <to>
                    <xdr:col>19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8" name="Check Box 130">
              <controlPr locked="0" defaultSize="0" autoFill="0" autoLine="0" autoPict="0">
                <anchor moveWithCells="1">
                  <from>
                    <xdr:col>19</xdr:col>
                    <xdr:colOff>38100</xdr:colOff>
                    <xdr:row>45</xdr:row>
                    <xdr:rowOff>28575</xdr:rowOff>
                  </from>
                  <to>
                    <xdr:col>19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9" name="Check Box 131">
              <controlPr locked="0" defaultSize="0" autoFill="0" autoLine="0" autoPict="0">
                <anchor moveWithCells="1">
                  <from>
                    <xdr:col>19</xdr:col>
                    <xdr:colOff>38100</xdr:colOff>
                    <xdr:row>46</xdr:row>
                    <xdr:rowOff>28575</xdr:rowOff>
                  </from>
                  <to>
                    <xdr:col>19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0" name="Check Box 132">
              <controlPr locked="0" defaultSize="0" autoFill="0" autoLine="0" autoPict="0">
                <anchor moveWithCells="1">
                  <from>
                    <xdr:col>20</xdr:col>
                    <xdr:colOff>57150</xdr:colOff>
                    <xdr:row>38</xdr:row>
                    <xdr:rowOff>47625</xdr:rowOff>
                  </from>
                  <to>
                    <xdr:col>20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1" name="Check Box 133">
              <controlPr locked="0" defaultSize="0" autoFill="0" autoLine="0" autoPict="0">
                <anchor moveWithCells="1">
                  <from>
                    <xdr:col>20</xdr:col>
                    <xdr:colOff>47625</xdr:colOff>
                    <xdr:row>40</xdr:row>
                    <xdr:rowOff>19050</xdr:rowOff>
                  </from>
                  <to>
                    <xdr:col>20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2" name="Check Box 134">
              <controlPr locked="0" defaultSize="0" autoFill="0" autoLine="0" autoPict="0">
                <anchor moveWithCells="1">
                  <from>
                    <xdr:col>20</xdr:col>
                    <xdr:colOff>66675</xdr:colOff>
                    <xdr:row>41</xdr:row>
                    <xdr:rowOff>47625</xdr:rowOff>
                  </from>
                  <to>
                    <xdr:col>20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3" name="Check Box 135">
              <controlPr locked="0" defaultSize="0" autoFill="0" autoLine="0" autoPict="0">
                <anchor moveWithCells="1">
                  <from>
                    <xdr:col>20</xdr:col>
                    <xdr:colOff>57150</xdr:colOff>
                    <xdr:row>39</xdr:row>
                    <xdr:rowOff>28575</xdr:rowOff>
                  </from>
                  <to>
                    <xdr:col>20</xdr:col>
                    <xdr:colOff>285750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4" name="Check Box 136">
              <controlPr locked="0" defaultSize="0" autoFill="0" autoLine="0" autoPict="0">
                <anchor moveWithCells="1">
                  <from>
                    <xdr:col>20</xdr:col>
                    <xdr:colOff>66675</xdr:colOff>
                    <xdr:row>37</xdr:row>
                    <xdr:rowOff>76200</xdr:rowOff>
                  </from>
                  <to>
                    <xdr:col>20</xdr:col>
                    <xdr:colOff>228600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5" name="Check Box 137">
              <controlPr locked="0" defaultSize="0" autoFill="0" autoLine="0" autoPict="0">
                <anchor moveWithCells="1">
                  <from>
                    <xdr:col>20</xdr:col>
                    <xdr:colOff>66675</xdr:colOff>
                    <xdr:row>42</xdr:row>
                    <xdr:rowOff>38100</xdr:rowOff>
                  </from>
                  <to>
                    <xdr:col>21</xdr:col>
                    <xdr:colOff>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" name="Check Box 138">
              <controlPr locked="0" defaultSize="0" autoFill="0" autoLine="0" autoPict="0">
                <anchor moveWithCells="1">
                  <from>
                    <xdr:col>20</xdr:col>
                    <xdr:colOff>66675</xdr:colOff>
                    <xdr:row>43</xdr:row>
                    <xdr:rowOff>9525</xdr:rowOff>
                  </from>
                  <to>
                    <xdr:col>21</xdr:col>
                    <xdr:colOff>9525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7" name="Check Box 139">
              <controlPr locked="0" defaultSize="0" autoFill="0" autoLine="0" autoPict="0">
                <anchor moveWithCells="1">
                  <from>
                    <xdr:col>20</xdr:col>
                    <xdr:colOff>66675</xdr:colOff>
                    <xdr:row>44</xdr:row>
                    <xdr:rowOff>47625</xdr:rowOff>
                  </from>
                  <to>
                    <xdr:col>20</xdr:col>
                    <xdr:colOff>295275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8" name="Check Box 140">
              <controlPr locked="0" defaultSize="0" autoFill="0" autoLine="0" autoPict="0">
                <anchor moveWithCells="1">
                  <from>
                    <xdr:col>20</xdr:col>
                    <xdr:colOff>47625</xdr:colOff>
                    <xdr:row>45</xdr:row>
                    <xdr:rowOff>19050</xdr:rowOff>
                  </from>
                  <to>
                    <xdr:col>20</xdr:col>
                    <xdr:colOff>276225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9" name="Check Box 141">
              <controlPr locked="0" defaultSize="0" autoFill="0" autoLine="0" autoPict="0">
                <anchor moveWithCells="1">
                  <from>
                    <xdr:col>20</xdr:col>
                    <xdr:colOff>47625</xdr:colOff>
                    <xdr:row>46</xdr:row>
                    <xdr:rowOff>19050</xdr:rowOff>
                  </from>
                  <to>
                    <xdr:col>20</xdr:col>
                    <xdr:colOff>276225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20" name="Check Box 142">
              <controlPr locked="0" defaultSize="0" autoFill="0" autoLine="0" autoPict="0">
                <anchor moveWithCells="1">
                  <from>
                    <xdr:col>21</xdr:col>
                    <xdr:colOff>47625</xdr:colOff>
                    <xdr:row>38</xdr:row>
                    <xdr:rowOff>47625</xdr:rowOff>
                  </from>
                  <to>
                    <xdr:col>21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21" name="Check Box 143">
              <controlPr locked="0" defaultSize="0" autoFill="0" autoLine="0" autoPict="0">
                <anchor moveWithCells="1">
                  <from>
                    <xdr:col>21</xdr:col>
                    <xdr:colOff>38100</xdr:colOff>
                    <xdr:row>40</xdr:row>
                    <xdr:rowOff>19050</xdr:rowOff>
                  </from>
                  <to>
                    <xdr:col>21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22" name="Check Box 144">
              <controlPr locked="0" defaultSize="0" autoFill="0" autoLine="0" autoPict="0">
                <anchor moveWithCells="1">
                  <from>
                    <xdr:col>21</xdr:col>
                    <xdr:colOff>57150</xdr:colOff>
                    <xdr:row>41</xdr:row>
                    <xdr:rowOff>47625</xdr:rowOff>
                  </from>
                  <to>
                    <xdr:col>21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23" name="Check Box 145">
              <controlPr locked="0" defaultSize="0" autoFill="0" autoLine="0" autoPict="0">
                <anchor moveWithCells="1">
                  <from>
                    <xdr:col>21</xdr:col>
                    <xdr:colOff>47625</xdr:colOff>
                    <xdr:row>39</xdr:row>
                    <xdr:rowOff>28575</xdr:rowOff>
                  </from>
                  <to>
                    <xdr:col>21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24" name="Check Box 146">
              <controlPr locked="0" defaultSize="0" autoFill="0" autoLine="0" autoPict="0">
                <anchor moveWithCells="1">
                  <from>
                    <xdr:col>21</xdr:col>
                    <xdr:colOff>57150</xdr:colOff>
                    <xdr:row>37</xdr:row>
                    <xdr:rowOff>76200</xdr:rowOff>
                  </from>
                  <to>
                    <xdr:col>21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25" name="Check Box 147">
              <controlPr locked="0" defaultSize="0" autoFill="0" autoLine="0" autoPict="0">
                <anchor moveWithCells="1">
                  <from>
                    <xdr:col>21</xdr:col>
                    <xdr:colOff>57150</xdr:colOff>
                    <xdr:row>42</xdr:row>
                    <xdr:rowOff>38100</xdr:rowOff>
                  </from>
                  <to>
                    <xdr:col>21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26" name="Check Box 148">
              <controlPr locked="0" defaultSize="0" autoFill="0" autoLine="0" autoPict="0">
                <anchor moveWithCells="1">
                  <from>
                    <xdr:col>21</xdr:col>
                    <xdr:colOff>57150</xdr:colOff>
                    <xdr:row>43</xdr:row>
                    <xdr:rowOff>66675</xdr:rowOff>
                  </from>
                  <to>
                    <xdr:col>21</xdr:col>
                    <xdr:colOff>266700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27" name="Check Box 149">
              <controlPr locked="0" defaultSize="0" autoFill="0" autoLine="0" autoPict="0">
                <anchor moveWithCells="1">
                  <from>
                    <xdr:col>21</xdr:col>
                    <xdr:colOff>57150</xdr:colOff>
                    <xdr:row>44</xdr:row>
                    <xdr:rowOff>47625</xdr:rowOff>
                  </from>
                  <to>
                    <xdr:col>21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28" name="Check Box 150">
              <controlPr locked="0" defaultSize="0" autoFill="0" autoLine="0" autoPict="0">
                <anchor moveWithCells="1">
                  <from>
                    <xdr:col>21</xdr:col>
                    <xdr:colOff>38100</xdr:colOff>
                    <xdr:row>45</xdr:row>
                    <xdr:rowOff>19050</xdr:rowOff>
                  </from>
                  <to>
                    <xdr:col>21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29" name="Check Box 151">
              <controlPr locked="0" defaultSize="0" autoFill="0" autoLine="0" autoPict="0">
                <anchor moveWithCells="1">
                  <from>
                    <xdr:col>21</xdr:col>
                    <xdr:colOff>38100</xdr:colOff>
                    <xdr:row>46</xdr:row>
                    <xdr:rowOff>19050</xdr:rowOff>
                  </from>
                  <to>
                    <xdr:col>21</xdr:col>
                    <xdr:colOff>266700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30" name="Check Box 152">
              <controlPr locked="0" defaultSize="0" autoFill="0" autoLine="0" autoPict="0">
                <anchor moveWithCells="1">
                  <from>
                    <xdr:col>22</xdr:col>
                    <xdr:colOff>47625</xdr:colOff>
                    <xdr:row>38</xdr:row>
                    <xdr:rowOff>38100</xdr:rowOff>
                  </from>
                  <to>
                    <xdr:col>22</xdr:col>
                    <xdr:colOff>228600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31" name="Check Box 153">
              <controlPr locked="0" defaultSize="0" autoFill="0" autoLine="0" autoPict="0">
                <anchor moveWithCells="1">
                  <from>
                    <xdr:col>22</xdr:col>
                    <xdr:colOff>38100</xdr:colOff>
                    <xdr:row>40</xdr:row>
                    <xdr:rowOff>9525</xdr:rowOff>
                  </from>
                  <to>
                    <xdr:col>22</xdr:col>
                    <xdr:colOff>228600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32" name="Check Box 154">
              <controlPr locked="0" defaultSize="0" autoFill="0" autoLine="0" autoPict="0">
                <anchor moveWithCells="1">
                  <from>
                    <xdr:col>22</xdr:col>
                    <xdr:colOff>57150</xdr:colOff>
                    <xdr:row>41</xdr:row>
                    <xdr:rowOff>38100</xdr:rowOff>
                  </from>
                  <to>
                    <xdr:col>22</xdr:col>
                    <xdr:colOff>257175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33" name="Check Box 155">
              <controlPr locked="0" defaultSize="0" autoFill="0" autoLine="0" autoPict="0">
                <anchor moveWithCells="1">
                  <from>
                    <xdr:col>22</xdr:col>
                    <xdr:colOff>47625</xdr:colOff>
                    <xdr:row>39</xdr:row>
                    <xdr:rowOff>19050</xdr:rowOff>
                  </from>
                  <to>
                    <xdr:col>22</xdr:col>
                    <xdr:colOff>266700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34" name="Check Box 156">
              <controlPr locked="0" defaultSize="0" autoFill="0" autoLine="0" autoPict="0">
                <anchor moveWithCells="1">
                  <from>
                    <xdr:col>22</xdr:col>
                    <xdr:colOff>57150</xdr:colOff>
                    <xdr:row>37</xdr:row>
                    <xdr:rowOff>66675</xdr:rowOff>
                  </from>
                  <to>
                    <xdr:col>22</xdr:col>
                    <xdr:colOff>247650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35" name="Check Box 157">
              <controlPr locked="0" defaultSize="0" autoFill="0" autoLine="0" autoPict="0">
                <anchor moveWithCells="1">
                  <from>
                    <xdr:col>22</xdr:col>
                    <xdr:colOff>57150</xdr:colOff>
                    <xdr:row>42</xdr:row>
                    <xdr:rowOff>28575</xdr:rowOff>
                  </from>
                  <to>
                    <xdr:col>22</xdr:col>
                    <xdr:colOff>285750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36" name="Check Box 158">
              <controlPr locked="0" defaultSize="0" autoFill="0" autoLine="0" autoPict="0">
                <anchor moveWithCells="1">
                  <from>
                    <xdr:col>22</xdr:col>
                    <xdr:colOff>57150</xdr:colOff>
                    <xdr:row>43</xdr:row>
                    <xdr:rowOff>0</xdr:rowOff>
                  </from>
                  <to>
                    <xdr:col>23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37" name="Check Box 159">
              <controlPr locked="0" defaultSize="0" autoFill="0" autoLine="0" autoPict="0">
                <anchor moveWithCells="1">
                  <from>
                    <xdr:col>22</xdr:col>
                    <xdr:colOff>57150</xdr:colOff>
                    <xdr:row>44</xdr:row>
                    <xdr:rowOff>38100</xdr:rowOff>
                  </from>
                  <to>
                    <xdr:col>22</xdr:col>
                    <xdr:colOff>276225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38" name="Check Box 160">
              <controlPr locked="0" defaultSize="0" autoFill="0" autoLine="0" autoPict="0">
                <anchor moveWithCells="1">
                  <from>
                    <xdr:col>22</xdr:col>
                    <xdr:colOff>38100</xdr:colOff>
                    <xdr:row>45</xdr:row>
                    <xdr:rowOff>9525</xdr:rowOff>
                  </from>
                  <to>
                    <xdr:col>22</xdr:col>
                    <xdr:colOff>257175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39" name="Check Box 161">
              <controlPr locked="0" defaultSize="0" autoFill="0" autoLine="0" autoPict="0">
                <anchor moveWithCells="1">
                  <from>
                    <xdr:col>22</xdr:col>
                    <xdr:colOff>38100</xdr:colOff>
                    <xdr:row>46</xdr:row>
                    <xdr:rowOff>9525</xdr:rowOff>
                  </from>
                  <to>
                    <xdr:col>22</xdr:col>
                    <xdr:colOff>257175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40" name="Check Box 162">
              <controlPr locked="0" defaultSize="0" autoFill="0" autoLine="0" autoPict="0">
                <anchor moveWithCells="1">
                  <from>
                    <xdr:col>23</xdr:col>
                    <xdr:colOff>38100</xdr:colOff>
                    <xdr:row>38</xdr:row>
                    <xdr:rowOff>57150</xdr:rowOff>
                  </from>
                  <to>
                    <xdr:col>23</xdr:col>
                    <xdr:colOff>228600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41" name="Check Box 163">
              <controlPr locked="0" defaultSize="0" autoFill="0" autoLine="0" autoPict="0">
                <anchor moveWithCells="1">
                  <from>
                    <xdr:col>23</xdr:col>
                    <xdr:colOff>28575</xdr:colOff>
                    <xdr:row>40</xdr:row>
                    <xdr:rowOff>28575</xdr:rowOff>
                  </from>
                  <to>
                    <xdr:col>23</xdr:col>
                    <xdr:colOff>228600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42" name="Check Box 164">
              <controlPr locked="0" defaultSize="0" autoFill="0" autoLine="0" autoPict="0">
                <anchor moveWithCells="1">
                  <from>
                    <xdr:col>23</xdr:col>
                    <xdr:colOff>47625</xdr:colOff>
                    <xdr:row>41</xdr:row>
                    <xdr:rowOff>57150</xdr:rowOff>
                  </from>
                  <to>
                    <xdr:col>23</xdr:col>
                    <xdr:colOff>257175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43" name="Check Box 165">
              <controlPr locked="0" defaultSize="0" autoFill="0" autoLine="0" autoPict="0">
                <anchor moveWithCells="1">
                  <from>
                    <xdr:col>23</xdr:col>
                    <xdr:colOff>38100</xdr:colOff>
                    <xdr:row>39</xdr:row>
                    <xdr:rowOff>38100</xdr:rowOff>
                  </from>
                  <to>
                    <xdr:col>23</xdr:col>
                    <xdr:colOff>266700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44" name="Check Box 166">
              <controlPr locked="0" defaultSize="0" autoFill="0" autoLine="0" autoPict="0">
                <anchor moveWithCells="1">
                  <from>
                    <xdr:col>23</xdr:col>
                    <xdr:colOff>47625</xdr:colOff>
                    <xdr:row>37</xdr:row>
                    <xdr:rowOff>85725</xdr:rowOff>
                  </from>
                  <to>
                    <xdr:col>23</xdr:col>
                    <xdr:colOff>209550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45" name="Check Box 167">
              <controlPr locked="0" defaultSize="0" autoFill="0" autoLine="0" autoPict="0">
                <anchor moveWithCells="1">
                  <from>
                    <xdr:col>23</xdr:col>
                    <xdr:colOff>47625</xdr:colOff>
                    <xdr:row>42</xdr:row>
                    <xdr:rowOff>47625</xdr:rowOff>
                  </from>
                  <to>
                    <xdr:col>23</xdr:col>
                    <xdr:colOff>285750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46" name="Check Box 168">
              <controlPr locked="0" defaultSize="0" autoFill="0" autoLine="0" autoPict="0">
                <anchor moveWithCells="1">
                  <from>
                    <xdr:col>23</xdr:col>
                    <xdr:colOff>47625</xdr:colOff>
                    <xdr:row>43</xdr:row>
                    <xdr:rowOff>19050</xdr:rowOff>
                  </from>
                  <to>
                    <xdr:col>24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47" name="Check Box 169">
              <controlPr locked="0" defaultSize="0" autoFill="0" autoLine="0" autoPict="0">
                <anchor moveWithCells="1">
                  <from>
                    <xdr:col>23</xdr:col>
                    <xdr:colOff>47625</xdr:colOff>
                    <xdr:row>44</xdr:row>
                    <xdr:rowOff>57150</xdr:rowOff>
                  </from>
                  <to>
                    <xdr:col>23</xdr:col>
                    <xdr:colOff>276225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48" name="Check Box 170">
              <controlPr locked="0" defaultSize="0" autoFill="0" autoLine="0" autoPict="0">
                <anchor moveWithCells="1">
                  <from>
                    <xdr:col>23</xdr:col>
                    <xdr:colOff>28575</xdr:colOff>
                    <xdr:row>45</xdr:row>
                    <xdr:rowOff>28575</xdr:rowOff>
                  </from>
                  <to>
                    <xdr:col>23</xdr:col>
                    <xdr:colOff>257175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49" name="Check Box 171">
              <controlPr locked="0" defaultSize="0" autoFill="0" autoLine="0" autoPict="0">
                <anchor moveWithCells="1">
                  <from>
                    <xdr:col>23</xdr:col>
                    <xdr:colOff>28575</xdr:colOff>
                    <xdr:row>46</xdr:row>
                    <xdr:rowOff>28575</xdr:rowOff>
                  </from>
                  <to>
                    <xdr:col>23</xdr:col>
                    <xdr:colOff>257175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50" name="Check Box 172">
              <controlPr locked="0" defaultSize="0" autoFill="0" autoLine="0" autoPict="0">
                <anchor moveWithCells="1">
                  <from>
                    <xdr:col>24</xdr:col>
                    <xdr:colOff>47625</xdr:colOff>
                    <xdr:row>38</xdr:row>
                    <xdr:rowOff>57150</xdr:rowOff>
                  </from>
                  <to>
                    <xdr:col>24</xdr:col>
                    <xdr:colOff>228600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51" name="Check Box 173">
              <controlPr locked="0" defaultSize="0" autoFill="0" autoLine="0" autoPict="0">
                <anchor moveWithCells="1">
                  <from>
                    <xdr:col>24</xdr:col>
                    <xdr:colOff>38100</xdr:colOff>
                    <xdr:row>40</xdr:row>
                    <xdr:rowOff>28575</xdr:rowOff>
                  </from>
                  <to>
                    <xdr:col>24</xdr:col>
                    <xdr:colOff>228600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52" name="Check Box 174">
              <controlPr locked="0" defaultSize="0" autoFill="0" autoLine="0" autoPict="0">
                <anchor moveWithCells="1">
                  <from>
                    <xdr:col>24</xdr:col>
                    <xdr:colOff>57150</xdr:colOff>
                    <xdr:row>41</xdr:row>
                    <xdr:rowOff>57150</xdr:rowOff>
                  </from>
                  <to>
                    <xdr:col>24</xdr:col>
                    <xdr:colOff>257175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53" name="Check Box 175">
              <controlPr locked="0" defaultSize="0" autoFill="0" autoLine="0" autoPict="0">
                <anchor moveWithCells="1">
                  <from>
                    <xdr:col>24</xdr:col>
                    <xdr:colOff>47625</xdr:colOff>
                    <xdr:row>39</xdr:row>
                    <xdr:rowOff>38100</xdr:rowOff>
                  </from>
                  <to>
                    <xdr:col>24</xdr:col>
                    <xdr:colOff>266700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54" name="Check Box 176">
              <controlPr locked="0" defaultSize="0" autoFill="0" autoLine="0" autoPict="0">
                <anchor moveWithCells="1">
                  <from>
                    <xdr:col>24</xdr:col>
                    <xdr:colOff>57150</xdr:colOff>
                    <xdr:row>37</xdr:row>
                    <xdr:rowOff>85725</xdr:rowOff>
                  </from>
                  <to>
                    <xdr:col>24</xdr:col>
                    <xdr:colOff>209550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55" name="Check Box 177">
              <controlPr locked="0" defaultSize="0" autoFill="0" autoLine="0" autoPict="0">
                <anchor moveWithCells="1">
                  <from>
                    <xdr:col>24</xdr:col>
                    <xdr:colOff>57150</xdr:colOff>
                    <xdr:row>42</xdr:row>
                    <xdr:rowOff>47625</xdr:rowOff>
                  </from>
                  <to>
                    <xdr:col>24</xdr:col>
                    <xdr:colOff>285750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56" name="Check Box 178">
              <controlPr locked="0" defaultSize="0" autoFill="0" autoLine="0" autoPict="0">
                <anchor moveWithCells="1">
                  <from>
                    <xdr:col>24</xdr:col>
                    <xdr:colOff>57150</xdr:colOff>
                    <xdr:row>43</xdr:row>
                    <xdr:rowOff>47625</xdr:rowOff>
                  </from>
                  <to>
                    <xdr:col>24</xdr:col>
                    <xdr:colOff>266700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57" name="Check Box 179">
              <controlPr locked="0" defaultSize="0" autoFill="0" autoLine="0" autoPict="0">
                <anchor moveWithCells="1">
                  <from>
                    <xdr:col>24</xdr:col>
                    <xdr:colOff>57150</xdr:colOff>
                    <xdr:row>44</xdr:row>
                    <xdr:rowOff>57150</xdr:rowOff>
                  </from>
                  <to>
                    <xdr:col>24</xdr:col>
                    <xdr:colOff>276225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58" name="Check Box 180">
              <controlPr locked="0" defaultSize="0" autoFill="0" autoLine="0" autoPict="0">
                <anchor moveWithCells="1">
                  <from>
                    <xdr:col>24</xdr:col>
                    <xdr:colOff>38100</xdr:colOff>
                    <xdr:row>45</xdr:row>
                    <xdr:rowOff>28575</xdr:rowOff>
                  </from>
                  <to>
                    <xdr:col>24</xdr:col>
                    <xdr:colOff>257175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59" name="Check Box 181">
              <controlPr locked="0" defaultSize="0" autoFill="0" autoLine="0" autoPict="0">
                <anchor moveWithCells="1">
                  <from>
                    <xdr:col>24</xdr:col>
                    <xdr:colOff>38100</xdr:colOff>
                    <xdr:row>46</xdr:row>
                    <xdr:rowOff>28575</xdr:rowOff>
                  </from>
                  <to>
                    <xdr:col>24</xdr:col>
                    <xdr:colOff>257175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60" name="Check Box 182">
              <controlPr locked="0" defaultSize="0" autoFill="0" autoLine="0" autoPict="0">
                <anchor moveWithCells="1">
                  <from>
                    <xdr:col>25</xdr:col>
                    <xdr:colOff>47625</xdr:colOff>
                    <xdr:row>38</xdr:row>
                    <xdr:rowOff>57150</xdr:rowOff>
                  </from>
                  <to>
                    <xdr:col>25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61" name="Check Box 183">
              <controlPr locked="0" defaultSize="0" autoFill="0" autoLine="0" autoPict="0">
                <anchor moveWithCells="1">
                  <from>
                    <xdr:col>25</xdr:col>
                    <xdr:colOff>38100</xdr:colOff>
                    <xdr:row>40</xdr:row>
                    <xdr:rowOff>28575</xdr:rowOff>
                  </from>
                  <to>
                    <xdr:col>25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62" name="Check Box 184">
              <controlPr locked="0" defaultSize="0" autoFill="0" autoLine="0" autoPict="0">
                <anchor moveWithCells="1">
                  <from>
                    <xdr:col>25</xdr:col>
                    <xdr:colOff>57150</xdr:colOff>
                    <xdr:row>41</xdr:row>
                    <xdr:rowOff>57150</xdr:rowOff>
                  </from>
                  <to>
                    <xdr:col>25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63" name="Check Box 185">
              <controlPr locked="0" defaultSize="0" autoFill="0" autoLine="0" autoPict="0">
                <anchor moveWithCells="1">
                  <from>
                    <xdr:col>25</xdr:col>
                    <xdr:colOff>47625</xdr:colOff>
                    <xdr:row>39</xdr:row>
                    <xdr:rowOff>38100</xdr:rowOff>
                  </from>
                  <to>
                    <xdr:col>25</xdr:col>
                    <xdr:colOff>276225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64" name="Check Box 186">
              <controlPr locked="0" defaultSize="0" autoFill="0" autoLine="0" autoPict="0">
                <anchor moveWithCells="1">
                  <from>
                    <xdr:col>25</xdr:col>
                    <xdr:colOff>57150</xdr:colOff>
                    <xdr:row>37</xdr:row>
                    <xdr:rowOff>85725</xdr:rowOff>
                  </from>
                  <to>
                    <xdr:col>25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65" name="Check Box 187">
              <controlPr locked="0" defaultSize="0" autoFill="0" autoLine="0" autoPict="0">
                <anchor moveWithCells="1">
                  <from>
                    <xdr:col>25</xdr:col>
                    <xdr:colOff>57150</xdr:colOff>
                    <xdr:row>42</xdr:row>
                    <xdr:rowOff>47625</xdr:rowOff>
                  </from>
                  <to>
                    <xdr:col>25</xdr:col>
                    <xdr:colOff>266700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66" name="Check Box 188">
              <controlPr locked="0" defaultSize="0" autoFill="0" autoLine="0" autoPict="0">
                <anchor moveWithCells="1">
                  <from>
                    <xdr:col>25</xdr:col>
                    <xdr:colOff>57150</xdr:colOff>
                    <xdr:row>43</xdr:row>
                    <xdr:rowOff>19050</xdr:rowOff>
                  </from>
                  <to>
                    <xdr:col>26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67" name="Check Box 189">
              <controlPr locked="0"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47625</xdr:rowOff>
                  </from>
                  <to>
                    <xdr:col>25</xdr:col>
                    <xdr:colOff>257175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68" name="Check Box 190">
              <controlPr locked="0" defaultSize="0" autoFill="0" autoLine="0" autoPict="0">
                <anchor moveWithCells="1">
                  <from>
                    <xdr:col>25</xdr:col>
                    <xdr:colOff>38100</xdr:colOff>
                    <xdr:row>45</xdr:row>
                    <xdr:rowOff>28575</xdr:rowOff>
                  </from>
                  <to>
                    <xdr:col>25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69" name="Check Box 191">
              <controlPr locked="0" defaultSize="0" autoFill="0" autoLine="0" autoPict="0">
                <anchor moveWithCells="1">
                  <from>
                    <xdr:col>25</xdr:col>
                    <xdr:colOff>38100</xdr:colOff>
                    <xdr:row>46</xdr:row>
                    <xdr:rowOff>28575</xdr:rowOff>
                  </from>
                  <to>
                    <xdr:col>25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70" name="Check Box 192">
              <controlPr locked="0" defaultSize="0" autoFill="0" autoLine="0" autoPict="0">
                <anchor moveWithCells="1">
                  <from>
                    <xdr:col>26</xdr:col>
                    <xdr:colOff>47625</xdr:colOff>
                    <xdr:row>38</xdr:row>
                    <xdr:rowOff>57150</xdr:rowOff>
                  </from>
                  <to>
                    <xdr:col>26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71" name="Check Box 193">
              <controlPr locked="0" defaultSize="0" autoFill="0" autoLine="0" autoPict="0">
                <anchor moveWithCells="1">
                  <from>
                    <xdr:col>26</xdr:col>
                    <xdr:colOff>38100</xdr:colOff>
                    <xdr:row>40</xdr:row>
                    <xdr:rowOff>28575</xdr:rowOff>
                  </from>
                  <to>
                    <xdr:col>26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72" name="Check Box 194">
              <controlPr locked="0" defaultSize="0" autoFill="0" autoLine="0" autoPict="0">
                <anchor moveWithCells="1">
                  <from>
                    <xdr:col>26</xdr:col>
                    <xdr:colOff>57150</xdr:colOff>
                    <xdr:row>41</xdr:row>
                    <xdr:rowOff>57150</xdr:rowOff>
                  </from>
                  <to>
                    <xdr:col>26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73" name="Check Box 195">
              <controlPr locked="0" defaultSize="0" autoFill="0" autoLine="0" autoPict="0">
                <anchor moveWithCells="1">
                  <from>
                    <xdr:col>26</xdr:col>
                    <xdr:colOff>47625</xdr:colOff>
                    <xdr:row>39</xdr:row>
                    <xdr:rowOff>38100</xdr:rowOff>
                  </from>
                  <to>
                    <xdr:col>26</xdr:col>
                    <xdr:colOff>276225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74" name="Check Box 196">
              <controlPr locked="0" defaultSize="0" autoFill="0" autoLine="0" autoPict="0">
                <anchor moveWithCells="1">
                  <from>
                    <xdr:col>26</xdr:col>
                    <xdr:colOff>57150</xdr:colOff>
                    <xdr:row>37</xdr:row>
                    <xdr:rowOff>85725</xdr:rowOff>
                  </from>
                  <to>
                    <xdr:col>26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75" name="Check Box 197">
              <controlPr locked="0" defaultSize="0" autoFill="0" autoLine="0" autoPict="0">
                <anchor moveWithCells="1">
                  <from>
                    <xdr:col>26</xdr:col>
                    <xdr:colOff>57150</xdr:colOff>
                    <xdr:row>42</xdr:row>
                    <xdr:rowOff>47625</xdr:rowOff>
                  </from>
                  <to>
                    <xdr:col>26</xdr:col>
                    <xdr:colOff>295275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76" name="Check Box 198">
              <controlPr locked="0" defaultSize="0" autoFill="0" autoLine="0" autoPict="0">
                <anchor moveWithCells="1">
                  <from>
                    <xdr:col>26</xdr:col>
                    <xdr:colOff>57150</xdr:colOff>
                    <xdr:row>43</xdr:row>
                    <xdr:rowOff>19050</xdr:rowOff>
                  </from>
                  <to>
                    <xdr:col>27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77" name="Check Box 199">
              <controlPr locked="0" defaultSize="0" autoFill="0" autoLine="0" autoPict="0">
                <anchor moveWithCells="1">
                  <from>
                    <xdr:col>26</xdr:col>
                    <xdr:colOff>57150</xdr:colOff>
                    <xdr:row>44</xdr:row>
                    <xdr:rowOff>57150</xdr:rowOff>
                  </from>
                  <to>
                    <xdr:col>26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78" name="Check Box 200">
              <controlPr locked="0" defaultSize="0" autoFill="0" autoLine="0" autoPict="0">
                <anchor moveWithCells="1">
                  <from>
                    <xdr:col>26</xdr:col>
                    <xdr:colOff>38100</xdr:colOff>
                    <xdr:row>45</xdr:row>
                    <xdr:rowOff>28575</xdr:rowOff>
                  </from>
                  <to>
                    <xdr:col>26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79" name="Check Box 201">
              <controlPr locked="0" defaultSize="0" autoFill="0" autoLine="0" autoPict="0">
                <anchor moveWithCells="1">
                  <from>
                    <xdr:col>26</xdr:col>
                    <xdr:colOff>38100</xdr:colOff>
                    <xdr:row>46</xdr:row>
                    <xdr:rowOff>28575</xdr:rowOff>
                  </from>
                  <to>
                    <xdr:col>26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80" name="Check Box 202">
              <controlPr locked="0" defaultSize="0" autoFill="0" autoLine="0" autoPict="0">
                <anchor moveWithCells="1">
                  <from>
                    <xdr:col>27</xdr:col>
                    <xdr:colOff>57150</xdr:colOff>
                    <xdr:row>38</xdr:row>
                    <xdr:rowOff>57150</xdr:rowOff>
                  </from>
                  <to>
                    <xdr:col>27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81" name="Check Box 203">
              <controlPr locked="0" defaultSize="0" autoFill="0" autoLine="0" autoPict="0">
                <anchor moveWithCells="1">
                  <from>
                    <xdr:col>27</xdr:col>
                    <xdr:colOff>47625</xdr:colOff>
                    <xdr:row>40</xdr:row>
                    <xdr:rowOff>28575</xdr:rowOff>
                  </from>
                  <to>
                    <xdr:col>27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82" name="Check Box 204">
              <controlPr locked="0" defaultSize="0" autoFill="0" autoLine="0" autoPict="0">
                <anchor moveWithCells="1">
                  <from>
                    <xdr:col>27</xdr:col>
                    <xdr:colOff>66675</xdr:colOff>
                    <xdr:row>41</xdr:row>
                    <xdr:rowOff>57150</xdr:rowOff>
                  </from>
                  <to>
                    <xdr:col>27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83" name="Check Box 205">
              <controlPr locked="0" defaultSize="0" autoFill="0" autoLine="0" autoPict="0">
                <anchor moveWithCells="1">
                  <from>
                    <xdr:col>27</xdr:col>
                    <xdr:colOff>57150</xdr:colOff>
                    <xdr:row>39</xdr:row>
                    <xdr:rowOff>38100</xdr:rowOff>
                  </from>
                  <to>
                    <xdr:col>27</xdr:col>
                    <xdr:colOff>285750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84" name="Check Box 206">
              <controlPr locked="0" defaultSize="0" autoFill="0" autoLine="0" autoPict="0">
                <anchor moveWithCells="1">
                  <from>
                    <xdr:col>27</xdr:col>
                    <xdr:colOff>66675</xdr:colOff>
                    <xdr:row>37</xdr:row>
                    <xdr:rowOff>85725</xdr:rowOff>
                  </from>
                  <to>
                    <xdr:col>27</xdr:col>
                    <xdr:colOff>228600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85" name="Check Box 207">
              <controlPr locked="0" defaultSize="0" autoFill="0" autoLine="0" autoPict="0">
                <anchor moveWithCells="1">
                  <from>
                    <xdr:col>27</xdr:col>
                    <xdr:colOff>66675</xdr:colOff>
                    <xdr:row>42</xdr:row>
                    <xdr:rowOff>47625</xdr:rowOff>
                  </from>
                  <to>
                    <xdr:col>28</xdr:col>
                    <xdr:colOff>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86" name="Check Box 208">
              <controlPr locked="0" defaultSize="0" autoFill="0" autoLine="0" autoPict="0">
                <anchor moveWithCells="1">
                  <from>
                    <xdr:col>27</xdr:col>
                    <xdr:colOff>66675</xdr:colOff>
                    <xdr:row>43</xdr:row>
                    <xdr:rowOff>19050</xdr:rowOff>
                  </from>
                  <to>
                    <xdr:col>28</xdr:col>
                    <xdr:colOff>9525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87" name="Check Box 209">
              <controlPr locked="0" defaultSize="0" autoFill="0" autoLine="0" autoPict="0">
                <anchor moveWithCells="1">
                  <from>
                    <xdr:col>27</xdr:col>
                    <xdr:colOff>66675</xdr:colOff>
                    <xdr:row>44</xdr:row>
                    <xdr:rowOff>57150</xdr:rowOff>
                  </from>
                  <to>
                    <xdr:col>27</xdr:col>
                    <xdr:colOff>295275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88" name="Check Box 210">
              <controlPr locked="0" defaultSize="0" autoFill="0" autoLine="0" autoPict="0">
                <anchor moveWithCells="1">
                  <from>
                    <xdr:col>27</xdr:col>
                    <xdr:colOff>47625</xdr:colOff>
                    <xdr:row>45</xdr:row>
                    <xdr:rowOff>28575</xdr:rowOff>
                  </from>
                  <to>
                    <xdr:col>27</xdr:col>
                    <xdr:colOff>276225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89" name="Check Box 211">
              <controlPr locked="0" defaultSize="0" autoFill="0" autoLine="0" autoPict="0">
                <anchor moveWithCells="1">
                  <from>
                    <xdr:col>27</xdr:col>
                    <xdr:colOff>47625</xdr:colOff>
                    <xdr:row>46</xdr:row>
                    <xdr:rowOff>28575</xdr:rowOff>
                  </from>
                  <to>
                    <xdr:col>27</xdr:col>
                    <xdr:colOff>276225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90" name="Check Box 212">
              <controlPr locked="0" defaultSize="0" autoFill="0" autoLine="0" autoPict="0">
                <anchor moveWithCells="1">
                  <from>
                    <xdr:col>28</xdr:col>
                    <xdr:colOff>47625</xdr:colOff>
                    <xdr:row>38</xdr:row>
                    <xdr:rowOff>57150</xdr:rowOff>
                  </from>
                  <to>
                    <xdr:col>28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91" name="Check Box 213">
              <controlPr locked="0" defaultSize="0" autoFill="0" autoLine="0" autoPict="0">
                <anchor moveWithCells="1">
                  <from>
                    <xdr:col>28</xdr:col>
                    <xdr:colOff>38100</xdr:colOff>
                    <xdr:row>40</xdr:row>
                    <xdr:rowOff>28575</xdr:rowOff>
                  </from>
                  <to>
                    <xdr:col>28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92" name="Check Box 214">
              <controlPr locked="0" defaultSize="0" autoFill="0" autoLine="0" autoPict="0">
                <anchor moveWithCells="1">
                  <from>
                    <xdr:col>28</xdr:col>
                    <xdr:colOff>57150</xdr:colOff>
                    <xdr:row>41</xdr:row>
                    <xdr:rowOff>57150</xdr:rowOff>
                  </from>
                  <to>
                    <xdr:col>28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93" name="Check Box 215">
              <controlPr locked="0" defaultSize="0" autoFill="0" autoLine="0" autoPict="0">
                <anchor moveWithCells="1">
                  <from>
                    <xdr:col>28</xdr:col>
                    <xdr:colOff>47625</xdr:colOff>
                    <xdr:row>39</xdr:row>
                    <xdr:rowOff>38100</xdr:rowOff>
                  </from>
                  <to>
                    <xdr:col>28</xdr:col>
                    <xdr:colOff>276225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94" name="Check Box 216">
              <controlPr locked="0" defaultSize="0" autoFill="0" autoLine="0" autoPict="0">
                <anchor moveWithCells="1">
                  <from>
                    <xdr:col>28</xdr:col>
                    <xdr:colOff>57150</xdr:colOff>
                    <xdr:row>37</xdr:row>
                    <xdr:rowOff>85725</xdr:rowOff>
                  </from>
                  <to>
                    <xdr:col>28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95" name="Check Box 217">
              <controlPr locked="0" defaultSize="0" autoFill="0" autoLine="0" autoPict="0">
                <anchor moveWithCells="1">
                  <from>
                    <xdr:col>28</xdr:col>
                    <xdr:colOff>57150</xdr:colOff>
                    <xdr:row>42</xdr:row>
                    <xdr:rowOff>47625</xdr:rowOff>
                  </from>
                  <to>
                    <xdr:col>28</xdr:col>
                    <xdr:colOff>295275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96" name="Check Box 218">
              <controlPr locked="0" defaultSize="0" autoFill="0" autoLine="0" autoPict="0">
                <anchor moveWithCells="1">
                  <from>
                    <xdr:col>28</xdr:col>
                    <xdr:colOff>57150</xdr:colOff>
                    <xdr:row>43</xdr:row>
                    <xdr:rowOff>19050</xdr:rowOff>
                  </from>
                  <to>
                    <xdr:col>29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97" name="Check Box 219">
              <controlPr locked="0" defaultSize="0" autoFill="0" autoLine="0" autoPict="0">
                <anchor moveWithCells="1">
                  <from>
                    <xdr:col>28</xdr:col>
                    <xdr:colOff>57150</xdr:colOff>
                    <xdr:row>44</xdr:row>
                    <xdr:rowOff>57150</xdr:rowOff>
                  </from>
                  <to>
                    <xdr:col>28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98" name="Check Box 220">
              <controlPr locked="0" defaultSize="0" autoFill="0" autoLine="0" autoPict="0">
                <anchor moveWithCells="1">
                  <from>
                    <xdr:col>28</xdr:col>
                    <xdr:colOff>38100</xdr:colOff>
                    <xdr:row>45</xdr:row>
                    <xdr:rowOff>28575</xdr:rowOff>
                  </from>
                  <to>
                    <xdr:col>28</xdr:col>
                    <xdr:colOff>266700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99" name="Check Box 221">
              <controlPr locked="0" defaultSize="0" autoFill="0" autoLine="0" autoPict="0">
                <anchor moveWithCells="1">
                  <from>
                    <xdr:col>28</xdr:col>
                    <xdr:colOff>38100</xdr:colOff>
                    <xdr:row>46</xdr:row>
                    <xdr:rowOff>28575</xdr:rowOff>
                  </from>
                  <to>
                    <xdr:col>28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200" name="Check Box 222">
              <controlPr locked="0" defaultSize="0" autoFill="0" autoLine="0" autoPict="0">
                <anchor moveWithCells="1">
                  <from>
                    <xdr:col>29</xdr:col>
                    <xdr:colOff>57150</xdr:colOff>
                    <xdr:row>38</xdr:row>
                    <xdr:rowOff>57150</xdr:rowOff>
                  </from>
                  <to>
                    <xdr:col>29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201" name="Check Box 223">
              <controlPr locked="0" defaultSize="0" autoFill="0" autoLine="0" autoPict="0">
                <anchor moveWithCells="1">
                  <from>
                    <xdr:col>29</xdr:col>
                    <xdr:colOff>47625</xdr:colOff>
                    <xdr:row>40</xdr:row>
                    <xdr:rowOff>28575</xdr:rowOff>
                  </from>
                  <to>
                    <xdr:col>29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202" name="Check Box 224">
              <controlPr locked="0" defaultSize="0" autoFill="0" autoLine="0" autoPict="0">
                <anchor moveWithCells="1">
                  <from>
                    <xdr:col>29</xdr:col>
                    <xdr:colOff>66675</xdr:colOff>
                    <xdr:row>41</xdr:row>
                    <xdr:rowOff>57150</xdr:rowOff>
                  </from>
                  <to>
                    <xdr:col>29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203" name="Check Box 225">
              <controlPr locked="0" defaultSize="0" autoFill="0" autoLine="0" autoPict="0">
                <anchor moveWithCells="1">
                  <from>
                    <xdr:col>29</xdr:col>
                    <xdr:colOff>57150</xdr:colOff>
                    <xdr:row>39</xdr:row>
                    <xdr:rowOff>38100</xdr:rowOff>
                  </from>
                  <to>
                    <xdr:col>29</xdr:col>
                    <xdr:colOff>285750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204" name="Check Box 226">
              <controlPr locked="0" defaultSize="0" autoFill="0" autoLine="0" autoPict="0">
                <anchor moveWithCells="1">
                  <from>
                    <xdr:col>29</xdr:col>
                    <xdr:colOff>66675</xdr:colOff>
                    <xdr:row>37</xdr:row>
                    <xdr:rowOff>85725</xdr:rowOff>
                  </from>
                  <to>
                    <xdr:col>29</xdr:col>
                    <xdr:colOff>228600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205" name="Check Box 227">
              <controlPr locked="0" defaultSize="0" autoFill="0" autoLine="0" autoPict="0">
                <anchor moveWithCells="1">
                  <from>
                    <xdr:col>29</xdr:col>
                    <xdr:colOff>66675</xdr:colOff>
                    <xdr:row>42</xdr:row>
                    <xdr:rowOff>47625</xdr:rowOff>
                  </from>
                  <to>
                    <xdr:col>30</xdr:col>
                    <xdr:colOff>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206" name="Check Box 228">
              <controlPr locked="0" defaultSize="0" autoFill="0" autoLine="0" autoPict="0">
                <anchor moveWithCells="1">
                  <from>
                    <xdr:col>29</xdr:col>
                    <xdr:colOff>66675</xdr:colOff>
                    <xdr:row>43</xdr:row>
                    <xdr:rowOff>19050</xdr:rowOff>
                  </from>
                  <to>
                    <xdr:col>30</xdr:col>
                    <xdr:colOff>9525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207" name="Check Box 229">
              <controlPr locked="0" defaultSize="0" autoFill="0" autoLine="0" autoPict="0">
                <anchor moveWithCells="1">
                  <from>
                    <xdr:col>29</xdr:col>
                    <xdr:colOff>66675</xdr:colOff>
                    <xdr:row>44</xdr:row>
                    <xdr:rowOff>57150</xdr:rowOff>
                  </from>
                  <to>
                    <xdr:col>29</xdr:col>
                    <xdr:colOff>295275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208" name="Check Box 230">
              <controlPr locked="0" defaultSize="0" autoFill="0" autoLine="0" autoPict="0">
                <anchor moveWithCells="1">
                  <from>
                    <xdr:col>29</xdr:col>
                    <xdr:colOff>47625</xdr:colOff>
                    <xdr:row>45</xdr:row>
                    <xdr:rowOff>28575</xdr:rowOff>
                  </from>
                  <to>
                    <xdr:col>29</xdr:col>
                    <xdr:colOff>276225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209" name="Check Box 231">
              <controlPr locked="0" defaultSize="0" autoFill="0" autoLine="0" autoPict="0">
                <anchor moveWithCells="1">
                  <from>
                    <xdr:col>29</xdr:col>
                    <xdr:colOff>47625</xdr:colOff>
                    <xdr:row>46</xdr:row>
                    <xdr:rowOff>28575</xdr:rowOff>
                  </from>
                  <to>
                    <xdr:col>29</xdr:col>
                    <xdr:colOff>276225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210" name="Check Box 232">
              <controlPr locked="0" defaultSize="0" autoFill="0" autoLine="0" autoPict="0">
                <anchor moveWithCells="1">
                  <from>
                    <xdr:col>30</xdr:col>
                    <xdr:colOff>57150</xdr:colOff>
                    <xdr:row>38</xdr:row>
                    <xdr:rowOff>57150</xdr:rowOff>
                  </from>
                  <to>
                    <xdr:col>30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211" name="Check Box 233">
              <controlPr locked="0" defaultSize="0" autoFill="0" autoLine="0" autoPict="0">
                <anchor moveWithCells="1">
                  <from>
                    <xdr:col>30</xdr:col>
                    <xdr:colOff>47625</xdr:colOff>
                    <xdr:row>40</xdr:row>
                    <xdr:rowOff>28575</xdr:rowOff>
                  </from>
                  <to>
                    <xdr:col>30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212" name="Check Box 234">
              <controlPr locked="0" defaultSize="0" autoFill="0" autoLine="0" autoPict="0">
                <anchor moveWithCells="1">
                  <from>
                    <xdr:col>30</xdr:col>
                    <xdr:colOff>66675</xdr:colOff>
                    <xdr:row>41</xdr:row>
                    <xdr:rowOff>57150</xdr:rowOff>
                  </from>
                  <to>
                    <xdr:col>30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213" name="Check Box 235">
              <controlPr locked="0" defaultSize="0" autoFill="0" autoLine="0" autoPict="0">
                <anchor moveWithCells="1">
                  <from>
                    <xdr:col>30</xdr:col>
                    <xdr:colOff>57150</xdr:colOff>
                    <xdr:row>39</xdr:row>
                    <xdr:rowOff>38100</xdr:rowOff>
                  </from>
                  <to>
                    <xdr:col>30</xdr:col>
                    <xdr:colOff>285750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214" name="Check Box 236">
              <controlPr locked="0" defaultSize="0" autoFill="0" autoLine="0" autoPict="0">
                <anchor moveWithCells="1">
                  <from>
                    <xdr:col>30</xdr:col>
                    <xdr:colOff>66675</xdr:colOff>
                    <xdr:row>37</xdr:row>
                    <xdr:rowOff>85725</xdr:rowOff>
                  </from>
                  <to>
                    <xdr:col>30</xdr:col>
                    <xdr:colOff>228600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215" name="Check Box 237">
              <controlPr locked="0" defaultSize="0" autoFill="0" autoLine="0" autoPict="0">
                <anchor moveWithCells="1">
                  <from>
                    <xdr:col>30</xdr:col>
                    <xdr:colOff>66675</xdr:colOff>
                    <xdr:row>42</xdr:row>
                    <xdr:rowOff>47625</xdr:rowOff>
                  </from>
                  <to>
                    <xdr:col>31</xdr:col>
                    <xdr:colOff>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216" name="Check Box 238">
              <controlPr locked="0" defaultSize="0" autoFill="0" autoLine="0" autoPict="0">
                <anchor moveWithCells="1">
                  <from>
                    <xdr:col>30</xdr:col>
                    <xdr:colOff>66675</xdr:colOff>
                    <xdr:row>43</xdr:row>
                    <xdr:rowOff>19050</xdr:rowOff>
                  </from>
                  <to>
                    <xdr:col>31</xdr:col>
                    <xdr:colOff>9525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217" name="Check Box 239">
              <controlPr locked="0" defaultSize="0" autoFill="0" autoLine="0" autoPict="0">
                <anchor moveWithCells="1">
                  <from>
                    <xdr:col>30</xdr:col>
                    <xdr:colOff>66675</xdr:colOff>
                    <xdr:row>44</xdr:row>
                    <xdr:rowOff>57150</xdr:rowOff>
                  </from>
                  <to>
                    <xdr:col>30</xdr:col>
                    <xdr:colOff>295275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218" name="Check Box 240">
              <controlPr locked="0" defaultSize="0" autoFill="0" autoLine="0" autoPict="0">
                <anchor moveWithCells="1">
                  <from>
                    <xdr:col>30</xdr:col>
                    <xdr:colOff>47625</xdr:colOff>
                    <xdr:row>45</xdr:row>
                    <xdr:rowOff>28575</xdr:rowOff>
                  </from>
                  <to>
                    <xdr:col>30</xdr:col>
                    <xdr:colOff>276225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219" name="Check Box 241">
              <controlPr locked="0" defaultSize="0" autoFill="0" autoLine="0" autoPict="0">
                <anchor moveWithCells="1">
                  <from>
                    <xdr:col>30</xdr:col>
                    <xdr:colOff>47625</xdr:colOff>
                    <xdr:row>46</xdr:row>
                    <xdr:rowOff>28575</xdr:rowOff>
                  </from>
                  <to>
                    <xdr:col>30</xdr:col>
                    <xdr:colOff>276225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220" name="Check Box 242">
              <controlPr locked="0" defaultSize="0" autoFill="0" autoLine="0" autoPict="0">
                <anchor moveWithCells="1">
                  <from>
                    <xdr:col>39</xdr:col>
                    <xdr:colOff>57150</xdr:colOff>
                    <xdr:row>38</xdr:row>
                    <xdr:rowOff>57150</xdr:rowOff>
                  </from>
                  <to>
                    <xdr:col>39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221" name="Check Box 243">
              <controlPr locked="0" defaultSize="0" autoFill="0" autoLine="0" autoPict="0">
                <anchor moveWithCells="1">
                  <from>
                    <xdr:col>39</xdr:col>
                    <xdr:colOff>47625</xdr:colOff>
                    <xdr:row>40</xdr:row>
                    <xdr:rowOff>28575</xdr:rowOff>
                  </from>
                  <to>
                    <xdr:col>39</xdr:col>
                    <xdr:colOff>247650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222" name="Check Box 244">
              <controlPr locked="0" defaultSize="0" autoFill="0" autoLine="0" autoPict="0">
                <anchor moveWithCells="1">
                  <from>
                    <xdr:col>39</xdr:col>
                    <xdr:colOff>66675</xdr:colOff>
                    <xdr:row>41</xdr:row>
                    <xdr:rowOff>57150</xdr:rowOff>
                  </from>
                  <to>
                    <xdr:col>39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223" name="Check Box 245">
              <controlPr locked="0" defaultSize="0" autoFill="0" autoLine="0" autoPict="0">
                <anchor moveWithCells="1">
                  <from>
                    <xdr:col>39</xdr:col>
                    <xdr:colOff>57150</xdr:colOff>
                    <xdr:row>39</xdr:row>
                    <xdr:rowOff>38100</xdr:rowOff>
                  </from>
                  <to>
                    <xdr:col>39</xdr:col>
                    <xdr:colOff>285750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224" name="Check Box 246">
              <controlPr locked="0" defaultSize="0" autoFill="0" autoLine="0" autoPict="0">
                <anchor moveWithCells="1">
                  <from>
                    <xdr:col>39</xdr:col>
                    <xdr:colOff>66675</xdr:colOff>
                    <xdr:row>37</xdr:row>
                    <xdr:rowOff>85725</xdr:rowOff>
                  </from>
                  <to>
                    <xdr:col>39</xdr:col>
                    <xdr:colOff>228600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225" name="Check Box 247">
              <controlPr locked="0" defaultSize="0" autoFill="0" autoLine="0" autoPict="0">
                <anchor moveWithCells="1">
                  <from>
                    <xdr:col>39</xdr:col>
                    <xdr:colOff>66675</xdr:colOff>
                    <xdr:row>42</xdr:row>
                    <xdr:rowOff>47625</xdr:rowOff>
                  </from>
                  <to>
                    <xdr:col>39</xdr:col>
                    <xdr:colOff>314325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226" name="Check Box 248">
              <controlPr locked="0" defaultSize="0" autoFill="0" autoLine="0" autoPict="0">
                <anchor moveWithCells="1">
                  <from>
                    <xdr:col>39</xdr:col>
                    <xdr:colOff>66675</xdr:colOff>
                    <xdr:row>43</xdr:row>
                    <xdr:rowOff>19050</xdr:rowOff>
                  </from>
                  <to>
                    <xdr:col>40</xdr:col>
                    <xdr:colOff>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227" name="Check Box 249">
              <controlPr locked="0" defaultSize="0" autoFill="0" autoLine="0" autoPict="0">
                <anchor moveWithCells="1">
                  <from>
                    <xdr:col>39</xdr:col>
                    <xdr:colOff>66675</xdr:colOff>
                    <xdr:row>44</xdr:row>
                    <xdr:rowOff>57150</xdr:rowOff>
                  </from>
                  <to>
                    <xdr:col>39</xdr:col>
                    <xdr:colOff>295275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228" name="Check Box 250">
              <controlPr locked="0" defaultSize="0" autoFill="0" autoLine="0" autoPict="0">
                <anchor moveWithCells="1">
                  <from>
                    <xdr:col>39</xdr:col>
                    <xdr:colOff>47625</xdr:colOff>
                    <xdr:row>45</xdr:row>
                    <xdr:rowOff>28575</xdr:rowOff>
                  </from>
                  <to>
                    <xdr:col>39</xdr:col>
                    <xdr:colOff>276225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229" name="Check Box 251">
              <controlPr locked="0" defaultSize="0" autoFill="0" autoLine="0" autoPict="0">
                <anchor moveWithCells="1">
                  <from>
                    <xdr:col>39</xdr:col>
                    <xdr:colOff>38100</xdr:colOff>
                    <xdr:row>46</xdr:row>
                    <xdr:rowOff>28575</xdr:rowOff>
                  </from>
                  <to>
                    <xdr:col>39</xdr:col>
                    <xdr:colOff>266700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230" name="Check Box 252">
              <controlPr locked="0" defaultSize="0" autoFill="0" autoLine="0" autoPict="0">
                <anchor moveWithCells="1">
                  <from>
                    <xdr:col>38</xdr:col>
                    <xdr:colOff>47625</xdr:colOff>
                    <xdr:row>38</xdr:row>
                    <xdr:rowOff>57150</xdr:rowOff>
                  </from>
                  <to>
                    <xdr:col>38</xdr:col>
                    <xdr:colOff>247650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231" name="Check Box 253">
              <controlPr locked="0" defaultSize="0" autoFill="0" autoLine="0" autoPict="0">
                <anchor moveWithCells="1">
                  <from>
                    <xdr:col>38</xdr:col>
                    <xdr:colOff>19050</xdr:colOff>
                    <xdr:row>40</xdr:row>
                    <xdr:rowOff>28575</xdr:rowOff>
                  </from>
                  <to>
                    <xdr:col>38</xdr:col>
                    <xdr:colOff>219075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232" name="Check Box 254">
              <controlPr locked="0" defaultSize="0" autoFill="0" autoLine="0" autoPict="0">
                <anchor moveWithCells="1">
                  <from>
                    <xdr:col>38</xdr:col>
                    <xdr:colOff>38100</xdr:colOff>
                    <xdr:row>41</xdr:row>
                    <xdr:rowOff>57150</xdr:rowOff>
                  </from>
                  <to>
                    <xdr:col>38</xdr:col>
                    <xdr:colOff>247650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233" name="Check Box 255">
              <controlPr locked="0" defaultSize="0" autoFill="0" autoLine="0" autoPict="0">
                <anchor moveWithCells="1">
                  <from>
                    <xdr:col>38</xdr:col>
                    <xdr:colOff>28575</xdr:colOff>
                    <xdr:row>39</xdr:row>
                    <xdr:rowOff>38100</xdr:rowOff>
                  </from>
                  <to>
                    <xdr:col>38</xdr:col>
                    <xdr:colOff>257175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234" name="Check Box 256">
              <controlPr locked="0" defaultSize="0" autoFill="0" autoLine="0" autoPict="0">
                <anchor moveWithCells="1">
                  <from>
                    <xdr:col>38</xdr:col>
                    <xdr:colOff>38100</xdr:colOff>
                    <xdr:row>37</xdr:row>
                    <xdr:rowOff>85725</xdr:rowOff>
                  </from>
                  <to>
                    <xdr:col>38</xdr:col>
                    <xdr:colOff>200025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235" name="Check Box 257">
              <controlPr locked="0" defaultSize="0" autoFill="0" autoLine="0" autoPict="0">
                <anchor moveWithCells="1">
                  <from>
                    <xdr:col>38</xdr:col>
                    <xdr:colOff>38100</xdr:colOff>
                    <xdr:row>42</xdr:row>
                    <xdr:rowOff>47625</xdr:rowOff>
                  </from>
                  <to>
                    <xdr:col>38</xdr:col>
                    <xdr:colOff>276225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36" name="Check Box 258">
              <controlPr locked="0" defaultSize="0" autoFill="0" autoLine="0" autoPict="0">
                <anchor moveWithCells="1">
                  <from>
                    <xdr:col>38</xdr:col>
                    <xdr:colOff>38100</xdr:colOff>
                    <xdr:row>43</xdr:row>
                    <xdr:rowOff>19050</xdr:rowOff>
                  </from>
                  <to>
                    <xdr:col>38</xdr:col>
                    <xdr:colOff>295275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37" name="Check Box 259">
              <controlPr locked="0" defaultSize="0" autoFill="0" autoLine="0" autoPict="0">
                <anchor moveWithCells="1">
                  <from>
                    <xdr:col>38</xdr:col>
                    <xdr:colOff>38100</xdr:colOff>
                    <xdr:row>44</xdr:row>
                    <xdr:rowOff>57150</xdr:rowOff>
                  </from>
                  <to>
                    <xdr:col>38</xdr:col>
                    <xdr:colOff>266700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38" name="Check Box 260">
              <controlPr locked="0" defaultSize="0" autoFill="0" autoLine="0" autoPict="0">
                <anchor moveWithCells="1">
                  <from>
                    <xdr:col>38</xdr:col>
                    <xdr:colOff>19050</xdr:colOff>
                    <xdr:row>45</xdr:row>
                    <xdr:rowOff>28575</xdr:rowOff>
                  </from>
                  <to>
                    <xdr:col>38</xdr:col>
                    <xdr:colOff>247650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39" name="Check Box 261">
              <controlPr locked="0" defaultSize="0" autoFill="0" autoLine="0" autoPict="0">
                <anchor moveWithCells="1">
                  <from>
                    <xdr:col>38</xdr:col>
                    <xdr:colOff>19050</xdr:colOff>
                    <xdr:row>46</xdr:row>
                    <xdr:rowOff>28575</xdr:rowOff>
                  </from>
                  <to>
                    <xdr:col>38</xdr:col>
                    <xdr:colOff>247650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40" name="Check Box 262">
              <controlPr locked="0" defaultSize="0" autoFill="0" autoLine="0" autoPict="0">
                <anchor moveWithCells="1">
                  <from>
                    <xdr:col>37</xdr:col>
                    <xdr:colOff>47625</xdr:colOff>
                    <xdr:row>38</xdr:row>
                    <xdr:rowOff>38100</xdr:rowOff>
                  </from>
                  <to>
                    <xdr:col>37</xdr:col>
                    <xdr:colOff>228600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41" name="Check Box 263">
              <controlPr locked="0" defaultSize="0" autoFill="0" autoLine="0" autoPict="0">
                <anchor moveWithCells="1">
                  <from>
                    <xdr:col>37</xdr:col>
                    <xdr:colOff>38100</xdr:colOff>
                    <xdr:row>40</xdr:row>
                    <xdr:rowOff>9525</xdr:rowOff>
                  </from>
                  <to>
                    <xdr:col>37</xdr:col>
                    <xdr:colOff>228600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42" name="Check Box 264">
              <controlPr locked="0" defaultSize="0" autoFill="0" autoLine="0" autoPict="0">
                <anchor moveWithCells="1">
                  <from>
                    <xdr:col>37</xdr:col>
                    <xdr:colOff>57150</xdr:colOff>
                    <xdr:row>41</xdr:row>
                    <xdr:rowOff>38100</xdr:rowOff>
                  </from>
                  <to>
                    <xdr:col>37</xdr:col>
                    <xdr:colOff>257175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43" name="Check Box 265">
              <controlPr locked="0" defaultSize="0" autoFill="0" autoLine="0" autoPict="0">
                <anchor moveWithCells="1">
                  <from>
                    <xdr:col>37</xdr:col>
                    <xdr:colOff>47625</xdr:colOff>
                    <xdr:row>39</xdr:row>
                    <xdr:rowOff>19050</xdr:rowOff>
                  </from>
                  <to>
                    <xdr:col>37</xdr:col>
                    <xdr:colOff>266700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44" name="Check Box 266">
              <controlPr locked="0" defaultSize="0" autoFill="0" autoLine="0" autoPict="0">
                <anchor moveWithCells="1">
                  <from>
                    <xdr:col>37</xdr:col>
                    <xdr:colOff>57150</xdr:colOff>
                    <xdr:row>37</xdr:row>
                    <xdr:rowOff>66675</xdr:rowOff>
                  </from>
                  <to>
                    <xdr:col>37</xdr:col>
                    <xdr:colOff>209550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45" name="Check Box 267">
              <controlPr locked="0" defaultSize="0" autoFill="0" autoLine="0" autoPict="0">
                <anchor moveWithCells="1">
                  <from>
                    <xdr:col>37</xdr:col>
                    <xdr:colOff>57150</xdr:colOff>
                    <xdr:row>42</xdr:row>
                    <xdr:rowOff>28575</xdr:rowOff>
                  </from>
                  <to>
                    <xdr:col>37</xdr:col>
                    <xdr:colOff>285750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246" name="Check Box 268">
              <controlPr locked="0" defaultSize="0" autoFill="0" autoLine="0" autoPict="0">
                <anchor moveWithCells="1">
                  <from>
                    <xdr:col>37</xdr:col>
                    <xdr:colOff>57150</xdr:colOff>
                    <xdr:row>43</xdr:row>
                    <xdr:rowOff>0</xdr:rowOff>
                  </from>
                  <to>
                    <xdr:col>38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247" name="Check Box 269">
              <controlPr locked="0" defaultSize="0" autoFill="0" autoLine="0" autoPict="0">
                <anchor moveWithCells="1">
                  <from>
                    <xdr:col>37</xdr:col>
                    <xdr:colOff>57150</xdr:colOff>
                    <xdr:row>44</xdr:row>
                    <xdr:rowOff>38100</xdr:rowOff>
                  </from>
                  <to>
                    <xdr:col>37</xdr:col>
                    <xdr:colOff>276225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248" name="Check Box 270">
              <controlPr locked="0" defaultSize="0" autoFill="0" autoLine="0" autoPict="0">
                <anchor moveWithCells="1">
                  <from>
                    <xdr:col>37</xdr:col>
                    <xdr:colOff>38100</xdr:colOff>
                    <xdr:row>45</xdr:row>
                    <xdr:rowOff>9525</xdr:rowOff>
                  </from>
                  <to>
                    <xdr:col>37</xdr:col>
                    <xdr:colOff>257175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249" name="Check Box 271">
              <controlPr locked="0" defaultSize="0" autoFill="0" autoLine="0" autoPict="0">
                <anchor moveWithCells="1">
                  <from>
                    <xdr:col>37</xdr:col>
                    <xdr:colOff>38100</xdr:colOff>
                    <xdr:row>46</xdr:row>
                    <xdr:rowOff>9525</xdr:rowOff>
                  </from>
                  <to>
                    <xdr:col>37</xdr:col>
                    <xdr:colOff>257175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250" name="Check Box 272">
              <controlPr locked="0" defaultSize="0" autoFill="0" autoLine="0" autoPict="0">
                <anchor moveWithCells="1">
                  <from>
                    <xdr:col>36</xdr:col>
                    <xdr:colOff>47625</xdr:colOff>
                    <xdr:row>38</xdr:row>
                    <xdr:rowOff>47625</xdr:rowOff>
                  </from>
                  <to>
                    <xdr:col>36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251" name="Check Box 273">
              <controlPr locked="0"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19050</xdr:rowOff>
                  </from>
                  <to>
                    <xdr:col>36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252" name="Check Box 274">
              <controlPr locked="0" defaultSize="0" autoFill="0" autoLine="0" autoPict="0">
                <anchor moveWithCells="1">
                  <from>
                    <xdr:col>36</xdr:col>
                    <xdr:colOff>57150</xdr:colOff>
                    <xdr:row>41</xdr:row>
                    <xdr:rowOff>47625</xdr:rowOff>
                  </from>
                  <to>
                    <xdr:col>36</xdr:col>
                    <xdr:colOff>266700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253" name="Check Box 275">
              <controlPr locked="0" defaultSize="0" autoFill="0" autoLine="0" autoPict="0">
                <anchor moveWithCells="1">
                  <from>
                    <xdr:col>36</xdr:col>
                    <xdr:colOff>47625</xdr:colOff>
                    <xdr:row>39</xdr:row>
                    <xdr:rowOff>28575</xdr:rowOff>
                  </from>
                  <to>
                    <xdr:col>36</xdr:col>
                    <xdr:colOff>276225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254" name="Check Box 276">
              <controlPr locked="0" defaultSize="0" autoFill="0" autoLine="0" autoPict="0">
                <anchor moveWithCells="1">
                  <from>
                    <xdr:col>36</xdr:col>
                    <xdr:colOff>57150</xdr:colOff>
                    <xdr:row>37</xdr:row>
                    <xdr:rowOff>76200</xdr:rowOff>
                  </from>
                  <to>
                    <xdr:col>36</xdr:col>
                    <xdr:colOff>219075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255" name="Check Box 277">
              <controlPr locked="0" defaultSize="0" autoFill="0" autoLine="0" autoPict="0">
                <anchor moveWithCells="1">
                  <from>
                    <xdr:col>36</xdr:col>
                    <xdr:colOff>57150</xdr:colOff>
                    <xdr:row>42</xdr:row>
                    <xdr:rowOff>38100</xdr:rowOff>
                  </from>
                  <to>
                    <xdr:col>36</xdr:col>
                    <xdr:colOff>295275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256" name="Check Box 278">
              <controlPr locked="0" defaultSize="0" autoFill="0" autoLine="0" autoPict="0">
                <anchor moveWithCells="1">
                  <from>
                    <xdr:col>36</xdr:col>
                    <xdr:colOff>57150</xdr:colOff>
                    <xdr:row>43</xdr:row>
                    <xdr:rowOff>9525</xdr:rowOff>
                  </from>
                  <to>
                    <xdr:col>37</xdr:col>
                    <xdr:colOff>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257" name="Check Box 279">
              <controlPr locked="0" defaultSize="0" autoFill="0" autoLine="0" autoPict="0">
                <anchor moveWithCells="1">
                  <from>
                    <xdr:col>36</xdr:col>
                    <xdr:colOff>57150</xdr:colOff>
                    <xdr:row>44</xdr:row>
                    <xdr:rowOff>47625</xdr:rowOff>
                  </from>
                  <to>
                    <xdr:col>36</xdr:col>
                    <xdr:colOff>285750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258" name="Check Box 280">
              <controlPr locked="0" defaultSize="0" autoFill="0" autoLine="0" autoPict="0">
                <anchor moveWithCells="1">
                  <from>
                    <xdr:col>36</xdr:col>
                    <xdr:colOff>38100</xdr:colOff>
                    <xdr:row>45</xdr:row>
                    <xdr:rowOff>19050</xdr:rowOff>
                  </from>
                  <to>
                    <xdr:col>36</xdr:col>
                    <xdr:colOff>266700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259" name="Check Box 281">
              <controlPr locked="0" defaultSize="0" autoFill="0" autoLine="0" autoPict="0">
                <anchor moveWithCells="1">
                  <from>
                    <xdr:col>36</xdr:col>
                    <xdr:colOff>38100</xdr:colOff>
                    <xdr:row>46</xdr:row>
                    <xdr:rowOff>19050</xdr:rowOff>
                  </from>
                  <to>
                    <xdr:col>36</xdr:col>
                    <xdr:colOff>266700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260" name="Check Box 282">
              <controlPr locked="0" defaultSize="0" autoFill="0" autoLine="0" autoPict="0">
                <anchor moveWithCells="1">
                  <from>
                    <xdr:col>35</xdr:col>
                    <xdr:colOff>57150</xdr:colOff>
                    <xdr:row>38</xdr:row>
                    <xdr:rowOff>38100</xdr:rowOff>
                  </from>
                  <to>
                    <xdr:col>35</xdr:col>
                    <xdr:colOff>247650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261" name="Check Box 283">
              <controlPr locked="0" defaultSize="0" autoFill="0" autoLine="0" autoPict="0">
                <anchor moveWithCells="1">
                  <from>
                    <xdr:col>35</xdr:col>
                    <xdr:colOff>47625</xdr:colOff>
                    <xdr:row>40</xdr:row>
                    <xdr:rowOff>9525</xdr:rowOff>
                  </from>
                  <to>
                    <xdr:col>35</xdr:col>
                    <xdr:colOff>247650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262" name="Check Box 284">
              <controlPr locked="0" defaultSize="0" autoFill="0" autoLine="0" autoPict="0">
                <anchor moveWithCells="1">
                  <from>
                    <xdr:col>35</xdr:col>
                    <xdr:colOff>66675</xdr:colOff>
                    <xdr:row>41</xdr:row>
                    <xdr:rowOff>38100</xdr:rowOff>
                  </from>
                  <to>
                    <xdr:col>35</xdr:col>
                    <xdr:colOff>276225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263" name="Check Box 285">
              <controlPr locked="0" defaultSize="0" autoFill="0" autoLine="0" autoPict="0">
                <anchor moveWithCells="1">
                  <from>
                    <xdr:col>35</xdr:col>
                    <xdr:colOff>57150</xdr:colOff>
                    <xdr:row>39</xdr:row>
                    <xdr:rowOff>19050</xdr:rowOff>
                  </from>
                  <to>
                    <xdr:col>35</xdr:col>
                    <xdr:colOff>285750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264" name="Check Box 286">
              <controlPr locked="0" defaultSize="0" autoFill="0" autoLine="0" autoPict="0">
                <anchor moveWithCells="1">
                  <from>
                    <xdr:col>35</xdr:col>
                    <xdr:colOff>66675</xdr:colOff>
                    <xdr:row>37</xdr:row>
                    <xdr:rowOff>66675</xdr:rowOff>
                  </from>
                  <to>
                    <xdr:col>35</xdr:col>
                    <xdr:colOff>228600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265" name="Check Box 287">
              <controlPr locked="0" defaultSize="0" autoFill="0" autoLine="0" autoPict="0">
                <anchor moveWithCells="1">
                  <from>
                    <xdr:col>35</xdr:col>
                    <xdr:colOff>66675</xdr:colOff>
                    <xdr:row>42</xdr:row>
                    <xdr:rowOff>28575</xdr:rowOff>
                  </from>
                  <to>
                    <xdr:col>36</xdr:col>
                    <xdr:colOff>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266" name="Check Box 288">
              <controlPr locked="0" defaultSize="0" autoFill="0" autoLine="0" autoPict="0">
                <anchor moveWithCells="1">
                  <from>
                    <xdr:col>35</xdr:col>
                    <xdr:colOff>66675</xdr:colOff>
                    <xdr:row>42</xdr:row>
                    <xdr:rowOff>276225</xdr:rowOff>
                  </from>
                  <to>
                    <xdr:col>36</xdr:col>
                    <xdr:colOff>9525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267" name="Check Box 289">
              <controlPr locked="0" defaultSize="0" autoFill="0" autoLine="0" autoPict="0">
                <anchor moveWithCells="1">
                  <from>
                    <xdr:col>35</xdr:col>
                    <xdr:colOff>66675</xdr:colOff>
                    <xdr:row>44</xdr:row>
                    <xdr:rowOff>38100</xdr:rowOff>
                  </from>
                  <to>
                    <xdr:col>35</xdr:col>
                    <xdr:colOff>295275</xdr:colOff>
                    <xdr:row>44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268" name="Check Box 290">
              <controlPr locked="0" defaultSize="0" autoFill="0" autoLine="0" autoPict="0">
                <anchor moveWithCells="1">
                  <from>
                    <xdr:col>35</xdr:col>
                    <xdr:colOff>47625</xdr:colOff>
                    <xdr:row>45</xdr:row>
                    <xdr:rowOff>9525</xdr:rowOff>
                  </from>
                  <to>
                    <xdr:col>35</xdr:col>
                    <xdr:colOff>276225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269" name="Check Box 291">
              <controlPr locked="0" defaultSize="0" autoFill="0" autoLine="0" autoPict="0">
                <anchor moveWithCells="1">
                  <from>
                    <xdr:col>35</xdr:col>
                    <xdr:colOff>47625</xdr:colOff>
                    <xdr:row>46</xdr:row>
                    <xdr:rowOff>9525</xdr:rowOff>
                  </from>
                  <to>
                    <xdr:col>35</xdr:col>
                    <xdr:colOff>276225</xdr:colOff>
                    <xdr:row>46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270" name="Check Box 292">
              <controlPr locked="0" defaultSize="0" autoFill="0" autoLine="0" autoPict="0">
                <anchor moveWithCells="1">
                  <from>
                    <xdr:col>34</xdr:col>
                    <xdr:colOff>57150</xdr:colOff>
                    <xdr:row>38</xdr:row>
                    <xdr:rowOff>38100</xdr:rowOff>
                  </from>
                  <to>
                    <xdr:col>34</xdr:col>
                    <xdr:colOff>247650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271" name="Check Box 293">
              <controlPr locked="0" defaultSize="0" autoFill="0" autoLine="0" autoPict="0">
                <anchor moveWithCells="1">
                  <from>
                    <xdr:col>34</xdr:col>
                    <xdr:colOff>47625</xdr:colOff>
                    <xdr:row>40</xdr:row>
                    <xdr:rowOff>9525</xdr:rowOff>
                  </from>
                  <to>
                    <xdr:col>34</xdr:col>
                    <xdr:colOff>247650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272" name="Check Box 294">
              <controlPr locked="0" defaultSize="0" autoFill="0" autoLine="0" autoPict="0">
                <anchor moveWithCells="1">
                  <from>
                    <xdr:col>34</xdr:col>
                    <xdr:colOff>66675</xdr:colOff>
                    <xdr:row>41</xdr:row>
                    <xdr:rowOff>38100</xdr:rowOff>
                  </from>
                  <to>
                    <xdr:col>34</xdr:col>
                    <xdr:colOff>276225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273" name="Check Box 295">
              <controlPr locked="0" defaultSize="0" autoFill="0" autoLine="0" autoPict="0">
                <anchor moveWithCells="1">
                  <from>
                    <xdr:col>34</xdr:col>
                    <xdr:colOff>57150</xdr:colOff>
                    <xdr:row>39</xdr:row>
                    <xdr:rowOff>19050</xdr:rowOff>
                  </from>
                  <to>
                    <xdr:col>34</xdr:col>
                    <xdr:colOff>285750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274" name="Check Box 296">
              <controlPr locked="0" defaultSize="0" autoFill="0" autoLine="0" autoPict="0">
                <anchor moveWithCells="1">
                  <from>
                    <xdr:col>34</xdr:col>
                    <xdr:colOff>66675</xdr:colOff>
                    <xdr:row>37</xdr:row>
                    <xdr:rowOff>66675</xdr:rowOff>
                  </from>
                  <to>
                    <xdr:col>34</xdr:col>
                    <xdr:colOff>228600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275" name="Check Box 297">
              <controlPr locked="0" defaultSize="0" autoFill="0" autoLine="0" autoPict="0">
                <anchor moveWithCells="1">
                  <from>
                    <xdr:col>34</xdr:col>
                    <xdr:colOff>66675</xdr:colOff>
                    <xdr:row>42</xdr:row>
                    <xdr:rowOff>28575</xdr:rowOff>
                  </from>
                  <to>
                    <xdr:col>35</xdr:col>
                    <xdr:colOff>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276" name="Check Box 298">
              <controlPr locked="0" defaultSize="0" autoFill="0" autoLine="0" autoPict="0">
                <anchor moveWithCells="1">
                  <from>
                    <xdr:col>34</xdr:col>
                    <xdr:colOff>66675</xdr:colOff>
                    <xdr:row>42</xdr:row>
                    <xdr:rowOff>276225</xdr:rowOff>
                  </from>
                  <to>
                    <xdr:col>35</xdr:col>
                    <xdr:colOff>9525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277" name="Check Box 299">
              <controlPr locked="0" defaultSize="0" autoFill="0" autoLine="0" autoPict="0">
                <anchor moveWithCells="1">
                  <from>
                    <xdr:col>34</xdr:col>
                    <xdr:colOff>66675</xdr:colOff>
                    <xdr:row>44</xdr:row>
                    <xdr:rowOff>38100</xdr:rowOff>
                  </from>
                  <to>
                    <xdr:col>34</xdr:col>
                    <xdr:colOff>295275</xdr:colOff>
                    <xdr:row>44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278" name="Check Box 300">
              <controlPr locked="0" defaultSize="0" autoFill="0" autoLine="0" autoPict="0">
                <anchor moveWithCells="1">
                  <from>
                    <xdr:col>34</xdr:col>
                    <xdr:colOff>47625</xdr:colOff>
                    <xdr:row>45</xdr:row>
                    <xdr:rowOff>9525</xdr:rowOff>
                  </from>
                  <to>
                    <xdr:col>34</xdr:col>
                    <xdr:colOff>276225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279" name="Check Box 301">
              <controlPr locked="0" defaultSize="0" autoFill="0" autoLine="0" autoPict="0">
                <anchor moveWithCells="1">
                  <from>
                    <xdr:col>34</xdr:col>
                    <xdr:colOff>47625</xdr:colOff>
                    <xdr:row>46</xdr:row>
                    <xdr:rowOff>9525</xdr:rowOff>
                  </from>
                  <to>
                    <xdr:col>34</xdr:col>
                    <xdr:colOff>276225</xdr:colOff>
                    <xdr:row>46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280" name="Check Box 302">
              <controlPr locked="0" defaultSize="0" autoFill="0" autoLine="0" autoPict="0">
                <anchor moveWithCells="1">
                  <from>
                    <xdr:col>33</xdr:col>
                    <xdr:colOff>66675</xdr:colOff>
                    <xdr:row>38</xdr:row>
                    <xdr:rowOff>38100</xdr:rowOff>
                  </from>
                  <to>
                    <xdr:col>33</xdr:col>
                    <xdr:colOff>257175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281" name="Check Box 303">
              <controlPr locked="0" defaultSize="0" autoFill="0" autoLine="0" autoPict="0">
                <anchor moveWithCells="1">
                  <from>
                    <xdr:col>33</xdr:col>
                    <xdr:colOff>57150</xdr:colOff>
                    <xdr:row>40</xdr:row>
                    <xdr:rowOff>9525</xdr:rowOff>
                  </from>
                  <to>
                    <xdr:col>33</xdr:col>
                    <xdr:colOff>257175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282" name="Check Box 304">
              <controlPr locked="0" defaultSize="0" autoFill="0" autoLine="0" autoPict="0">
                <anchor moveWithCells="1">
                  <from>
                    <xdr:col>33</xdr:col>
                    <xdr:colOff>76200</xdr:colOff>
                    <xdr:row>41</xdr:row>
                    <xdr:rowOff>38100</xdr:rowOff>
                  </from>
                  <to>
                    <xdr:col>33</xdr:col>
                    <xdr:colOff>285750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283" name="Check Box 305">
              <controlPr locked="0" defaultSize="0" autoFill="0" autoLine="0" autoPict="0">
                <anchor moveWithCells="1">
                  <from>
                    <xdr:col>33</xdr:col>
                    <xdr:colOff>66675</xdr:colOff>
                    <xdr:row>39</xdr:row>
                    <xdr:rowOff>19050</xdr:rowOff>
                  </from>
                  <to>
                    <xdr:col>33</xdr:col>
                    <xdr:colOff>295275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284" name="Check Box 306">
              <controlPr locked="0" defaultSize="0" autoFill="0" autoLine="0" autoPict="0">
                <anchor moveWithCells="1">
                  <from>
                    <xdr:col>33</xdr:col>
                    <xdr:colOff>76200</xdr:colOff>
                    <xdr:row>37</xdr:row>
                    <xdr:rowOff>66675</xdr:rowOff>
                  </from>
                  <to>
                    <xdr:col>33</xdr:col>
                    <xdr:colOff>247650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285" name="Check Box 307">
              <controlPr locked="0" defaultSize="0" autoFill="0" autoLine="0" autoPict="0">
                <anchor moveWithCells="1">
                  <from>
                    <xdr:col>33</xdr:col>
                    <xdr:colOff>76200</xdr:colOff>
                    <xdr:row>42</xdr:row>
                    <xdr:rowOff>28575</xdr:rowOff>
                  </from>
                  <to>
                    <xdr:col>34</xdr:col>
                    <xdr:colOff>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286" name="Check Box 308">
              <controlPr locked="0" defaultSize="0" autoFill="0" autoLine="0" autoPict="0">
                <anchor moveWithCells="1">
                  <from>
                    <xdr:col>33</xdr:col>
                    <xdr:colOff>76200</xdr:colOff>
                    <xdr:row>43</xdr:row>
                    <xdr:rowOff>0</xdr:rowOff>
                  </from>
                  <to>
                    <xdr:col>34</xdr:col>
                    <xdr:colOff>19050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287" name="Check Box 309">
              <controlPr locked="0" defaultSize="0" autoFill="0" autoLine="0" autoPict="0">
                <anchor moveWithCells="1">
                  <from>
                    <xdr:col>33</xdr:col>
                    <xdr:colOff>76200</xdr:colOff>
                    <xdr:row>44</xdr:row>
                    <xdr:rowOff>38100</xdr:rowOff>
                  </from>
                  <to>
                    <xdr:col>34</xdr:col>
                    <xdr:colOff>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288" name="Check Box 310">
              <controlPr locked="0" defaultSize="0" autoFill="0" autoLine="0" autoPict="0">
                <anchor moveWithCells="1">
                  <from>
                    <xdr:col>33</xdr:col>
                    <xdr:colOff>57150</xdr:colOff>
                    <xdr:row>45</xdr:row>
                    <xdr:rowOff>9525</xdr:rowOff>
                  </from>
                  <to>
                    <xdr:col>33</xdr:col>
                    <xdr:colOff>285750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289" name="Check Box 311">
              <controlPr locked="0" defaultSize="0" autoFill="0" autoLine="0" autoPict="0">
                <anchor moveWithCells="1">
                  <from>
                    <xdr:col>33</xdr:col>
                    <xdr:colOff>57150</xdr:colOff>
                    <xdr:row>46</xdr:row>
                    <xdr:rowOff>9525</xdr:rowOff>
                  </from>
                  <to>
                    <xdr:col>33</xdr:col>
                    <xdr:colOff>285750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290" name="Check Box 312">
              <controlPr locked="0" defaultSize="0" autoFill="0" autoLine="0" autoPict="0">
                <anchor moveWithCells="1">
                  <from>
                    <xdr:col>32</xdr:col>
                    <xdr:colOff>57150</xdr:colOff>
                    <xdr:row>38</xdr:row>
                    <xdr:rowOff>47625</xdr:rowOff>
                  </from>
                  <to>
                    <xdr:col>32</xdr:col>
                    <xdr:colOff>247650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291" name="Check Box 313">
              <controlPr locked="0" defaultSize="0" autoFill="0" autoLine="0" autoPict="0">
                <anchor moveWithCells="1">
                  <from>
                    <xdr:col>32</xdr:col>
                    <xdr:colOff>47625</xdr:colOff>
                    <xdr:row>40</xdr:row>
                    <xdr:rowOff>19050</xdr:rowOff>
                  </from>
                  <to>
                    <xdr:col>32</xdr:col>
                    <xdr:colOff>247650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292" name="Check Box 314">
              <controlPr locked="0" defaultSize="0" autoFill="0" autoLine="0" autoPict="0">
                <anchor moveWithCells="1">
                  <from>
                    <xdr:col>32</xdr:col>
                    <xdr:colOff>66675</xdr:colOff>
                    <xdr:row>41</xdr:row>
                    <xdr:rowOff>47625</xdr:rowOff>
                  </from>
                  <to>
                    <xdr:col>32</xdr:col>
                    <xdr:colOff>276225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293" name="Check Box 315">
              <controlPr locked="0" defaultSize="0" autoFill="0" autoLine="0" autoPict="0">
                <anchor moveWithCells="1">
                  <from>
                    <xdr:col>32</xdr:col>
                    <xdr:colOff>57150</xdr:colOff>
                    <xdr:row>39</xdr:row>
                    <xdr:rowOff>28575</xdr:rowOff>
                  </from>
                  <to>
                    <xdr:col>32</xdr:col>
                    <xdr:colOff>285750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294" name="Check Box 316">
              <controlPr locked="0" defaultSize="0" autoFill="0" autoLine="0" autoPict="0">
                <anchor moveWithCells="1">
                  <from>
                    <xdr:col>32</xdr:col>
                    <xdr:colOff>66675</xdr:colOff>
                    <xdr:row>37</xdr:row>
                    <xdr:rowOff>76200</xdr:rowOff>
                  </from>
                  <to>
                    <xdr:col>32</xdr:col>
                    <xdr:colOff>228600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295" name="Check Box 317">
              <controlPr locked="0" defaultSize="0" autoFill="0" autoLine="0" autoPict="0">
                <anchor moveWithCells="1">
                  <from>
                    <xdr:col>32</xdr:col>
                    <xdr:colOff>66675</xdr:colOff>
                    <xdr:row>42</xdr:row>
                    <xdr:rowOff>38100</xdr:rowOff>
                  </from>
                  <to>
                    <xdr:col>33</xdr:col>
                    <xdr:colOff>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296" name="Check Box 318">
              <controlPr locked="0" defaultSize="0" autoFill="0" autoLine="0" autoPict="0">
                <anchor moveWithCells="1">
                  <from>
                    <xdr:col>32</xdr:col>
                    <xdr:colOff>66675</xdr:colOff>
                    <xdr:row>43</xdr:row>
                    <xdr:rowOff>9525</xdr:rowOff>
                  </from>
                  <to>
                    <xdr:col>33</xdr:col>
                    <xdr:colOff>9525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297" name="Check Box 319">
              <controlPr locked="0" defaultSize="0" autoFill="0" autoLine="0" autoPict="0">
                <anchor moveWithCells="1">
                  <from>
                    <xdr:col>32</xdr:col>
                    <xdr:colOff>66675</xdr:colOff>
                    <xdr:row>44</xdr:row>
                    <xdr:rowOff>47625</xdr:rowOff>
                  </from>
                  <to>
                    <xdr:col>32</xdr:col>
                    <xdr:colOff>295275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298" name="Check Box 320">
              <controlPr locked="0" defaultSize="0" autoFill="0" autoLine="0" autoPict="0">
                <anchor moveWithCells="1">
                  <from>
                    <xdr:col>32</xdr:col>
                    <xdr:colOff>47625</xdr:colOff>
                    <xdr:row>45</xdr:row>
                    <xdr:rowOff>19050</xdr:rowOff>
                  </from>
                  <to>
                    <xdr:col>32</xdr:col>
                    <xdr:colOff>276225</xdr:colOff>
                    <xdr:row>45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299" name="Check Box 321">
              <controlPr locked="0" defaultSize="0" autoFill="0" autoLine="0" autoPict="0">
                <anchor moveWithCells="1">
                  <from>
                    <xdr:col>32</xdr:col>
                    <xdr:colOff>47625</xdr:colOff>
                    <xdr:row>46</xdr:row>
                    <xdr:rowOff>19050</xdr:rowOff>
                  </from>
                  <to>
                    <xdr:col>32</xdr:col>
                    <xdr:colOff>276225</xdr:colOff>
                    <xdr:row>46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300" name="Check Box 322">
              <controlPr locked="0" defaultSize="0" autoFill="0" autoLine="0" autoPict="0">
                <anchor moveWithCells="1">
                  <from>
                    <xdr:col>31</xdr:col>
                    <xdr:colOff>66675</xdr:colOff>
                    <xdr:row>38</xdr:row>
                    <xdr:rowOff>57150</xdr:rowOff>
                  </from>
                  <to>
                    <xdr:col>31</xdr:col>
                    <xdr:colOff>257175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301" name="Check Box 323">
              <controlPr locked="0" defaultSize="0" autoFill="0" autoLine="0" autoPict="0">
                <anchor moveWithCells="1">
                  <from>
                    <xdr:col>31</xdr:col>
                    <xdr:colOff>57150</xdr:colOff>
                    <xdr:row>40</xdr:row>
                    <xdr:rowOff>28575</xdr:rowOff>
                  </from>
                  <to>
                    <xdr:col>31</xdr:col>
                    <xdr:colOff>257175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302" name="Check Box 324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41</xdr:row>
                    <xdr:rowOff>57150</xdr:rowOff>
                  </from>
                  <to>
                    <xdr:col>31</xdr:col>
                    <xdr:colOff>285750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303" name="Check Box 325">
              <controlPr locked="0" defaultSize="0" autoFill="0" autoLine="0" autoPict="0">
                <anchor moveWithCells="1">
                  <from>
                    <xdr:col>31</xdr:col>
                    <xdr:colOff>66675</xdr:colOff>
                    <xdr:row>39</xdr:row>
                    <xdr:rowOff>38100</xdr:rowOff>
                  </from>
                  <to>
                    <xdr:col>31</xdr:col>
                    <xdr:colOff>295275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304" name="Check Box 326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37</xdr:row>
                    <xdr:rowOff>85725</xdr:rowOff>
                  </from>
                  <to>
                    <xdr:col>31</xdr:col>
                    <xdr:colOff>247650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305" name="Check Box 327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42</xdr:row>
                    <xdr:rowOff>47625</xdr:rowOff>
                  </from>
                  <to>
                    <xdr:col>32</xdr:col>
                    <xdr:colOff>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306" name="Check Box 328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43</xdr:row>
                    <xdr:rowOff>19050</xdr:rowOff>
                  </from>
                  <to>
                    <xdr:col>32</xdr:col>
                    <xdr:colOff>19050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307" name="Check Box 329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44</xdr:row>
                    <xdr:rowOff>57150</xdr:rowOff>
                  </from>
                  <to>
                    <xdr:col>32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308" name="Check Box 330">
              <controlPr locked="0" defaultSize="0" autoFill="0" autoLine="0" autoPict="0">
                <anchor moveWithCells="1">
                  <from>
                    <xdr:col>31</xdr:col>
                    <xdr:colOff>57150</xdr:colOff>
                    <xdr:row>45</xdr:row>
                    <xdr:rowOff>28575</xdr:rowOff>
                  </from>
                  <to>
                    <xdr:col>31</xdr:col>
                    <xdr:colOff>285750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309" name="Check Box 331">
              <controlPr locked="0" defaultSize="0" autoFill="0" autoLine="0" autoPict="0">
                <anchor moveWithCells="1">
                  <from>
                    <xdr:col>31</xdr:col>
                    <xdr:colOff>57150</xdr:colOff>
                    <xdr:row>46</xdr:row>
                    <xdr:rowOff>28575</xdr:rowOff>
                  </from>
                  <to>
                    <xdr:col>31</xdr:col>
                    <xdr:colOff>285750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10" name="Check Box 36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37</xdr:row>
                    <xdr:rowOff>85725</xdr:rowOff>
                  </from>
                  <to>
                    <xdr:col>10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311" name="Check Box 24">
              <controlPr defaultSize="0" autoFill="0" autoLine="0" autoPict="0">
                <anchor moveWithCells="1">
                  <from>
                    <xdr:col>9</xdr:col>
                    <xdr:colOff>57150</xdr:colOff>
                    <xdr:row>37</xdr:row>
                    <xdr:rowOff>85725</xdr:rowOff>
                  </from>
                  <to>
                    <xdr:col>9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312" name="Check Box 332">
              <controlPr locked="0" defaultSize="0" autoFill="0" autoLine="0" autoPict="0">
                <anchor moveWithCells="1">
                  <from>
                    <xdr:col>9</xdr:col>
                    <xdr:colOff>57150</xdr:colOff>
                    <xdr:row>37</xdr:row>
                    <xdr:rowOff>85725</xdr:rowOff>
                  </from>
                  <to>
                    <xdr:col>9</xdr:col>
                    <xdr:colOff>219075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313" name="Check Box 56">
              <controlPr locked="0" defaultSize="0" autoFill="0" autoLine="0" autoPict="0">
                <anchor moveWithCells="1">
                  <from>
                    <xdr:col>12</xdr:col>
                    <xdr:colOff>66675</xdr:colOff>
                    <xdr:row>37</xdr:row>
                    <xdr:rowOff>95250</xdr:rowOff>
                  </from>
                  <to>
                    <xdr:col>12</xdr:col>
                    <xdr:colOff>228600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314" name="Check Box 19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180975</xdr:rowOff>
                  </from>
                  <to>
                    <xdr:col>6</xdr:col>
                    <xdr:colOff>19050</xdr:colOff>
                    <xdr:row>36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CF05-855F-4684-B0F2-D2A3F7B4ED42}">
  <dimension ref="B2:I28"/>
  <sheetViews>
    <sheetView workbookViewId="0">
      <selection activeCell="E23" sqref="E23"/>
    </sheetView>
  </sheetViews>
  <sheetFormatPr defaultRowHeight="15" x14ac:dyDescent="0.25"/>
  <sheetData>
    <row r="2" spans="2:5" x14ac:dyDescent="0.25">
      <c r="B2" t="s">
        <v>10</v>
      </c>
      <c r="C2" t="s">
        <v>0</v>
      </c>
      <c r="D2" t="s">
        <v>24</v>
      </c>
      <c r="E2" t="s">
        <v>47</v>
      </c>
    </row>
    <row r="3" spans="2:5" x14ac:dyDescent="0.25">
      <c r="B3">
        <v>2025</v>
      </c>
      <c r="C3" t="s">
        <v>1</v>
      </c>
      <c r="D3" t="s">
        <v>25</v>
      </c>
      <c r="E3" t="b">
        <v>1</v>
      </c>
    </row>
    <row r="4" spans="2:5" x14ac:dyDescent="0.25">
      <c r="B4">
        <f>B3+1</f>
        <v>2026</v>
      </c>
      <c r="C4" t="s">
        <v>2</v>
      </c>
      <c r="D4" t="s">
        <v>35</v>
      </c>
      <c r="E4" s="34" t="b">
        <v>1</v>
      </c>
    </row>
    <row r="5" spans="2:5" x14ac:dyDescent="0.25">
      <c r="B5">
        <f t="shared" ref="B5:B28" si="0">B4+1</f>
        <v>2027</v>
      </c>
      <c r="C5" t="s">
        <v>3</v>
      </c>
      <c r="D5" t="s">
        <v>36</v>
      </c>
    </row>
    <row r="6" spans="2:5" x14ac:dyDescent="0.25">
      <c r="B6">
        <f t="shared" si="0"/>
        <v>2028</v>
      </c>
      <c r="C6" t="s">
        <v>4</v>
      </c>
      <c r="D6" t="s">
        <v>37</v>
      </c>
    </row>
    <row r="7" spans="2:5" x14ac:dyDescent="0.25">
      <c r="B7">
        <f t="shared" si="0"/>
        <v>2029</v>
      </c>
      <c r="C7" t="s">
        <v>5</v>
      </c>
      <c r="D7" t="s">
        <v>38</v>
      </c>
    </row>
    <row r="8" spans="2:5" x14ac:dyDescent="0.25">
      <c r="B8">
        <f t="shared" si="0"/>
        <v>2030</v>
      </c>
      <c r="C8" t="s">
        <v>6</v>
      </c>
      <c r="D8" t="s">
        <v>39</v>
      </c>
    </row>
    <row r="9" spans="2:5" x14ac:dyDescent="0.25">
      <c r="B9">
        <f t="shared" si="0"/>
        <v>2031</v>
      </c>
      <c r="C9" t="s">
        <v>7</v>
      </c>
      <c r="D9" t="s">
        <v>40</v>
      </c>
    </row>
    <row r="10" spans="2:5" x14ac:dyDescent="0.25">
      <c r="B10">
        <f t="shared" si="0"/>
        <v>2032</v>
      </c>
      <c r="C10" t="s">
        <v>8</v>
      </c>
    </row>
    <row r="11" spans="2:5" x14ac:dyDescent="0.25">
      <c r="B11">
        <f t="shared" si="0"/>
        <v>2033</v>
      </c>
      <c r="C11" t="s">
        <v>11</v>
      </c>
    </row>
    <row r="12" spans="2:5" x14ac:dyDescent="0.25">
      <c r="B12">
        <f t="shared" si="0"/>
        <v>2034</v>
      </c>
      <c r="C12" t="s">
        <v>12</v>
      </c>
    </row>
    <row r="13" spans="2:5" x14ac:dyDescent="0.25">
      <c r="B13">
        <f t="shared" si="0"/>
        <v>2035</v>
      </c>
      <c r="C13" t="s">
        <v>13</v>
      </c>
    </row>
    <row r="14" spans="2:5" x14ac:dyDescent="0.25">
      <c r="B14">
        <f t="shared" si="0"/>
        <v>2036</v>
      </c>
      <c r="C14" t="s">
        <v>14</v>
      </c>
    </row>
    <row r="15" spans="2:5" x14ac:dyDescent="0.25">
      <c r="B15">
        <f t="shared" si="0"/>
        <v>2037</v>
      </c>
    </row>
    <row r="16" spans="2:5" x14ac:dyDescent="0.25">
      <c r="B16">
        <f t="shared" si="0"/>
        <v>2038</v>
      </c>
    </row>
    <row r="17" spans="2:9" x14ac:dyDescent="0.25">
      <c r="B17">
        <f t="shared" si="0"/>
        <v>2039</v>
      </c>
    </row>
    <row r="18" spans="2:9" x14ac:dyDescent="0.25">
      <c r="B18">
        <f t="shared" si="0"/>
        <v>2040</v>
      </c>
    </row>
    <row r="19" spans="2:9" x14ac:dyDescent="0.25">
      <c r="B19">
        <f t="shared" si="0"/>
        <v>2041</v>
      </c>
    </row>
    <row r="20" spans="2:9" x14ac:dyDescent="0.25">
      <c r="B20">
        <f>B19+1</f>
        <v>2042</v>
      </c>
    </row>
    <row r="21" spans="2:9" x14ac:dyDescent="0.25">
      <c r="B21">
        <f t="shared" si="0"/>
        <v>2043</v>
      </c>
    </row>
    <row r="22" spans="2:9" x14ac:dyDescent="0.25">
      <c r="B22">
        <f t="shared" si="0"/>
        <v>2044</v>
      </c>
    </row>
    <row r="23" spans="2:9" x14ac:dyDescent="0.25">
      <c r="B23">
        <f t="shared" si="0"/>
        <v>2045</v>
      </c>
    </row>
    <row r="24" spans="2:9" x14ac:dyDescent="0.25">
      <c r="B24">
        <f t="shared" si="0"/>
        <v>2046</v>
      </c>
    </row>
    <row r="25" spans="2:9" x14ac:dyDescent="0.25">
      <c r="B25">
        <f t="shared" si="0"/>
        <v>2047</v>
      </c>
      <c r="I25" t="s">
        <v>48</v>
      </c>
    </row>
    <row r="26" spans="2:9" x14ac:dyDescent="0.25">
      <c r="B26">
        <f t="shared" si="0"/>
        <v>2048</v>
      </c>
    </row>
    <row r="27" spans="2:9" x14ac:dyDescent="0.25">
      <c r="B27">
        <f t="shared" si="0"/>
        <v>2049</v>
      </c>
    </row>
    <row r="28" spans="2:9" x14ac:dyDescent="0.25">
      <c r="B28">
        <f t="shared" si="0"/>
        <v>2050</v>
      </c>
    </row>
  </sheetData>
  <phoneticPr fontId="5" type="noConversion"/>
  <conditionalFormatting sqref="E4">
    <cfRule type="cellIs" dxfId="1" priority="1" operator="equal">
      <formula>$E$4</formula>
    </cfRule>
    <cfRule type="cellIs" dxfId="0" priority="2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Chaudhari</dc:creator>
  <cp:lastModifiedBy>Ashish Chaudhari</cp:lastModifiedBy>
  <dcterms:created xsi:type="dcterms:W3CDTF">2025-12-28T10:02:28Z</dcterms:created>
  <dcterms:modified xsi:type="dcterms:W3CDTF">2026-04-16T12:46:52Z</dcterms:modified>
</cp:coreProperties>
</file>